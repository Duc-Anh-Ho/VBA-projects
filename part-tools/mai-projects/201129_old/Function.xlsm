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D:\VBA\201129\"/>
    </mc:Choice>
  </mc:AlternateContent>
  <xr:revisionPtr revIDLastSave="0" documentId="13_ncr:1_{3683A707-1610-4FA4-8883-C06D2D55F9E4}" xr6:coauthVersionLast="45" xr6:coauthVersionMax="45" xr10:uidLastSave="{00000000-0000-0000-0000-000000000000}"/>
  <bookViews>
    <workbookView xWindow="28680" yWindow="-120" windowWidth="29040" windowHeight="16440" xr2:uid="{00000000-000D-0000-FFFF-FFFF00000000}"/>
  </bookViews>
  <sheets>
    <sheet name="DataBase" sheetId="1" r:id="rId1"/>
    <sheet name="ICD ST" sheetId="5" state="hidden" r:id="rId2"/>
    <sheet name="Draft" sheetId="7" r:id="rId3"/>
    <sheet name="Tittle_list" sheetId="8" r:id="rId4"/>
    <sheet name="Query" sheetId="9" r:id="rId5"/>
  </sheets>
  <definedNames>
    <definedName name="_xlnm._FilterDatabase" localSheetId="0" hidden="1">DataBase!$A$2:$CS$2</definedName>
    <definedName name="_xlnm._FilterDatabase" localSheetId="2" hidden="1">Draft!$A$3:$L$115</definedName>
    <definedName name="_xlnm._FilterDatabase" localSheetId="3" hidden="1">Tittle_list!#REF!</definedName>
    <definedName name="Actual_Volume_Processed_1">DataBase!$AK$3:$AK$94</definedName>
    <definedName name="Actual_Volume_Processed_10">DataBase!$CD$3:$CD$94</definedName>
    <definedName name="Actual_Volume_Processed_11">DataBase!$CI$3:$CI$94</definedName>
    <definedName name="Actual_Volume_Processed_12">DataBase!$CN$3:$CN$94</definedName>
    <definedName name="Actual_Volume_Processed_2">DataBase!$AP$3:$AP$94</definedName>
    <definedName name="Actual_Volume_Processed_3">DataBase!$AU$3:$AU$94</definedName>
    <definedName name="Actual_Volume_Processed_4">DataBase!$AZ$3:$AZ$94</definedName>
    <definedName name="Actual_Volume_Processed_5">DataBase!$BE$3:$BE$94</definedName>
    <definedName name="Actual_Volume_Processed_6">DataBase!$BJ$3:$BJ$94</definedName>
    <definedName name="Actual_Volume_Processed_7">DataBase!$BO$3:$BO$94</definedName>
    <definedName name="Actual_Volume_Processed_8">DataBase!$BT$3:$BT$94</definedName>
    <definedName name="Actual_Volume_Processed_9">DataBase!$BY$3:$BY$94</definedName>
    <definedName name="Comment_I1_Near_Misses">DataBase!$D$3:$D$94</definedName>
    <definedName name="Comment_I2_Lost_Time_Injury">DataBase!$G$3:$G$94</definedName>
    <definedName name="Comment_Inventory_Location_Accuracy">DataBase!$T$3:$T$94</definedName>
    <definedName name="Comment_Labor_Cost_Per_Unit_Shipped">DataBase!$AJ$3:$AJ$94</definedName>
    <definedName name="Comment_Order_Fulfillment">DataBase!$O$3:$O$94</definedName>
    <definedName name="Comment_PRODUCTIVITY_1">DataBase!$AO$3:$AO$94</definedName>
    <definedName name="Comment_PRODUCTIVITY_10">DataBase!$CH$3:$CH$94</definedName>
    <definedName name="Comment_PRODUCTIVITY_11">DataBase!$CM$3:$CM$94</definedName>
    <definedName name="Comment_PRODUCTIVITY_12">DataBase!$CS$3:$CS$94</definedName>
    <definedName name="Comment_PRODUCTIVITY_2">DataBase!$AT$3:$AT$94</definedName>
    <definedName name="Comment_PRODUCTIVITY_3">DataBase!$AY$3:$AY$94</definedName>
    <definedName name="Comment_PRODUCTIVITY_4">DataBase!$BD$3:$BD$94</definedName>
    <definedName name="Comment_PRODUCTIVITY_5">DataBase!$BI$3:$BI$94</definedName>
    <definedName name="Comment_PRODUCTIVITY_6">DataBase!$BN$3:$BN$94</definedName>
    <definedName name="Comment_PRODUCTIVITY_7">DataBase!$BS$3:$BS$94</definedName>
    <definedName name="Comment_PRODUCTIVITY_8">DataBase!$BX$3:$BX$94</definedName>
    <definedName name="Comment_PRODUCTIVITY_9">DataBase!$CC$3:$CC$94</definedName>
    <definedName name="Comment_Target_1">DataBase!$AB$3:$AB$94</definedName>
    <definedName name="Comment_V1_Actual_Volume_Dropped">DataBase!$J$3:$J$94</definedName>
    <definedName name="Date">DataBase!$A$3:$A$94</definedName>
    <definedName name="Direct_Labor_Hours_1">DataBase!$AL$3:$AL$94</definedName>
    <definedName name="Direct_Labor_Hours_10">DataBase!$CE$3:$CE$94</definedName>
    <definedName name="Direct_Labor_Hours_11">DataBase!$CJ$3:$CJ$94</definedName>
    <definedName name="Direct_Labor_Hours_12">DataBase!$CO$3:$CO$94</definedName>
    <definedName name="Direct_Labor_Hours_2">DataBase!$AQ$3:$AQ$94</definedName>
    <definedName name="Direct_Labor_Hours_3">DataBase!$AV$3:$AV$94</definedName>
    <definedName name="Direct_Labor_Hours_4">DataBase!$BA$3:$BA$94</definedName>
    <definedName name="Direct_Labor_Hours_5">DataBase!$BF$3:$BF$94</definedName>
    <definedName name="Direct_Labor_Hours_6">DataBase!$BK$3:$BK$94</definedName>
    <definedName name="Direct_Labor_Hours_7">DataBase!$BP$3:$BP$94</definedName>
    <definedName name="Direct_Labor_Hours_8">DataBase!$BU$3:$BU$94</definedName>
    <definedName name="Direct_Labor_Hours_9">DataBase!$BZ$3:$BZ$94</definedName>
    <definedName name="I1_Near_Misses">DataBase!$B$3:$B$94</definedName>
    <definedName name="I1_Near_Misses_Target">DataBase!$C$3:$C$94</definedName>
    <definedName name="I2_Lost_Time_Injury">DataBase!$E$3:$E$94</definedName>
    <definedName name="I2_Lost_Time_Injury_Target">DataBase!$F$3:$F$94</definedName>
    <definedName name="Inventory_Location_Accuracy">DataBase!$R$3:$R$94</definedName>
    <definedName name="Inventory_Location_Accuracy_Target">DataBase!$S$3:$S$94</definedName>
    <definedName name="Labor_Cost_Per_Unit_Shipped">DataBase!$AH$3:$AH$94</definedName>
    <definedName name="Labor_Cost_Per_Unit_Shipped_Target">DataBase!$AI$3:$AI$94</definedName>
    <definedName name="Order_Fulfillment">DataBase!$M$3:$M$94</definedName>
    <definedName name="Order_Fulfillment_____Target">DataBase!$N$3:$N$94</definedName>
    <definedName name="OVERTIME">DataBase!$Y$3:$Y$94</definedName>
    <definedName name="P6_Units_Shipped">DataBase!$AG$3:$AG$94</definedName>
    <definedName name="PRODUCTIVITY_1">DataBase!$AM$3:$AM$94</definedName>
    <definedName name="PRODUCTIVITY_1_Target">DataBase!$AN$3:$AN$94</definedName>
    <definedName name="PRODUCTIVITY_10">DataBase!$CF$3:$CF$94</definedName>
    <definedName name="PRODUCTIVITY_10_Target">DataBase!$CG$3:$CG$94</definedName>
    <definedName name="PRODUCTIVITY_11">DataBase!$CK$3:$CK$94</definedName>
    <definedName name="PRODUCTIVITY_11_Target">DataBase!$CL$3:$CL$94</definedName>
    <definedName name="PRODUCTIVITY_12">DataBase!$CP$3:$CP$94</definedName>
    <definedName name="PRODUCTIVITY_12_Target">DataBase!$CQ$3:$CQ$94</definedName>
    <definedName name="PRODUCTIVITY_2">DataBase!$AR$3:$AR$94</definedName>
    <definedName name="PRODUCTIVITY_2_Target">DataBase!$AS$3:$AS$94</definedName>
    <definedName name="PRODUCTIVITY_3">DataBase!$AW$3:$AW$94</definedName>
    <definedName name="PRODUCTIVITY_3_Target">DataBase!$AX$3:$AX$94</definedName>
    <definedName name="PRODUCTIVITY_4">DataBase!$BB$3:$BB$94</definedName>
    <definedName name="PRODUCTIVITY_4_Target">DataBase!$BC$3:$BC$94</definedName>
    <definedName name="PRODUCTIVITY_5">DataBase!$BG$3:$BG$94</definedName>
    <definedName name="PRODUCTIVITY_5_Target">DataBase!$BH$3:$BH$94</definedName>
    <definedName name="PRODUCTIVITY_6">DataBase!$BL$3:$BL$94</definedName>
    <definedName name="PRODUCTIVITY_6_Target">DataBase!$BM$3:$BM$94</definedName>
    <definedName name="PRODUCTIVITY_7">DataBase!$BQ$3:$BQ$94</definedName>
    <definedName name="PRODUCTIVITY_7_Target">DataBase!$BR$3:$BR$94</definedName>
    <definedName name="PRODUCTIVITY_8">DataBase!$BV$3:$BV$94</definedName>
    <definedName name="PRODUCTIVITY_8_Target">DataBase!$BW$3:$BW$94</definedName>
    <definedName name="PRODUCTIVITY_9">DataBase!$CA$3:$CA$94</definedName>
    <definedName name="PRODUCTIVITY_9_Target">DataBase!$CB$3:$CB$94</definedName>
    <definedName name="Q1_Number_of_Accurate_Locations">DataBase!$P$3:$P$94</definedName>
    <definedName name="Q2_Total_Number_of_Locations_Counted">DataBase!$Q$3:$Q$94</definedName>
    <definedName name="Q3_Number_of_Orders_Available">DataBase!$K$3:$K$94</definedName>
    <definedName name="Q4_Number_of_Orders_Required">DataBase!$L$3:$L$94</definedName>
    <definedName name="S1_Permanent_Direct_Labor_Cost">DataBase!$AC$3:$AC$94</definedName>
    <definedName name="S2_Permanent_Indirect_Labor_Cost">DataBase!$AD$3:$AD$94</definedName>
    <definedName name="S3_Temporary_Direct_Labor_Cost">DataBase!$AE$3:$AE$94</definedName>
    <definedName name="S4_Temporary_Indirect_Labor_Cost">DataBase!$AF$3:$AF$94</definedName>
    <definedName name="Target_1">DataBase!$Z$3:$Z$94</definedName>
    <definedName name="Target_2">DataBase!$AA$3:$AA$94</definedName>
    <definedName name="Tittles">DataBase!$A$2:$A$94</definedName>
    <definedName name="Total_Permanent_Direct_Labor_Ordinary_Hours">DataBase!$V$3:$V$94</definedName>
    <definedName name="Total_Permanent_Direct_Labor_Overtime_Hours">DataBase!$W$3:$W$94</definedName>
    <definedName name="Total_Temporary_Direct_Labor_Ordinary_Hours">DataBase!$U$3:$U$94</definedName>
    <definedName name="Total_Temporary_Direct_Labor_Overtime_Hours">DataBase!$X$3:$X$94</definedName>
    <definedName name="V1_Actual_Volume_Dropped">DataBase!$H$3:$H$94</definedName>
    <definedName name="V2_Forecast_Volumes">DataBase!$I$3:$I$94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1" l="1"/>
  <c r="R3" i="1"/>
  <c r="S3" i="1"/>
  <c r="Z3" i="1"/>
  <c r="AI3" i="1"/>
  <c r="AX3" i="1"/>
  <c r="BC3" i="1"/>
  <c r="BH3" i="1"/>
  <c r="BM3" i="1"/>
  <c r="BR3" i="1"/>
  <c r="BW3" i="1"/>
  <c r="CB3" i="1"/>
  <c r="CL3" i="1"/>
  <c r="CQ3" i="1"/>
  <c r="M4" i="1"/>
  <c r="R4" i="1"/>
  <c r="Z4" i="1"/>
  <c r="AI4" i="1"/>
  <c r="AX4" i="1"/>
  <c r="BC4" i="1"/>
  <c r="BH4" i="1"/>
  <c r="BM4" i="1"/>
  <c r="BR4" i="1"/>
  <c r="BW4" i="1"/>
  <c r="CB4" i="1"/>
  <c r="CL4" i="1"/>
  <c r="CQ4" i="1"/>
  <c r="M5" i="1"/>
  <c r="R5" i="1"/>
  <c r="Z5" i="1"/>
  <c r="AI5" i="1"/>
  <c r="AX5" i="1"/>
  <c r="BC5" i="1"/>
  <c r="BH5" i="1"/>
  <c r="BM5" i="1"/>
  <c r="BR5" i="1"/>
  <c r="BW5" i="1"/>
  <c r="CB5" i="1"/>
  <c r="CL5" i="1"/>
  <c r="CQ5" i="1"/>
  <c r="M6" i="1"/>
  <c r="R6" i="1"/>
  <c r="Z6" i="1"/>
  <c r="AI6" i="1"/>
  <c r="AX6" i="1"/>
  <c r="BC6" i="1"/>
  <c r="BH6" i="1"/>
  <c r="BM6" i="1"/>
  <c r="BR6" i="1"/>
  <c r="BW6" i="1"/>
  <c r="CB6" i="1"/>
  <c r="CL6" i="1"/>
  <c r="CQ6" i="1"/>
  <c r="M7" i="1"/>
  <c r="R7" i="1"/>
  <c r="Z7" i="1"/>
  <c r="AI7" i="1"/>
  <c r="AX7" i="1"/>
  <c r="BC7" i="1"/>
  <c r="BH7" i="1"/>
  <c r="BM7" i="1"/>
  <c r="BR7" i="1"/>
  <c r="BW7" i="1"/>
  <c r="CB7" i="1"/>
  <c r="CL7" i="1"/>
  <c r="CQ7" i="1"/>
  <c r="M8" i="1"/>
  <c r="R8" i="1"/>
  <c r="Z8" i="1"/>
  <c r="AI8" i="1"/>
  <c r="AX8" i="1"/>
  <c r="BC8" i="1"/>
  <c r="BH8" i="1"/>
  <c r="BM8" i="1"/>
  <c r="BR8" i="1"/>
  <c r="BW8" i="1"/>
  <c r="CB8" i="1"/>
  <c r="CL8" i="1"/>
  <c r="CQ8" i="1"/>
  <c r="M9" i="1"/>
  <c r="R9" i="1"/>
  <c r="Z9" i="1"/>
  <c r="AI9" i="1"/>
  <c r="AX9" i="1"/>
  <c r="BC9" i="1"/>
  <c r="BH9" i="1"/>
  <c r="BM9" i="1"/>
  <c r="BR9" i="1"/>
  <c r="BW9" i="1"/>
  <c r="CB9" i="1"/>
  <c r="CL9" i="1"/>
  <c r="CQ9" i="1"/>
  <c r="M10" i="1"/>
  <c r="R10" i="1"/>
  <c r="Z10" i="1"/>
  <c r="AI10" i="1"/>
  <c r="AX10" i="1"/>
  <c r="BC10" i="1"/>
  <c r="BH10" i="1"/>
  <c r="BM10" i="1"/>
  <c r="BR10" i="1"/>
  <c r="BW10" i="1"/>
  <c r="CB10" i="1"/>
  <c r="CL10" i="1"/>
  <c r="CQ10" i="1"/>
  <c r="M11" i="1"/>
  <c r="R11" i="1"/>
  <c r="Z11" i="1"/>
  <c r="AI11" i="1"/>
  <c r="AX11" i="1"/>
  <c r="BC11" i="1"/>
  <c r="BH11" i="1"/>
  <c r="BM11" i="1"/>
  <c r="BR11" i="1"/>
  <c r="BW11" i="1"/>
  <c r="CB11" i="1"/>
  <c r="CL11" i="1"/>
  <c r="CQ11" i="1"/>
  <c r="M12" i="1"/>
  <c r="R12" i="1"/>
  <c r="Z12" i="1"/>
  <c r="AI12" i="1"/>
  <c r="AX12" i="1"/>
  <c r="BC12" i="1"/>
  <c r="BH12" i="1"/>
  <c r="BM12" i="1"/>
  <c r="BR12" i="1"/>
  <c r="BW12" i="1"/>
  <c r="CB12" i="1"/>
  <c r="CL12" i="1"/>
  <c r="CQ12" i="1"/>
  <c r="M13" i="1"/>
  <c r="R13" i="1"/>
  <c r="Z13" i="1"/>
  <c r="AI13" i="1"/>
  <c r="AX13" i="1"/>
  <c r="BC13" i="1"/>
  <c r="BH13" i="1"/>
  <c r="BM13" i="1"/>
  <c r="BR13" i="1"/>
  <c r="BW13" i="1"/>
  <c r="CB13" i="1"/>
  <c r="CL13" i="1"/>
  <c r="CQ13" i="1"/>
  <c r="M14" i="1"/>
  <c r="R14" i="1"/>
  <c r="Z14" i="1"/>
  <c r="AI14" i="1"/>
  <c r="AX14" i="1"/>
  <c r="BC14" i="1"/>
  <c r="BH14" i="1"/>
  <c r="BM14" i="1"/>
  <c r="BR14" i="1"/>
  <c r="BW14" i="1"/>
  <c r="CB14" i="1"/>
  <c r="CL14" i="1"/>
  <c r="CQ14" i="1"/>
  <c r="M15" i="1"/>
  <c r="R15" i="1"/>
  <c r="Z15" i="1"/>
  <c r="AI15" i="1"/>
  <c r="AX15" i="1"/>
  <c r="BC15" i="1"/>
  <c r="BH15" i="1"/>
  <c r="BM15" i="1"/>
  <c r="BR15" i="1"/>
  <c r="BW15" i="1"/>
  <c r="CB15" i="1"/>
  <c r="CL15" i="1"/>
  <c r="CQ15" i="1"/>
  <c r="M16" i="1"/>
  <c r="R16" i="1"/>
  <c r="Z16" i="1"/>
  <c r="AI16" i="1"/>
  <c r="AX16" i="1"/>
  <c r="BC16" i="1"/>
  <c r="BH16" i="1"/>
  <c r="BM16" i="1"/>
  <c r="BR16" i="1"/>
  <c r="BW16" i="1"/>
  <c r="CB16" i="1"/>
  <c r="CL16" i="1"/>
  <c r="CQ16" i="1"/>
  <c r="M17" i="1"/>
  <c r="R17" i="1"/>
  <c r="Z17" i="1"/>
  <c r="AI17" i="1"/>
  <c r="AX17" i="1"/>
  <c r="BC17" i="1"/>
  <c r="BH17" i="1"/>
  <c r="BM17" i="1"/>
  <c r="BR17" i="1"/>
  <c r="BW17" i="1"/>
  <c r="CB17" i="1"/>
  <c r="CL17" i="1"/>
  <c r="CQ17" i="1"/>
  <c r="M18" i="1"/>
  <c r="R18" i="1"/>
  <c r="Z18" i="1"/>
  <c r="AI18" i="1"/>
  <c r="AX18" i="1"/>
  <c r="BC18" i="1"/>
  <c r="BH18" i="1"/>
  <c r="BM18" i="1"/>
  <c r="BR18" i="1"/>
  <c r="BW18" i="1"/>
  <c r="CB18" i="1"/>
  <c r="CL18" i="1"/>
  <c r="CQ18" i="1"/>
  <c r="M19" i="1"/>
  <c r="R19" i="1"/>
  <c r="Z19" i="1"/>
  <c r="AI19" i="1"/>
  <c r="AX19" i="1"/>
  <c r="BC19" i="1"/>
  <c r="BH19" i="1"/>
  <c r="BM19" i="1"/>
  <c r="BR19" i="1"/>
  <c r="BW19" i="1"/>
  <c r="CB19" i="1"/>
  <c r="CL19" i="1"/>
  <c r="CQ19" i="1"/>
  <c r="M20" i="1"/>
  <c r="R20" i="1"/>
  <c r="Z20" i="1"/>
  <c r="AI20" i="1"/>
  <c r="AX20" i="1"/>
  <c r="BC20" i="1"/>
  <c r="BH20" i="1"/>
  <c r="BM20" i="1"/>
  <c r="BR20" i="1"/>
  <c r="BW20" i="1"/>
  <c r="CB20" i="1"/>
  <c r="CL20" i="1"/>
  <c r="CQ20" i="1"/>
  <c r="M21" i="1"/>
  <c r="R21" i="1"/>
  <c r="Z21" i="1"/>
  <c r="AI21" i="1"/>
  <c r="AX21" i="1"/>
  <c r="BC21" i="1"/>
  <c r="BH21" i="1"/>
  <c r="BM21" i="1"/>
  <c r="BR21" i="1"/>
  <c r="BW21" i="1"/>
  <c r="CB21" i="1"/>
  <c r="CL21" i="1"/>
  <c r="CQ21" i="1"/>
  <c r="M22" i="1"/>
  <c r="R22" i="1"/>
  <c r="Z22" i="1"/>
  <c r="AI22" i="1"/>
  <c r="AX22" i="1"/>
  <c r="BC22" i="1"/>
  <c r="BH22" i="1"/>
  <c r="BM22" i="1"/>
  <c r="BR22" i="1"/>
  <c r="BW22" i="1"/>
  <c r="CB22" i="1"/>
  <c r="CL22" i="1"/>
  <c r="CQ22" i="1"/>
  <c r="M23" i="1"/>
  <c r="R23" i="1"/>
  <c r="Z23" i="1"/>
  <c r="AI23" i="1"/>
  <c r="AX23" i="1"/>
  <c r="BC23" i="1"/>
  <c r="BH23" i="1"/>
  <c r="BM23" i="1"/>
  <c r="BR23" i="1"/>
  <c r="BW23" i="1"/>
  <c r="CB23" i="1"/>
  <c r="CL23" i="1"/>
  <c r="CQ23" i="1"/>
  <c r="M24" i="1"/>
  <c r="R24" i="1"/>
  <c r="Z24" i="1"/>
  <c r="AI24" i="1"/>
  <c r="AX24" i="1"/>
  <c r="BC24" i="1"/>
  <c r="BH24" i="1"/>
  <c r="BM24" i="1"/>
  <c r="BR24" i="1"/>
  <c r="BW24" i="1"/>
  <c r="CB24" i="1"/>
  <c r="CL24" i="1"/>
  <c r="CQ24" i="1"/>
  <c r="M25" i="1"/>
  <c r="R25" i="1"/>
  <c r="Z25" i="1"/>
  <c r="AI25" i="1"/>
  <c r="AX25" i="1"/>
  <c r="BC25" i="1"/>
  <c r="BH25" i="1"/>
  <c r="BM25" i="1"/>
  <c r="BR25" i="1"/>
  <c r="BW25" i="1"/>
  <c r="CB25" i="1"/>
  <c r="CL25" i="1"/>
  <c r="CQ25" i="1"/>
  <c r="M26" i="1"/>
  <c r="R26" i="1"/>
  <c r="Z26" i="1"/>
  <c r="AI26" i="1"/>
  <c r="AX26" i="1"/>
  <c r="BC26" i="1"/>
  <c r="BH26" i="1"/>
  <c r="BM26" i="1"/>
  <c r="BR26" i="1"/>
  <c r="BW26" i="1"/>
  <c r="CB26" i="1"/>
  <c r="CL26" i="1"/>
  <c r="CQ26" i="1"/>
  <c r="M27" i="1"/>
  <c r="R27" i="1"/>
  <c r="Z27" i="1"/>
  <c r="AI27" i="1"/>
  <c r="AX27" i="1"/>
  <c r="BC27" i="1"/>
  <c r="BH27" i="1"/>
  <c r="BM27" i="1"/>
  <c r="BR27" i="1"/>
  <c r="BW27" i="1"/>
  <c r="CB27" i="1"/>
  <c r="CL27" i="1"/>
  <c r="CQ27" i="1"/>
  <c r="M28" i="1"/>
  <c r="R28" i="1"/>
  <c r="Z28" i="1"/>
  <c r="AI28" i="1"/>
  <c r="AX28" i="1"/>
  <c r="BC28" i="1"/>
  <c r="BH28" i="1"/>
  <c r="BM28" i="1"/>
  <c r="BR28" i="1"/>
  <c r="BW28" i="1"/>
  <c r="CB28" i="1"/>
  <c r="CL28" i="1"/>
  <c r="CQ28" i="1"/>
  <c r="M29" i="1"/>
  <c r="R29" i="1"/>
  <c r="Z29" i="1"/>
  <c r="AI29" i="1"/>
  <c r="AX29" i="1"/>
  <c r="BC29" i="1"/>
  <c r="BH29" i="1"/>
  <c r="BM29" i="1"/>
  <c r="BR29" i="1"/>
  <c r="BW29" i="1"/>
  <c r="CB29" i="1"/>
  <c r="CL29" i="1"/>
  <c r="CQ29" i="1"/>
  <c r="M30" i="1"/>
  <c r="R30" i="1"/>
  <c r="Z30" i="1"/>
  <c r="AI30" i="1"/>
  <c r="AX30" i="1"/>
  <c r="BC30" i="1"/>
  <c r="BH30" i="1"/>
  <c r="BM30" i="1"/>
  <c r="BR30" i="1"/>
  <c r="BW30" i="1"/>
  <c r="CB30" i="1"/>
  <c r="CL30" i="1"/>
  <c r="CQ30" i="1"/>
  <c r="M31" i="1"/>
  <c r="R31" i="1"/>
  <c r="Z31" i="1"/>
  <c r="AI31" i="1"/>
  <c r="AX31" i="1"/>
  <c r="BC31" i="1"/>
  <c r="BH31" i="1"/>
  <c r="BM31" i="1"/>
  <c r="BR31" i="1"/>
  <c r="BW31" i="1"/>
  <c r="CB31" i="1"/>
  <c r="CL31" i="1"/>
  <c r="CQ31" i="1"/>
  <c r="M32" i="1"/>
  <c r="R32" i="1"/>
  <c r="Z32" i="1"/>
  <c r="AI32" i="1"/>
  <c r="AX32" i="1"/>
  <c r="BC32" i="1"/>
  <c r="BH32" i="1"/>
  <c r="BM32" i="1"/>
  <c r="BR32" i="1"/>
  <c r="BW32" i="1"/>
  <c r="CB32" i="1"/>
  <c r="CL32" i="1"/>
  <c r="CQ32" i="1"/>
  <c r="M33" i="1"/>
  <c r="R33" i="1"/>
  <c r="Z33" i="1"/>
  <c r="AI33" i="1"/>
  <c r="AX33" i="1"/>
  <c r="BC33" i="1"/>
  <c r="BH33" i="1"/>
  <c r="BM33" i="1"/>
  <c r="BR33" i="1"/>
  <c r="BW33" i="1"/>
  <c r="CB33" i="1"/>
  <c r="CL33" i="1"/>
  <c r="CQ33" i="1"/>
  <c r="M34" i="1"/>
  <c r="R34" i="1"/>
  <c r="Z34" i="1"/>
  <c r="AI34" i="1"/>
  <c r="AS34" i="1"/>
  <c r="AX34" i="1"/>
  <c r="BC34" i="1"/>
  <c r="BH34" i="1"/>
  <c r="BM34" i="1"/>
  <c r="BR34" i="1"/>
  <c r="BW34" i="1"/>
  <c r="CB34" i="1"/>
  <c r="CL34" i="1"/>
  <c r="CQ34" i="1"/>
  <c r="M35" i="1"/>
  <c r="R35" i="1"/>
  <c r="Z35" i="1"/>
  <c r="AI35" i="1"/>
  <c r="AS35" i="1"/>
  <c r="AX35" i="1"/>
  <c r="BC35" i="1"/>
  <c r="BH35" i="1"/>
  <c r="BM35" i="1"/>
  <c r="BR35" i="1"/>
  <c r="BW35" i="1"/>
  <c r="CB35" i="1"/>
  <c r="CG35" i="1"/>
  <c r="CL35" i="1"/>
  <c r="CQ35" i="1"/>
  <c r="M36" i="1"/>
  <c r="R36" i="1"/>
  <c r="Z36" i="1"/>
  <c r="AI36" i="1"/>
  <c r="AS36" i="1"/>
  <c r="AX36" i="1"/>
  <c r="BC36" i="1"/>
  <c r="BH36" i="1"/>
  <c r="BM36" i="1"/>
  <c r="BR36" i="1"/>
  <c r="BW36" i="1"/>
  <c r="CB36" i="1"/>
  <c r="CG36" i="1"/>
  <c r="CL36" i="1"/>
  <c r="CQ36" i="1"/>
  <c r="M37" i="1"/>
  <c r="R37" i="1"/>
  <c r="Z37" i="1"/>
  <c r="AI37" i="1"/>
  <c r="AS37" i="1"/>
  <c r="AX37" i="1"/>
  <c r="BC37" i="1"/>
  <c r="BH37" i="1"/>
  <c r="BM37" i="1"/>
  <c r="BR37" i="1"/>
  <c r="BW37" i="1"/>
  <c r="CB37" i="1"/>
  <c r="CG37" i="1"/>
  <c r="CL37" i="1"/>
  <c r="CQ37" i="1"/>
  <c r="M38" i="1"/>
  <c r="R38" i="1"/>
  <c r="Z38" i="1"/>
  <c r="AI38" i="1"/>
  <c r="AS38" i="1"/>
  <c r="AX38" i="1"/>
  <c r="BC38" i="1"/>
  <c r="BH38" i="1"/>
  <c r="BM38" i="1"/>
  <c r="BR38" i="1"/>
  <c r="BW38" i="1"/>
  <c r="CB38" i="1"/>
  <c r="CG38" i="1"/>
  <c r="CL38" i="1"/>
  <c r="CQ38" i="1"/>
  <c r="M39" i="1"/>
  <c r="R39" i="1"/>
  <c r="Z39" i="1"/>
  <c r="AI39" i="1"/>
  <c r="AS39" i="1"/>
  <c r="AX39" i="1"/>
  <c r="BC39" i="1"/>
  <c r="BH39" i="1"/>
  <c r="BM39" i="1"/>
  <c r="BR39" i="1"/>
  <c r="BW39" i="1"/>
  <c r="CB39" i="1"/>
  <c r="CG39" i="1"/>
  <c r="CL39" i="1"/>
  <c r="CQ39" i="1"/>
  <c r="M40" i="1"/>
  <c r="R40" i="1"/>
  <c r="Z40" i="1"/>
  <c r="AI40" i="1"/>
  <c r="AS40" i="1"/>
  <c r="AX40" i="1"/>
  <c r="BC40" i="1"/>
  <c r="BH40" i="1"/>
  <c r="BM40" i="1"/>
  <c r="BR40" i="1"/>
  <c r="BW40" i="1"/>
  <c r="CB40" i="1"/>
  <c r="CG40" i="1"/>
  <c r="CL40" i="1"/>
  <c r="CQ40" i="1"/>
  <c r="M41" i="1"/>
  <c r="R41" i="1"/>
  <c r="Z41" i="1"/>
  <c r="AI41" i="1"/>
  <c r="AS41" i="1"/>
  <c r="AX41" i="1"/>
  <c r="BC41" i="1"/>
  <c r="BH41" i="1"/>
  <c r="BM41" i="1"/>
  <c r="BR41" i="1"/>
  <c r="BW41" i="1"/>
  <c r="CB41" i="1"/>
  <c r="CG41" i="1"/>
  <c r="CL41" i="1"/>
  <c r="CQ41" i="1"/>
  <c r="M42" i="1"/>
  <c r="R42" i="1"/>
  <c r="Z42" i="1"/>
  <c r="AI42" i="1"/>
  <c r="AS42" i="1"/>
  <c r="AX42" i="1"/>
  <c r="BC42" i="1"/>
  <c r="BH42" i="1"/>
  <c r="BM42" i="1"/>
  <c r="BR42" i="1"/>
  <c r="BW42" i="1"/>
  <c r="CB42" i="1"/>
  <c r="CG42" i="1"/>
  <c r="CL42" i="1"/>
  <c r="CQ42" i="1"/>
  <c r="M43" i="1"/>
  <c r="R43" i="1"/>
  <c r="Z43" i="1"/>
  <c r="AI43" i="1"/>
  <c r="AS43" i="1"/>
  <c r="AX43" i="1"/>
  <c r="BC43" i="1"/>
  <c r="BH43" i="1"/>
  <c r="BM43" i="1"/>
  <c r="BR43" i="1"/>
  <c r="BW43" i="1"/>
  <c r="CB43" i="1"/>
  <c r="CG43" i="1"/>
  <c r="CL43" i="1"/>
  <c r="CQ43" i="1"/>
  <c r="M44" i="1"/>
  <c r="R44" i="1"/>
  <c r="Z44" i="1"/>
  <c r="AI44" i="1"/>
  <c r="AS44" i="1"/>
  <c r="AX44" i="1"/>
  <c r="BC44" i="1"/>
  <c r="BH44" i="1"/>
  <c r="BM44" i="1"/>
  <c r="BR44" i="1"/>
  <c r="BW44" i="1"/>
  <c r="CB44" i="1"/>
  <c r="CG44" i="1"/>
  <c r="CL44" i="1"/>
  <c r="CQ44" i="1"/>
  <c r="M45" i="1"/>
  <c r="R45" i="1"/>
  <c r="Z45" i="1"/>
  <c r="AI45" i="1"/>
  <c r="AS45" i="1"/>
  <c r="AX45" i="1"/>
  <c r="BC45" i="1"/>
  <c r="BH45" i="1"/>
  <c r="BM45" i="1"/>
  <c r="BR45" i="1"/>
  <c r="BW45" i="1"/>
  <c r="CB45" i="1"/>
  <c r="CG45" i="1"/>
  <c r="CL45" i="1"/>
  <c r="CQ45" i="1"/>
  <c r="M46" i="1"/>
  <c r="R46" i="1"/>
  <c r="Z46" i="1"/>
  <c r="AI46" i="1"/>
  <c r="AS46" i="1"/>
  <c r="AX46" i="1"/>
  <c r="BC46" i="1"/>
  <c r="BH46" i="1"/>
  <c r="BM46" i="1"/>
  <c r="BR46" i="1"/>
  <c r="BW46" i="1"/>
  <c r="CB46" i="1"/>
  <c r="CG46" i="1"/>
  <c r="CL46" i="1"/>
  <c r="CQ46" i="1"/>
  <c r="M47" i="1"/>
  <c r="R47" i="1"/>
  <c r="Z47" i="1"/>
  <c r="AI47" i="1"/>
  <c r="AS47" i="1"/>
  <c r="AX47" i="1"/>
  <c r="BC47" i="1"/>
  <c r="BH47" i="1"/>
  <c r="BM47" i="1"/>
  <c r="BR47" i="1"/>
  <c r="BW47" i="1"/>
  <c r="CB47" i="1"/>
  <c r="CG47" i="1"/>
  <c r="CL47" i="1"/>
  <c r="CQ47" i="1"/>
  <c r="R48" i="1"/>
  <c r="Z48" i="1"/>
  <c r="AI48" i="1"/>
  <c r="AS48" i="1"/>
  <c r="AX48" i="1"/>
  <c r="BC48" i="1"/>
  <c r="BH48" i="1"/>
  <c r="BM48" i="1"/>
  <c r="BR48" i="1"/>
  <c r="BW48" i="1"/>
  <c r="CB48" i="1"/>
  <c r="CG48" i="1"/>
  <c r="CL48" i="1"/>
  <c r="CQ48" i="1"/>
  <c r="M49" i="1"/>
  <c r="R49" i="1"/>
  <c r="Z49" i="1"/>
  <c r="AI49" i="1"/>
  <c r="AS49" i="1"/>
  <c r="AX49" i="1"/>
  <c r="BC49" i="1"/>
  <c r="BH49" i="1"/>
  <c r="BM49" i="1"/>
  <c r="BR49" i="1"/>
  <c r="BW49" i="1"/>
  <c r="CB49" i="1"/>
  <c r="CG49" i="1"/>
  <c r="CL49" i="1"/>
  <c r="CQ49" i="1"/>
  <c r="M50" i="1"/>
  <c r="R50" i="1"/>
  <c r="Z50" i="1"/>
  <c r="AI50" i="1"/>
  <c r="AS50" i="1"/>
  <c r="AX50" i="1"/>
  <c r="BC50" i="1"/>
  <c r="BH50" i="1"/>
  <c r="BM50" i="1"/>
  <c r="BR50" i="1"/>
  <c r="BW50" i="1"/>
  <c r="CB50" i="1"/>
  <c r="CG50" i="1"/>
  <c r="CL50" i="1"/>
  <c r="CQ50" i="1"/>
  <c r="M51" i="1"/>
  <c r="R51" i="1"/>
  <c r="Z51" i="1"/>
  <c r="AI51" i="1"/>
  <c r="AS51" i="1"/>
  <c r="AX51" i="1"/>
  <c r="BC51" i="1"/>
  <c r="BH51" i="1"/>
  <c r="BM51" i="1"/>
  <c r="BR51" i="1"/>
  <c r="BW51" i="1"/>
  <c r="CB51" i="1"/>
  <c r="CG51" i="1"/>
  <c r="CL51" i="1"/>
  <c r="CQ51" i="1"/>
  <c r="M52" i="1"/>
  <c r="R52" i="1"/>
  <c r="Z52" i="1"/>
  <c r="AI52" i="1"/>
  <c r="AS52" i="1"/>
  <c r="AX52" i="1"/>
  <c r="BC52" i="1"/>
  <c r="BH52" i="1"/>
  <c r="BM52" i="1"/>
  <c r="BR52" i="1"/>
  <c r="BW52" i="1"/>
  <c r="CB52" i="1"/>
  <c r="CG52" i="1"/>
  <c r="CL52" i="1"/>
  <c r="CQ52" i="1"/>
  <c r="M53" i="1"/>
  <c r="R53" i="1"/>
  <c r="Z53" i="1"/>
  <c r="AI53" i="1"/>
  <c r="AS53" i="1"/>
  <c r="AX53" i="1"/>
  <c r="BC53" i="1"/>
  <c r="BH53" i="1"/>
  <c r="BM53" i="1"/>
  <c r="BR53" i="1"/>
  <c r="BW53" i="1"/>
  <c r="CB53" i="1"/>
  <c r="CG53" i="1"/>
  <c r="CL53" i="1"/>
  <c r="CQ53" i="1"/>
  <c r="M54" i="1"/>
  <c r="R54" i="1"/>
  <c r="Z54" i="1"/>
  <c r="AI54" i="1"/>
  <c r="AS54" i="1"/>
  <c r="AX54" i="1"/>
  <c r="BC54" i="1"/>
  <c r="BH54" i="1"/>
  <c r="BM54" i="1"/>
  <c r="BR54" i="1"/>
  <c r="BW54" i="1"/>
  <c r="CB54" i="1"/>
  <c r="CG54" i="1"/>
  <c r="CL54" i="1"/>
  <c r="CQ54" i="1"/>
  <c r="M55" i="1"/>
  <c r="R55" i="1"/>
  <c r="Z55" i="1"/>
  <c r="AI55" i="1"/>
  <c r="AS55" i="1"/>
  <c r="AX55" i="1"/>
  <c r="BC55" i="1"/>
  <c r="BH55" i="1"/>
  <c r="BM55" i="1"/>
  <c r="BR55" i="1"/>
  <c r="BW55" i="1"/>
  <c r="CB55" i="1"/>
  <c r="CG55" i="1"/>
  <c r="CL55" i="1"/>
  <c r="CQ55" i="1"/>
  <c r="M56" i="1"/>
  <c r="R56" i="1"/>
  <c r="Z56" i="1"/>
  <c r="AI56" i="1"/>
  <c r="AS56" i="1"/>
  <c r="AX56" i="1"/>
  <c r="BC56" i="1"/>
  <c r="BH56" i="1"/>
  <c r="BM56" i="1"/>
  <c r="BR56" i="1"/>
  <c r="BW56" i="1"/>
  <c r="CB56" i="1"/>
  <c r="CG56" i="1"/>
  <c r="CL56" i="1"/>
  <c r="CQ56" i="1"/>
  <c r="M57" i="1"/>
  <c r="R57" i="1"/>
  <c r="Z57" i="1"/>
  <c r="AI57" i="1"/>
  <c r="AS57" i="1"/>
  <c r="AX57" i="1"/>
  <c r="BC57" i="1"/>
  <c r="BH57" i="1"/>
  <c r="BM57" i="1"/>
  <c r="BR57" i="1"/>
  <c r="BW57" i="1"/>
  <c r="CB57" i="1"/>
  <c r="CG57" i="1"/>
  <c r="CL57" i="1"/>
  <c r="CQ57" i="1"/>
  <c r="M58" i="1"/>
  <c r="R58" i="1"/>
  <c r="Z58" i="1"/>
  <c r="AI58" i="1"/>
  <c r="AS58" i="1"/>
  <c r="AX58" i="1"/>
  <c r="BC58" i="1"/>
  <c r="BH58" i="1"/>
  <c r="BM58" i="1"/>
  <c r="BR58" i="1"/>
  <c r="BW58" i="1"/>
  <c r="CB58" i="1"/>
  <c r="CG58" i="1"/>
  <c r="CL58" i="1"/>
  <c r="CQ58" i="1"/>
  <c r="M59" i="1"/>
  <c r="R59" i="1"/>
  <c r="Z59" i="1"/>
  <c r="AI59" i="1"/>
  <c r="AS59" i="1"/>
  <c r="AX59" i="1"/>
  <c r="BC59" i="1"/>
  <c r="BH59" i="1"/>
  <c r="BM59" i="1"/>
  <c r="BR59" i="1"/>
  <c r="BW59" i="1"/>
  <c r="CB59" i="1"/>
  <c r="CG59" i="1"/>
  <c r="CL59" i="1"/>
  <c r="CQ59" i="1"/>
  <c r="M60" i="1"/>
  <c r="R60" i="1"/>
  <c r="Z60" i="1"/>
  <c r="AI60" i="1"/>
  <c r="AS60" i="1"/>
  <c r="AX60" i="1"/>
  <c r="BC60" i="1"/>
  <c r="BH60" i="1"/>
  <c r="BM60" i="1"/>
  <c r="BR60" i="1"/>
  <c r="BW60" i="1"/>
  <c r="CB60" i="1"/>
  <c r="CG60" i="1"/>
  <c r="CL60" i="1"/>
  <c r="CQ60" i="1"/>
  <c r="M61" i="1"/>
  <c r="R61" i="1"/>
  <c r="Z61" i="1"/>
  <c r="AI61" i="1"/>
  <c r="AS61" i="1"/>
  <c r="AX61" i="1"/>
  <c r="BC61" i="1"/>
  <c r="BH61" i="1"/>
  <c r="BM61" i="1"/>
  <c r="BR61" i="1"/>
  <c r="BW61" i="1"/>
  <c r="CB61" i="1"/>
  <c r="CG61" i="1"/>
  <c r="CL61" i="1"/>
  <c r="CQ61" i="1"/>
  <c r="R62" i="1"/>
  <c r="Z62" i="1"/>
  <c r="AI62" i="1"/>
  <c r="AS62" i="1"/>
  <c r="AX62" i="1"/>
  <c r="BC62" i="1"/>
  <c r="BH62" i="1"/>
  <c r="BM62" i="1"/>
  <c r="BR62" i="1"/>
  <c r="BW62" i="1"/>
  <c r="CB62" i="1"/>
  <c r="CG62" i="1"/>
  <c r="CL62" i="1"/>
  <c r="CQ62" i="1"/>
  <c r="M63" i="1"/>
  <c r="R63" i="1"/>
  <c r="Z63" i="1"/>
  <c r="AI63" i="1"/>
  <c r="AS63" i="1"/>
  <c r="AX63" i="1"/>
  <c r="BC63" i="1"/>
  <c r="BH63" i="1"/>
  <c r="BM63" i="1"/>
  <c r="BR63" i="1"/>
  <c r="BW63" i="1"/>
  <c r="CB63" i="1"/>
  <c r="CG63" i="1"/>
  <c r="CL63" i="1"/>
  <c r="CQ63" i="1"/>
  <c r="T97" i="7"/>
  <c r="T98" i="7" s="1"/>
  <c r="Y95" i="7"/>
  <c r="Y94" i="7"/>
  <c r="Y93" i="7"/>
  <c r="Y92" i="7"/>
  <c r="T92" i="7"/>
  <c r="T93" i="7" s="1"/>
  <c r="T94" i="7" s="1"/>
  <c r="T95" i="7" s="1"/>
  <c r="Y91" i="7"/>
  <c r="Y90" i="7"/>
  <c r="Y89" i="7"/>
  <c r="Y88" i="7"/>
  <c r="Y87" i="7"/>
  <c r="T87" i="7"/>
  <c r="T88" i="7" s="1"/>
  <c r="T89" i="7" s="1"/>
  <c r="T90" i="7" s="1"/>
  <c r="Y86" i="7"/>
  <c r="Y85" i="7"/>
  <c r="Y84" i="7"/>
  <c r="Y83" i="7"/>
  <c r="Y82" i="7"/>
  <c r="T82" i="7"/>
  <c r="T83" i="7" s="1"/>
  <c r="T84" i="7" s="1"/>
  <c r="T85" i="7" s="1"/>
  <c r="Y81" i="7"/>
  <c r="Y80" i="7"/>
  <c r="Y79" i="7"/>
  <c r="Y78" i="7"/>
  <c r="Y77" i="7"/>
  <c r="T77" i="7"/>
  <c r="T78" i="7" s="1"/>
  <c r="T79" i="7" s="1"/>
  <c r="T80" i="7" s="1"/>
  <c r="Y76" i="7"/>
  <c r="Y75" i="7"/>
  <c r="Y74" i="7"/>
  <c r="Y73" i="7"/>
  <c r="Y72" i="7"/>
  <c r="T72" i="7"/>
  <c r="T73" i="7" s="1"/>
  <c r="T74" i="7" s="1"/>
  <c r="T75" i="7" s="1"/>
  <c r="Y71" i="7"/>
  <c r="Y70" i="7"/>
  <c r="Y69" i="7"/>
  <c r="Y68" i="7"/>
  <c r="Y67" i="7"/>
  <c r="T67" i="7"/>
  <c r="T68" i="7" s="1"/>
  <c r="T69" i="7" s="1"/>
  <c r="T70" i="7" s="1"/>
  <c r="Y66" i="7"/>
  <c r="Y65" i="7"/>
  <c r="Y64" i="7"/>
  <c r="Y63" i="7"/>
  <c r="Y62" i="7"/>
  <c r="T62" i="7"/>
  <c r="T63" i="7" s="1"/>
  <c r="T64" i="7" s="1"/>
  <c r="T65" i="7" s="1"/>
  <c r="Y61" i="7"/>
  <c r="Y60" i="7"/>
  <c r="Y59" i="7"/>
  <c r="Y58" i="7"/>
  <c r="Y57" i="7"/>
  <c r="T57" i="7"/>
  <c r="T58" i="7" s="1"/>
  <c r="T59" i="7" s="1"/>
  <c r="T60" i="7" s="1"/>
  <c r="Y56" i="7"/>
  <c r="Y55" i="7"/>
  <c r="Y54" i="7"/>
  <c r="Y53" i="7"/>
  <c r="Y52" i="7"/>
  <c r="T52" i="7"/>
  <c r="T53" i="7" s="1"/>
  <c r="T54" i="7" s="1"/>
  <c r="T55" i="7" s="1"/>
  <c r="Y51" i="7"/>
  <c r="Y50" i="7"/>
  <c r="Y49" i="7"/>
  <c r="Y48" i="7"/>
  <c r="Y47" i="7"/>
  <c r="T47" i="7"/>
  <c r="T48" i="7" s="1"/>
  <c r="T49" i="7" s="1"/>
  <c r="T50" i="7" s="1"/>
  <c r="Y46" i="7"/>
  <c r="Y45" i="7"/>
  <c r="Y44" i="7"/>
  <c r="Y43" i="7"/>
  <c r="Y42" i="7"/>
  <c r="T42" i="7"/>
  <c r="T43" i="7" s="1"/>
  <c r="T44" i="7" s="1"/>
  <c r="T45" i="7" s="1"/>
  <c r="Y41" i="7"/>
  <c r="Y40" i="7"/>
  <c r="Y39" i="7"/>
  <c r="Y38" i="7"/>
  <c r="Y37" i="7"/>
  <c r="T37" i="7"/>
  <c r="T38" i="7" s="1"/>
  <c r="T39" i="7" s="1"/>
  <c r="T40" i="7" s="1"/>
  <c r="Y36" i="7"/>
  <c r="Y35" i="7"/>
  <c r="Y34" i="7"/>
  <c r="Y33" i="7"/>
  <c r="Y32" i="7"/>
  <c r="Y31" i="7"/>
  <c r="Y30" i="7"/>
  <c r="Y29" i="7"/>
  <c r="Y28" i="7"/>
  <c r="T28" i="7"/>
  <c r="T29" i="7" s="1"/>
  <c r="T30" i="7" s="1"/>
  <c r="T31" i="7" s="1"/>
  <c r="T32" i="7" s="1"/>
  <c r="T33" i="7" s="1"/>
  <c r="T34" i="7" s="1"/>
  <c r="T35" i="7" s="1"/>
  <c r="Y27" i="7"/>
  <c r="Y26" i="7"/>
  <c r="Y25" i="7"/>
  <c r="Y24" i="7"/>
  <c r="Y23" i="7"/>
  <c r="Y22" i="7"/>
  <c r="Y21" i="7"/>
  <c r="T21" i="7"/>
  <c r="T22" i="7" s="1"/>
  <c r="T23" i="7" s="1"/>
  <c r="T24" i="7" s="1"/>
  <c r="T25" i="7" s="1"/>
  <c r="T26" i="7" s="1"/>
  <c r="Y20" i="7"/>
  <c r="Y19" i="7"/>
  <c r="Y18" i="7"/>
  <c r="Y17" i="7"/>
  <c r="Y16" i="7"/>
  <c r="T16" i="7"/>
  <c r="T17" i="7" s="1"/>
  <c r="T18" i="7" s="1"/>
  <c r="T19" i="7" s="1"/>
  <c r="Y15" i="7"/>
  <c r="Y14" i="7"/>
  <c r="Y13" i="7"/>
  <c r="Y12" i="7"/>
  <c r="Y11" i="7"/>
  <c r="T11" i="7"/>
  <c r="T12" i="7" s="1"/>
  <c r="T13" i="7" s="1"/>
  <c r="T14" i="7" s="1"/>
  <c r="Y10" i="7"/>
  <c r="Y9" i="7"/>
  <c r="Y8" i="7"/>
  <c r="T8" i="7"/>
  <c r="T9" i="7" s="1"/>
  <c r="Y7" i="7"/>
  <c r="Y6" i="7"/>
  <c r="Y5" i="7"/>
  <c r="T5" i="7"/>
  <c r="T6" i="7" s="1"/>
  <c r="Y4" i="7"/>
  <c r="C4" i="7" l="1" a="1"/>
  <c r="C4" i="7" s="1"/>
  <c r="C5" i="7" a="1"/>
  <c r="C5" i="7" s="1"/>
  <c r="C6" i="7" a="1"/>
  <c r="C6" i="7" s="1"/>
  <c r="C7" i="7" a="1"/>
  <c r="C7" i="7" s="1"/>
  <c r="C8" i="7" a="1"/>
  <c r="C8" i="7" s="1"/>
  <c r="C9" i="7" a="1"/>
  <c r="C9" i="7" s="1"/>
  <c r="C10" i="7" a="1"/>
  <c r="C10" i="7" s="1"/>
  <c r="C11" i="7" a="1"/>
  <c r="C11" i="7" s="1"/>
  <c r="C12" i="7" a="1"/>
  <c r="C12" i="7" s="1"/>
  <c r="C13" i="7" a="1"/>
  <c r="C13" i="7" s="1"/>
  <c r="C14" i="7" a="1"/>
  <c r="C14" i="7" s="1"/>
  <c r="C15" i="7" a="1"/>
  <c r="C15" i="7" s="1"/>
  <c r="C16" i="7" a="1"/>
  <c r="C16" i="7" s="1"/>
  <c r="C17" i="7" a="1"/>
  <c r="C17" i="7" s="1"/>
  <c r="C18" i="7" a="1"/>
  <c r="C18" i="7" s="1"/>
  <c r="C19" i="7" a="1"/>
  <c r="C19" i="7" s="1"/>
  <c r="C20" i="7" a="1"/>
  <c r="C20" i="7" s="1"/>
  <c r="C21" i="7" a="1"/>
  <c r="C21" i="7" s="1"/>
  <c r="C22" i="7" a="1"/>
  <c r="C22" i="7" s="1"/>
  <c r="C23" i="7" a="1"/>
  <c r="C23" i="7" s="1"/>
  <c r="C24" i="7" a="1"/>
  <c r="C24" i="7" s="1"/>
  <c r="C25" i="7" a="1"/>
  <c r="C25" i="7" s="1"/>
  <c r="C26" i="7" a="1"/>
  <c r="C26" i="7" s="1"/>
  <c r="C27" i="7" a="1"/>
  <c r="C27" i="7" s="1"/>
  <c r="C28" i="7" a="1"/>
  <c r="C28" i="7" s="1"/>
  <c r="C29" i="7" a="1"/>
  <c r="C29" i="7" s="1"/>
  <c r="C30" i="7" a="1"/>
  <c r="C30" i="7" s="1"/>
  <c r="C31" i="7" a="1"/>
  <c r="C31" i="7" s="1"/>
  <c r="C32" i="7" a="1"/>
  <c r="C32" i="7" s="1"/>
  <c r="C33" i="7" a="1"/>
  <c r="C33" i="7" s="1"/>
  <c r="C34" i="7" a="1"/>
  <c r="C34" i="7" s="1"/>
  <c r="C35" i="7" a="1"/>
  <c r="C35" i="7" s="1"/>
  <c r="C36" i="7" a="1"/>
  <c r="C36" i="7" s="1"/>
  <c r="C37" i="7" a="1"/>
  <c r="C37" i="7" s="1"/>
  <c r="C38" i="7" a="1"/>
  <c r="C38" i="7" s="1"/>
  <c r="C39" i="7" a="1"/>
  <c r="C39" i="7" s="1"/>
  <c r="C40" i="7" a="1"/>
  <c r="C40" i="7" s="1"/>
  <c r="C41" i="7" a="1"/>
  <c r="C41" i="7" s="1"/>
  <c r="C42" i="7" a="1"/>
  <c r="C42" i="7" s="1"/>
  <c r="C43" i="7" a="1"/>
  <c r="C43" i="7" s="1"/>
  <c r="C44" i="7" a="1"/>
  <c r="C44" i="7" s="1"/>
  <c r="C45" i="7" a="1"/>
  <c r="C45" i="7" s="1"/>
  <c r="C46" i="7" a="1"/>
  <c r="C46" i="7" s="1"/>
  <c r="C47" i="7" a="1"/>
  <c r="C47" i="7" s="1"/>
  <c r="C48" i="7" a="1"/>
  <c r="C48" i="7" s="1"/>
  <c r="C49" i="7" a="1"/>
  <c r="C49" i="7" s="1"/>
  <c r="C50" i="7" a="1"/>
  <c r="C50" i="7" s="1"/>
  <c r="C51" i="7" a="1"/>
  <c r="C51" i="7" s="1"/>
  <c r="C52" i="7" a="1"/>
  <c r="C52" i="7" s="1"/>
  <c r="C53" i="7" a="1"/>
  <c r="C53" i="7" s="1"/>
  <c r="C54" i="7" a="1"/>
  <c r="C54" i="7" s="1"/>
  <c r="C55" i="7" a="1"/>
  <c r="C55" i="7" s="1"/>
  <c r="C56" i="7" a="1"/>
  <c r="C56" i="7" s="1"/>
  <c r="C57" i="7" a="1"/>
  <c r="C57" i="7" s="1"/>
  <c r="C58" i="7" a="1"/>
  <c r="C58" i="7" s="1"/>
  <c r="C59" i="7" a="1"/>
  <c r="C59" i="7" s="1"/>
  <c r="C60" i="7" a="1"/>
  <c r="C60" i="7" s="1"/>
  <c r="C61" i="7" a="1"/>
  <c r="C61" i="7" s="1"/>
  <c r="C62" i="7" a="1"/>
  <c r="C62" i="7" s="1"/>
  <c r="C63" i="7" a="1"/>
  <c r="C63" i="7" s="1"/>
  <c r="C64" i="7" a="1"/>
  <c r="C64" i="7" s="1"/>
  <c r="C65" i="7" a="1"/>
  <c r="C65" i="7" s="1"/>
  <c r="C66" i="7" a="1"/>
  <c r="C66" i="7" s="1"/>
  <c r="C67" i="7" a="1"/>
  <c r="C67" i="7" s="1"/>
  <c r="C68" i="7" a="1"/>
  <c r="C68" i="7" s="1"/>
  <c r="C69" i="7" a="1"/>
  <c r="C69" i="7" s="1"/>
  <c r="C70" i="7" a="1"/>
  <c r="C70" i="7" s="1"/>
  <c r="C71" i="7" a="1"/>
  <c r="C71" i="7" s="1"/>
  <c r="C72" i="7" a="1"/>
  <c r="C72" i="7" s="1"/>
  <c r="C73" i="7" a="1"/>
  <c r="C73" i="7" s="1"/>
  <c r="C74" i="7" a="1"/>
  <c r="C74" i="7" s="1"/>
  <c r="C75" i="7" a="1"/>
  <c r="C75" i="7" s="1"/>
  <c r="C76" i="7" a="1"/>
  <c r="C76" i="7" s="1"/>
  <c r="C77" i="7" a="1"/>
  <c r="C77" i="7" s="1"/>
  <c r="C78" i="7" a="1"/>
  <c r="C78" i="7" s="1"/>
  <c r="C79" i="7" a="1"/>
  <c r="C79" i="7" s="1"/>
  <c r="C80" i="7" a="1"/>
  <c r="C80" i="7" s="1"/>
  <c r="C81" i="7" a="1"/>
  <c r="C81" i="7" s="1"/>
  <c r="C82" i="7" a="1"/>
  <c r="C82" i="7" s="1"/>
  <c r="C83" i="7" a="1"/>
  <c r="C83" i="7" s="1"/>
  <c r="C84" i="7" a="1"/>
  <c r="C84" i="7" s="1"/>
  <c r="C85" i="7" a="1"/>
  <c r="C85" i="7" s="1"/>
  <c r="C86" i="7" a="1"/>
  <c r="C86" i="7" s="1"/>
  <c r="C87" i="7" a="1"/>
  <c r="C87" i="7" s="1"/>
  <c r="C88" i="7" a="1"/>
  <c r="C88" i="7" s="1"/>
  <c r="C89" i="7" a="1"/>
  <c r="C89" i="7" s="1"/>
  <c r="C90" i="7" a="1"/>
  <c r="C90" i="7" s="1"/>
  <c r="C91" i="7" a="1"/>
  <c r="C91" i="7" s="1"/>
  <c r="C92" i="7" a="1"/>
  <c r="C92" i="7" s="1"/>
  <c r="C93" i="7" a="1"/>
  <c r="C93" i="7" s="1"/>
  <c r="C94" i="7" a="1"/>
  <c r="C94" i="7" s="1"/>
  <c r="C95" i="7" a="1"/>
  <c r="C95" i="7" s="1"/>
  <c r="C96" i="7" a="1"/>
  <c r="C96" i="7" s="1"/>
  <c r="C97" i="7" a="1"/>
  <c r="C97" i="7" s="1"/>
  <c r="C98" i="7" a="1"/>
  <c r="C98" i="7" s="1"/>
  <c r="C99" i="7" a="1"/>
  <c r="C99" i="7" s="1"/>
  <c r="C100" i="7" a="1"/>
  <c r="C100" i="7" s="1"/>
  <c r="C101" i="7" a="1"/>
  <c r="C101" i="7" s="1"/>
  <c r="C102" i="7" a="1"/>
  <c r="C102" i="7" s="1"/>
  <c r="C103" i="7" a="1"/>
  <c r="C103" i="7" s="1"/>
  <c r="C104" i="7" a="1"/>
  <c r="C104" i="7" s="1"/>
  <c r="C105" i="7" a="1"/>
  <c r="C105" i="7" s="1"/>
  <c r="C106" i="7" a="1"/>
  <c r="C106" i="7" s="1"/>
  <c r="C107" i="7" a="1"/>
  <c r="C107" i="7" s="1"/>
  <c r="C108" i="7" a="1"/>
  <c r="C108" i="7" s="1"/>
  <c r="C109" i="7" a="1"/>
  <c r="C109" i="7" s="1"/>
  <c r="C110" i="7" a="1"/>
  <c r="C110" i="7" s="1"/>
  <c r="C111" i="7" a="1"/>
  <c r="C111" i="7" s="1"/>
  <c r="C112" i="7" a="1"/>
  <c r="C112" i="7" s="1"/>
  <c r="C113" i="7" a="1"/>
  <c r="C113" i="7" s="1"/>
  <c r="C114" i="7" a="1"/>
  <c r="C114" i="7" s="1"/>
  <c r="C115" i="7" a="1"/>
  <c r="C115" i="7" s="1"/>
  <c r="C3" i="7" a="1"/>
  <c r="C3" i="7" s="1"/>
  <c r="D4" i="7" l="1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3" i="7"/>
  <c r="E6" i="7"/>
  <c r="E4" i="7" a="1"/>
  <c r="E4" i="7" s="1"/>
  <c r="E5" i="7" a="1"/>
  <c r="E5" i="7" s="1"/>
  <c r="E7" i="7" a="1"/>
  <c r="E7" i="7" s="1"/>
  <c r="E8" i="7" a="1"/>
  <c r="E8" i="7" s="1"/>
  <c r="E9" i="7" a="1"/>
  <c r="E9" i="7" s="1"/>
  <c r="E10" i="7" a="1"/>
  <c r="E10" i="7" s="1"/>
  <c r="E11" i="7" a="1"/>
  <c r="E11" i="7" s="1"/>
  <c r="E12" i="7" a="1"/>
  <c r="E12" i="7" s="1"/>
  <c r="E13" i="7" a="1"/>
  <c r="E13" i="7" s="1"/>
  <c r="E14" i="7" a="1"/>
  <c r="E14" i="7" s="1"/>
  <c r="E15" i="7" a="1"/>
  <c r="E15" i="7" s="1"/>
  <c r="E16" i="7" a="1"/>
  <c r="E16" i="7" s="1"/>
  <c r="E17" i="7" a="1"/>
  <c r="E17" i="7" s="1"/>
  <c r="E18" i="7" a="1"/>
  <c r="E18" i="7" s="1"/>
  <c r="E19" i="7" a="1"/>
  <c r="E19" i="7" s="1"/>
  <c r="E20" i="7" a="1"/>
  <c r="E20" i="7" s="1"/>
  <c r="E21" i="7" a="1"/>
  <c r="E21" i="7" s="1"/>
  <c r="E22" i="7" a="1"/>
  <c r="E22" i="7" s="1"/>
  <c r="E23" i="7" a="1"/>
  <c r="E23" i="7" s="1"/>
  <c r="E24" i="7" a="1"/>
  <c r="E24" i="7" s="1"/>
  <c r="E25" i="7" a="1"/>
  <c r="E25" i="7" s="1"/>
  <c r="E26" i="7" a="1"/>
  <c r="E26" i="7" s="1"/>
  <c r="E27" i="7" a="1"/>
  <c r="E27" i="7" s="1"/>
  <c r="E28" i="7" a="1"/>
  <c r="E28" i="7" s="1"/>
  <c r="E29" i="7" a="1"/>
  <c r="E29" i="7" s="1"/>
  <c r="E30" i="7" a="1"/>
  <c r="E30" i="7" s="1"/>
  <c r="E31" i="7" a="1"/>
  <c r="E31" i="7" s="1"/>
  <c r="E32" i="7" a="1"/>
  <c r="E32" i="7" s="1"/>
  <c r="E33" i="7" a="1"/>
  <c r="E33" i="7" s="1"/>
  <c r="E34" i="7" a="1"/>
  <c r="E34" i="7" s="1"/>
  <c r="E35" i="7" a="1"/>
  <c r="E35" i="7" s="1"/>
  <c r="E36" i="7" a="1"/>
  <c r="E36" i="7" s="1"/>
  <c r="E37" i="7" a="1"/>
  <c r="E37" i="7" s="1"/>
  <c r="E38" i="7" a="1"/>
  <c r="E38" i="7" s="1"/>
  <c r="E39" i="7" a="1"/>
  <c r="E39" i="7" s="1"/>
  <c r="E40" i="7" a="1"/>
  <c r="E40" i="7" s="1"/>
  <c r="E41" i="7" a="1"/>
  <c r="E41" i="7" s="1"/>
  <c r="E42" i="7" a="1"/>
  <c r="E42" i="7" s="1"/>
  <c r="E43" i="7" a="1"/>
  <c r="E43" i="7" s="1"/>
  <c r="E44" i="7" a="1"/>
  <c r="E44" i="7" s="1"/>
  <c r="E45" i="7" a="1"/>
  <c r="E45" i="7" s="1"/>
  <c r="E46" i="7" a="1"/>
  <c r="E46" i="7" s="1"/>
  <c r="E47" i="7" a="1"/>
  <c r="E47" i="7" s="1"/>
  <c r="E48" i="7" a="1"/>
  <c r="E48" i="7" s="1"/>
  <c r="E49" i="7" a="1"/>
  <c r="E49" i="7" s="1"/>
  <c r="E50" i="7" a="1"/>
  <c r="E50" i="7" s="1"/>
  <c r="E51" i="7" a="1"/>
  <c r="E51" i="7" s="1"/>
  <c r="E52" i="7" a="1"/>
  <c r="E52" i="7" s="1"/>
  <c r="E53" i="7" a="1"/>
  <c r="E53" i="7" s="1"/>
  <c r="E54" i="7" a="1"/>
  <c r="E54" i="7" s="1"/>
  <c r="E55" i="7" a="1"/>
  <c r="E55" i="7" s="1"/>
  <c r="E56" i="7" a="1"/>
  <c r="E56" i="7" s="1"/>
  <c r="E57" i="7" a="1"/>
  <c r="E57" i="7" s="1"/>
  <c r="E58" i="7" a="1"/>
  <c r="E58" i="7" s="1"/>
  <c r="E59" i="7" a="1"/>
  <c r="E59" i="7" s="1"/>
  <c r="E60" i="7" a="1"/>
  <c r="E60" i="7" s="1"/>
  <c r="E61" i="7" a="1"/>
  <c r="E61" i="7" s="1"/>
  <c r="E62" i="7" a="1"/>
  <c r="E62" i="7" s="1"/>
  <c r="E63" i="7" a="1"/>
  <c r="E63" i="7" s="1"/>
  <c r="E64" i="7" a="1"/>
  <c r="E64" i="7" s="1"/>
  <c r="E65" i="7" a="1"/>
  <c r="E65" i="7" s="1"/>
  <c r="E66" i="7" a="1"/>
  <c r="E66" i="7" s="1"/>
  <c r="E67" i="7" a="1"/>
  <c r="E67" i="7" s="1"/>
  <c r="E68" i="7" a="1"/>
  <c r="E68" i="7" s="1"/>
  <c r="E69" i="7" a="1"/>
  <c r="E69" i="7" s="1"/>
  <c r="E70" i="7" a="1"/>
  <c r="E70" i="7" s="1"/>
  <c r="E71" i="7" a="1"/>
  <c r="E71" i="7" s="1"/>
  <c r="E72" i="7" a="1"/>
  <c r="E72" i="7" s="1"/>
  <c r="E73" i="7" a="1"/>
  <c r="E73" i="7" s="1"/>
  <c r="E74" i="7" a="1"/>
  <c r="E74" i="7" s="1"/>
  <c r="E75" i="7" a="1"/>
  <c r="E75" i="7" s="1"/>
  <c r="E76" i="7" a="1"/>
  <c r="E76" i="7" s="1"/>
  <c r="E77" i="7" a="1"/>
  <c r="E77" i="7" s="1"/>
  <c r="E78" i="7" a="1"/>
  <c r="E78" i="7" s="1"/>
  <c r="E79" i="7" a="1"/>
  <c r="E79" i="7" s="1"/>
  <c r="E80" i="7" a="1"/>
  <c r="E80" i="7" s="1"/>
  <c r="E81" i="7" a="1"/>
  <c r="E81" i="7" s="1"/>
  <c r="E82" i="7" a="1"/>
  <c r="E82" i="7" s="1"/>
  <c r="E83" i="7" a="1"/>
  <c r="E83" i="7" s="1"/>
  <c r="E84" i="7" a="1"/>
  <c r="E84" i="7" s="1"/>
  <c r="E85" i="7" a="1"/>
  <c r="E85" i="7" s="1"/>
  <c r="E86" i="7" a="1"/>
  <c r="E86" i="7" s="1"/>
  <c r="E87" i="7" a="1"/>
  <c r="E87" i="7" s="1"/>
  <c r="E88" i="7" a="1"/>
  <c r="E88" i="7" s="1"/>
  <c r="E89" i="7" a="1"/>
  <c r="E89" i="7" s="1"/>
  <c r="E90" i="7" a="1"/>
  <c r="E90" i="7" s="1"/>
  <c r="E91" i="7" a="1"/>
  <c r="E91" i="7" s="1"/>
  <c r="E92" i="7" a="1"/>
  <c r="E92" i="7" s="1"/>
  <c r="E93" i="7" a="1"/>
  <c r="E93" i="7" s="1"/>
  <c r="E94" i="7" a="1"/>
  <c r="E94" i="7" s="1"/>
  <c r="E95" i="7" a="1"/>
  <c r="E95" i="7" s="1"/>
  <c r="E96" i="7" a="1"/>
  <c r="E96" i="7" s="1"/>
  <c r="E97" i="7" a="1"/>
  <c r="E97" i="7" s="1"/>
  <c r="E98" i="7" a="1"/>
  <c r="E98" i="7" s="1"/>
  <c r="E99" i="7" a="1"/>
  <c r="E99" i="7" s="1"/>
  <c r="E100" i="7" a="1"/>
  <c r="E100" i="7" s="1"/>
  <c r="E101" i="7" a="1"/>
  <c r="E101" i="7" s="1"/>
  <c r="E102" i="7" a="1"/>
  <c r="E102" i="7" s="1"/>
  <c r="E103" i="7" a="1"/>
  <c r="E103" i="7" s="1"/>
  <c r="E104" i="7" a="1"/>
  <c r="E104" i="7" s="1"/>
  <c r="E105" i="7" a="1"/>
  <c r="E105" i="7" s="1"/>
  <c r="E106" i="7" a="1"/>
  <c r="E106" i="7" s="1"/>
  <c r="E107" i="7" a="1"/>
  <c r="E107" i="7" s="1"/>
  <c r="E108" i="7" a="1"/>
  <c r="E108" i="7" s="1"/>
  <c r="E109" i="7" a="1"/>
  <c r="E109" i="7" s="1"/>
  <c r="E110" i="7" a="1"/>
  <c r="E110" i="7" s="1"/>
  <c r="E111" i="7" a="1"/>
  <c r="E111" i="7" s="1"/>
  <c r="E112" i="7" a="1"/>
  <c r="E112" i="7" s="1"/>
  <c r="E113" i="7" a="1"/>
  <c r="E113" i="7" s="1"/>
  <c r="E114" i="7" a="1"/>
  <c r="E114" i="7" s="1"/>
  <c r="E115" i="7" a="1"/>
  <c r="E115" i="7" s="1"/>
  <c r="E3" i="7" a="1"/>
  <c r="E3" i="7" s="1"/>
  <c r="BJ111" i="5"/>
  <c r="BI111" i="5"/>
  <c r="BH111" i="5"/>
  <c r="BG111" i="5"/>
  <c r="BF111" i="5"/>
  <c r="BE111" i="5"/>
  <c r="BD111" i="5"/>
  <c r="BC111" i="5"/>
  <c r="BB111" i="5"/>
  <c r="BA111" i="5"/>
  <c r="AZ111" i="5"/>
  <c r="AY111" i="5"/>
  <c r="AX111" i="5"/>
  <c r="AW111" i="5"/>
  <c r="AV111" i="5"/>
  <c r="AU111" i="5"/>
  <c r="AT111" i="5"/>
  <c r="AS111" i="5"/>
  <c r="AR111" i="5"/>
  <c r="AQ111" i="5"/>
  <c r="AP111" i="5"/>
  <c r="AO111" i="5"/>
  <c r="AN111" i="5"/>
  <c r="AM111" i="5"/>
  <c r="AL111" i="5"/>
  <c r="AK111" i="5"/>
  <c r="AJ111" i="5"/>
  <c r="AI111" i="5"/>
  <c r="AH111" i="5"/>
  <c r="AG111" i="5"/>
  <c r="AF111" i="5"/>
  <c r="AE111" i="5"/>
  <c r="AD111" i="5"/>
  <c r="AC111" i="5"/>
  <c r="AB111" i="5"/>
  <c r="AA111" i="5"/>
  <c r="Z111" i="5"/>
  <c r="Y111" i="5"/>
  <c r="X111" i="5"/>
  <c r="W111" i="5"/>
  <c r="V111" i="5"/>
  <c r="U111" i="5"/>
  <c r="T111" i="5"/>
  <c r="S111" i="5"/>
  <c r="R111" i="5"/>
  <c r="Q111" i="5"/>
  <c r="P111" i="5"/>
  <c r="O111" i="5"/>
  <c r="N111" i="5"/>
  <c r="M111" i="5"/>
  <c r="L111" i="5"/>
  <c r="K111" i="5"/>
  <c r="J111" i="5"/>
  <c r="I111" i="5"/>
  <c r="H111" i="5"/>
  <c r="G111" i="5"/>
  <c r="F111" i="5"/>
  <c r="E111" i="5"/>
  <c r="D111" i="5"/>
  <c r="C111" i="5"/>
  <c r="B111" i="5"/>
  <c r="BJ105" i="5"/>
  <c r="BI105" i="5"/>
  <c r="BH105" i="5"/>
  <c r="BG105" i="5"/>
  <c r="BF105" i="5"/>
  <c r="BE105" i="5"/>
  <c r="BD105" i="5"/>
  <c r="BC105" i="5"/>
  <c r="BB105" i="5"/>
  <c r="BA105" i="5"/>
  <c r="AZ105" i="5"/>
  <c r="AY105" i="5"/>
  <c r="AX105" i="5"/>
  <c r="AW105" i="5"/>
  <c r="AV105" i="5"/>
  <c r="AU105" i="5"/>
  <c r="AT105" i="5"/>
  <c r="AS105" i="5"/>
  <c r="AR105" i="5"/>
  <c r="AQ105" i="5"/>
  <c r="AP105" i="5"/>
  <c r="AO105" i="5"/>
  <c r="AN105" i="5"/>
  <c r="AM105" i="5"/>
  <c r="AL105" i="5"/>
  <c r="AK105" i="5"/>
  <c r="AJ105" i="5"/>
  <c r="AI105" i="5"/>
  <c r="AH105" i="5"/>
  <c r="AG105" i="5"/>
  <c r="AF105" i="5"/>
  <c r="AE105" i="5"/>
  <c r="AD105" i="5"/>
  <c r="AC105" i="5"/>
  <c r="AB105" i="5"/>
  <c r="AA105" i="5"/>
  <c r="Z105" i="5"/>
  <c r="Y105" i="5"/>
  <c r="X105" i="5"/>
  <c r="W105" i="5"/>
  <c r="V105" i="5"/>
  <c r="U105" i="5"/>
  <c r="T105" i="5"/>
  <c r="S105" i="5"/>
  <c r="R105" i="5"/>
  <c r="Q105" i="5"/>
  <c r="P105" i="5"/>
  <c r="O105" i="5"/>
  <c r="N105" i="5"/>
  <c r="M105" i="5"/>
  <c r="L105" i="5"/>
  <c r="K105" i="5"/>
  <c r="J105" i="5"/>
  <c r="I105" i="5"/>
  <c r="H105" i="5"/>
  <c r="G105" i="5"/>
  <c r="F105" i="5"/>
  <c r="E105" i="5"/>
  <c r="D105" i="5"/>
  <c r="C105" i="5"/>
  <c r="B105" i="5"/>
  <c r="BJ99" i="5"/>
  <c r="BI99" i="5"/>
  <c r="BH99" i="5"/>
  <c r="BG99" i="5"/>
  <c r="BF99" i="5"/>
  <c r="BE99" i="5"/>
  <c r="BD99" i="5"/>
  <c r="BC99" i="5"/>
  <c r="BB99" i="5"/>
  <c r="BA99" i="5"/>
  <c r="AZ99" i="5"/>
  <c r="AY99" i="5"/>
  <c r="AX99" i="5"/>
  <c r="AW99" i="5"/>
  <c r="AV99" i="5"/>
  <c r="AU99" i="5"/>
  <c r="AT99" i="5"/>
  <c r="AS99" i="5"/>
  <c r="AR99" i="5"/>
  <c r="AQ99" i="5"/>
  <c r="AP99" i="5"/>
  <c r="AO99" i="5"/>
  <c r="AN99" i="5"/>
  <c r="AM99" i="5"/>
  <c r="AL99" i="5"/>
  <c r="AK99" i="5"/>
  <c r="AJ99" i="5"/>
  <c r="AI99" i="5"/>
  <c r="AH99" i="5"/>
  <c r="BJ93" i="5"/>
  <c r="BI93" i="5"/>
  <c r="BH93" i="5"/>
  <c r="BG93" i="5"/>
  <c r="BF93" i="5"/>
  <c r="BE93" i="5"/>
  <c r="BD93" i="5"/>
  <c r="BC93" i="5"/>
  <c r="BB93" i="5"/>
  <c r="BA93" i="5"/>
  <c r="AZ93" i="5"/>
  <c r="AY93" i="5"/>
  <c r="AX93" i="5"/>
  <c r="AW93" i="5"/>
  <c r="AV93" i="5"/>
  <c r="AU93" i="5"/>
  <c r="AT93" i="5"/>
  <c r="AS93" i="5"/>
  <c r="AR93" i="5"/>
  <c r="AQ93" i="5"/>
  <c r="AP93" i="5"/>
  <c r="AO93" i="5"/>
  <c r="AN93" i="5"/>
  <c r="AM93" i="5"/>
  <c r="AL93" i="5"/>
  <c r="AK93" i="5"/>
  <c r="AJ93" i="5"/>
  <c r="AI93" i="5"/>
  <c r="AH93" i="5"/>
  <c r="AG93" i="5"/>
  <c r="AF93" i="5"/>
  <c r="AE93" i="5"/>
  <c r="AD93" i="5"/>
  <c r="AC93" i="5"/>
  <c r="AB93" i="5"/>
  <c r="AA93" i="5"/>
  <c r="Z93" i="5"/>
  <c r="Y93" i="5"/>
  <c r="X93" i="5"/>
  <c r="W93" i="5"/>
  <c r="V93" i="5"/>
  <c r="U93" i="5"/>
  <c r="T93" i="5"/>
  <c r="S93" i="5"/>
  <c r="R93" i="5"/>
  <c r="Q93" i="5"/>
  <c r="P93" i="5"/>
  <c r="O93" i="5"/>
  <c r="N93" i="5"/>
  <c r="M93" i="5"/>
  <c r="L93" i="5"/>
  <c r="K93" i="5"/>
  <c r="J93" i="5"/>
  <c r="I93" i="5"/>
  <c r="H93" i="5"/>
  <c r="G93" i="5"/>
  <c r="F93" i="5"/>
  <c r="E93" i="5"/>
  <c r="D93" i="5"/>
  <c r="C93" i="5"/>
  <c r="B93" i="5"/>
  <c r="BJ87" i="5"/>
  <c r="BI87" i="5"/>
  <c r="BH87" i="5"/>
  <c r="BG87" i="5"/>
  <c r="BF87" i="5"/>
  <c r="BE87" i="5"/>
  <c r="BD87" i="5"/>
  <c r="BC87" i="5"/>
  <c r="BB87" i="5"/>
  <c r="BA87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N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A87" i="5"/>
  <c r="Z87" i="5"/>
  <c r="Y87" i="5"/>
  <c r="X87" i="5"/>
  <c r="W87" i="5"/>
  <c r="V87" i="5"/>
  <c r="U87" i="5"/>
  <c r="T87" i="5"/>
  <c r="S87" i="5"/>
  <c r="R87" i="5"/>
  <c r="Q87" i="5"/>
  <c r="P87" i="5"/>
  <c r="O87" i="5"/>
  <c r="N87" i="5"/>
  <c r="M87" i="5"/>
  <c r="L87" i="5"/>
  <c r="K87" i="5"/>
  <c r="J87" i="5"/>
  <c r="I87" i="5"/>
  <c r="H87" i="5"/>
  <c r="G87" i="5"/>
  <c r="F87" i="5"/>
  <c r="E87" i="5"/>
  <c r="D87" i="5"/>
  <c r="C87" i="5"/>
  <c r="B87" i="5"/>
  <c r="BJ81" i="5"/>
  <c r="BI81" i="5"/>
  <c r="BH81" i="5"/>
  <c r="BG81" i="5"/>
  <c r="BF81" i="5"/>
  <c r="BE81" i="5"/>
  <c r="BD81" i="5"/>
  <c r="BC81" i="5"/>
  <c r="BB81" i="5"/>
  <c r="BA81" i="5"/>
  <c r="AZ81" i="5"/>
  <c r="AY81" i="5"/>
  <c r="AX81" i="5"/>
  <c r="AW81" i="5"/>
  <c r="AV81" i="5"/>
  <c r="AU81" i="5"/>
  <c r="AT81" i="5"/>
  <c r="AS81" i="5"/>
  <c r="AR81" i="5"/>
  <c r="AQ81" i="5"/>
  <c r="AP81" i="5"/>
  <c r="AO81" i="5"/>
  <c r="AN81" i="5"/>
  <c r="AM81" i="5"/>
  <c r="AL81" i="5"/>
  <c r="AK81" i="5"/>
  <c r="AJ81" i="5"/>
  <c r="AI81" i="5"/>
  <c r="AH81" i="5"/>
  <c r="AG81" i="5"/>
  <c r="AF81" i="5"/>
  <c r="AE81" i="5"/>
  <c r="AD81" i="5"/>
  <c r="AC81" i="5"/>
  <c r="AB81" i="5"/>
  <c r="AA81" i="5"/>
  <c r="Z81" i="5"/>
  <c r="Y81" i="5"/>
  <c r="X81" i="5"/>
  <c r="W81" i="5"/>
  <c r="V81" i="5"/>
  <c r="U81" i="5"/>
  <c r="T81" i="5"/>
  <c r="S81" i="5"/>
  <c r="R81" i="5"/>
  <c r="Q81" i="5"/>
  <c r="P81" i="5"/>
  <c r="O81" i="5"/>
  <c r="N81" i="5"/>
  <c r="M81" i="5"/>
  <c r="L81" i="5"/>
  <c r="K81" i="5"/>
  <c r="J81" i="5"/>
  <c r="I81" i="5"/>
  <c r="H81" i="5"/>
  <c r="G81" i="5"/>
  <c r="F81" i="5"/>
  <c r="E81" i="5"/>
  <c r="D81" i="5"/>
  <c r="C81" i="5"/>
  <c r="B81" i="5"/>
  <c r="BJ75" i="5"/>
  <c r="BI75" i="5"/>
  <c r="BH75" i="5"/>
  <c r="BG75" i="5"/>
  <c r="BF75" i="5"/>
  <c r="BE75" i="5"/>
  <c r="BD75" i="5"/>
  <c r="BC75" i="5"/>
  <c r="BB75" i="5"/>
  <c r="BA75" i="5"/>
  <c r="AZ75" i="5"/>
  <c r="AY75" i="5"/>
  <c r="AX75" i="5"/>
  <c r="AW75" i="5"/>
  <c r="AV75" i="5"/>
  <c r="AU75" i="5"/>
  <c r="AT75" i="5"/>
  <c r="AS75" i="5"/>
  <c r="AR75" i="5"/>
  <c r="AQ75" i="5"/>
  <c r="AP75" i="5"/>
  <c r="AO75" i="5"/>
  <c r="AN75" i="5"/>
  <c r="AM75" i="5"/>
  <c r="AL75" i="5"/>
  <c r="AK75" i="5"/>
  <c r="AJ75" i="5"/>
  <c r="AI75" i="5"/>
  <c r="AH75" i="5"/>
  <c r="AG75" i="5"/>
  <c r="AF75" i="5"/>
  <c r="AE75" i="5"/>
  <c r="AD75" i="5"/>
  <c r="AC75" i="5"/>
  <c r="AB75" i="5"/>
  <c r="AA75" i="5"/>
  <c r="Z75" i="5"/>
  <c r="Y75" i="5"/>
  <c r="X75" i="5"/>
  <c r="W75" i="5"/>
  <c r="V75" i="5"/>
  <c r="U75" i="5"/>
  <c r="T75" i="5"/>
  <c r="S75" i="5"/>
  <c r="R75" i="5"/>
  <c r="Q75" i="5"/>
  <c r="P75" i="5"/>
  <c r="O75" i="5"/>
  <c r="N75" i="5"/>
  <c r="M75" i="5"/>
  <c r="L75" i="5"/>
  <c r="K75" i="5"/>
  <c r="J75" i="5"/>
  <c r="I75" i="5"/>
  <c r="H75" i="5"/>
  <c r="G75" i="5"/>
  <c r="F75" i="5"/>
  <c r="E75" i="5"/>
  <c r="D75" i="5"/>
  <c r="C75" i="5"/>
  <c r="B75" i="5"/>
  <c r="BJ69" i="5"/>
  <c r="BI69" i="5"/>
  <c r="BH69" i="5"/>
  <c r="BG69" i="5"/>
  <c r="BF69" i="5"/>
  <c r="BE69" i="5"/>
  <c r="BD69" i="5"/>
  <c r="BC69" i="5"/>
  <c r="BB69" i="5"/>
  <c r="BA69" i="5"/>
  <c r="AZ69" i="5"/>
  <c r="AY69" i="5"/>
  <c r="AX69" i="5"/>
  <c r="AW69" i="5"/>
  <c r="AV69" i="5"/>
  <c r="AU69" i="5"/>
  <c r="AT69" i="5"/>
  <c r="AS69" i="5"/>
  <c r="AR69" i="5"/>
  <c r="AQ69" i="5"/>
  <c r="AP69" i="5"/>
  <c r="AO69" i="5"/>
  <c r="AN69" i="5"/>
  <c r="AM69" i="5"/>
  <c r="AL69" i="5"/>
  <c r="AK69" i="5"/>
  <c r="AJ69" i="5"/>
  <c r="AI69" i="5"/>
  <c r="AH69" i="5"/>
  <c r="AG69" i="5"/>
  <c r="AF69" i="5"/>
  <c r="AE69" i="5"/>
  <c r="AD69" i="5"/>
  <c r="AC69" i="5"/>
  <c r="AB69" i="5"/>
  <c r="AA69" i="5"/>
  <c r="Z69" i="5"/>
  <c r="Y69" i="5"/>
  <c r="X69" i="5"/>
  <c r="W69" i="5"/>
  <c r="V69" i="5"/>
  <c r="U69" i="5"/>
  <c r="T69" i="5"/>
  <c r="S69" i="5"/>
  <c r="R69" i="5"/>
  <c r="Q69" i="5"/>
  <c r="P69" i="5"/>
  <c r="O69" i="5"/>
  <c r="N69" i="5"/>
  <c r="M69" i="5"/>
  <c r="L69" i="5"/>
  <c r="K69" i="5"/>
  <c r="J69" i="5"/>
  <c r="I69" i="5"/>
  <c r="H69" i="5"/>
  <c r="G69" i="5"/>
  <c r="F69" i="5"/>
  <c r="E69" i="5"/>
  <c r="D69" i="5"/>
  <c r="C69" i="5"/>
  <c r="B69" i="5"/>
  <c r="BJ63" i="5"/>
  <c r="BI63" i="5"/>
  <c r="BH63" i="5"/>
  <c r="BG63" i="5"/>
  <c r="BF63" i="5"/>
  <c r="BE63" i="5"/>
  <c r="BD63" i="5"/>
  <c r="BC63" i="5"/>
  <c r="BB63" i="5"/>
  <c r="BA63" i="5"/>
  <c r="AZ63" i="5"/>
  <c r="AY63" i="5"/>
  <c r="AX63" i="5"/>
  <c r="AW63" i="5"/>
  <c r="AV63" i="5"/>
  <c r="AU63" i="5"/>
  <c r="AT63" i="5"/>
  <c r="AS63" i="5"/>
  <c r="AR63" i="5"/>
  <c r="AQ63" i="5"/>
  <c r="AP63" i="5"/>
  <c r="AO63" i="5"/>
  <c r="AN63" i="5"/>
  <c r="AM63" i="5"/>
  <c r="AL63" i="5"/>
  <c r="AK63" i="5"/>
  <c r="AJ63" i="5"/>
  <c r="AI63" i="5"/>
  <c r="AH63" i="5"/>
  <c r="AG63" i="5"/>
  <c r="AF63" i="5"/>
  <c r="AE63" i="5"/>
  <c r="AD63" i="5"/>
  <c r="AC63" i="5"/>
  <c r="AB63" i="5"/>
  <c r="AA63" i="5"/>
  <c r="Z63" i="5"/>
  <c r="Y63" i="5"/>
  <c r="X63" i="5"/>
  <c r="W63" i="5"/>
  <c r="V63" i="5"/>
  <c r="U63" i="5"/>
  <c r="T63" i="5"/>
  <c r="S63" i="5"/>
  <c r="R63" i="5"/>
  <c r="Q63" i="5"/>
  <c r="P63" i="5"/>
  <c r="O63" i="5"/>
  <c r="N63" i="5"/>
  <c r="M63" i="5"/>
  <c r="L63" i="5"/>
  <c r="K63" i="5"/>
  <c r="J63" i="5"/>
  <c r="I63" i="5"/>
  <c r="H63" i="5"/>
  <c r="G63" i="5"/>
  <c r="F63" i="5"/>
  <c r="E63" i="5"/>
  <c r="D63" i="5"/>
  <c r="C63" i="5"/>
  <c r="B63" i="5"/>
  <c r="BJ57" i="5"/>
  <c r="BI57" i="5"/>
  <c r="BH57" i="5"/>
  <c r="BG57" i="5"/>
  <c r="BF57" i="5"/>
  <c r="BE57" i="5"/>
  <c r="BD57" i="5"/>
  <c r="BC57" i="5"/>
  <c r="BB57" i="5"/>
  <c r="BA57" i="5"/>
  <c r="AZ57" i="5"/>
  <c r="AY57" i="5"/>
  <c r="AX57" i="5"/>
  <c r="AW57" i="5"/>
  <c r="AV57" i="5"/>
  <c r="AU57" i="5"/>
  <c r="AT57" i="5"/>
  <c r="AS57" i="5"/>
  <c r="AR57" i="5"/>
  <c r="AQ57" i="5"/>
  <c r="AP57" i="5"/>
  <c r="AO57" i="5"/>
  <c r="AN57" i="5"/>
  <c r="AM57" i="5"/>
  <c r="AL57" i="5"/>
  <c r="AK57" i="5"/>
  <c r="AJ57" i="5"/>
  <c r="AI57" i="5"/>
  <c r="AH57" i="5"/>
  <c r="AG57" i="5"/>
  <c r="AF57" i="5"/>
  <c r="AE57" i="5"/>
  <c r="AD57" i="5"/>
  <c r="AC57" i="5"/>
  <c r="AB57" i="5"/>
  <c r="AA57" i="5"/>
  <c r="Z57" i="5"/>
  <c r="Y57" i="5"/>
  <c r="X57" i="5"/>
  <c r="W57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E57" i="5"/>
  <c r="D57" i="5"/>
  <c r="C57" i="5"/>
  <c r="B57" i="5"/>
  <c r="BJ51" i="5"/>
  <c r="BI51" i="5"/>
  <c r="BH51" i="5"/>
  <c r="BG51" i="5"/>
  <c r="BF51" i="5"/>
  <c r="BE51" i="5"/>
  <c r="BD51" i="5"/>
  <c r="BC51" i="5"/>
  <c r="BB51" i="5"/>
  <c r="BA51" i="5"/>
  <c r="AZ51" i="5"/>
  <c r="AY51" i="5"/>
  <c r="AX51" i="5"/>
  <c r="AW51" i="5"/>
  <c r="AV51" i="5"/>
  <c r="AU51" i="5"/>
  <c r="AT51" i="5"/>
  <c r="AS51" i="5"/>
  <c r="AR51" i="5"/>
  <c r="AQ51" i="5"/>
  <c r="AP51" i="5"/>
  <c r="AO51" i="5"/>
  <c r="AN51" i="5"/>
  <c r="AM51" i="5"/>
  <c r="AL51" i="5"/>
  <c r="AK51" i="5"/>
  <c r="AJ51" i="5"/>
  <c r="AI51" i="5"/>
  <c r="AH51" i="5"/>
  <c r="AG51" i="5"/>
  <c r="BJ40" i="5"/>
  <c r="BI40" i="5"/>
  <c r="BH40" i="5"/>
  <c r="BG40" i="5"/>
  <c r="BF40" i="5"/>
  <c r="BE40" i="5"/>
  <c r="BD40" i="5"/>
  <c r="BC40" i="5"/>
  <c r="BB40" i="5"/>
  <c r="BA40" i="5"/>
  <c r="AZ40" i="5"/>
  <c r="AY40" i="5"/>
  <c r="AX40" i="5"/>
  <c r="AW40" i="5"/>
  <c r="AV40" i="5"/>
  <c r="AU40" i="5"/>
  <c r="AT40" i="5"/>
  <c r="AS40" i="5"/>
  <c r="AR40" i="5"/>
  <c r="AQ40" i="5"/>
  <c r="AP40" i="5"/>
  <c r="AO40" i="5"/>
  <c r="AN40" i="5"/>
  <c r="AM40" i="5"/>
  <c r="AL40" i="5"/>
  <c r="AK40" i="5"/>
  <c r="AJ40" i="5"/>
  <c r="AI40" i="5"/>
  <c r="AH40" i="5"/>
  <c r="AG40" i="5"/>
  <c r="AF40" i="5"/>
  <c r="AE40" i="5"/>
  <c r="AD40" i="5"/>
  <c r="AC40" i="5"/>
  <c r="AB40" i="5"/>
  <c r="AA40" i="5"/>
  <c r="Z40" i="5"/>
  <c r="Y40" i="5"/>
  <c r="X40" i="5"/>
  <c r="W40" i="5"/>
  <c r="V40" i="5"/>
  <c r="U40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B40" i="5"/>
  <c r="BJ30" i="5"/>
  <c r="BI30" i="5"/>
  <c r="BH30" i="5"/>
  <c r="BG30" i="5"/>
  <c r="BF30" i="5"/>
  <c r="BE30" i="5"/>
  <c r="BD30" i="5"/>
  <c r="BC30" i="5"/>
  <c r="BB30" i="5"/>
  <c r="BA30" i="5"/>
  <c r="AZ30" i="5"/>
  <c r="AY30" i="5"/>
  <c r="AX30" i="5"/>
  <c r="AW30" i="5"/>
  <c r="AV30" i="5"/>
  <c r="AU30" i="5"/>
  <c r="AT30" i="5"/>
  <c r="AS30" i="5"/>
  <c r="AR30" i="5"/>
  <c r="AQ30" i="5"/>
  <c r="AP30" i="5"/>
  <c r="AO30" i="5"/>
  <c r="AN30" i="5"/>
  <c r="AM30" i="5"/>
  <c r="AL30" i="5"/>
  <c r="AK30" i="5"/>
  <c r="AJ30" i="5"/>
  <c r="AI30" i="5"/>
  <c r="AH30" i="5"/>
  <c r="AG30" i="5"/>
  <c r="AF30" i="5"/>
  <c r="AE30" i="5"/>
  <c r="AD30" i="5"/>
  <c r="AC30" i="5"/>
  <c r="AB30" i="5"/>
  <c r="AA30" i="5"/>
  <c r="Z30" i="5"/>
  <c r="Y30" i="5"/>
  <c r="X30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B30" i="5"/>
  <c r="BJ22" i="5"/>
  <c r="BI22" i="5"/>
  <c r="BH22" i="5"/>
  <c r="BG22" i="5"/>
  <c r="BF22" i="5"/>
  <c r="BE22" i="5"/>
  <c r="BD22" i="5"/>
  <c r="BC22" i="5"/>
  <c r="BB22" i="5"/>
  <c r="BA22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N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B22" i="5"/>
  <c r="BJ16" i="5"/>
  <c r="BH16" i="5"/>
  <c r="BG16" i="5"/>
  <c r="BF16" i="5"/>
  <c r="BE16" i="5"/>
  <c r="BD16" i="5"/>
  <c r="BC16" i="5"/>
  <c r="BB16" i="5"/>
  <c r="BA16" i="5"/>
  <c r="AZ16" i="5"/>
  <c r="AY16" i="5"/>
  <c r="AX16" i="5"/>
  <c r="AW16" i="5"/>
  <c r="AV16" i="5"/>
  <c r="AT16" i="5"/>
  <c r="AS16" i="5"/>
  <c r="AR16" i="5"/>
  <c r="AQ16" i="5"/>
  <c r="AP16" i="5"/>
  <c r="AO16" i="5"/>
  <c r="AN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B16" i="5"/>
</calcChain>
</file>

<file path=xl/sharedStrings.xml><?xml version="1.0" encoding="utf-8"?>
<sst xmlns="http://schemas.openxmlformats.org/spreadsheetml/2006/main" count="3162" uniqueCount="255">
  <si>
    <t>KPIs</t>
  </si>
  <si>
    <t>I1 Near Misses</t>
  </si>
  <si>
    <t>-</t>
  </si>
  <si>
    <t>Target</t>
  </si>
  <si>
    <t>Comments</t>
  </si>
  <si>
    <t>I2 Lost Time Injury</t>
  </si>
  <si>
    <t xml:space="preserve">V1 Actual Volume Dropped </t>
  </si>
  <si>
    <t xml:space="preserve">V2 Forecast Volumes </t>
  </si>
  <si>
    <t xml:space="preserve">Q3 Number of Orders Available </t>
  </si>
  <si>
    <t>Q4 Number of Orders Required</t>
  </si>
  <si>
    <t>Order Fulfillment (%)</t>
  </si>
  <si>
    <t>Q1 Number of Accurate Locations</t>
  </si>
  <si>
    <t xml:space="preserve">Q2 Total Number of Locations Counted </t>
  </si>
  <si>
    <t>Inventory Location Accuracy</t>
  </si>
  <si>
    <t xml:space="preserve">Total Temporary Direct Labor Ordinary Hours </t>
  </si>
  <si>
    <t xml:space="preserve">Total Permanent Direct Labor Ordinary Hours </t>
  </si>
  <si>
    <t>Total Permanent Direct Labor Overtime Hours</t>
  </si>
  <si>
    <t>Total Temporary Direct Labor Overtime Hours</t>
  </si>
  <si>
    <t>OVERTIME (%)</t>
  </si>
  <si>
    <t>Target_1 (%)</t>
  </si>
  <si>
    <t>Target_2 (%)</t>
  </si>
  <si>
    <t>VTA OT pack &amp; sort Xdock HCM</t>
  </si>
  <si>
    <t>VTA OT pack &amp; sort Buildstock</t>
  </si>
  <si>
    <t>OT hàng COP</t>
  </si>
  <si>
    <t>S1 Permanent Direct Labor Cost</t>
  </si>
  <si>
    <t xml:space="preserve">S2 Permanent Indirect Labor Cost </t>
  </si>
  <si>
    <t xml:space="preserve">S3 Temporary Direct Labor Cost </t>
  </si>
  <si>
    <t>S4 Temporary Indirect Labor Cost</t>
  </si>
  <si>
    <t>P6 Units Shipped</t>
  </si>
  <si>
    <t>Labor Cost Per Unit Shipped</t>
  </si>
  <si>
    <t>Actual Volume Processed</t>
  </si>
  <si>
    <t>Direct Labor Hours</t>
  </si>
  <si>
    <t>PRODUCTIVITY 1</t>
  </si>
  <si>
    <t>PRODUCTIVITY 2</t>
  </si>
  <si>
    <t>PRODUCTIVITY 3</t>
  </si>
  <si>
    <t>PRODUCTIVITY 4</t>
  </si>
  <si>
    <t>PRODUCTIVITY 5</t>
  </si>
  <si>
    <t>PRODUCTIVITY 6</t>
  </si>
  <si>
    <t>PRODUCTIVITY 7</t>
  </si>
  <si>
    <t>PRODUCTIVITY 8</t>
  </si>
  <si>
    <t>Hàng Xdock HCM không phân loại</t>
  </si>
  <si>
    <t>PRODUCTIVITY 9</t>
  </si>
  <si>
    <t>PRODUCTIVITY 10</t>
  </si>
  <si>
    <t>PRODUCTIVITY 11</t>
  </si>
  <si>
    <t>PRODUCTIVITY 12</t>
  </si>
  <si>
    <t>Date</t>
  </si>
  <si>
    <t>I1 Near Misses Target</t>
  </si>
  <si>
    <t>Comment I1 Near Misses</t>
  </si>
  <si>
    <t>I2 Lost Time Injury Target</t>
  </si>
  <si>
    <t>Comment I2 Lost Time Injury</t>
  </si>
  <si>
    <t xml:space="preserve">Comment V1 Actual Volume Dropped </t>
  </si>
  <si>
    <t>Order Fulfillment (%) Target</t>
  </si>
  <si>
    <t>Comment Order Fulfillment (%)</t>
  </si>
  <si>
    <t>Inventory Location Accuracy Target</t>
  </si>
  <si>
    <t>Comment Inventory Location Accuracy</t>
  </si>
  <si>
    <t>Comment Target_1 (%)</t>
  </si>
  <si>
    <t>Labor Cost Per Unit Shipped Target</t>
  </si>
  <si>
    <t>Comment Labor Cost Per Unit Shipped</t>
  </si>
  <si>
    <t>PRODUCTIVITY 1 Target</t>
  </si>
  <si>
    <t>Comment PRODUCTIVITY 1</t>
  </si>
  <si>
    <t>PRODUCTIVITY 2 Target</t>
  </si>
  <si>
    <t>Comment PRODUCTIVITY 2</t>
  </si>
  <si>
    <t>PRODUCTIVITY 3 Target</t>
  </si>
  <si>
    <t>Comment PRODUCTIVITY 3</t>
  </si>
  <si>
    <t>PRODUCTIVITY 4 Target</t>
  </si>
  <si>
    <t>Comment PRODUCTIVITY 4</t>
  </si>
  <si>
    <t>PRODUCTIVITY 5 Target</t>
  </si>
  <si>
    <t>Comment PRODUCTIVITY 5</t>
  </si>
  <si>
    <t>PRODUCTIVITY 6 Target</t>
  </si>
  <si>
    <t>Comment PRODUCTIVITY 6</t>
  </si>
  <si>
    <t>PRODUCTIVITY 7 Target</t>
  </si>
  <si>
    <t>Comment PRODUCTIVITY 7</t>
  </si>
  <si>
    <t>PRODUCTIVITY 8 Target</t>
  </si>
  <si>
    <t>Comment PRODUCTIVITY 8</t>
  </si>
  <si>
    <t>PRODUCTIVITY 9 Target</t>
  </si>
  <si>
    <t>Comment PRODUCTIVITY 9</t>
  </si>
  <si>
    <t>PRODUCTIVITY 10 Target</t>
  </si>
  <si>
    <t>Comment PRODUCTIVITY 10</t>
  </si>
  <si>
    <t>PRODUCTIVITY 11 Target</t>
  </si>
  <si>
    <t>Comment PRODUCTIVITY 11</t>
  </si>
  <si>
    <t>PRODUCTIVITY 12 Target</t>
  </si>
  <si>
    <t>Comment PRODUCTIVITY 12</t>
  </si>
  <si>
    <t>Actual_Volume_Processed</t>
  </si>
  <si>
    <t>=DataBase!$CN$3:$CN$94</t>
  </si>
  <si>
    <t>Comment_I1_Near_Misses</t>
  </si>
  <si>
    <t>=DataBase!$D$3:$D$94</t>
  </si>
  <si>
    <t>Comment_I2_Lost_Time_Injury</t>
  </si>
  <si>
    <t>=DataBase!$G$3:$G$94</t>
  </si>
  <si>
    <t>Comment_Inventory_Location_Accuracy</t>
  </si>
  <si>
    <t>=DataBase!$T$3:$T$94</t>
  </si>
  <si>
    <t>Comment_Labor_Cost_Per_Unit_Shipped</t>
  </si>
  <si>
    <t>=DataBase!$AJ$3:$AJ$94</t>
  </si>
  <si>
    <t>Comment_Order_Fulfillment</t>
  </si>
  <si>
    <t>=DataBase!$O$3:$O$94</t>
  </si>
  <si>
    <t>Comment_PRODUCTIVITY_1</t>
  </si>
  <si>
    <t>=DataBase!$AO$3:$AO$94</t>
  </si>
  <si>
    <t>Comment_PRODUCTIVITY_10</t>
  </si>
  <si>
    <t>=DataBase!$CH$3:$CH$94</t>
  </si>
  <si>
    <t>Comment_PRODUCTIVITY_11</t>
  </si>
  <si>
    <t>=DataBase!$CM$3:$CM$94</t>
  </si>
  <si>
    <t>Comment_PRODUCTIVITY_12</t>
  </si>
  <si>
    <t>=DataBase!$CR$3:$CR$94</t>
  </si>
  <si>
    <t>Comment_PRODUCTIVITY_2</t>
  </si>
  <si>
    <t>=DataBase!$AT$3:$AT$94</t>
  </si>
  <si>
    <t>Comment_PRODUCTIVITY_3</t>
  </si>
  <si>
    <t>=DataBase!$AY$3:$AY$94</t>
  </si>
  <si>
    <t>Comment_PRODUCTIVITY_4</t>
  </si>
  <si>
    <t>=DataBase!$BD$3:$BD$94</t>
  </si>
  <si>
    <t>Comment_PRODUCTIVITY_5</t>
  </si>
  <si>
    <t>=DataBase!$BI$3:$BI$94</t>
  </si>
  <si>
    <t>Comment_PRODUCTIVITY_6</t>
  </si>
  <si>
    <t>=DataBase!$BN$3:$BN$94</t>
  </si>
  <si>
    <t>Comment_PRODUCTIVITY_7</t>
  </si>
  <si>
    <t>=DataBase!$BS$3:$BS$94</t>
  </si>
  <si>
    <t>Comment_PRODUCTIVITY_8</t>
  </si>
  <si>
    <t>=DataBase!$BX$3:$BX$94</t>
  </si>
  <si>
    <t>Comment_PRODUCTIVITY_9</t>
  </si>
  <si>
    <t>=DataBase!$CC$3:$CC$94</t>
  </si>
  <si>
    <t>Comment_Target_1</t>
  </si>
  <si>
    <t>=DataBase!$AB$3:$AB$94</t>
  </si>
  <si>
    <t>Comment_V1_Actual_Volume_Dropped</t>
  </si>
  <si>
    <t>=DataBase!$J$3:$J$94</t>
  </si>
  <si>
    <t>=DataBase!$A$3:$A$94</t>
  </si>
  <si>
    <t>Direct_Labor_Hours</t>
  </si>
  <si>
    <t>=DataBase!$CO$3:$CO$94</t>
  </si>
  <si>
    <t>I1_Near_Misses</t>
  </si>
  <si>
    <t>=DataBase!$B$3:$B$94</t>
  </si>
  <si>
    <t>I1_Near_Misses_Target</t>
  </si>
  <si>
    <t>=DataBase!$C$3:$C$94</t>
  </si>
  <si>
    <t>I2_Lost_Time_Injury</t>
  </si>
  <si>
    <t>=DataBase!$E$3:$E$94</t>
  </si>
  <si>
    <t>I2_Lost_Time_Injury_Target</t>
  </si>
  <si>
    <t>=DataBase!$F$3:$F$94</t>
  </si>
  <si>
    <t>Inventory_Location_Accuracy</t>
  </si>
  <si>
    <t>=DataBase!$R$3:$R$94</t>
  </si>
  <si>
    <t>Inventory_Location_Accuracy_Target</t>
  </si>
  <si>
    <t>=DataBase!$S$3:$S$94</t>
  </si>
  <si>
    <t>Labor_Cost_Per_Unit_Shipped</t>
  </si>
  <si>
    <t>=DataBase!$AH$3:$AH$94</t>
  </si>
  <si>
    <t>Labor_Cost_Per_Unit_Shipped_Target</t>
  </si>
  <si>
    <t>=DataBase!$AI$3:$AI$94</t>
  </si>
  <si>
    <t>Order_Fulfillment</t>
  </si>
  <si>
    <t>=DataBase!$M$3:$M$94</t>
  </si>
  <si>
    <t>Order_Fulfillment_____Target</t>
  </si>
  <si>
    <t>=DataBase!$N$3:$N$94</t>
  </si>
  <si>
    <t>OVERTIME</t>
  </si>
  <si>
    <t>=DataBase!$Y$3:$Y$94</t>
  </si>
  <si>
    <t>P6_Units_Shipped</t>
  </si>
  <si>
    <t>=DataBase!$AG$3:$AG$94</t>
  </si>
  <si>
    <t>PRODUCTIVITY_1</t>
  </si>
  <si>
    <t>=DataBase!$AM$3:$AM$94</t>
  </si>
  <si>
    <t>PRODUCTIVITY_1_Target</t>
  </si>
  <si>
    <t>=DataBase!$AN$3:$AN$94</t>
  </si>
  <si>
    <t>PRODUCTIVITY_10</t>
  </si>
  <si>
    <t>=DataBase!$CF$3:$CF$94</t>
  </si>
  <si>
    <t>PRODUCTIVITY_10_Target</t>
  </si>
  <si>
    <t>=DataBase!$CG$3:$CG$94</t>
  </si>
  <si>
    <t>PRODUCTIVITY_11</t>
  </si>
  <si>
    <t>=DataBase!$CK$3:$CK$94</t>
  </si>
  <si>
    <t>PRODUCTIVITY_11_Target</t>
  </si>
  <si>
    <t>=DataBase!$CL$3:$CL$94</t>
  </si>
  <si>
    <t>PRODUCTIVITY_12</t>
  </si>
  <si>
    <t>=DataBase!$CP$3:$CP$94</t>
  </si>
  <si>
    <t>PRODUCTIVITY_12_Target</t>
  </si>
  <si>
    <t>=DataBase!$CQ$3:$CQ$94</t>
  </si>
  <si>
    <t>PRODUCTIVITY_2</t>
  </si>
  <si>
    <t>=DataBase!$AR$3:$AR$94</t>
  </si>
  <si>
    <t>PRODUCTIVITY_2_Target</t>
  </si>
  <si>
    <t>=DataBase!$AS$3:$AS$94</t>
  </si>
  <si>
    <t>PRODUCTIVITY_3</t>
  </si>
  <si>
    <t>=DataBase!$AW$3:$AW$94</t>
  </si>
  <si>
    <t>PRODUCTIVITY_3_Target</t>
  </si>
  <si>
    <t>=DataBase!$AX$3:$AX$94</t>
  </si>
  <si>
    <t>PRODUCTIVITY_4</t>
  </si>
  <si>
    <t>=DataBase!$BB$3:$BB$94</t>
  </si>
  <si>
    <t>PRODUCTIVITY_4_Target</t>
  </si>
  <si>
    <t>=DataBase!$BC$3:$BC$94</t>
  </si>
  <si>
    <t>PRODUCTIVITY_5</t>
  </si>
  <si>
    <t>=DataBase!$BG$3:$BG$94</t>
  </si>
  <si>
    <t>PRODUCTIVITY_5_Target</t>
  </si>
  <si>
    <t>=DataBase!$BH$3:$BH$94</t>
  </si>
  <si>
    <t>PRODUCTIVITY_6</t>
  </si>
  <si>
    <t>=DataBase!$BL$3:$BL$94</t>
  </si>
  <si>
    <t>PRODUCTIVITY_6_Target</t>
  </si>
  <si>
    <t>=DataBase!$BM$3:$BM$94</t>
  </si>
  <si>
    <t>PRODUCTIVITY_7</t>
  </si>
  <si>
    <t>=DataBase!$BQ$3:$BQ$94</t>
  </si>
  <si>
    <t>PRODUCTIVITY_7_Target</t>
  </si>
  <si>
    <t>=DataBase!$BR$3:$BR$94</t>
  </si>
  <si>
    <t>PRODUCTIVITY_8</t>
  </si>
  <si>
    <t>=DataBase!$BV$3:$BV$94</t>
  </si>
  <si>
    <t>PRODUCTIVITY_8_Target</t>
  </si>
  <si>
    <t>=DataBase!$BW$3:$BW$94</t>
  </si>
  <si>
    <t>PRODUCTIVITY_9</t>
  </si>
  <si>
    <t>=DataBase!$CA$3:$CA$94</t>
  </si>
  <si>
    <t>PRODUCTIVITY_9_Target</t>
  </si>
  <si>
    <t>=DataBase!$CB$3:$CB$94</t>
  </si>
  <si>
    <t>Q1_Number_of_Accurate_Locations</t>
  </si>
  <si>
    <t>=DataBase!$P$3:$P$94</t>
  </si>
  <si>
    <t>Q2_Total_Number_of_Locations_Counted</t>
  </si>
  <si>
    <t>=DataBase!$Q$3:$Q$94</t>
  </si>
  <si>
    <t>Q3_Number_of_Orders_Available</t>
  </si>
  <si>
    <t>=DataBase!$K$3:$K$94</t>
  </si>
  <si>
    <t>Q4_Number_of_Orders_Required</t>
  </si>
  <si>
    <t>=DataBase!$L$3:$L$94</t>
  </si>
  <si>
    <t>S1_Permanent_Direct_Labor_Cost</t>
  </si>
  <si>
    <t>=DataBase!$AC$3:$AC$94</t>
  </si>
  <si>
    <t>S2_Permanent_Indirect_Labor_Cost</t>
  </si>
  <si>
    <t>=DataBase!$AD$3:$AD$94</t>
  </si>
  <si>
    <t>S3_Temporary_Direct_Labor_Cost</t>
  </si>
  <si>
    <t>=DataBase!$AE$3:$AE$94</t>
  </si>
  <si>
    <t>S4_Temporary_Indirect_Labor_Cost</t>
  </si>
  <si>
    <t>=DataBase!$AF$3:$AF$94</t>
  </si>
  <si>
    <t>Target_1</t>
  </si>
  <si>
    <t>=DataBase!$Z$3:$Z$94</t>
  </si>
  <si>
    <t>Target_2</t>
  </si>
  <si>
    <t>=DataBase!$AA$3:$AA$94</t>
  </si>
  <si>
    <t>Total_Permanent_Direct_Labor_Ordinary_Hours</t>
  </si>
  <si>
    <t>=DataBase!$V$3:$V$94</t>
  </si>
  <si>
    <t>Total_Permanent_Direct_Labor_Overtime_Hours</t>
  </si>
  <si>
    <t>=DataBase!$W$3:$W$94</t>
  </si>
  <si>
    <t>Total_Temporary_Direct_Labor_Ordinary_Hours</t>
  </si>
  <si>
    <t>=DataBase!$U$3:$U$94</t>
  </si>
  <si>
    <t>Total_Temporary_Direct_Labor_Overtime_Hours</t>
  </si>
  <si>
    <t>=DataBase!$X$3:$X$94</t>
  </si>
  <si>
    <t>V1_Actual_Volume_Dropped</t>
  </si>
  <si>
    <t>=DataBase!$H$3:$H$94</t>
  </si>
  <si>
    <t>V2_Forecast_Volumes</t>
  </si>
  <si>
    <t>=DataBase!$I$3:$I$94</t>
  </si>
  <si>
    <t>Actual Volume Processed 1</t>
  </si>
  <si>
    <t>Direct Labor Hours 2</t>
  </si>
  <si>
    <t>Direct Labor Hours 1</t>
  </si>
  <si>
    <t>Actual Volume Processed 2</t>
  </si>
  <si>
    <t>Actual Volume Processed 3</t>
  </si>
  <si>
    <t>Direct Labor Hours 3</t>
  </si>
  <si>
    <t>Actual Volume Processed 4</t>
  </si>
  <si>
    <t>Direct Labor Hours 5</t>
  </si>
  <si>
    <t>Actual Volume Processed 6</t>
  </si>
  <si>
    <t>Direct Labor Hours 6</t>
  </si>
  <si>
    <t>Actual Volume Processed 7</t>
  </si>
  <si>
    <t>Direct Labor Hours 7</t>
  </si>
  <si>
    <t>Actual Volume Processed 8</t>
  </si>
  <si>
    <t>Direct Labor Hours 8</t>
  </si>
  <si>
    <t>Actual Volume Processed 9</t>
  </si>
  <si>
    <t>Direct Labor Hours 9</t>
  </si>
  <si>
    <t>Actual Volume Processed 10</t>
  </si>
  <si>
    <t>Direct Labor Hours 10</t>
  </si>
  <si>
    <t>Actual Volume Processed 11</t>
  </si>
  <si>
    <t>Direct Labor Hours 11</t>
  </si>
  <si>
    <t>Actual Volume Processed 12</t>
  </si>
  <si>
    <t>Direct Labor Hours 12</t>
  </si>
  <si>
    <t>Direct Labor Hours 4</t>
  </si>
  <si>
    <t>Actual Volume Processed 5</t>
  </si>
  <si>
    <t>*</t>
  </si>
  <si>
    <t>Tittles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</si>
</sst>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2"/>
      <color theme="1"/>
      <name val="Times New Roman"/>
      <family val="2"/>
    </font>
    <font>
      <sz val="11"/>
      <color theme="1"/>
      <name val="Calibri"/>
      <family val="2"/>
      <scheme val="minor"/>
    </font>
    <font>
      <sz val="12"/>
      <color theme="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">
    <xf numFmtId="0" fontId="0" fillId="0" borderId="0" xfId="0"/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/>
  </cellXfs>
  <cellStyles count="4">
    <cellStyle name="Comma 2" xfId="2" xr:uid="{00000000-0005-0000-0000-000000000000}"/>
    <cellStyle name="Normal" xfId="0" builtinId="0"/>
    <cellStyle name="Normal 2" xfId="1" xr:uid="{00000000-0005-0000-0000-000002000000}"/>
    <cellStyle name="Percent 2" xfId="3" xr:uid="{00000000-0005-0000-0000-000003000000}"/>
  </cellStyles>
  <dxfs count="14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S94"/>
  <sheetViews>
    <sheetView tabSelected="1" workbookViewId="0">
      <selection activeCell="M19" sqref="M19"/>
    </sheetView>
  </sheetViews>
  <sheetFormatPr defaultColWidth="7.375" defaultRowHeight="15.75" x14ac:dyDescent="0.25"/>
  <sheetData>
    <row r="1" spans="1:97" ht="15" customHeight="1" x14ac:dyDescent="0.25">
      <c r="A1" s="3" t="s">
        <v>254</v>
      </c>
      <c r="B1" s="2" t="s">
        <v>1</v>
      </c>
      <c r="C1" s="2" t="s">
        <v>1</v>
      </c>
      <c r="D1" s="2" t="s">
        <v>1</v>
      </c>
      <c r="E1" s="2" t="s">
        <v>5</v>
      </c>
      <c r="F1" s="2" t="s">
        <v>5</v>
      </c>
      <c r="G1" s="2" t="s">
        <v>5</v>
      </c>
      <c r="H1" s="2" t="s">
        <v>6</v>
      </c>
      <c r="I1" s="2" t="s">
        <v>6</v>
      </c>
      <c r="J1" s="2" t="s">
        <v>6</v>
      </c>
      <c r="K1" s="2" t="s">
        <v>6</v>
      </c>
      <c r="L1" s="2" t="s">
        <v>6</v>
      </c>
      <c r="M1" s="2" t="s">
        <v>10</v>
      </c>
      <c r="N1" s="2" t="s">
        <v>10</v>
      </c>
      <c r="O1" s="2" t="s">
        <v>10</v>
      </c>
      <c r="P1" s="2" t="s">
        <v>10</v>
      </c>
      <c r="Q1" s="2" t="s">
        <v>10</v>
      </c>
      <c r="R1" s="2" t="s">
        <v>13</v>
      </c>
      <c r="S1" s="2" t="s">
        <v>13</v>
      </c>
      <c r="T1" s="2" t="s">
        <v>13</v>
      </c>
      <c r="U1" s="2" t="s">
        <v>13</v>
      </c>
      <c r="V1" s="2" t="s">
        <v>13</v>
      </c>
      <c r="W1" s="2" t="s">
        <v>13</v>
      </c>
      <c r="X1" s="2" t="s">
        <v>13</v>
      </c>
      <c r="Y1" s="2" t="s">
        <v>18</v>
      </c>
      <c r="Z1" s="2" t="s">
        <v>18</v>
      </c>
      <c r="AA1" s="2" t="s">
        <v>18</v>
      </c>
      <c r="AB1" s="2" t="s">
        <v>18</v>
      </c>
      <c r="AC1" s="2" t="s">
        <v>18</v>
      </c>
      <c r="AD1" s="2" t="s">
        <v>18</v>
      </c>
      <c r="AE1" s="2" t="s">
        <v>18</v>
      </c>
      <c r="AF1" s="2" t="s">
        <v>18</v>
      </c>
      <c r="AG1" s="2" t="s">
        <v>18</v>
      </c>
      <c r="AH1" s="2" t="s">
        <v>29</v>
      </c>
      <c r="AI1" s="2" t="s">
        <v>29</v>
      </c>
      <c r="AJ1" s="2" t="s">
        <v>29</v>
      </c>
      <c r="AK1" s="2" t="s">
        <v>29</v>
      </c>
      <c r="AL1" s="2" t="s">
        <v>29</v>
      </c>
      <c r="AM1" s="2" t="s">
        <v>32</v>
      </c>
      <c r="AN1" s="2" t="s">
        <v>32</v>
      </c>
      <c r="AO1" s="2" t="s">
        <v>32</v>
      </c>
      <c r="AP1" s="2" t="s">
        <v>32</v>
      </c>
      <c r="AQ1" s="2" t="s">
        <v>32</v>
      </c>
      <c r="AR1" s="2" t="s">
        <v>33</v>
      </c>
      <c r="AS1" s="2" t="s">
        <v>33</v>
      </c>
      <c r="AT1" s="2" t="s">
        <v>33</v>
      </c>
      <c r="AU1" s="2" t="s">
        <v>33</v>
      </c>
      <c r="AV1" s="2" t="s">
        <v>33</v>
      </c>
      <c r="AW1" s="2" t="s">
        <v>34</v>
      </c>
      <c r="AX1" s="2" t="s">
        <v>34</v>
      </c>
      <c r="AY1" s="2" t="s">
        <v>34</v>
      </c>
      <c r="AZ1" s="2" t="s">
        <v>34</v>
      </c>
      <c r="BA1" s="2" t="s">
        <v>34</v>
      </c>
      <c r="BB1" s="2" t="s">
        <v>35</v>
      </c>
      <c r="BC1" s="2" t="s">
        <v>35</v>
      </c>
      <c r="BD1" s="2" t="s">
        <v>35</v>
      </c>
      <c r="BE1" s="2" t="s">
        <v>35</v>
      </c>
      <c r="BF1" s="2" t="s">
        <v>35</v>
      </c>
      <c r="BG1" s="2" t="s">
        <v>36</v>
      </c>
      <c r="BH1" s="2" t="s">
        <v>36</v>
      </c>
      <c r="BI1" s="2" t="s">
        <v>36</v>
      </c>
      <c r="BJ1" s="2" t="s">
        <v>36</v>
      </c>
      <c r="BK1" s="2" t="s">
        <v>36</v>
      </c>
      <c r="BL1" s="2" t="s">
        <v>37</v>
      </c>
      <c r="BM1" s="2" t="s">
        <v>37</v>
      </c>
      <c r="BN1" s="2" t="s">
        <v>37</v>
      </c>
      <c r="BO1" s="2" t="s">
        <v>37</v>
      </c>
      <c r="BP1" s="2" t="s">
        <v>37</v>
      </c>
      <c r="BQ1" s="2" t="s">
        <v>38</v>
      </c>
      <c r="BR1" s="2" t="s">
        <v>38</v>
      </c>
      <c r="BS1" s="2" t="s">
        <v>38</v>
      </c>
      <c r="BT1" s="2" t="s">
        <v>38</v>
      </c>
      <c r="BU1" s="2" t="s">
        <v>38</v>
      </c>
      <c r="BV1" s="2" t="s">
        <v>39</v>
      </c>
      <c r="BW1" s="2" t="s">
        <v>39</v>
      </c>
      <c r="BX1" s="2" t="s">
        <v>39</v>
      </c>
      <c r="BY1" s="2" t="s">
        <v>39</v>
      </c>
      <c r="BZ1" s="2" t="s">
        <v>39</v>
      </c>
      <c r="CA1" s="2" t="s">
        <v>41</v>
      </c>
      <c r="CB1" s="2" t="s">
        <v>41</v>
      </c>
      <c r="CC1" t="s">
        <v>41</v>
      </c>
      <c r="CD1" t="s">
        <v>41</v>
      </c>
      <c r="CE1" t="s">
        <v>41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43</v>
      </c>
      <c r="CL1" t="s">
        <v>43</v>
      </c>
      <c r="CM1" t="s">
        <v>43</v>
      </c>
      <c r="CN1" t="s">
        <v>43</v>
      </c>
      <c r="CO1" t="s">
        <v>43</v>
      </c>
      <c r="CP1" t="s">
        <v>44</v>
      </c>
      <c r="CQ1" t="s">
        <v>44</v>
      </c>
      <c r="CR1" t="s">
        <v>44</v>
      </c>
    </row>
    <row r="2" spans="1:97" x14ac:dyDescent="0.25">
      <c r="A2" s="2" t="s">
        <v>45</v>
      </c>
      <c r="B2" s="2" t="s">
        <v>1</v>
      </c>
      <c r="C2" s="2" t="s">
        <v>46</v>
      </c>
      <c r="D2" s="2" t="s">
        <v>47</v>
      </c>
      <c r="E2" s="2" t="s">
        <v>5</v>
      </c>
      <c r="F2" s="2" t="s">
        <v>48</v>
      </c>
      <c r="G2" s="2" t="s">
        <v>49</v>
      </c>
      <c r="H2" s="2" t="s">
        <v>6</v>
      </c>
      <c r="I2" s="2" t="s">
        <v>7</v>
      </c>
      <c r="J2" s="2" t="s">
        <v>50</v>
      </c>
      <c r="K2" s="2" t="s">
        <v>8</v>
      </c>
      <c r="L2" s="2" t="s">
        <v>9</v>
      </c>
      <c r="M2" s="2" t="s">
        <v>10</v>
      </c>
      <c r="N2" s="2" t="s">
        <v>51</v>
      </c>
      <c r="O2" s="2" t="s">
        <v>52</v>
      </c>
      <c r="P2" s="2" t="s">
        <v>11</v>
      </c>
      <c r="Q2" s="2" t="s">
        <v>12</v>
      </c>
      <c r="R2" s="2" t="s">
        <v>13</v>
      </c>
      <c r="S2" s="2" t="s">
        <v>53</v>
      </c>
      <c r="T2" s="2" t="s">
        <v>54</v>
      </c>
      <c r="U2" s="2" t="s">
        <v>14</v>
      </c>
      <c r="V2" s="2" t="s">
        <v>15</v>
      </c>
      <c r="W2" s="2" t="s">
        <v>16</v>
      </c>
      <c r="X2" s="2" t="s">
        <v>17</v>
      </c>
      <c r="Y2" s="2" t="s">
        <v>18</v>
      </c>
      <c r="Z2" s="2" t="s">
        <v>19</v>
      </c>
      <c r="AA2" s="2" t="s">
        <v>20</v>
      </c>
      <c r="AB2" s="2" t="s">
        <v>55</v>
      </c>
      <c r="AC2" s="2" t="s">
        <v>24</v>
      </c>
      <c r="AD2" s="2" t="s">
        <v>25</v>
      </c>
      <c r="AE2" s="2" t="s">
        <v>26</v>
      </c>
      <c r="AF2" s="2" t="s">
        <v>27</v>
      </c>
      <c r="AG2" s="2" t="s">
        <v>28</v>
      </c>
      <c r="AH2" s="2" t="s">
        <v>29</v>
      </c>
      <c r="AI2" s="2" t="s">
        <v>56</v>
      </c>
      <c r="AJ2" s="2" t="s">
        <v>57</v>
      </c>
      <c r="AK2" s="2" t="s">
        <v>229</v>
      </c>
      <c r="AL2" s="2" t="s">
        <v>231</v>
      </c>
      <c r="AM2" s="2" t="s">
        <v>32</v>
      </c>
      <c r="AN2" s="2" t="s">
        <v>58</v>
      </c>
      <c r="AO2" s="2" t="s">
        <v>59</v>
      </c>
      <c r="AP2" s="2" t="s">
        <v>232</v>
      </c>
      <c r="AQ2" s="2" t="s">
        <v>230</v>
      </c>
      <c r="AR2" s="2" t="s">
        <v>33</v>
      </c>
      <c r="AS2" s="2" t="s">
        <v>60</v>
      </c>
      <c r="AT2" s="2" t="s">
        <v>61</v>
      </c>
      <c r="AU2" s="2" t="s">
        <v>233</v>
      </c>
      <c r="AV2" s="2" t="s">
        <v>234</v>
      </c>
      <c r="AW2" s="2" t="s">
        <v>34</v>
      </c>
      <c r="AX2" s="2" t="s">
        <v>62</v>
      </c>
      <c r="AY2" s="2" t="s">
        <v>63</v>
      </c>
      <c r="AZ2" s="2" t="s">
        <v>235</v>
      </c>
      <c r="BA2" s="2" t="s">
        <v>251</v>
      </c>
      <c r="BB2" s="2" t="s">
        <v>35</v>
      </c>
      <c r="BC2" s="2" t="s">
        <v>64</v>
      </c>
      <c r="BD2" s="2" t="s">
        <v>65</v>
      </c>
      <c r="BE2" s="2" t="s">
        <v>252</v>
      </c>
      <c r="BF2" s="2" t="s">
        <v>236</v>
      </c>
      <c r="BG2" s="2" t="s">
        <v>36</v>
      </c>
      <c r="BH2" s="2" t="s">
        <v>66</v>
      </c>
      <c r="BI2" s="2" t="s">
        <v>67</v>
      </c>
      <c r="BJ2" s="2" t="s">
        <v>237</v>
      </c>
      <c r="BK2" s="2" t="s">
        <v>238</v>
      </c>
      <c r="BL2" s="2" t="s">
        <v>37</v>
      </c>
      <c r="BM2" s="2" t="s">
        <v>68</v>
      </c>
      <c r="BN2" s="2" t="s">
        <v>69</v>
      </c>
      <c r="BO2" s="2" t="s">
        <v>239</v>
      </c>
      <c r="BP2" s="2" t="s">
        <v>240</v>
      </c>
      <c r="BQ2" s="2" t="s">
        <v>38</v>
      </c>
      <c r="BR2" s="2" t="s">
        <v>70</v>
      </c>
      <c r="BS2" s="2" t="s">
        <v>71</v>
      </c>
      <c r="BT2" s="2" t="s">
        <v>241</v>
      </c>
      <c r="BU2" s="2" t="s">
        <v>242</v>
      </c>
      <c r="BV2" s="2" t="s">
        <v>39</v>
      </c>
      <c r="BW2" s="2" t="s">
        <v>72</v>
      </c>
      <c r="BX2" s="2" t="s">
        <v>73</v>
      </c>
      <c r="BY2" s="2" t="s">
        <v>243</v>
      </c>
      <c r="BZ2" s="2" t="s">
        <v>244</v>
      </c>
      <c r="CA2" s="2" t="s">
        <v>41</v>
      </c>
      <c r="CB2" s="2" t="s">
        <v>74</v>
      </c>
      <c r="CC2" t="s">
        <v>75</v>
      </c>
      <c r="CD2" t="s">
        <v>245</v>
      </c>
      <c r="CE2" t="s">
        <v>246</v>
      </c>
      <c r="CF2" t="s">
        <v>42</v>
      </c>
      <c r="CG2" t="s">
        <v>76</v>
      </c>
      <c r="CH2" t="s">
        <v>77</v>
      </c>
      <c r="CI2" t="s">
        <v>247</v>
      </c>
      <c r="CJ2" t="s">
        <v>248</v>
      </c>
      <c r="CK2" t="s">
        <v>43</v>
      </c>
      <c r="CL2" t="s">
        <v>78</v>
      </c>
      <c r="CM2" t="s">
        <v>79</v>
      </c>
      <c r="CN2" t="s">
        <v>249</v>
      </c>
      <c r="CO2" t="s">
        <v>250</v>
      </c>
      <c r="CP2" t="s">
        <v>44</v>
      </c>
      <c r="CQ2" t="s">
        <v>80</v>
      </c>
      <c r="CR2" t="s">
        <v>81</v>
      </c>
      <c r="CS2" s="2" t="s">
        <v>81</v>
      </c>
    </row>
    <row r="3" spans="1:97" x14ac:dyDescent="0.25">
      <c r="A3">
        <v>44105</v>
      </c>
      <c r="B3">
        <v>0</v>
      </c>
      <c r="C3">
        <v>1</v>
      </c>
      <c r="E3">
        <v>0</v>
      </c>
      <c r="F3">
        <v>0</v>
      </c>
      <c r="H3">
        <v>1450</v>
      </c>
      <c r="I3">
        <v>1246</v>
      </c>
      <c r="K3">
        <v>1456</v>
      </c>
      <c r="L3">
        <v>1456</v>
      </c>
      <c r="M3">
        <f t="shared" ref="M3:M47" si="0">K3/L3</f>
        <v>1</v>
      </c>
      <c r="N3">
        <v>0.995</v>
      </c>
      <c r="P3">
        <v>594</v>
      </c>
      <c r="Q3">
        <v>594</v>
      </c>
      <c r="R3">
        <f t="shared" ref="R3:R34" si="1">P3/Q3</f>
        <v>1</v>
      </c>
      <c r="S3">
        <f>V2_Forecast_Volumes</f>
        <v>1246</v>
      </c>
      <c r="U3">
        <v>184</v>
      </c>
      <c r="W3">
        <v>197</v>
      </c>
      <c r="X3">
        <v>31</v>
      </c>
      <c r="Y3">
        <v>28</v>
      </c>
      <c r="Z3">
        <f t="shared" ref="Z3:Z34" si="2">SUM(X3:Y3)/SUM(U3:Y3)</f>
        <v>0.13409090909090909</v>
      </c>
      <c r="AA3">
        <v>0.02</v>
      </c>
      <c r="AB3">
        <v>0.05</v>
      </c>
      <c r="AD3">
        <v>9286560</v>
      </c>
      <c r="AE3">
        <v>6308600</v>
      </c>
      <c r="AF3">
        <v>7302500</v>
      </c>
      <c r="AG3">
        <v>0</v>
      </c>
      <c r="AH3">
        <v>33274</v>
      </c>
      <c r="AI3">
        <f t="shared" ref="AI3:AI34" si="3">SUM(AD3:AG3)/AH3</f>
        <v>688.15471539340024</v>
      </c>
      <c r="AJ3">
        <v>800</v>
      </c>
      <c r="AL3" t="s">
        <v>2</v>
      </c>
      <c r="AM3" t="s">
        <v>2</v>
      </c>
      <c r="AN3" t="s">
        <v>2</v>
      </c>
      <c r="AO3" t="s">
        <v>2</v>
      </c>
      <c r="AQ3" t="s">
        <v>2</v>
      </c>
      <c r="AR3" t="s">
        <v>2</v>
      </c>
      <c r="AS3" t="s">
        <v>2</v>
      </c>
      <c r="AT3" t="s">
        <v>2</v>
      </c>
      <c r="AV3">
        <v>2701</v>
      </c>
      <c r="AW3">
        <v>8</v>
      </c>
      <c r="AX3">
        <f>AV3/AW3</f>
        <v>337.625</v>
      </c>
      <c r="AY3">
        <v>300</v>
      </c>
      <c r="BA3">
        <v>13</v>
      </c>
      <c r="BB3">
        <v>0.06</v>
      </c>
      <c r="BC3">
        <f t="shared" ref="BC3:BC34" si="4">BA3/BB3</f>
        <v>216.66666666666669</v>
      </c>
      <c r="BD3">
        <v>250</v>
      </c>
      <c r="BF3">
        <v>35496</v>
      </c>
      <c r="BG3">
        <v>140</v>
      </c>
      <c r="BH3">
        <f t="shared" ref="BH3:BH34" si="5">BF3/BG3</f>
        <v>253.54285714285714</v>
      </c>
      <c r="BI3">
        <v>250</v>
      </c>
      <c r="BK3">
        <v>1214</v>
      </c>
      <c r="BL3">
        <v>11</v>
      </c>
      <c r="BM3">
        <f t="shared" ref="BM3:BM34" si="6">BK3/BL3</f>
        <v>110.36363636363636</v>
      </c>
      <c r="BN3">
        <v>150</v>
      </c>
      <c r="BP3">
        <v>31674</v>
      </c>
      <c r="BQ3">
        <v>154</v>
      </c>
      <c r="BR3">
        <f t="shared" ref="BR3:BR34" si="7">BP3/BQ3</f>
        <v>205.67532467532467</v>
      </c>
      <c r="BS3">
        <v>200</v>
      </c>
      <c r="BU3">
        <v>0</v>
      </c>
      <c r="BV3">
        <v>0</v>
      </c>
      <c r="BW3" t="e">
        <f t="shared" ref="BW3:BW34" si="8">BU3/BV3</f>
        <v>#DIV/0!</v>
      </c>
      <c r="BX3">
        <v>100</v>
      </c>
      <c r="BZ3">
        <v>238</v>
      </c>
      <c r="CA3">
        <v>1.2</v>
      </c>
      <c r="CB3">
        <f t="shared" ref="CB3:CB34" si="9">BZ3/CA3</f>
        <v>198.33333333333334</v>
      </c>
      <c r="CC3">
        <v>160</v>
      </c>
      <c r="CE3" t="s">
        <v>2</v>
      </c>
      <c r="CF3" t="s">
        <v>2</v>
      </c>
      <c r="CG3" t="s">
        <v>2</v>
      </c>
      <c r="CH3" t="s">
        <v>2</v>
      </c>
      <c r="CJ3">
        <v>4</v>
      </c>
      <c r="CK3">
        <v>0.08</v>
      </c>
      <c r="CL3">
        <f t="shared" ref="CL3:CL34" si="10">CJ3/CK3</f>
        <v>50</v>
      </c>
      <c r="CM3">
        <v>40</v>
      </c>
      <c r="CO3">
        <v>1055</v>
      </c>
      <c r="CP3">
        <v>4.9000000000000004</v>
      </c>
      <c r="CQ3">
        <f t="shared" ref="CQ3:CQ34" si="11">CO3/CP3</f>
        <v>215.30612244897958</v>
      </c>
      <c r="CR3">
        <v>300</v>
      </c>
    </row>
    <row r="4" spans="1:97" x14ac:dyDescent="0.25">
      <c r="A4">
        <v>44106</v>
      </c>
      <c r="B4">
        <v>0</v>
      </c>
      <c r="C4">
        <v>1</v>
      </c>
      <c r="E4">
        <v>0</v>
      </c>
      <c r="F4">
        <v>0</v>
      </c>
      <c r="H4">
        <v>1444</v>
      </c>
      <c r="I4">
        <v>969</v>
      </c>
      <c r="K4">
        <v>1388</v>
      </c>
      <c r="L4">
        <v>1388</v>
      </c>
      <c r="M4">
        <f t="shared" si="0"/>
        <v>1</v>
      </c>
      <c r="N4">
        <v>0.995</v>
      </c>
      <c r="P4">
        <v>561</v>
      </c>
      <c r="Q4">
        <v>561</v>
      </c>
      <c r="R4">
        <f t="shared" si="1"/>
        <v>1</v>
      </c>
      <c r="S4">
        <v>0.997</v>
      </c>
      <c r="U4">
        <v>200</v>
      </c>
      <c r="W4">
        <v>233</v>
      </c>
      <c r="X4">
        <v>39</v>
      </c>
      <c r="Y4">
        <v>36</v>
      </c>
      <c r="Z4">
        <f t="shared" si="2"/>
        <v>0.14763779527559054</v>
      </c>
      <c r="AA4">
        <v>0.02</v>
      </c>
      <c r="AB4">
        <v>0.05</v>
      </c>
      <c r="AD4">
        <v>9127380</v>
      </c>
      <c r="AE4">
        <v>6308600</v>
      </c>
      <c r="AF4">
        <v>8100000</v>
      </c>
      <c r="AG4">
        <v>0</v>
      </c>
      <c r="AH4">
        <v>34487</v>
      </c>
      <c r="AI4">
        <f t="shared" si="3"/>
        <v>682.45947748426943</v>
      </c>
      <c r="AJ4">
        <v>800</v>
      </c>
      <c r="AL4" t="s">
        <v>2</v>
      </c>
      <c r="AM4" t="s">
        <v>2</v>
      </c>
      <c r="AN4" t="s">
        <v>2</v>
      </c>
      <c r="AO4" t="s">
        <v>2</v>
      </c>
      <c r="AQ4" t="s">
        <v>2</v>
      </c>
      <c r="AR4" t="s">
        <v>2</v>
      </c>
      <c r="AS4" t="s">
        <v>2</v>
      </c>
      <c r="AT4" t="s">
        <v>2</v>
      </c>
      <c r="AV4">
        <v>1562</v>
      </c>
      <c r="AW4">
        <v>4</v>
      </c>
      <c r="AX4">
        <f>AV4/AW4</f>
        <v>390.5</v>
      </c>
      <c r="AY4">
        <v>300</v>
      </c>
      <c r="BA4">
        <v>5</v>
      </c>
      <c r="BB4">
        <v>0.02</v>
      </c>
      <c r="BC4">
        <f t="shared" si="4"/>
        <v>250</v>
      </c>
      <c r="BD4">
        <v>250</v>
      </c>
      <c r="BF4">
        <v>39396</v>
      </c>
      <c r="BG4">
        <v>144</v>
      </c>
      <c r="BH4">
        <f t="shared" si="5"/>
        <v>273.58333333333331</v>
      </c>
      <c r="BI4">
        <v>250</v>
      </c>
      <c r="BK4">
        <v>10047</v>
      </c>
      <c r="BL4">
        <v>56</v>
      </c>
      <c r="BM4">
        <f t="shared" si="6"/>
        <v>179.41071428571428</v>
      </c>
      <c r="BN4">
        <v>150</v>
      </c>
      <c r="BP4">
        <v>30938</v>
      </c>
      <c r="BQ4">
        <v>162</v>
      </c>
      <c r="BR4">
        <f t="shared" si="7"/>
        <v>190.97530864197532</v>
      </c>
      <c r="BS4">
        <v>200</v>
      </c>
      <c r="BU4">
        <v>0</v>
      </c>
      <c r="BV4">
        <v>0</v>
      </c>
      <c r="BW4" t="e">
        <f t="shared" si="8"/>
        <v>#DIV/0!</v>
      </c>
      <c r="BX4">
        <v>100</v>
      </c>
      <c r="BZ4">
        <v>2100</v>
      </c>
      <c r="CA4">
        <v>13</v>
      </c>
      <c r="CB4">
        <f t="shared" si="9"/>
        <v>161.53846153846155</v>
      </c>
      <c r="CC4">
        <v>160</v>
      </c>
      <c r="CE4" t="s">
        <v>2</v>
      </c>
      <c r="CF4" t="s">
        <v>2</v>
      </c>
      <c r="CG4" t="s">
        <v>2</v>
      </c>
      <c r="CH4" t="s">
        <v>2</v>
      </c>
      <c r="CJ4">
        <v>0</v>
      </c>
      <c r="CK4">
        <v>0</v>
      </c>
      <c r="CL4" t="e">
        <f t="shared" si="10"/>
        <v>#DIV/0!</v>
      </c>
      <c r="CM4">
        <v>40</v>
      </c>
      <c r="CO4">
        <v>103</v>
      </c>
      <c r="CP4">
        <v>0.6</v>
      </c>
      <c r="CQ4">
        <f t="shared" si="11"/>
        <v>171.66666666666669</v>
      </c>
      <c r="CR4">
        <v>300</v>
      </c>
    </row>
    <row r="5" spans="1:97" x14ac:dyDescent="0.25">
      <c r="A5">
        <v>44107</v>
      </c>
      <c r="B5">
        <v>0</v>
      </c>
      <c r="C5">
        <v>1</v>
      </c>
      <c r="E5">
        <v>0</v>
      </c>
      <c r="F5">
        <v>0</v>
      </c>
      <c r="H5">
        <v>846</v>
      </c>
      <c r="I5">
        <v>1131</v>
      </c>
      <c r="K5">
        <v>761</v>
      </c>
      <c r="L5">
        <v>761</v>
      </c>
      <c r="M5">
        <f t="shared" si="0"/>
        <v>1</v>
      </c>
      <c r="N5">
        <v>0.995</v>
      </c>
      <c r="P5">
        <v>556</v>
      </c>
      <c r="Q5">
        <v>556</v>
      </c>
      <c r="R5">
        <f t="shared" si="1"/>
        <v>1</v>
      </c>
      <c r="S5">
        <v>0.997</v>
      </c>
      <c r="U5">
        <v>228</v>
      </c>
      <c r="W5">
        <v>256</v>
      </c>
      <c r="X5">
        <v>0</v>
      </c>
      <c r="Y5">
        <v>0</v>
      </c>
      <c r="Z5">
        <f t="shared" si="2"/>
        <v>0</v>
      </c>
      <c r="AA5">
        <v>0.02</v>
      </c>
      <c r="AB5">
        <v>0.05</v>
      </c>
      <c r="AD5">
        <v>10194900</v>
      </c>
      <c r="AE5">
        <v>6137500</v>
      </c>
      <c r="AF5">
        <v>4845000</v>
      </c>
      <c r="AG5">
        <v>0</v>
      </c>
      <c r="AH5">
        <v>20741</v>
      </c>
      <c r="AI5">
        <f t="shared" si="3"/>
        <v>1021.0404512800733</v>
      </c>
      <c r="AJ5">
        <v>800</v>
      </c>
      <c r="AL5" t="s">
        <v>2</v>
      </c>
      <c r="AM5" t="s">
        <v>2</v>
      </c>
      <c r="AN5" t="s">
        <v>2</v>
      </c>
      <c r="AO5" t="s">
        <v>2</v>
      </c>
      <c r="AQ5" t="s">
        <v>2</v>
      </c>
      <c r="AR5" t="s">
        <v>2</v>
      </c>
      <c r="AS5" t="s">
        <v>2</v>
      </c>
      <c r="AT5" t="s">
        <v>2</v>
      </c>
      <c r="AV5">
        <v>2995</v>
      </c>
      <c r="AW5">
        <v>14.5</v>
      </c>
      <c r="AX5">
        <f>AV5/AW5</f>
        <v>206.55172413793105</v>
      </c>
      <c r="AY5">
        <v>300</v>
      </c>
      <c r="BA5">
        <v>3204</v>
      </c>
      <c r="BB5">
        <v>14.9</v>
      </c>
      <c r="BC5">
        <f t="shared" si="4"/>
        <v>215.03355704697987</v>
      </c>
      <c r="BD5">
        <v>250</v>
      </c>
      <c r="BF5">
        <v>28920</v>
      </c>
      <c r="BG5">
        <v>140</v>
      </c>
      <c r="BH5">
        <f t="shared" si="5"/>
        <v>206.57142857142858</v>
      </c>
      <c r="BI5">
        <v>250</v>
      </c>
      <c r="BK5">
        <v>10115</v>
      </c>
      <c r="BL5">
        <v>80</v>
      </c>
      <c r="BM5">
        <f t="shared" si="6"/>
        <v>126.4375</v>
      </c>
      <c r="BN5">
        <v>150</v>
      </c>
      <c r="BP5">
        <v>19609</v>
      </c>
      <c r="BQ5">
        <v>108</v>
      </c>
      <c r="BR5">
        <f t="shared" si="7"/>
        <v>181.56481481481481</v>
      </c>
      <c r="BS5">
        <v>200</v>
      </c>
      <c r="BU5">
        <v>0</v>
      </c>
      <c r="BV5">
        <v>0</v>
      </c>
      <c r="BW5" t="e">
        <f t="shared" si="8"/>
        <v>#DIV/0!</v>
      </c>
      <c r="BX5">
        <v>100</v>
      </c>
      <c r="BZ5">
        <v>5297</v>
      </c>
      <c r="CA5">
        <v>37.5</v>
      </c>
      <c r="CB5">
        <f t="shared" si="9"/>
        <v>141.25333333333333</v>
      </c>
      <c r="CC5">
        <v>160</v>
      </c>
      <c r="CE5" t="s">
        <v>2</v>
      </c>
      <c r="CF5" t="s">
        <v>2</v>
      </c>
      <c r="CG5" t="s">
        <v>2</v>
      </c>
      <c r="CH5" t="s">
        <v>2</v>
      </c>
      <c r="CJ5">
        <v>7</v>
      </c>
      <c r="CK5">
        <v>0.33</v>
      </c>
      <c r="CL5">
        <f t="shared" si="10"/>
        <v>21.212121212121211</v>
      </c>
      <c r="CM5">
        <v>40</v>
      </c>
      <c r="CO5">
        <v>225</v>
      </c>
      <c r="CP5">
        <v>1.2</v>
      </c>
      <c r="CQ5">
        <f t="shared" si="11"/>
        <v>187.5</v>
      </c>
      <c r="CR5">
        <v>300</v>
      </c>
    </row>
    <row r="6" spans="1:97" x14ac:dyDescent="0.25">
      <c r="A6">
        <v>44108</v>
      </c>
      <c r="B6" t="s">
        <v>2</v>
      </c>
      <c r="C6">
        <v>1</v>
      </c>
      <c r="E6" t="s">
        <v>2</v>
      </c>
      <c r="F6">
        <v>0</v>
      </c>
      <c r="H6" t="s">
        <v>2</v>
      </c>
      <c r="I6" t="s">
        <v>2</v>
      </c>
      <c r="K6" t="s">
        <v>2</v>
      </c>
      <c r="L6" t="s">
        <v>2</v>
      </c>
      <c r="M6" t="e">
        <f t="shared" si="0"/>
        <v>#VALUE!</v>
      </c>
      <c r="N6">
        <v>0.995</v>
      </c>
      <c r="P6" t="s">
        <v>2</v>
      </c>
      <c r="Q6" t="s">
        <v>2</v>
      </c>
      <c r="R6" t="e">
        <f t="shared" si="1"/>
        <v>#VALUE!</v>
      </c>
      <c r="S6">
        <v>0.997</v>
      </c>
      <c r="U6" t="s">
        <v>2</v>
      </c>
      <c r="W6" t="s">
        <v>2</v>
      </c>
      <c r="X6" t="s">
        <v>2</v>
      </c>
      <c r="Y6" t="s">
        <v>2</v>
      </c>
      <c r="Z6" t="e">
        <f t="shared" si="2"/>
        <v>#DIV/0!</v>
      </c>
      <c r="AA6">
        <v>0.02</v>
      </c>
      <c r="AB6">
        <v>0.05</v>
      </c>
      <c r="AD6" t="s">
        <v>2</v>
      </c>
      <c r="AE6" t="s">
        <v>2</v>
      </c>
      <c r="AF6" t="s">
        <v>2</v>
      </c>
      <c r="AG6" t="s">
        <v>2</v>
      </c>
      <c r="AH6" t="s">
        <v>2</v>
      </c>
      <c r="AI6" t="e">
        <f t="shared" si="3"/>
        <v>#VALUE!</v>
      </c>
      <c r="AJ6">
        <v>800</v>
      </c>
      <c r="AL6" t="s">
        <v>2</v>
      </c>
      <c r="AM6" t="s">
        <v>2</v>
      </c>
      <c r="AN6" t="s">
        <v>2</v>
      </c>
      <c r="AO6" t="s">
        <v>2</v>
      </c>
      <c r="AQ6" t="s">
        <v>2</v>
      </c>
      <c r="AR6" t="s">
        <v>2</v>
      </c>
      <c r="AS6" t="s">
        <v>2</v>
      </c>
      <c r="AT6" t="s">
        <v>2</v>
      </c>
      <c r="AV6" t="s">
        <v>2</v>
      </c>
      <c r="AW6" t="s">
        <v>2</v>
      </c>
      <c r="AX6" t="e">
        <f>AV6/AW6</f>
        <v>#VALUE!</v>
      </c>
      <c r="AY6">
        <v>300</v>
      </c>
      <c r="BA6" t="s">
        <v>2</v>
      </c>
      <c r="BB6" t="s">
        <v>2</v>
      </c>
      <c r="BC6" t="e">
        <f t="shared" si="4"/>
        <v>#VALUE!</v>
      </c>
      <c r="BD6">
        <v>250</v>
      </c>
      <c r="BF6" t="s">
        <v>2</v>
      </c>
      <c r="BG6" t="s">
        <v>2</v>
      </c>
      <c r="BH6" t="e">
        <f t="shared" si="5"/>
        <v>#VALUE!</v>
      </c>
      <c r="BI6">
        <v>250</v>
      </c>
      <c r="BK6" t="s">
        <v>2</v>
      </c>
      <c r="BL6" t="s">
        <v>2</v>
      </c>
      <c r="BM6" t="e">
        <f t="shared" si="6"/>
        <v>#VALUE!</v>
      </c>
      <c r="BN6">
        <v>150</v>
      </c>
      <c r="BP6" t="s">
        <v>2</v>
      </c>
      <c r="BQ6" t="s">
        <v>2</v>
      </c>
      <c r="BR6" t="e">
        <f t="shared" si="7"/>
        <v>#VALUE!</v>
      </c>
      <c r="BS6">
        <v>200</v>
      </c>
      <c r="BU6" t="s">
        <v>2</v>
      </c>
      <c r="BV6" t="s">
        <v>2</v>
      </c>
      <c r="BW6" t="e">
        <f t="shared" si="8"/>
        <v>#VALUE!</v>
      </c>
      <c r="BX6">
        <v>100</v>
      </c>
      <c r="BZ6" t="s">
        <v>2</v>
      </c>
      <c r="CA6" t="s">
        <v>2</v>
      </c>
      <c r="CB6" t="e">
        <f t="shared" si="9"/>
        <v>#VALUE!</v>
      </c>
      <c r="CC6">
        <v>160</v>
      </c>
      <c r="CE6" t="s">
        <v>2</v>
      </c>
      <c r="CF6" t="s">
        <v>2</v>
      </c>
      <c r="CG6" t="s">
        <v>2</v>
      </c>
      <c r="CH6" t="s">
        <v>2</v>
      </c>
      <c r="CJ6" t="s">
        <v>2</v>
      </c>
      <c r="CK6" t="s">
        <v>2</v>
      </c>
      <c r="CL6" t="e">
        <f t="shared" si="10"/>
        <v>#VALUE!</v>
      </c>
      <c r="CM6">
        <v>40</v>
      </c>
      <c r="CO6" t="s">
        <v>2</v>
      </c>
      <c r="CP6" t="s">
        <v>2</v>
      </c>
      <c r="CQ6" t="e">
        <f t="shared" si="11"/>
        <v>#VALUE!</v>
      </c>
      <c r="CR6">
        <v>300</v>
      </c>
    </row>
    <row r="7" spans="1:97" x14ac:dyDescent="0.25">
      <c r="A7">
        <v>44109</v>
      </c>
      <c r="B7">
        <v>0</v>
      </c>
      <c r="C7">
        <v>1</v>
      </c>
      <c r="E7">
        <v>0</v>
      </c>
      <c r="F7">
        <v>0</v>
      </c>
      <c r="H7">
        <v>586</v>
      </c>
      <c r="I7">
        <v>699</v>
      </c>
      <c r="K7">
        <v>551</v>
      </c>
      <c r="L7">
        <v>551</v>
      </c>
      <c r="M7">
        <f t="shared" si="0"/>
        <v>1</v>
      </c>
      <c r="N7">
        <v>0.995</v>
      </c>
      <c r="P7">
        <v>457</v>
      </c>
      <c r="Q7">
        <v>458</v>
      </c>
      <c r="R7">
        <f t="shared" si="1"/>
        <v>0.99781659388646293</v>
      </c>
      <c r="S7">
        <v>0.997</v>
      </c>
      <c r="U7">
        <v>252</v>
      </c>
      <c r="W7">
        <v>228</v>
      </c>
      <c r="X7">
        <v>0</v>
      </c>
      <c r="Y7">
        <v>0</v>
      </c>
      <c r="Z7">
        <f t="shared" si="2"/>
        <v>0</v>
      </c>
      <c r="AA7">
        <v>0.02</v>
      </c>
      <c r="AB7">
        <v>0.05</v>
      </c>
      <c r="AD7">
        <v>9079810</v>
      </c>
      <c r="AE7">
        <v>6137500</v>
      </c>
      <c r="AF7">
        <v>7925000</v>
      </c>
      <c r="AG7">
        <v>0</v>
      </c>
      <c r="AH7">
        <v>15936</v>
      </c>
      <c r="AI7">
        <f t="shared" si="3"/>
        <v>1452.203187751004</v>
      </c>
      <c r="AJ7">
        <v>800</v>
      </c>
      <c r="AL7" t="s">
        <v>2</v>
      </c>
      <c r="AM7" t="s">
        <v>2</v>
      </c>
      <c r="AN7" t="s">
        <v>2</v>
      </c>
      <c r="AO7" t="s">
        <v>2</v>
      </c>
      <c r="AQ7" t="s">
        <v>2</v>
      </c>
      <c r="AR7" t="s">
        <v>2</v>
      </c>
      <c r="AS7" t="s">
        <v>2</v>
      </c>
      <c r="AT7" t="s">
        <v>2</v>
      </c>
      <c r="AV7">
        <v>3839</v>
      </c>
      <c r="AW7">
        <v>17.13</v>
      </c>
      <c r="AX7">
        <f t="shared" ref="AX7:AX16" si="12">AV3/AW7</f>
        <v>157.67659077641565</v>
      </c>
      <c r="AY7">
        <v>300</v>
      </c>
      <c r="BA7">
        <v>1034</v>
      </c>
      <c r="BB7">
        <v>5</v>
      </c>
      <c r="BC7">
        <f t="shared" si="4"/>
        <v>206.8</v>
      </c>
      <c r="BD7">
        <v>250</v>
      </c>
      <c r="BF7">
        <v>41124</v>
      </c>
      <c r="BG7">
        <v>144</v>
      </c>
      <c r="BH7">
        <f t="shared" si="5"/>
        <v>285.58333333333331</v>
      </c>
      <c r="BI7">
        <v>250</v>
      </c>
      <c r="BK7">
        <v>10770</v>
      </c>
      <c r="BL7">
        <v>60</v>
      </c>
      <c r="BM7">
        <f t="shared" si="6"/>
        <v>179.5</v>
      </c>
      <c r="BN7">
        <v>150</v>
      </c>
      <c r="BP7">
        <v>10611</v>
      </c>
      <c r="BQ7">
        <v>63</v>
      </c>
      <c r="BR7">
        <f t="shared" si="7"/>
        <v>168.42857142857142</v>
      </c>
      <c r="BS7">
        <v>200</v>
      </c>
      <c r="BU7">
        <v>2788</v>
      </c>
      <c r="BV7">
        <v>44.5</v>
      </c>
      <c r="BW7">
        <f t="shared" si="8"/>
        <v>62.651685393258425</v>
      </c>
      <c r="BX7">
        <v>100</v>
      </c>
      <c r="BZ7">
        <v>5049</v>
      </c>
      <c r="CA7">
        <v>34</v>
      </c>
      <c r="CB7">
        <f t="shared" si="9"/>
        <v>148.5</v>
      </c>
      <c r="CC7">
        <v>160</v>
      </c>
      <c r="CE7" t="s">
        <v>2</v>
      </c>
      <c r="CF7" t="s">
        <v>2</v>
      </c>
      <c r="CG7" t="s">
        <v>2</v>
      </c>
      <c r="CH7" t="s">
        <v>2</v>
      </c>
      <c r="CJ7">
        <v>9</v>
      </c>
      <c r="CK7">
        <v>0.2</v>
      </c>
      <c r="CL7">
        <f t="shared" si="10"/>
        <v>45</v>
      </c>
      <c r="CM7">
        <v>40</v>
      </c>
      <c r="CO7">
        <v>18</v>
      </c>
      <c r="CP7">
        <v>0.1</v>
      </c>
      <c r="CQ7">
        <f t="shared" si="11"/>
        <v>180</v>
      </c>
      <c r="CR7">
        <v>300</v>
      </c>
    </row>
    <row r="8" spans="1:97" x14ac:dyDescent="0.25">
      <c r="A8">
        <v>44110</v>
      </c>
      <c r="B8">
        <v>0</v>
      </c>
      <c r="C8">
        <v>1</v>
      </c>
      <c r="E8">
        <v>0</v>
      </c>
      <c r="F8">
        <v>0</v>
      </c>
      <c r="H8">
        <v>931</v>
      </c>
      <c r="I8">
        <v>848</v>
      </c>
      <c r="K8">
        <v>905</v>
      </c>
      <c r="L8">
        <v>905</v>
      </c>
      <c r="M8">
        <f t="shared" si="0"/>
        <v>1</v>
      </c>
      <c r="N8">
        <v>0.995</v>
      </c>
      <c r="P8">
        <v>580</v>
      </c>
      <c r="Q8">
        <v>580</v>
      </c>
      <c r="R8">
        <f t="shared" si="1"/>
        <v>1</v>
      </c>
      <c r="S8">
        <v>0.997</v>
      </c>
      <c r="U8">
        <v>316</v>
      </c>
      <c r="W8">
        <v>236</v>
      </c>
      <c r="X8">
        <v>0</v>
      </c>
      <c r="Y8">
        <v>0</v>
      </c>
      <c r="Z8">
        <f t="shared" si="2"/>
        <v>0</v>
      </c>
      <c r="AA8">
        <v>0.02</v>
      </c>
      <c r="AB8">
        <v>0.05</v>
      </c>
      <c r="AD8">
        <v>9398400</v>
      </c>
      <c r="AE8">
        <v>6609620</v>
      </c>
      <c r="AF8">
        <v>9585000</v>
      </c>
      <c r="AG8">
        <v>0</v>
      </c>
      <c r="AH8">
        <v>28795</v>
      </c>
      <c r="AI8">
        <f t="shared" si="3"/>
        <v>888.80083347803441</v>
      </c>
      <c r="AJ8">
        <v>800</v>
      </c>
      <c r="AL8" t="s">
        <v>2</v>
      </c>
      <c r="AM8" t="s">
        <v>2</v>
      </c>
      <c r="AN8" t="s">
        <v>2</v>
      </c>
      <c r="AO8" t="s">
        <v>2</v>
      </c>
      <c r="AQ8" t="s">
        <v>2</v>
      </c>
      <c r="AR8" t="s">
        <v>2</v>
      </c>
      <c r="AS8" t="s">
        <v>2</v>
      </c>
      <c r="AT8" t="s">
        <v>2</v>
      </c>
      <c r="AV8">
        <v>4258</v>
      </c>
      <c r="AW8">
        <v>18.670000000000002</v>
      </c>
      <c r="AX8">
        <f t="shared" si="12"/>
        <v>83.663631494375991</v>
      </c>
      <c r="AY8">
        <v>300</v>
      </c>
      <c r="BA8">
        <v>63</v>
      </c>
      <c r="BB8">
        <v>0.3</v>
      </c>
      <c r="BC8">
        <f t="shared" si="4"/>
        <v>210</v>
      </c>
      <c r="BD8">
        <v>250</v>
      </c>
      <c r="BF8">
        <v>40320</v>
      </c>
      <c r="BG8">
        <v>160</v>
      </c>
      <c r="BH8">
        <f t="shared" si="5"/>
        <v>252</v>
      </c>
      <c r="BI8">
        <v>250</v>
      </c>
      <c r="BK8">
        <v>6125</v>
      </c>
      <c r="BL8">
        <v>48</v>
      </c>
      <c r="BM8">
        <f t="shared" si="6"/>
        <v>127.60416666666667</v>
      </c>
      <c r="BN8">
        <v>150</v>
      </c>
      <c r="BP8">
        <v>14414</v>
      </c>
      <c r="BQ8">
        <v>80.5</v>
      </c>
      <c r="BR8">
        <f t="shared" si="7"/>
        <v>179.05590062111801</v>
      </c>
      <c r="BS8">
        <v>200</v>
      </c>
      <c r="BU8">
        <v>5324</v>
      </c>
      <c r="BV8">
        <v>82.5</v>
      </c>
      <c r="BW8">
        <f t="shared" si="8"/>
        <v>64.533333333333331</v>
      </c>
      <c r="BX8">
        <v>100</v>
      </c>
      <c r="BZ8">
        <v>5540</v>
      </c>
      <c r="CA8">
        <v>34</v>
      </c>
      <c r="CB8">
        <f t="shared" si="9"/>
        <v>162.94117647058823</v>
      </c>
      <c r="CC8">
        <v>160</v>
      </c>
      <c r="CE8" t="s">
        <v>2</v>
      </c>
      <c r="CF8" t="s">
        <v>2</v>
      </c>
      <c r="CG8" t="s">
        <v>2</v>
      </c>
      <c r="CH8" t="s">
        <v>2</v>
      </c>
      <c r="CJ8">
        <v>4</v>
      </c>
      <c r="CK8">
        <v>0.13</v>
      </c>
      <c r="CL8">
        <f t="shared" si="10"/>
        <v>30.769230769230766</v>
      </c>
      <c r="CM8">
        <v>40</v>
      </c>
      <c r="CO8">
        <v>306</v>
      </c>
      <c r="CP8">
        <v>2</v>
      </c>
      <c r="CQ8">
        <f t="shared" si="11"/>
        <v>153</v>
      </c>
      <c r="CR8">
        <v>300</v>
      </c>
    </row>
    <row r="9" spans="1:97" x14ac:dyDescent="0.25">
      <c r="A9">
        <v>44111</v>
      </c>
      <c r="B9">
        <v>0</v>
      </c>
      <c r="C9">
        <v>1</v>
      </c>
      <c r="E9">
        <v>0</v>
      </c>
      <c r="F9">
        <v>0</v>
      </c>
      <c r="H9">
        <v>791</v>
      </c>
      <c r="I9">
        <v>831</v>
      </c>
      <c r="K9">
        <v>878</v>
      </c>
      <c r="L9">
        <v>878</v>
      </c>
      <c r="M9">
        <f t="shared" si="0"/>
        <v>1</v>
      </c>
      <c r="N9">
        <v>0.995</v>
      </c>
      <c r="P9">
        <v>615</v>
      </c>
      <c r="Q9">
        <v>618</v>
      </c>
      <c r="R9">
        <f t="shared" si="1"/>
        <v>0.99514563106796117</v>
      </c>
      <c r="S9">
        <v>0.997</v>
      </c>
      <c r="U9">
        <v>232</v>
      </c>
      <c r="W9">
        <v>240</v>
      </c>
      <c r="X9">
        <v>0</v>
      </c>
      <c r="Y9">
        <v>0</v>
      </c>
      <c r="Z9">
        <f t="shared" si="2"/>
        <v>0</v>
      </c>
      <c r="AA9">
        <v>0.02</v>
      </c>
      <c r="AB9">
        <v>0.05</v>
      </c>
      <c r="AD9">
        <v>9557690</v>
      </c>
      <c r="AE9">
        <v>6137500</v>
      </c>
      <c r="AF9">
        <v>7260000</v>
      </c>
      <c r="AG9">
        <v>0</v>
      </c>
      <c r="AH9">
        <v>20524</v>
      </c>
      <c r="AI9">
        <f t="shared" si="3"/>
        <v>1118.4559540050673</v>
      </c>
      <c r="AJ9">
        <v>800</v>
      </c>
      <c r="AL9" t="s">
        <v>2</v>
      </c>
      <c r="AM9" t="s">
        <v>2</v>
      </c>
      <c r="AN9" t="s">
        <v>2</v>
      </c>
      <c r="AO9" t="s">
        <v>2</v>
      </c>
      <c r="AQ9" t="s">
        <v>2</v>
      </c>
      <c r="AR9" t="s">
        <v>2</v>
      </c>
      <c r="AS9" t="s">
        <v>2</v>
      </c>
      <c r="AT9" t="s">
        <v>2</v>
      </c>
      <c r="AV9">
        <v>1711</v>
      </c>
      <c r="AW9">
        <v>7.67</v>
      </c>
      <c r="AX9">
        <f t="shared" si="12"/>
        <v>390.48239895697526</v>
      </c>
      <c r="AY9">
        <v>300</v>
      </c>
      <c r="BA9">
        <v>0</v>
      </c>
      <c r="BB9">
        <v>0</v>
      </c>
      <c r="BC9" t="e">
        <f t="shared" si="4"/>
        <v>#DIV/0!</v>
      </c>
      <c r="BD9">
        <v>250</v>
      </c>
      <c r="BF9">
        <v>28560</v>
      </c>
      <c r="BG9">
        <v>128</v>
      </c>
      <c r="BH9">
        <f t="shared" si="5"/>
        <v>223.125</v>
      </c>
      <c r="BI9">
        <v>250</v>
      </c>
      <c r="BK9">
        <v>4851</v>
      </c>
      <c r="BL9">
        <v>40</v>
      </c>
      <c r="BM9">
        <f t="shared" si="6"/>
        <v>121.27500000000001</v>
      </c>
      <c r="BN9">
        <v>150</v>
      </c>
      <c r="BP9">
        <v>11445</v>
      </c>
      <c r="BQ9">
        <v>68.8</v>
      </c>
      <c r="BR9">
        <f t="shared" si="7"/>
        <v>166.35174418604652</v>
      </c>
      <c r="BS9">
        <v>200</v>
      </c>
      <c r="BU9">
        <v>5097</v>
      </c>
      <c r="BV9">
        <v>38.5</v>
      </c>
      <c r="BW9">
        <f t="shared" si="8"/>
        <v>132.3896103896104</v>
      </c>
      <c r="BX9">
        <v>100</v>
      </c>
      <c r="BZ9">
        <v>3193</v>
      </c>
      <c r="CA9">
        <v>26</v>
      </c>
      <c r="CB9">
        <f t="shared" si="9"/>
        <v>122.80769230769231</v>
      </c>
      <c r="CC9">
        <v>160</v>
      </c>
      <c r="CE9" t="s">
        <v>2</v>
      </c>
      <c r="CF9" t="s">
        <v>2</v>
      </c>
      <c r="CG9" t="s">
        <v>2</v>
      </c>
      <c r="CH9" t="s">
        <v>2</v>
      </c>
      <c r="CJ9">
        <v>33</v>
      </c>
      <c r="CK9">
        <v>1.55</v>
      </c>
      <c r="CL9">
        <f t="shared" si="10"/>
        <v>21.29032258064516</v>
      </c>
      <c r="CM9">
        <v>40</v>
      </c>
      <c r="CO9">
        <v>904</v>
      </c>
      <c r="CP9">
        <v>5</v>
      </c>
      <c r="CQ9">
        <f t="shared" si="11"/>
        <v>180.8</v>
      </c>
      <c r="CR9">
        <v>300</v>
      </c>
    </row>
    <row r="10" spans="1:97" x14ac:dyDescent="0.25">
      <c r="A10">
        <v>44112</v>
      </c>
      <c r="B10">
        <v>0</v>
      </c>
      <c r="C10">
        <v>1</v>
      </c>
      <c r="E10">
        <v>0</v>
      </c>
      <c r="F10">
        <v>0</v>
      </c>
      <c r="H10">
        <v>701</v>
      </c>
      <c r="I10">
        <v>848</v>
      </c>
      <c r="K10">
        <v>723</v>
      </c>
      <c r="L10">
        <v>723</v>
      </c>
      <c r="M10">
        <f t="shared" si="0"/>
        <v>1</v>
      </c>
      <c r="N10">
        <v>0.995</v>
      </c>
      <c r="P10">
        <v>456</v>
      </c>
      <c r="Q10">
        <v>456</v>
      </c>
      <c r="R10">
        <f t="shared" si="1"/>
        <v>1</v>
      </c>
      <c r="S10">
        <v>0.997</v>
      </c>
      <c r="U10">
        <v>190</v>
      </c>
      <c r="W10">
        <v>236</v>
      </c>
      <c r="X10">
        <v>0</v>
      </c>
      <c r="Y10">
        <v>0</v>
      </c>
      <c r="Z10">
        <f t="shared" si="2"/>
        <v>0</v>
      </c>
      <c r="AA10">
        <v>0.02</v>
      </c>
      <c r="AB10">
        <v>0.05</v>
      </c>
      <c r="AD10">
        <v>9398400</v>
      </c>
      <c r="AE10">
        <v>6609620</v>
      </c>
      <c r="AF10">
        <v>6185000</v>
      </c>
      <c r="AG10">
        <v>0</v>
      </c>
      <c r="AH10">
        <v>23901</v>
      </c>
      <c r="AI10">
        <f t="shared" si="3"/>
        <v>928.53939165725285</v>
      </c>
      <c r="AJ10">
        <v>800</v>
      </c>
      <c r="AL10" t="s">
        <v>2</v>
      </c>
      <c r="AM10" t="s">
        <v>2</v>
      </c>
      <c r="AN10" t="s">
        <v>2</v>
      </c>
      <c r="AO10" t="s">
        <v>2</v>
      </c>
      <c r="AQ10" t="s">
        <v>2</v>
      </c>
      <c r="AR10" t="s">
        <v>2</v>
      </c>
      <c r="AS10" t="s">
        <v>2</v>
      </c>
      <c r="AT10" t="s">
        <v>2</v>
      </c>
      <c r="AV10">
        <v>61</v>
      </c>
      <c r="AW10">
        <v>0.25</v>
      </c>
      <c r="AX10" t="e">
        <f t="shared" si="12"/>
        <v>#VALUE!</v>
      </c>
      <c r="AY10">
        <v>300</v>
      </c>
      <c r="BA10">
        <v>22</v>
      </c>
      <c r="BB10">
        <v>0.11</v>
      </c>
      <c r="BC10">
        <f t="shared" si="4"/>
        <v>200</v>
      </c>
      <c r="BD10">
        <v>250</v>
      </c>
      <c r="BF10">
        <v>7668</v>
      </c>
      <c r="BG10">
        <v>54</v>
      </c>
      <c r="BH10">
        <f t="shared" si="5"/>
        <v>142</v>
      </c>
      <c r="BI10">
        <v>250</v>
      </c>
      <c r="BK10">
        <v>12781</v>
      </c>
      <c r="BL10">
        <v>68</v>
      </c>
      <c r="BM10">
        <f t="shared" si="6"/>
        <v>187.95588235294119</v>
      </c>
      <c r="BN10">
        <v>150</v>
      </c>
      <c r="BP10">
        <v>9649</v>
      </c>
      <c r="BQ10">
        <v>57</v>
      </c>
      <c r="BR10">
        <f t="shared" si="7"/>
        <v>169.28070175438597</v>
      </c>
      <c r="BS10">
        <v>200</v>
      </c>
      <c r="BU10">
        <v>2714</v>
      </c>
      <c r="BV10">
        <v>37.5</v>
      </c>
      <c r="BW10">
        <f t="shared" si="8"/>
        <v>72.373333333333335</v>
      </c>
      <c r="BX10">
        <v>100</v>
      </c>
      <c r="BZ10">
        <v>4129</v>
      </c>
      <c r="CA10">
        <v>30.3</v>
      </c>
      <c r="CB10">
        <f t="shared" si="9"/>
        <v>136.27062706270627</v>
      </c>
      <c r="CC10">
        <v>160</v>
      </c>
      <c r="CE10" t="s">
        <v>2</v>
      </c>
      <c r="CF10" t="s">
        <v>2</v>
      </c>
      <c r="CG10" t="s">
        <v>2</v>
      </c>
      <c r="CH10" t="s">
        <v>2</v>
      </c>
      <c r="CJ10">
        <v>63</v>
      </c>
      <c r="CK10">
        <v>1.88</v>
      </c>
      <c r="CL10">
        <f t="shared" si="10"/>
        <v>33.51063829787234</v>
      </c>
      <c r="CM10">
        <v>40</v>
      </c>
      <c r="CO10">
        <v>899</v>
      </c>
      <c r="CP10">
        <v>4.5999999999999996</v>
      </c>
      <c r="CQ10">
        <f t="shared" si="11"/>
        <v>195.43478260869566</v>
      </c>
      <c r="CR10">
        <v>300</v>
      </c>
    </row>
    <row r="11" spans="1:97" x14ac:dyDescent="0.25">
      <c r="A11">
        <v>44113</v>
      </c>
      <c r="B11">
        <v>0</v>
      </c>
      <c r="C11">
        <v>1</v>
      </c>
      <c r="E11">
        <v>0</v>
      </c>
      <c r="F11">
        <v>0</v>
      </c>
      <c r="H11">
        <v>710</v>
      </c>
      <c r="I11">
        <v>833</v>
      </c>
      <c r="K11">
        <v>705</v>
      </c>
      <c r="L11">
        <v>705</v>
      </c>
      <c r="M11">
        <f t="shared" si="0"/>
        <v>1</v>
      </c>
      <c r="N11">
        <v>0.995</v>
      </c>
      <c r="P11">
        <v>581</v>
      </c>
      <c r="Q11">
        <v>582</v>
      </c>
      <c r="R11">
        <f t="shared" si="1"/>
        <v>0.99828178694158076</v>
      </c>
      <c r="S11">
        <v>0.997</v>
      </c>
      <c r="U11">
        <v>296</v>
      </c>
      <c r="W11">
        <v>212</v>
      </c>
      <c r="X11">
        <v>0</v>
      </c>
      <c r="Y11">
        <v>0</v>
      </c>
      <c r="Z11">
        <f t="shared" si="2"/>
        <v>0</v>
      </c>
      <c r="AA11">
        <v>0.02</v>
      </c>
      <c r="AB11">
        <v>0.05</v>
      </c>
      <c r="AD11">
        <v>8442630</v>
      </c>
      <c r="AE11">
        <v>6609620</v>
      </c>
      <c r="AF11">
        <v>9130000</v>
      </c>
      <c r="AG11">
        <v>0</v>
      </c>
      <c r="AH11">
        <v>20492</v>
      </c>
      <c r="AI11">
        <f t="shared" si="3"/>
        <v>1180.0824712082765</v>
      </c>
      <c r="AJ11">
        <v>800</v>
      </c>
      <c r="AL11" t="s">
        <v>2</v>
      </c>
      <c r="AM11" t="s">
        <v>2</v>
      </c>
      <c r="AN11" t="s">
        <v>2</v>
      </c>
      <c r="AO11" t="s">
        <v>2</v>
      </c>
      <c r="AQ11" t="s">
        <v>2</v>
      </c>
      <c r="AR11" t="s">
        <v>2</v>
      </c>
      <c r="AS11" t="s">
        <v>2</v>
      </c>
      <c r="AT11" t="s">
        <v>2</v>
      </c>
      <c r="AV11">
        <v>4449</v>
      </c>
      <c r="AW11">
        <v>12.17</v>
      </c>
      <c r="AX11">
        <f t="shared" si="12"/>
        <v>315.44782251437965</v>
      </c>
      <c r="AY11">
        <v>300</v>
      </c>
      <c r="BA11">
        <v>22</v>
      </c>
      <c r="BB11">
        <v>0.11</v>
      </c>
      <c r="BC11">
        <f t="shared" si="4"/>
        <v>200</v>
      </c>
      <c r="BD11">
        <v>250</v>
      </c>
      <c r="BF11">
        <v>26196</v>
      </c>
      <c r="BG11">
        <v>144</v>
      </c>
      <c r="BH11">
        <f t="shared" si="5"/>
        <v>181.91666666666666</v>
      </c>
      <c r="BI11">
        <v>250</v>
      </c>
      <c r="BK11">
        <v>12916</v>
      </c>
      <c r="BL11">
        <v>68</v>
      </c>
      <c r="BM11">
        <f t="shared" si="6"/>
        <v>189.94117647058823</v>
      </c>
      <c r="BN11">
        <v>150</v>
      </c>
      <c r="BP11">
        <v>9893</v>
      </c>
      <c r="BQ11">
        <v>57.5</v>
      </c>
      <c r="BR11">
        <f t="shared" si="7"/>
        <v>172.05217391304348</v>
      </c>
      <c r="BS11">
        <v>200</v>
      </c>
      <c r="BU11">
        <v>3273</v>
      </c>
      <c r="BV11">
        <v>48.5</v>
      </c>
      <c r="BW11">
        <f t="shared" si="8"/>
        <v>67.484536082474222</v>
      </c>
      <c r="BX11">
        <v>100</v>
      </c>
      <c r="BZ11">
        <v>4290</v>
      </c>
      <c r="CA11">
        <v>35.5</v>
      </c>
      <c r="CB11">
        <f t="shared" si="9"/>
        <v>120.84507042253522</v>
      </c>
      <c r="CC11">
        <v>160</v>
      </c>
      <c r="CE11" t="s">
        <v>2</v>
      </c>
      <c r="CF11" t="s">
        <v>2</v>
      </c>
      <c r="CG11" t="s">
        <v>2</v>
      </c>
      <c r="CH11" t="s">
        <v>2</v>
      </c>
      <c r="CJ11">
        <v>22</v>
      </c>
      <c r="CK11">
        <v>0.68</v>
      </c>
      <c r="CL11">
        <f t="shared" si="10"/>
        <v>32.352941176470587</v>
      </c>
      <c r="CM11">
        <v>40</v>
      </c>
      <c r="CO11">
        <v>1971</v>
      </c>
      <c r="CP11">
        <v>6.6</v>
      </c>
      <c r="CQ11">
        <f t="shared" si="11"/>
        <v>298.63636363636363</v>
      </c>
      <c r="CR11">
        <v>300</v>
      </c>
    </row>
    <row r="12" spans="1:97" x14ac:dyDescent="0.25">
      <c r="A12">
        <v>44114</v>
      </c>
      <c r="B12">
        <v>0</v>
      </c>
      <c r="C12">
        <v>1</v>
      </c>
      <c r="E12">
        <v>0</v>
      </c>
      <c r="F12">
        <v>0</v>
      </c>
      <c r="H12">
        <v>397</v>
      </c>
      <c r="I12">
        <v>761</v>
      </c>
      <c r="K12">
        <v>421</v>
      </c>
      <c r="L12">
        <v>421</v>
      </c>
      <c r="M12">
        <f t="shared" si="0"/>
        <v>1</v>
      </c>
      <c r="N12">
        <v>0.995</v>
      </c>
      <c r="P12">
        <v>461</v>
      </c>
      <c r="Q12">
        <v>461</v>
      </c>
      <c r="R12">
        <f t="shared" si="1"/>
        <v>1</v>
      </c>
      <c r="S12">
        <v>0.997</v>
      </c>
      <c r="U12">
        <v>175</v>
      </c>
      <c r="W12">
        <v>216</v>
      </c>
      <c r="X12">
        <v>0</v>
      </c>
      <c r="Y12">
        <v>0</v>
      </c>
      <c r="Z12">
        <f t="shared" si="2"/>
        <v>0</v>
      </c>
      <c r="AA12">
        <v>0.02</v>
      </c>
      <c r="AB12">
        <v>0.05</v>
      </c>
      <c r="AD12">
        <v>8601920</v>
      </c>
      <c r="AE12">
        <v>6609620</v>
      </c>
      <c r="AF12">
        <v>6316250</v>
      </c>
      <c r="AG12">
        <v>0</v>
      </c>
      <c r="AH12">
        <v>9348</v>
      </c>
      <c r="AI12">
        <f t="shared" si="3"/>
        <v>2302.9300385109113</v>
      </c>
      <c r="AJ12">
        <v>800</v>
      </c>
      <c r="AL12" t="s">
        <v>2</v>
      </c>
      <c r="AM12" t="s">
        <v>2</v>
      </c>
      <c r="AN12" t="s">
        <v>2</v>
      </c>
      <c r="AO12" t="s">
        <v>2</v>
      </c>
      <c r="AQ12" t="s">
        <v>2</v>
      </c>
      <c r="AR12" t="s">
        <v>2</v>
      </c>
      <c r="AS12" t="s">
        <v>2</v>
      </c>
      <c r="AT12" t="s">
        <v>2</v>
      </c>
      <c r="AV12">
        <v>1732</v>
      </c>
      <c r="AW12">
        <v>5</v>
      </c>
      <c r="AX12">
        <f t="shared" si="12"/>
        <v>851.6</v>
      </c>
      <c r="AY12">
        <v>300</v>
      </c>
      <c r="BA12">
        <v>317</v>
      </c>
      <c r="BB12">
        <v>1.5</v>
      </c>
      <c r="BC12">
        <f t="shared" si="4"/>
        <v>211.33333333333334</v>
      </c>
      <c r="BD12">
        <v>250</v>
      </c>
      <c r="BF12">
        <v>24300</v>
      </c>
      <c r="BG12">
        <v>96</v>
      </c>
      <c r="BH12">
        <f t="shared" si="5"/>
        <v>253.125</v>
      </c>
      <c r="BI12">
        <v>250</v>
      </c>
      <c r="BK12">
        <v>5017</v>
      </c>
      <c r="BL12">
        <v>40</v>
      </c>
      <c r="BM12">
        <f t="shared" si="6"/>
        <v>125.425</v>
      </c>
      <c r="BN12">
        <v>150</v>
      </c>
      <c r="BP12">
        <v>4917</v>
      </c>
      <c r="BQ12">
        <v>26.3</v>
      </c>
      <c r="BR12">
        <f t="shared" si="7"/>
        <v>186.95817490494295</v>
      </c>
      <c r="BS12">
        <v>200</v>
      </c>
      <c r="BU12">
        <v>1691</v>
      </c>
      <c r="BV12">
        <v>25</v>
      </c>
      <c r="BW12">
        <f t="shared" si="8"/>
        <v>67.64</v>
      </c>
      <c r="BX12">
        <v>100</v>
      </c>
      <c r="BZ12">
        <v>6289</v>
      </c>
      <c r="CA12">
        <v>33.5</v>
      </c>
      <c r="CB12">
        <f t="shared" si="9"/>
        <v>187.73134328358208</v>
      </c>
      <c r="CC12">
        <v>160</v>
      </c>
      <c r="CE12" t="s">
        <v>2</v>
      </c>
      <c r="CF12" t="s">
        <v>2</v>
      </c>
      <c r="CG12" t="s">
        <v>2</v>
      </c>
      <c r="CH12" t="s">
        <v>2</v>
      </c>
      <c r="CJ12">
        <v>6</v>
      </c>
      <c r="CK12">
        <v>0.15</v>
      </c>
      <c r="CL12">
        <f t="shared" si="10"/>
        <v>40</v>
      </c>
      <c r="CM12">
        <v>40</v>
      </c>
      <c r="CO12">
        <v>903</v>
      </c>
      <c r="CP12">
        <v>3.3</v>
      </c>
      <c r="CQ12">
        <f t="shared" si="11"/>
        <v>273.63636363636363</v>
      </c>
      <c r="CR12">
        <v>300</v>
      </c>
    </row>
    <row r="13" spans="1:97" x14ac:dyDescent="0.25">
      <c r="A13">
        <v>44115</v>
      </c>
      <c r="B13" t="s">
        <v>2</v>
      </c>
      <c r="C13">
        <v>1</v>
      </c>
      <c r="E13" t="s">
        <v>2</v>
      </c>
      <c r="F13">
        <v>0</v>
      </c>
      <c r="H13" t="s">
        <v>2</v>
      </c>
      <c r="I13" t="s">
        <v>2</v>
      </c>
      <c r="K13" t="s">
        <v>2</v>
      </c>
      <c r="L13" t="s">
        <v>2</v>
      </c>
      <c r="M13" t="e">
        <f t="shared" si="0"/>
        <v>#VALUE!</v>
      </c>
      <c r="N13">
        <v>0.995</v>
      </c>
      <c r="P13" t="s">
        <v>2</v>
      </c>
      <c r="Q13" t="s">
        <v>2</v>
      </c>
      <c r="R13" t="e">
        <f t="shared" si="1"/>
        <v>#VALUE!</v>
      </c>
      <c r="S13">
        <v>0.997</v>
      </c>
      <c r="U13" t="s">
        <v>2</v>
      </c>
      <c r="W13" t="s">
        <v>2</v>
      </c>
      <c r="X13" t="s">
        <v>2</v>
      </c>
      <c r="Y13" t="s">
        <v>2</v>
      </c>
      <c r="Z13" t="e">
        <f t="shared" si="2"/>
        <v>#DIV/0!</v>
      </c>
      <c r="AA13">
        <v>0.02</v>
      </c>
      <c r="AB13">
        <v>0.05</v>
      </c>
      <c r="AC13" t="s">
        <v>21</v>
      </c>
      <c r="AD13" t="s">
        <v>2</v>
      </c>
      <c r="AE13" t="s">
        <v>2</v>
      </c>
      <c r="AF13" t="s">
        <v>2</v>
      </c>
      <c r="AG13" t="s">
        <v>2</v>
      </c>
      <c r="AH13" t="s">
        <v>2</v>
      </c>
      <c r="AI13" t="e">
        <f t="shared" si="3"/>
        <v>#VALUE!</v>
      </c>
      <c r="AJ13">
        <v>800</v>
      </c>
      <c r="AL13" t="s">
        <v>2</v>
      </c>
      <c r="AM13" t="s">
        <v>2</v>
      </c>
      <c r="AN13" t="s">
        <v>2</v>
      </c>
      <c r="AO13" t="s">
        <v>2</v>
      </c>
      <c r="AQ13" t="s">
        <v>2</v>
      </c>
      <c r="AR13" t="s">
        <v>2</v>
      </c>
      <c r="AS13" t="s">
        <v>2</v>
      </c>
      <c r="AT13" t="s">
        <v>2</v>
      </c>
      <c r="AV13" t="s">
        <v>2</v>
      </c>
      <c r="AW13" t="s">
        <v>2</v>
      </c>
      <c r="AX13" t="e">
        <f t="shared" si="12"/>
        <v>#VALUE!</v>
      </c>
      <c r="AY13">
        <v>300</v>
      </c>
      <c r="BA13" t="s">
        <v>2</v>
      </c>
      <c r="BB13" t="s">
        <v>2</v>
      </c>
      <c r="BC13" t="e">
        <f t="shared" si="4"/>
        <v>#VALUE!</v>
      </c>
      <c r="BD13">
        <v>250</v>
      </c>
      <c r="BF13" t="s">
        <v>2</v>
      </c>
      <c r="BG13" t="s">
        <v>2</v>
      </c>
      <c r="BH13" t="e">
        <f t="shared" si="5"/>
        <v>#VALUE!</v>
      </c>
      <c r="BI13">
        <v>250</v>
      </c>
      <c r="BK13" t="s">
        <v>2</v>
      </c>
      <c r="BL13" t="s">
        <v>2</v>
      </c>
      <c r="BM13" t="e">
        <f t="shared" si="6"/>
        <v>#VALUE!</v>
      </c>
      <c r="BN13">
        <v>150</v>
      </c>
      <c r="BP13" t="s">
        <v>2</v>
      </c>
      <c r="BQ13" t="s">
        <v>2</v>
      </c>
      <c r="BR13" t="e">
        <f t="shared" si="7"/>
        <v>#VALUE!</v>
      </c>
      <c r="BS13">
        <v>200</v>
      </c>
      <c r="BU13" t="s">
        <v>2</v>
      </c>
      <c r="BV13" t="s">
        <v>2</v>
      </c>
      <c r="BW13" t="e">
        <f t="shared" si="8"/>
        <v>#VALUE!</v>
      </c>
      <c r="BX13">
        <v>100</v>
      </c>
      <c r="BZ13" t="s">
        <v>2</v>
      </c>
      <c r="CA13" t="s">
        <v>2</v>
      </c>
      <c r="CB13" t="e">
        <f t="shared" si="9"/>
        <v>#VALUE!</v>
      </c>
      <c r="CC13">
        <v>160</v>
      </c>
      <c r="CE13" t="s">
        <v>2</v>
      </c>
      <c r="CF13" t="s">
        <v>2</v>
      </c>
      <c r="CG13" t="s">
        <v>2</v>
      </c>
      <c r="CH13" t="s">
        <v>2</v>
      </c>
      <c r="CJ13" t="s">
        <v>2</v>
      </c>
      <c r="CK13" t="s">
        <v>2</v>
      </c>
      <c r="CL13" t="e">
        <f t="shared" si="10"/>
        <v>#VALUE!</v>
      </c>
      <c r="CM13">
        <v>40</v>
      </c>
      <c r="CO13" t="s">
        <v>2</v>
      </c>
      <c r="CP13" t="s">
        <v>2</v>
      </c>
      <c r="CQ13" t="e">
        <f t="shared" si="11"/>
        <v>#VALUE!</v>
      </c>
      <c r="CR13">
        <v>300</v>
      </c>
    </row>
    <row r="14" spans="1:97" x14ac:dyDescent="0.25">
      <c r="A14">
        <v>44116</v>
      </c>
      <c r="B14">
        <v>0</v>
      </c>
      <c r="C14">
        <v>1</v>
      </c>
      <c r="E14">
        <v>0</v>
      </c>
      <c r="F14">
        <v>0</v>
      </c>
      <c r="H14">
        <v>796</v>
      </c>
      <c r="I14">
        <v>473</v>
      </c>
      <c r="K14">
        <v>795</v>
      </c>
      <c r="L14">
        <v>795</v>
      </c>
      <c r="M14">
        <f t="shared" si="0"/>
        <v>1</v>
      </c>
      <c r="N14">
        <v>0.995</v>
      </c>
      <c r="P14">
        <v>468</v>
      </c>
      <c r="Q14">
        <v>470</v>
      </c>
      <c r="R14">
        <f t="shared" si="1"/>
        <v>0.99574468085106382</v>
      </c>
      <c r="S14">
        <v>0.997</v>
      </c>
      <c r="U14">
        <v>224</v>
      </c>
      <c r="W14">
        <v>232</v>
      </c>
      <c r="X14">
        <v>4</v>
      </c>
      <c r="Y14">
        <v>0</v>
      </c>
      <c r="Z14">
        <f t="shared" si="2"/>
        <v>8.6956521739130436E-3</v>
      </c>
      <c r="AA14">
        <v>0.02</v>
      </c>
      <c r="AB14">
        <v>0.05</v>
      </c>
      <c r="AD14">
        <v>9514460</v>
      </c>
      <c r="AE14">
        <v>6609620</v>
      </c>
      <c r="AF14">
        <v>6057500</v>
      </c>
      <c r="AG14">
        <v>0</v>
      </c>
      <c r="AH14">
        <v>18085</v>
      </c>
      <c r="AI14">
        <f t="shared" si="3"/>
        <v>1226.5181089300524</v>
      </c>
      <c r="AJ14">
        <v>800</v>
      </c>
      <c r="AL14" t="s">
        <v>2</v>
      </c>
      <c r="AM14" t="s">
        <v>2</v>
      </c>
      <c r="AN14" t="s">
        <v>2</v>
      </c>
      <c r="AO14" t="s">
        <v>2</v>
      </c>
      <c r="AQ14" t="s">
        <v>2</v>
      </c>
      <c r="AR14" t="s">
        <v>2</v>
      </c>
      <c r="AS14" t="s">
        <v>2</v>
      </c>
      <c r="AT14" t="s">
        <v>2</v>
      </c>
      <c r="AV14">
        <v>0</v>
      </c>
      <c r="AW14">
        <v>0</v>
      </c>
      <c r="AX14" t="e">
        <f t="shared" si="12"/>
        <v>#DIV/0!</v>
      </c>
      <c r="AY14">
        <v>300</v>
      </c>
      <c r="BA14">
        <v>403</v>
      </c>
      <c r="BB14">
        <v>1.6</v>
      </c>
      <c r="BC14">
        <f t="shared" si="4"/>
        <v>251.875</v>
      </c>
      <c r="BD14">
        <v>250</v>
      </c>
      <c r="BF14">
        <v>10596</v>
      </c>
      <c r="BG14">
        <v>75</v>
      </c>
      <c r="BH14">
        <f t="shared" si="5"/>
        <v>141.28</v>
      </c>
      <c r="BI14">
        <v>250</v>
      </c>
      <c r="BK14">
        <v>8583</v>
      </c>
      <c r="BL14">
        <v>76</v>
      </c>
      <c r="BM14">
        <f t="shared" si="6"/>
        <v>112.93421052631579</v>
      </c>
      <c r="BN14">
        <v>150</v>
      </c>
      <c r="BP14">
        <v>11908</v>
      </c>
      <c r="BQ14">
        <v>71.5</v>
      </c>
      <c r="BR14">
        <f t="shared" si="7"/>
        <v>166.54545454545453</v>
      </c>
      <c r="BS14">
        <v>200</v>
      </c>
      <c r="BU14">
        <v>872</v>
      </c>
      <c r="BV14">
        <v>13.1</v>
      </c>
      <c r="BW14">
        <f t="shared" si="8"/>
        <v>66.564885496183209</v>
      </c>
      <c r="BX14">
        <v>100</v>
      </c>
      <c r="BZ14">
        <v>2746</v>
      </c>
      <c r="CA14">
        <v>25.5</v>
      </c>
      <c r="CB14">
        <f t="shared" si="9"/>
        <v>107.68627450980392</v>
      </c>
      <c r="CC14">
        <v>160</v>
      </c>
      <c r="CE14" t="s">
        <v>2</v>
      </c>
      <c r="CF14" t="s">
        <v>2</v>
      </c>
      <c r="CG14" t="s">
        <v>2</v>
      </c>
      <c r="CH14" t="s">
        <v>2</v>
      </c>
      <c r="CJ14">
        <v>40</v>
      </c>
      <c r="CK14">
        <v>1</v>
      </c>
      <c r="CL14">
        <f t="shared" si="10"/>
        <v>40</v>
      </c>
      <c r="CM14">
        <v>40</v>
      </c>
      <c r="CO14">
        <v>902</v>
      </c>
      <c r="CP14">
        <v>3</v>
      </c>
      <c r="CQ14">
        <f t="shared" si="11"/>
        <v>300.66666666666669</v>
      </c>
      <c r="CR14">
        <v>300</v>
      </c>
    </row>
    <row r="15" spans="1:97" x14ac:dyDescent="0.25">
      <c r="A15">
        <v>44117</v>
      </c>
      <c r="B15">
        <v>0</v>
      </c>
      <c r="C15">
        <v>1</v>
      </c>
      <c r="E15">
        <v>0</v>
      </c>
      <c r="F15">
        <v>0</v>
      </c>
      <c r="H15">
        <v>1017</v>
      </c>
      <c r="I15">
        <v>925</v>
      </c>
      <c r="K15">
        <v>894</v>
      </c>
      <c r="L15">
        <v>894</v>
      </c>
      <c r="M15">
        <f t="shared" si="0"/>
        <v>1</v>
      </c>
      <c r="N15">
        <v>0.995</v>
      </c>
      <c r="P15">
        <v>510</v>
      </c>
      <c r="Q15">
        <v>512</v>
      </c>
      <c r="R15">
        <f t="shared" si="1"/>
        <v>0.99609375</v>
      </c>
      <c r="S15">
        <v>0.997</v>
      </c>
      <c r="U15">
        <v>234</v>
      </c>
      <c r="W15">
        <v>240</v>
      </c>
      <c r="X15">
        <v>35</v>
      </c>
      <c r="Y15">
        <v>23</v>
      </c>
      <c r="Z15">
        <f t="shared" si="2"/>
        <v>0.10902255639097744</v>
      </c>
      <c r="AA15">
        <v>0.02</v>
      </c>
      <c r="AB15">
        <v>0.05</v>
      </c>
      <c r="AC15" t="s">
        <v>22</v>
      </c>
      <c r="AD15">
        <v>11693200</v>
      </c>
      <c r="AE15">
        <v>8645610</v>
      </c>
      <c r="AF15">
        <v>9015630</v>
      </c>
      <c r="AG15">
        <v>0</v>
      </c>
      <c r="AH15">
        <v>23135</v>
      </c>
      <c r="AI15">
        <f t="shared" si="3"/>
        <v>1268.8325048627621</v>
      </c>
      <c r="AJ15">
        <v>800</v>
      </c>
      <c r="AL15" t="s">
        <v>2</v>
      </c>
      <c r="AM15" t="s">
        <v>2</v>
      </c>
      <c r="AN15" t="s">
        <v>2</v>
      </c>
      <c r="AO15" t="s">
        <v>2</v>
      </c>
      <c r="AQ15" t="s">
        <v>2</v>
      </c>
      <c r="AR15" t="s">
        <v>2</v>
      </c>
      <c r="AS15" t="s">
        <v>2</v>
      </c>
      <c r="AT15" t="s">
        <v>2</v>
      </c>
      <c r="AV15">
        <v>6153</v>
      </c>
      <c r="AW15">
        <v>30.67</v>
      </c>
      <c r="AX15">
        <f t="shared" si="12"/>
        <v>145.0603195304858</v>
      </c>
      <c r="AY15">
        <v>300</v>
      </c>
      <c r="BA15">
        <v>1454</v>
      </c>
      <c r="BB15">
        <v>5.9</v>
      </c>
      <c r="BC15">
        <f t="shared" si="4"/>
        <v>246.44067796610167</v>
      </c>
      <c r="BD15">
        <v>250</v>
      </c>
      <c r="BF15">
        <v>28704</v>
      </c>
      <c r="BG15">
        <v>134</v>
      </c>
      <c r="BH15">
        <f t="shared" si="5"/>
        <v>214.20895522388059</v>
      </c>
      <c r="BI15">
        <v>250</v>
      </c>
      <c r="BK15">
        <v>6742</v>
      </c>
      <c r="BL15">
        <v>60</v>
      </c>
      <c r="BM15">
        <f t="shared" si="6"/>
        <v>112.36666666666666</v>
      </c>
      <c r="BN15">
        <v>150</v>
      </c>
      <c r="BP15">
        <v>13785</v>
      </c>
      <c r="BQ15">
        <v>84</v>
      </c>
      <c r="BR15">
        <f t="shared" si="7"/>
        <v>164.10714285714286</v>
      </c>
      <c r="BS15">
        <v>200</v>
      </c>
      <c r="BU15">
        <v>0</v>
      </c>
      <c r="BV15">
        <v>0</v>
      </c>
      <c r="BW15" t="e">
        <f t="shared" si="8"/>
        <v>#DIV/0!</v>
      </c>
      <c r="BX15">
        <v>100</v>
      </c>
      <c r="BZ15">
        <v>7122</v>
      </c>
      <c r="CA15">
        <v>66.5</v>
      </c>
      <c r="CB15">
        <f t="shared" si="9"/>
        <v>107.09774436090225</v>
      </c>
      <c r="CC15">
        <v>160</v>
      </c>
      <c r="CE15" t="s">
        <v>2</v>
      </c>
      <c r="CF15" t="s">
        <v>2</v>
      </c>
      <c r="CG15" t="s">
        <v>2</v>
      </c>
      <c r="CH15" t="s">
        <v>2</v>
      </c>
      <c r="CJ15">
        <v>32</v>
      </c>
      <c r="CK15">
        <v>1.35</v>
      </c>
      <c r="CL15">
        <f t="shared" si="10"/>
        <v>23.703703703703702</v>
      </c>
      <c r="CM15">
        <v>40</v>
      </c>
      <c r="CO15">
        <v>4157</v>
      </c>
      <c r="CP15">
        <v>12</v>
      </c>
      <c r="CQ15">
        <f t="shared" si="11"/>
        <v>346.41666666666669</v>
      </c>
      <c r="CR15">
        <v>300</v>
      </c>
    </row>
    <row r="16" spans="1:97" x14ac:dyDescent="0.25">
      <c r="A16">
        <v>44118</v>
      </c>
      <c r="B16">
        <v>0</v>
      </c>
      <c r="C16">
        <v>1</v>
      </c>
      <c r="E16">
        <v>0</v>
      </c>
      <c r="F16">
        <v>0</v>
      </c>
      <c r="H16">
        <v>865</v>
      </c>
      <c r="I16">
        <v>1133</v>
      </c>
      <c r="K16">
        <v>982</v>
      </c>
      <c r="L16">
        <v>982</v>
      </c>
      <c r="M16">
        <f t="shared" si="0"/>
        <v>1</v>
      </c>
      <c r="N16">
        <v>0.995</v>
      </c>
      <c r="P16">
        <v>548</v>
      </c>
      <c r="Q16">
        <v>548</v>
      </c>
      <c r="R16">
        <f t="shared" si="1"/>
        <v>1</v>
      </c>
      <c r="S16">
        <v>0.997</v>
      </c>
      <c r="U16">
        <v>248</v>
      </c>
      <c r="W16">
        <v>216</v>
      </c>
      <c r="X16">
        <v>0</v>
      </c>
      <c r="Y16">
        <v>0</v>
      </c>
      <c r="Z16">
        <f t="shared" si="2"/>
        <v>0</v>
      </c>
      <c r="AA16">
        <v>0.02</v>
      </c>
      <c r="AB16">
        <v>0.05</v>
      </c>
      <c r="AD16">
        <v>8634980</v>
      </c>
      <c r="AE16">
        <v>6609620</v>
      </c>
      <c r="AF16">
        <v>8220000</v>
      </c>
      <c r="AG16">
        <v>0</v>
      </c>
      <c r="AH16">
        <v>24554</v>
      </c>
      <c r="AI16">
        <f t="shared" si="3"/>
        <v>955.63248350574247</v>
      </c>
      <c r="AJ16">
        <v>800</v>
      </c>
      <c r="AL16" t="s">
        <v>2</v>
      </c>
      <c r="AM16" t="s">
        <v>2</v>
      </c>
      <c r="AN16" t="s">
        <v>2</v>
      </c>
      <c r="AO16" t="s">
        <v>2</v>
      </c>
      <c r="AQ16" t="s">
        <v>2</v>
      </c>
      <c r="AR16" t="s">
        <v>2</v>
      </c>
      <c r="AS16" t="s">
        <v>2</v>
      </c>
      <c r="AT16" t="s">
        <v>2</v>
      </c>
      <c r="AV16">
        <v>1435</v>
      </c>
      <c r="AW16">
        <v>6.73</v>
      </c>
      <c r="AX16">
        <f t="shared" si="12"/>
        <v>257.35512630014858</v>
      </c>
      <c r="AY16">
        <v>300</v>
      </c>
      <c r="BA16">
        <v>206</v>
      </c>
      <c r="BB16">
        <v>0.7</v>
      </c>
      <c r="BC16">
        <f t="shared" si="4"/>
        <v>294.28571428571428</v>
      </c>
      <c r="BD16">
        <v>250</v>
      </c>
      <c r="BF16">
        <v>36228</v>
      </c>
      <c r="BG16">
        <v>136</v>
      </c>
      <c r="BH16">
        <f t="shared" si="5"/>
        <v>266.38235294117646</v>
      </c>
      <c r="BI16">
        <v>250</v>
      </c>
      <c r="BK16">
        <v>9750</v>
      </c>
      <c r="BL16">
        <v>56</v>
      </c>
      <c r="BM16">
        <f t="shared" si="6"/>
        <v>174.10714285714286</v>
      </c>
      <c r="BN16">
        <v>150</v>
      </c>
      <c r="BP16">
        <v>12933</v>
      </c>
      <c r="BQ16">
        <v>80.5</v>
      </c>
      <c r="BR16">
        <f t="shared" si="7"/>
        <v>160.65838509316771</v>
      </c>
      <c r="BS16">
        <v>200</v>
      </c>
      <c r="BU16">
        <v>0</v>
      </c>
      <c r="BV16">
        <v>0</v>
      </c>
      <c r="BW16" t="e">
        <f t="shared" si="8"/>
        <v>#DIV/0!</v>
      </c>
      <c r="BX16">
        <v>100</v>
      </c>
      <c r="BZ16">
        <v>4642</v>
      </c>
      <c r="CA16">
        <v>40</v>
      </c>
      <c r="CB16">
        <f t="shared" si="9"/>
        <v>116.05</v>
      </c>
      <c r="CC16">
        <v>160</v>
      </c>
      <c r="CE16" t="s">
        <v>2</v>
      </c>
      <c r="CF16" t="s">
        <v>2</v>
      </c>
      <c r="CG16" t="s">
        <v>2</v>
      </c>
      <c r="CH16" t="s">
        <v>2</v>
      </c>
      <c r="CJ16">
        <v>26</v>
      </c>
      <c r="CK16">
        <v>1.03</v>
      </c>
      <c r="CL16">
        <f t="shared" si="10"/>
        <v>25.242718446601941</v>
      </c>
      <c r="CM16">
        <v>40</v>
      </c>
      <c r="CO16">
        <v>3084</v>
      </c>
      <c r="CP16">
        <v>11</v>
      </c>
      <c r="CQ16">
        <f t="shared" si="11"/>
        <v>280.36363636363637</v>
      </c>
      <c r="CR16">
        <v>300</v>
      </c>
    </row>
    <row r="17" spans="1:96" x14ac:dyDescent="0.25">
      <c r="A17">
        <v>44119</v>
      </c>
      <c r="B17">
        <v>0</v>
      </c>
      <c r="C17">
        <v>1</v>
      </c>
      <c r="E17">
        <v>0</v>
      </c>
      <c r="F17">
        <v>0</v>
      </c>
      <c r="H17">
        <v>737</v>
      </c>
      <c r="I17">
        <v>883</v>
      </c>
      <c r="K17">
        <v>784</v>
      </c>
      <c r="L17">
        <v>784</v>
      </c>
      <c r="M17">
        <f t="shared" si="0"/>
        <v>1</v>
      </c>
      <c r="N17">
        <v>0.995</v>
      </c>
      <c r="P17">
        <v>674</v>
      </c>
      <c r="Q17">
        <v>674</v>
      </c>
      <c r="R17">
        <f t="shared" si="1"/>
        <v>1</v>
      </c>
      <c r="S17">
        <v>0.997</v>
      </c>
      <c r="U17">
        <v>166</v>
      </c>
      <c r="W17">
        <v>224</v>
      </c>
      <c r="X17">
        <v>0</v>
      </c>
      <c r="Y17">
        <v>0</v>
      </c>
      <c r="Z17">
        <f t="shared" si="2"/>
        <v>0</v>
      </c>
      <c r="AA17">
        <v>0.02</v>
      </c>
      <c r="AB17">
        <v>0.05</v>
      </c>
      <c r="AD17">
        <v>8954790</v>
      </c>
      <c r="AE17">
        <v>6137500</v>
      </c>
      <c r="AF17">
        <v>5410000</v>
      </c>
      <c r="AG17">
        <v>0</v>
      </c>
      <c r="AH17">
        <v>19972</v>
      </c>
      <c r="AI17">
        <f t="shared" si="3"/>
        <v>1026.5516723412777</v>
      </c>
      <c r="AJ17">
        <v>800</v>
      </c>
      <c r="AL17" t="s">
        <v>2</v>
      </c>
      <c r="AM17" t="s">
        <v>2</v>
      </c>
      <c r="AN17" t="s">
        <v>2</v>
      </c>
      <c r="AO17" t="s">
        <v>2</v>
      </c>
      <c r="AQ17" t="s">
        <v>2</v>
      </c>
      <c r="AR17" t="s">
        <v>2</v>
      </c>
      <c r="AS17" t="s">
        <v>2</v>
      </c>
      <c r="AT17" t="s">
        <v>2</v>
      </c>
      <c r="AV17">
        <v>1037</v>
      </c>
      <c r="AW17">
        <v>3.33</v>
      </c>
      <c r="AX17">
        <f t="shared" ref="AX17:AX63" si="13">AV17/AW17</f>
        <v>311.41141141141139</v>
      </c>
      <c r="AY17">
        <v>300</v>
      </c>
      <c r="BA17">
        <v>70</v>
      </c>
      <c r="BB17">
        <v>0.3</v>
      </c>
      <c r="BC17">
        <f t="shared" si="4"/>
        <v>233.33333333333334</v>
      </c>
      <c r="BD17">
        <v>250</v>
      </c>
      <c r="BF17">
        <v>30780</v>
      </c>
      <c r="BG17">
        <v>118</v>
      </c>
      <c r="BH17">
        <f t="shared" si="5"/>
        <v>260.84745762711867</v>
      </c>
      <c r="BI17">
        <v>250</v>
      </c>
      <c r="BK17">
        <v>9276</v>
      </c>
      <c r="BL17">
        <v>72</v>
      </c>
      <c r="BM17">
        <f t="shared" si="6"/>
        <v>128.83333333333334</v>
      </c>
      <c r="BN17">
        <v>150</v>
      </c>
      <c r="BP17">
        <v>12987</v>
      </c>
      <c r="BQ17">
        <v>77</v>
      </c>
      <c r="BR17">
        <f t="shared" si="7"/>
        <v>168.66233766233765</v>
      </c>
      <c r="BS17">
        <v>200</v>
      </c>
      <c r="BU17">
        <v>0</v>
      </c>
      <c r="BV17">
        <v>0</v>
      </c>
      <c r="BW17" t="e">
        <f t="shared" si="8"/>
        <v>#DIV/0!</v>
      </c>
      <c r="BX17">
        <v>100</v>
      </c>
      <c r="BZ17">
        <v>1114</v>
      </c>
      <c r="CA17">
        <v>6</v>
      </c>
      <c r="CB17">
        <f t="shared" si="9"/>
        <v>185.66666666666666</v>
      </c>
      <c r="CC17">
        <v>160</v>
      </c>
      <c r="CE17" t="s">
        <v>2</v>
      </c>
      <c r="CF17" t="s">
        <v>2</v>
      </c>
      <c r="CG17" t="s">
        <v>2</v>
      </c>
      <c r="CH17" t="s">
        <v>2</v>
      </c>
      <c r="CJ17">
        <v>25</v>
      </c>
      <c r="CK17">
        <v>1.1000000000000001</v>
      </c>
      <c r="CL17">
        <f t="shared" si="10"/>
        <v>22.727272727272727</v>
      </c>
      <c r="CM17">
        <v>40</v>
      </c>
      <c r="CO17">
        <v>2384</v>
      </c>
      <c r="CP17">
        <v>12</v>
      </c>
      <c r="CQ17">
        <f t="shared" si="11"/>
        <v>198.66666666666666</v>
      </c>
      <c r="CR17">
        <v>300</v>
      </c>
    </row>
    <row r="18" spans="1:96" x14ac:dyDescent="0.25">
      <c r="A18">
        <v>44120</v>
      </c>
      <c r="B18">
        <v>0</v>
      </c>
      <c r="C18">
        <v>1</v>
      </c>
      <c r="E18">
        <v>0</v>
      </c>
      <c r="F18">
        <v>0</v>
      </c>
      <c r="H18">
        <v>689</v>
      </c>
      <c r="I18">
        <v>899</v>
      </c>
      <c r="K18">
        <v>647</v>
      </c>
      <c r="L18">
        <v>647</v>
      </c>
      <c r="M18">
        <f t="shared" si="0"/>
        <v>1</v>
      </c>
      <c r="N18">
        <v>0.995</v>
      </c>
      <c r="P18">
        <v>2704</v>
      </c>
      <c r="Q18">
        <v>2704</v>
      </c>
      <c r="R18">
        <f t="shared" si="1"/>
        <v>1</v>
      </c>
      <c r="S18">
        <v>0.997</v>
      </c>
      <c r="U18">
        <v>228</v>
      </c>
      <c r="W18">
        <v>220</v>
      </c>
      <c r="X18">
        <v>24</v>
      </c>
      <c r="Y18">
        <v>0</v>
      </c>
      <c r="Z18">
        <f t="shared" si="2"/>
        <v>5.0847457627118647E-2</v>
      </c>
      <c r="AA18">
        <v>0.02</v>
      </c>
      <c r="AB18">
        <v>0.05</v>
      </c>
      <c r="AD18">
        <v>10234000</v>
      </c>
      <c r="AE18">
        <v>6934190</v>
      </c>
      <c r="AF18">
        <v>7170000</v>
      </c>
      <c r="AG18">
        <v>0</v>
      </c>
      <c r="AH18">
        <v>21982</v>
      </c>
      <c r="AI18">
        <f t="shared" si="3"/>
        <v>1107.1872441088162</v>
      </c>
      <c r="AJ18">
        <v>800</v>
      </c>
      <c r="AL18" t="s">
        <v>2</v>
      </c>
      <c r="AM18" t="s">
        <v>2</v>
      </c>
      <c r="AN18" t="s">
        <v>2</v>
      </c>
      <c r="AO18" t="s">
        <v>2</v>
      </c>
      <c r="AQ18" t="s">
        <v>2</v>
      </c>
      <c r="AR18" t="s">
        <v>2</v>
      </c>
      <c r="AS18" t="s">
        <v>2</v>
      </c>
      <c r="AT18" t="s">
        <v>2</v>
      </c>
      <c r="AV18">
        <v>3498</v>
      </c>
      <c r="AW18">
        <v>14.16</v>
      </c>
      <c r="AX18">
        <f t="shared" si="13"/>
        <v>247.03389830508473</v>
      </c>
      <c r="AY18">
        <v>300</v>
      </c>
      <c r="BA18">
        <v>2406</v>
      </c>
      <c r="BB18">
        <v>10.4</v>
      </c>
      <c r="BC18">
        <f t="shared" si="4"/>
        <v>231.34615384615384</v>
      </c>
      <c r="BD18">
        <v>250</v>
      </c>
      <c r="BF18">
        <v>21780</v>
      </c>
      <c r="BG18">
        <v>88</v>
      </c>
      <c r="BH18">
        <f t="shared" si="5"/>
        <v>247.5</v>
      </c>
      <c r="BI18">
        <v>250</v>
      </c>
      <c r="BK18">
        <v>13630</v>
      </c>
      <c r="BL18">
        <v>104</v>
      </c>
      <c r="BM18">
        <f t="shared" si="6"/>
        <v>131.05769230769232</v>
      </c>
      <c r="BN18">
        <v>150</v>
      </c>
      <c r="BP18">
        <v>10476</v>
      </c>
      <c r="BQ18">
        <v>61.8</v>
      </c>
      <c r="BR18">
        <f t="shared" si="7"/>
        <v>169.51456310679612</v>
      </c>
      <c r="BS18">
        <v>200</v>
      </c>
      <c r="BU18">
        <v>1679</v>
      </c>
      <c r="BV18">
        <v>25.8</v>
      </c>
      <c r="BW18">
        <f t="shared" si="8"/>
        <v>65.077519379844958</v>
      </c>
      <c r="BX18">
        <v>100</v>
      </c>
      <c r="BZ18">
        <v>3337</v>
      </c>
      <c r="CA18">
        <v>24</v>
      </c>
      <c r="CB18">
        <f t="shared" si="9"/>
        <v>139.04166666666666</v>
      </c>
      <c r="CC18">
        <v>160</v>
      </c>
      <c r="CE18" t="s">
        <v>2</v>
      </c>
      <c r="CF18" t="s">
        <v>2</v>
      </c>
      <c r="CG18" t="s">
        <v>2</v>
      </c>
      <c r="CH18" t="s">
        <v>2</v>
      </c>
      <c r="CJ18">
        <v>98</v>
      </c>
      <c r="CK18">
        <v>2.5299999999999998</v>
      </c>
      <c r="CL18">
        <f t="shared" si="10"/>
        <v>38.735177865612648</v>
      </c>
      <c r="CM18">
        <v>40</v>
      </c>
      <c r="CO18">
        <v>7740</v>
      </c>
      <c r="CP18">
        <v>20</v>
      </c>
      <c r="CQ18">
        <f t="shared" si="11"/>
        <v>387</v>
      </c>
      <c r="CR18">
        <v>300</v>
      </c>
    </row>
    <row r="19" spans="1:96" x14ac:dyDescent="0.25">
      <c r="A19">
        <v>44121</v>
      </c>
      <c r="B19">
        <v>0</v>
      </c>
      <c r="C19">
        <v>1</v>
      </c>
      <c r="E19">
        <v>0</v>
      </c>
      <c r="F19">
        <v>0</v>
      </c>
      <c r="H19">
        <v>582</v>
      </c>
      <c r="I19">
        <v>749</v>
      </c>
      <c r="K19">
        <v>561</v>
      </c>
      <c r="L19">
        <v>561</v>
      </c>
      <c r="M19">
        <f t="shared" si="0"/>
        <v>1</v>
      </c>
      <c r="N19">
        <v>0.995</v>
      </c>
      <c r="P19">
        <v>551</v>
      </c>
      <c r="Q19">
        <v>551</v>
      </c>
      <c r="R19">
        <f t="shared" si="1"/>
        <v>1</v>
      </c>
      <c r="S19">
        <v>0.997</v>
      </c>
      <c r="U19">
        <v>198</v>
      </c>
      <c r="W19">
        <v>164</v>
      </c>
      <c r="X19">
        <v>0</v>
      </c>
      <c r="Y19">
        <v>0</v>
      </c>
      <c r="Z19">
        <f t="shared" si="2"/>
        <v>0</v>
      </c>
      <c r="AA19">
        <v>0.02</v>
      </c>
      <c r="AB19">
        <v>0.05</v>
      </c>
      <c r="AC19" t="s">
        <v>23</v>
      </c>
      <c r="AD19">
        <v>7835440</v>
      </c>
      <c r="AE19">
        <v>5652960</v>
      </c>
      <c r="AF19">
        <v>9220000</v>
      </c>
      <c r="AG19">
        <v>0</v>
      </c>
      <c r="AH19">
        <v>24046</v>
      </c>
      <c r="AI19">
        <f t="shared" si="3"/>
        <v>944.37328453796886</v>
      </c>
      <c r="AJ19">
        <v>800</v>
      </c>
      <c r="AL19" t="s">
        <v>2</v>
      </c>
      <c r="AM19" t="s">
        <v>2</v>
      </c>
      <c r="AN19" t="s">
        <v>2</v>
      </c>
      <c r="AO19" t="s">
        <v>2</v>
      </c>
      <c r="AQ19" t="s">
        <v>2</v>
      </c>
      <c r="AR19" t="s">
        <v>2</v>
      </c>
      <c r="AS19" t="s">
        <v>2</v>
      </c>
      <c r="AT19" t="s">
        <v>2</v>
      </c>
      <c r="AV19">
        <v>3137</v>
      </c>
      <c r="AW19">
        <v>15</v>
      </c>
      <c r="AX19">
        <f t="shared" si="13"/>
        <v>209.13333333333333</v>
      </c>
      <c r="AY19">
        <v>300</v>
      </c>
      <c r="BA19">
        <v>883</v>
      </c>
      <c r="BB19">
        <v>4</v>
      </c>
      <c r="BC19">
        <f t="shared" si="4"/>
        <v>220.75</v>
      </c>
      <c r="BD19">
        <v>250</v>
      </c>
      <c r="BF19">
        <v>15360</v>
      </c>
      <c r="BG19">
        <v>54</v>
      </c>
      <c r="BH19">
        <f t="shared" si="5"/>
        <v>284.44444444444446</v>
      </c>
      <c r="BI19">
        <v>250</v>
      </c>
      <c r="BK19">
        <v>7653</v>
      </c>
      <c r="BL19">
        <v>65</v>
      </c>
      <c r="BM19">
        <f t="shared" si="6"/>
        <v>117.73846153846154</v>
      </c>
      <c r="BN19">
        <v>150</v>
      </c>
      <c r="BP19">
        <v>10584</v>
      </c>
      <c r="BQ19">
        <v>60.5</v>
      </c>
      <c r="BR19">
        <f t="shared" si="7"/>
        <v>174.94214876033058</v>
      </c>
      <c r="BS19">
        <v>200</v>
      </c>
      <c r="BU19">
        <v>4970</v>
      </c>
      <c r="BV19">
        <v>99.4</v>
      </c>
      <c r="BW19">
        <f t="shared" si="8"/>
        <v>50</v>
      </c>
      <c r="BX19">
        <v>100</v>
      </c>
      <c r="BZ19">
        <v>4232</v>
      </c>
      <c r="CA19">
        <v>42</v>
      </c>
      <c r="CB19">
        <f t="shared" si="9"/>
        <v>100.76190476190476</v>
      </c>
      <c r="CC19">
        <v>160</v>
      </c>
      <c r="CE19" t="s">
        <v>2</v>
      </c>
      <c r="CF19" t="s">
        <v>2</v>
      </c>
      <c r="CG19" t="s">
        <v>2</v>
      </c>
      <c r="CH19" t="s">
        <v>2</v>
      </c>
      <c r="CJ19">
        <v>77</v>
      </c>
      <c r="CK19">
        <v>2.4300000000000002</v>
      </c>
      <c r="CL19">
        <f t="shared" si="10"/>
        <v>31.687242798353907</v>
      </c>
      <c r="CM19">
        <v>40</v>
      </c>
      <c r="CO19">
        <v>4237</v>
      </c>
      <c r="CP19">
        <v>17</v>
      </c>
      <c r="CQ19">
        <f t="shared" si="11"/>
        <v>249.23529411764707</v>
      </c>
      <c r="CR19">
        <v>300</v>
      </c>
    </row>
    <row r="20" spans="1:96" x14ac:dyDescent="0.25">
      <c r="A20">
        <v>44122</v>
      </c>
      <c r="B20" t="s">
        <v>2</v>
      </c>
      <c r="C20">
        <v>1</v>
      </c>
      <c r="E20" t="s">
        <v>2</v>
      </c>
      <c r="F20">
        <v>0</v>
      </c>
      <c r="H20" t="s">
        <v>2</v>
      </c>
      <c r="I20" t="s">
        <v>2</v>
      </c>
      <c r="K20" t="s">
        <v>2</v>
      </c>
      <c r="L20" t="s">
        <v>2</v>
      </c>
      <c r="M20" t="e">
        <f t="shared" si="0"/>
        <v>#VALUE!</v>
      </c>
      <c r="N20">
        <v>0.995</v>
      </c>
      <c r="P20" t="s">
        <v>2</v>
      </c>
      <c r="Q20" t="s">
        <v>2</v>
      </c>
      <c r="R20" t="e">
        <f t="shared" si="1"/>
        <v>#VALUE!</v>
      </c>
      <c r="S20">
        <v>0.997</v>
      </c>
      <c r="U20" t="s">
        <v>2</v>
      </c>
      <c r="W20" t="s">
        <v>2</v>
      </c>
      <c r="X20" t="s">
        <v>2</v>
      </c>
      <c r="Y20" t="s">
        <v>2</v>
      </c>
      <c r="Z20" t="e">
        <f t="shared" si="2"/>
        <v>#DIV/0!</v>
      </c>
      <c r="AA20">
        <v>0.02</v>
      </c>
      <c r="AB20">
        <v>0.05</v>
      </c>
      <c r="AD20" t="s">
        <v>2</v>
      </c>
      <c r="AE20" t="s">
        <v>2</v>
      </c>
      <c r="AF20" t="s">
        <v>2</v>
      </c>
      <c r="AG20" t="s">
        <v>2</v>
      </c>
      <c r="AH20" t="s">
        <v>2</v>
      </c>
      <c r="AI20" t="e">
        <f t="shared" si="3"/>
        <v>#VALUE!</v>
      </c>
      <c r="AJ20">
        <v>800</v>
      </c>
      <c r="AL20" t="s">
        <v>2</v>
      </c>
      <c r="AM20" t="s">
        <v>2</v>
      </c>
      <c r="AN20" t="s">
        <v>2</v>
      </c>
      <c r="AO20" t="s">
        <v>2</v>
      </c>
      <c r="AQ20" t="s">
        <v>2</v>
      </c>
      <c r="AR20" t="s">
        <v>2</v>
      </c>
      <c r="AS20" t="s">
        <v>2</v>
      </c>
      <c r="AT20" t="s">
        <v>2</v>
      </c>
      <c r="AV20" t="s">
        <v>2</v>
      </c>
      <c r="AW20" t="s">
        <v>2</v>
      </c>
      <c r="AX20" t="e">
        <f t="shared" si="13"/>
        <v>#VALUE!</v>
      </c>
      <c r="AY20">
        <v>300</v>
      </c>
      <c r="BA20" t="s">
        <v>2</v>
      </c>
      <c r="BB20" t="s">
        <v>2</v>
      </c>
      <c r="BC20" t="e">
        <f t="shared" si="4"/>
        <v>#VALUE!</v>
      </c>
      <c r="BD20">
        <v>250</v>
      </c>
      <c r="BF20" t="s">
        <v>2</v>
      </c>
      <c r="BG20" t="s">
        <v>2</v>
      </c>
      <c r="BH20" t="e">
        <f t="shared" si="5"/>
        <v>#VALUE!</v>
      </c>
      <c r="BI20">
        <v>250</v>
      </c>
      <c r="BK20" t="s">
        <v>2</v>
      </c>
      <c r="BL20" t="s">
        <v>2</v>
      </c>
      <c r="BM20" t="e">
        <f t="shared" si="6"/>
        <v>#VALUE!</v>
      </c>
      <c r="BN20">
        <v>150</v>
      </c>
      <c r="BP20" t="s">
        <v>2</v>
      </c>
      <c r="BQ20" t="s">
        <v>2</v>
      </c>
      <c r="BR20" t="e">
        <f t="shared" si="7"/>
        <v>#VALUE!</v>
      </c>
      <c r="BS20">
        <v>200</v>
      </c>
      <c r="BU20" t="s">
        <v>2</v>
      </c>
      <c r="BV20" t="s">
        <v>2</v>
      </c>
      <c r="BW20" t="e">
        <f t="shared" si="8"/>
        <v>#VALUE!</v>
      </c>
      <c r="BX20">
        <v>100</v>
      </c>
      <c r="BZ20" t="s">
        <v>2</v>
      </c>
      <c r="CA20" t="s">
        <v>2</v>
      </c>
      <c r="CB20" t="e">
        <f t="shared" si="9"/>
        <v>#VALUE!</v>
      </c>
      <c r="CC20">
        <v>160</v>
      </c>
      <c r="CE20" t="s">
        <v>2</v>
      </c>
      <c r="CF20" t="s">
        <v>2</v>
      </c>
      <c r="CG20" t="s">
        <v>2</v>
      </c>
      <c r="CH20" t="s">
        <v>2</v>
      </c>
      <c r="CJ20" t="s">
        <v>2</v>
      </c>
      <c r="CK20" t="s">
        <v>2</v>
      </c>
      <c r="CL20" t="e">
        <f t="shared" si="10"/>
        <v>#VALUE!</v>
      </c>
      <c r="CM20">
        <v>40</v>
      </c>
      <c r="CO20" t="s">
        <v>2</v>
      </c>
      <c r="CP20" t="s">
        <v>2</v>
      </c>
      <c r="CQ20" t="e">
        <f t="shared" si="11"/>
        <v>#VALUE!</v>
      </c>
      <c r="CR20">
        <v>300</v>
      </c>
    </row>
    <row r="21" spans="1:96" x14ac:dyDescent="0.25">
      <c r="A21">
        <v>44123</v>
      </c>
      <c r="B21">
        <v>0</v>
      </c>
      <c r="C21">
        <v>1</v>
      </c>
      <c r="E21">
        <v>0</v>
      </c>
      <c r="F21">
        <v>0</v>
      </c>
      <c r="H21">
        <v>713</v>
      </c>
      <c r="I21">
        <v>450</v>
      </c>
      <c r="K21">
        <v>832</v>
      </c>
      <c r="L21">
        <v>832</v>
      </c>
      <c r="M21">
        <f t="shared" si="0"/>
        <v>1</v>
      </c>
      <c r="N21">
        <v>0.995</v>
      </c>
      <c r="P21">
        <v>413</v>
      </c>
      <c r="Q21">
        <v>413</v>
      </c>
      <c r="R21">
        <f t="shared" si="1"/>
        <v>1</v>
      </c>
      <c r="S21">
        <v>0.997</v>
      </c>
      <c r="U21">
        <v>196</v>
      </c>
      <c r="W21">
        <v>216</v>
      </c>
      <c r="X21">
        <v>0</v>
      </c>
      <c r="Y21">
        <v>0</v>
      </c>
      <c r="Z21">
        <f t="shared" si="2"/>
        <v>0</v>
      </c>
      <c r="AA21">
        <v>0.02</v>
      </c>
      <c r="AB21">
        <v>0.05</v>
      </c>
      <c r="AD21">
        <v>8634980</v>
      </c>
      <c r="AE21">
        <v>6595120</v>
      </c>
      <c r="AF21">
        <v>6600000</v>
      </c>
      <c r="AG21">
        <v>0</v>
      </c>
      <c r="AH21">
        <v>15191</v>
      </c>
      <c r="AI21">
        <f t="shared" si="3"/>
        <v>1437.0416694095188</v>
      </c>
      <c r="AJ21">
        <v>800</v>
      </c>
      <c r="AL21" t="s">
        <v>2</v>
      </c>
      <c r="AM21" t="s">
        <v>2</v>
      </c>
      <c r="AN21" t="s">
        <v>2</v>
      </c>
      <c r="AO21" t="s">
        <v>2</v>
      </c>
      <c r="AQ21" t="s">
        <v>2</v>
      </c>
      <c r="AR21" t="s">
        <v>2</v>
      </c>
      <c r="AS21" t="s">
        <v>2</v>
      </c>
      <c r="AT21" t="s">
        <v>2</v>
      </c>
      <c r="AV21">
        <v>2230</v>
      </c>
      <c r="AW21">
        <v>10.9</v>
      </c>
      <c r="AX21">
        <f t="shared" si="13"/>
        <v>204.58715596330273</v>
      </c>
      <c r="AY21">
        <v>300</v>
      </c>
      <c r="BA21">
        <v>1101</v>
      </c>
      <c r="BB21">
        <v>4.0999999999999996</v>
      </c>
      <c r="BC21">
        <f t="shared" si="4"/>
        <v>268.53658536585368</v>
      </c>
      <c r="BD21">
        <v>250</v>
      </c>
      <c r="BF21">
        <v>16200</v>
      </c>
      <c r="BG21">
        <v>56</v>
      </c>
      <c r="BH21">
        <f t="shared" si="5"/>
        <v>289.28571428571428</v>
      </c>
      <c r="BI21">
        <v>250</v>
      </c>
      <c r="BK21">
        <v>1883</v>
      </c>
      <c r="BL21">
        <v>17</v>
      </c>
      <c r="BM21">
        <f t="shared" si="6"/>
        <v>110.76470588235294</v>
      </c>
      <c r="BN21">
        <v>150</v>
      </c>
      <c r="BP21">
        <v>12634</v>
      </c>
      <c r="BQ21">
        <v>70</v>
      </c>
      <c r="BR21">
        <f t="shared" si="7"/>
        <v>180.48571428571429</v>
      </c>
      <c r="BS21">
        <v>200</v>
      </c>
      <c r="BU21">
        <v>4889</v>
      </c>
      <c r="BV21">
        <v>93.8</v>
      </c>
      <c r="BW21">
        <f t="shared" si="8"/>
        <v>52.121535181236673</v>
      </c>
      <c r="BX21">
        <v>100</v>
      </c>
      <c r="BZ21">
        <v>5593</v>
      </c>
      <c r="CA21">
        <v>36.799999999999997</v>
      </c>
      <c r="CB21">
        <f t="shared" si="9"/>
        <v>151.98369565217394</v>
      </c>
      <c r="CC21">
        <v>160</v>
      </c>
      <c r="CE21" t="s">
        <v>2</v>
      </c>
      <c r="CF21" t="s">
        <v>2</v>
      </c>
      <c r="CG21" t="s">
        <v>2</v>
      </c>
      <c r="CH21" t="s">
        <v>2</v>
      </c>
      <c r="CJ21">
        <v>30</v>
      </c>
      <c r="CK21">
        <v>0.88</v>
      </c>
      <c r="CL21">
        <f t="shared" si="10"/>
        <v>34.090909090909093</v>
      </c>
      <c r="CM21">
        <v>40</v>
      </c>
      <c r="CO21">
        <v>439</v>
      </c>
      <c r="CP21">
        <v>2</v>
      </c>
      <c r="CQ21">
        <f t="shared" si="11"/>
        <v>219.5</v>
      </c>
      <c r="CR21">
        <v>300</v>
      </c>
    </row>
    <row r="22" spans="1:96" x14ac:dyDescent="0.25">
      <c r="A22">
        <v>44124</v>
      </c>
      <c r="B22">
        <v>0</v>
      </c>
      <c r="C22">
        <v>1</v>
      </c>
      <c r="E22">
        <v>0</v>
      </c>
      <c r="F22">
        <v>0</v>
      </c>
      <c r="H22">
        <v>1074</v>
      </c>
      <c r="I22">
        <v>652</v>
      </c>
      <c r="K22">
        <v>1099</v>
      </c>
      <c r="L22">
        <v>1099</v>
      </c>
      <c r="M22">
        <f t="shared" si="0"/>
        <v>1</v>
      </c>
      <c r="N22">
        <v>0.995</v>
      </c>
      <c r="P22">
        <v>417</v>
      </c>
      <c r="Q22">
        <v>417</v>
      </c>
      <c r="R22">
        <f t="shared" si="1"/>
        <v>1</v>
      </c>
      <c r="S22">
        <v>0.997</v>
      </c>
      <c r="U22">
        <v>184</v>
      </c>
      <c r="W22">
        <v>240</v>
      </c>
      <c r="X22">
        <v>0</v>
      </c>
      <c r="Y22">
        <v>0</v>
      </c>
      <c r="Z22">
        <f t="shared" si="2"/>
        <v>0</v>
      </c>
      <c r="AA22">
        <v>0.02</v>
      </c>
      <c r="AB22">
        <v>0.05</v>
      </c>
      <c r="AD22">
        <v>9594420</v>
      </c>
      <c r="AE22">
        <v>6595120</v>
      </c>
      <c r="AF22">
        <v>7430000</v>
      </c>
      <c r="AG22">
        <v>0</v>
      </c>
      <c r="AH22">
        <v>28511</v>
      </c>
      <c r="AI22">
        <f t="shared" si="3"/>
        <v>828.43604222931504</v>
      </c>
      <c r="AJ22">
        <v>800</v>
      </c>
      <c r="AL22" t="s">
        <v>2</v>
      </c>
      <c r="AM22" t="s">
        <v>2</v>
      </c>
      <c r="AN22" t="s">
        <v>2</v>
      </c>
      <c r="AO22" t="s">
        <v>2</v>
      </c>
      <c r="AQ22" t="s">
        <v>2</v>
      </c>
      <c r="AR22" t="s">
        <v>2</v>
      </c>
      <c r="AS22" t="s">
        <v>2</v>
      </c>
      <c r="AT22" t="s">
        <v>2</v>
      </c>
      <c r="AV22">
        <v>1125</v>
      </c>
      <c r="AW22">
        <v>5.3</v>
      </c>
      <c r="AX22">
        <f t="shared" si="13"/>
        <v>212.26415094339623</v>
      </c>
      <c r="AY22">
        <v>300</v>
      </c>
      <c r="BA22">
        <v>0</v>
      </c>
      <c r="BB22">
        <v>0</v>
      </c>
      <c r="BC22" t="e">
        <f t="shared" si="4"/>
        <v>#DIV/0!</v>
      </c>
      <c r="BD22">
        <v>250</v>
      </c>
      <c r="BF22">
        <v>13800</v>
      </c>
      <c r="BG22">
        <v>89</v>
      </c>
      <c r="BH22">
        <f t="shared" si="5"/>
        <v>155.0561797752809</v>
      </c>
      <c r="BI22">
        <v>250</v>
      </c>
      <c r="BK22">
        <v>4624</v>
      </c>
      <c r="BL22">
        <v>40</v>
      </c>
      <c r="BM22">
        <f t="shared" si="6"/>
        <v>115.6</v>
      </c>
      <c r="BN22">
        <v>150</v>
      </c>
      <c r="BP22">
        <v>16121</v>
      </c>
      <c r="BQ22">
        <v>87.5</v>
      </c>
      <c r="BR22">
        <f t="shared" si="7"/>
        <v>184.24</v>
      </c>
      <c r="BS22">
        <v>200</v>
      </c>
      <c r="BU22">
        <v>2112</v>
      </c>
      <c r="BV22">
        <v>56.3</v>
      </c>
      <c r="BW22">
        <f t="shared" si="8"/>
        <v>37.513321492007108</v>
      </c>
      <c r="BX22">
        <v>100</v>
      </c>
      <c r="BZ22">
        <v>4085</v>
      </c>
      <c r="CA22">
        <v>37.5</v>
      </c>
      <c r="CB22">
        <f t="shared" si="9"/>
        <v>108.93333333333334</v>
      </c>
      <c r="CC22">
        <v>160</v>
      </c>
      <c r="CE22" t="s">
        <v>2</v>
      </c>
      <c r="CF22" t="s">
        <v>2</v>
      </c>
      <c r="CG22" t="s">
        <v>2</v>
      </c>
      <c r="CH22" t="s">
        <v>2</v>
      </c>
      <c r="CJ22">
        <v>4</v>
      </c>
      <c r="CK22">
        <v>0.12</v>
      </c>
      <c r="CL22">
        <f t="shared" si="10"/>
        <v>33.333333333333336</v>
      </c>
      <c r="CM22">
        <v>40</v>
      </c>
      <c r="CO22">
        <v>1779</v>
      </c>
      <c r="CP22">
        <v>8</v>
      </c>
      <c r="CQ22">
        <f t="shared" si="11"/>
        <v>222.375</v>
      </c>
      <c r="CR22">
        <v>300</v>
      </c>
    </row>
    <row r="23" spans="1:96" x14ac:dyDescent="0.25">
      <c r="A23">
        <v>44125</v>
      </c>
      <c r="B23">
        <v>0</v>
      </c>
      <c r="C23">
        <v>1</v>
      </c>
      <c r="E23">
        <v>0</v>
      </c>
      <c r="F23">
        <v>0</v>
      </c>
      <c r="H23">
        <v>840</v>
      </c>
      <c r="I23">
        <v>1160</v>
      </c>
      <c r="K23">
        <v>870</v>
      </c>
      <c r="L23">
        <v>870</v>
      </c>
      <c r="M23">
        <f t="shared" si="0"/>
        <v>1</v>
      </c>
      <c r="N23">
        <v>0.995</v>
      </c>
      <c r="P23">
        <v>530</v>
      </c>
      <c r="Q23">
        <v>530</v>
      </c>
      <c r="R23">
        <f t="shared" si="1"/>
        <v>1</v>
      </c>
      <c r="S23">
        <v>0.997</v>
      </c>
      <c r="U23">
        <v>195</v>
      </c>
      <c r="W23">
        <v>224</v>
      </c>
      <c r="X23">
        <v>0</v>
      </c>
      <c r="Y23">
        <v>0</v>
      </c>
      <c r="Z23">
        <f t="shared" si="2"/>
        <v>0</v>
      </c>
      <c r="AA23">
        <v>0.02</v>
      </c>
      <c r="AB23">
        <v>0.05</v>
      </c>
      <c r="AD23">
        <v>8954790</v>
      </c>
      <c r="AE23">
        <v>6595120</v>
      </c>
      <c r="AF23">
        <v>7810000</v>
      </c>
      <c r="AG23">
        <v>0</v>
      </c>
      <c r="AH23">
        <v>20907</v>
      </c>
      <c r="AI23">
        <f t="shared" si="3"/>
        <v>1117.3248194384655</v>
      </c>
      <c r="AJ23">
        <v>800</v>
      </c>
      <c r="AL23" t="s">
        <v>2</v>
      </c>
      <c r="AM23" t="s">
        <v>2</v>
      </c>
      <c r="AN23" t="s">
        <v>2</v>
      </c>
      <c r="AO23" t="s">
        <v>2</v>
      </c>
      <c r="AQ23" t="s">
        <v>2</v>
      </c>
      <c r="AR23" t="s">
        <v>2</v>
      </c>
      <c r="AS23" t="s">
        <v>2</v>
      </c>
      <c r="AT23" t="s">
        <v>2</v>
      </c>
      <c r="AV23">
        <v>2254</v>
      </c>
      <c r="AW23">
        <v>7.9</v>
      </c>
      <c r="AX23">
        <f t="shared" si="13"/>
        <v>285.31645569620252</v>
      </c>
      <c r="AY23">
        <v>300</v>
      </c>
      <c r="BA23">
        <v>0</v>
      </c>
      <c r="BB23">
        <v>0</v>
      </c>
      <c r="BC23" t="e">
        <f t="shared" si="4"/>
        <v>#DIV/0!</v>
      </c>
      <c r="BD23">
        <v>250</v>
      </c>
      <c r="BF23">
        <v>8616</v>
      </c>
      <c r="BG23">
        <v>67</v>
      </c>
      <c r="BH23">
        <f t="shared" si="5"/>
        <v>128.59701492537314</v>
      </c>
      <c r="BI23">
        <v>250</v>
      </c>
      <c r="BK23">
        <v>6665</v>
      </c>
      <c r="BL23">
        <v>58</v>
      </c>
      <c r="BM23">
        <f t="shared" si="6"/>
        <v>114.91379310344827</v>
      </c>
      <c r="BN23">
        <v>150</v>
      </c>
      <c r="BP23">
        <v>13924</v>
      </c>
      <c r="BQ23">
        <v>77</v>
      </c>
      <c r="BR23">
        <f t="shared" si="7"/>
        <v>180.83116883116884</v>
      </c>
      <c r="BS23">
        <v>200</v>
      </c>
      <c r="BU23">
        <v>5113</v>
      </c>
      <c r="BV23">
        <v>69.400000000000006</v>
      </c>
      <c r="BW23">
        <f t="shared" si="8"/>
        <v>73.674351585014406</v>
      </c>
      <c r="BX23">
        <v>100</v>
      </c>
      <c r="BZ23">
        <v>5777</v>
      </c>
      <c r="CA23">
        <v>38.5</v>
      </c>
      <c r="CB23">
        <f t="shared" si="9"/>
        <v>150.05194805194805</v>
      </c>
      <c r="CC23">
        <v>160</v>
      </c>
      <c r="CE23" t="s">
        <v>2</v>
      </c>
      <c r="CF23" t="s">
        <v>2</v>
      </c>
      <c r="CG23" t="s">
        <v>2</v>
      </c>
      <c r="CH23" t="s">
        <v>2</v>
      </c>
      <c r="CJ23">
        <v>55</v>
      </c>
      <c r="CK23">
        <v>2</v>
      </c>
      <c r="CL23">
        <f t="shared" si="10"/>
        <v>27.5</v>
      </c>
      <c r="CM23">
        <v>40</v>
      </c>
      <c r="CO23">
        <v>2503</v>
      </c>
      <c r="CP23">
        <v>6.1</v>
      </c>
      <c r="CQ23">
        <f t="shared" si="11"/>
        <v>410.32786885245906</v>
      </c>
      <c r="CR23">
        <v>300</v>
      </c>
    </row>
    <row r="24" spans="1:96" x14ac:dyDescent="0.25">
      <c r="A24">
        <v>44126</v>
      </c>
      <c r="B24">
        <v>0</v>
      </c>
      <c r="C24">
        <v>1</v>
      </c>
      <c r="E24">
        <v>0</v>
      </c>
      <c r="F24">
        <v>0</v>
      </c>
      <c r="H24">
        <v>876</v>
      </c>
      <c r="I24">
        <v>1262</v>
      </c>
      <c r="K24">
        <v>843</v>
      </c>
      <c r="L24">
        <v>843</v>
      </c>
      <c r="M24">
        <f t="shared" si="0"/>
        <v>1</v>
      </c>
      <c r="N24">
        <v>0.995</v>
      </c>
      <c r="P24">
        <v>764</v>
      </c>
      <c r="Q24">
        <v>765</v>
      </c>
      <c r="R24">
        <f t="shared" si="1"/>
        <v>0.99869281045751634</v>
      </c>
      <c r="S24">
        <v>0.997</v>
      </c>
      <c r="U24">
        <v>208</v>
      </c>
      <c r="W24">
        <v>220</v>
      </c>
      <c r="X24">
        <v>0</v>
      </c>
      <c r="Y24">
        <v>0</v>
      </c>
      <c r="Z24">
        <f t="shared" si="2"/>
        <v>0</v>
      </c>
      <c r="AA24">
        <v>0.02</v>
      </c>
      <c r="AB24">
        <v>0.05</v>
      </c>
      <c r="AD24">
        <v>8813400</v>
      </c>
      <c r="AE24">
        <v>5970190</v>
      </c>
      <c r="AF24">
        <v>7105000</v>
      </c>
      <c r="AG24">
        <v>0</v>
      </c>
      <c r="AH24">
        <v>22288</v>
      </c>
      <c r="AI24">
        <f t="shared" si="3"/>
        <v>982.07959440057425</v>
      </c>
      <c r="AJ24">
        <v>800</v>
      </c>
      <c r="AL24" t="s">
        <v>2</v>
      </c>
      <c r="AM24" t="s">
        <v>2</v>
      </c>
      <c r="AN24" t="s">
        <v>2</v>
      </c>
      <c r="AO24" t="s">
        <v>2</v>
      </c>
      <c r="AQ24" t="s">
        <v>2</v>
      </c>
      <c r="AR24" t="s">
        <v>2</v>
      </c>
      <c r="AS24" t="s">
        <v>2</v>
      </c>
      <c r="AT24" t="s">
        <v>2</v>
      </c>
      <c r="AV24">
        <v>1756</v>
      </c>
      <c r="AW24">
        <v>6.46</v>
      </c>
      <c r="AX24">
        <f t="shared" si="13"/>
        <v>271.82662538699691</v>
      </c>
      <c r="AY24">
        <v>300</v>
      </c>
      <c r="BA24">
        <v>72</v>
      </c>
      <c r="BB24">
        <v>0.3</v>
      </c>
      <c r="BC24">
        <f t="shared" si="4"/>
        <v>240</v>
      </c>
      <c r="BD24">
        <v>250</v>
      </c>
      <c r="BF24">
        <v>28332</v>
      </c>
      <c r="BG24">
        <v>99.75</v>
      </c>
      <c r="BH24">
        <f t="shared" si="5"/>
        <v>284.03007518796994</v>
      </c>
      <c r="BI24">
        <v>250</v>
      </c>
      <c r="BK24">
        <v>9718</v>
      </c>
      <c r="BL24">
        <v>86</v>
      </c>
      <c r="BM24">
        <f t="shared" si="6"/>
        <v>113</v>
      </c>
      <c r="BN24">
        <v>150</v>
      </c>
      <c r="BP24">
        <v>12912</v>
      </c>
      <c r="BQ24">
        <v>70.875</v>
      </c>
      <c r="BR24">
        <f t="shared" si="7"/>
        <v>182.17989417989418</v>
      </c>
      <c r="BS24">
        <v>200</v>
      </c>
      <c r="BU24">
        <v>2660</v>
      </c>
      <c r="BV24">
        <v>27.18</v>
      </c>
      <c r="BW24">
        <f t="shared" si="8"/>
        <v>97.866077998528326</v>
      </c>
      <c r="BX24">
        <v>100</v>
      </c>
      <c r="BZ24">
        <v>5931</v>
      </c>
      <c r="CA24">
        <v>31.8</v>
      </c>
      <c r="CB24">
        <f t="shared" si="9"/>
        <v>186.50943396226415</v>
      </c>
      <c r="CC24">
        <v>160</v>
      </c>
      <c r="CE24" t="s">
        <v>2</v>
      </c>
      <c r="CF24" t="s">
        <v>2</v>
      </c>
      <c r="CG24" t="s">
        <v>2</v>
      </c>
      <c r="CH24" t="s">
        <v>2</v>
      </c>
      <c r="CJ24">
        <v>2</v>
      </c>
      <c r="CK24">
        <v>0.08</v>
      </c>
      <c r="CL24">
        <f t="shared" si="10"/>
        <v>25</v>
      </c>
      <c r="CM24">
        <v>40</v>
      </c>
      <c r="CO24">
        <v>1080</v>
      </c>
      <c r="CP24">
        <v>4.53</v>
      </c>
      <c r="CQ24">
        <f t="shared" si="11"/>
        <v>238.41059602649005</v>
      </c>
      <c r="CR24">
        <v>300</v>
      </c>
    </row>
    <row r="25" spans="1:96" x14ac:dyDescent="0.25">
      <c r="A25">
        <v>44127</v>
      </c>
      <c r="B25">
        <v>0</v>
      </c>
      <c r="C25">
        <v>1</v>
      </c>
      <c r="E25">
        <v>0</v>
      </c>
      <c r="F25">
        <v>0</v>
      </c>
      <c r="H25">
        <v>828</v>
      </c>
      <c r="I25">
        <v>978</v>
      </c>
      <c r="K25">
        <v>816</v>
      </c>
      <c r="L25">
        <v>816</v>
      </c>
      <c r="M25">
        <f t="shared" si="0"/>
        <v>1</v>
      </c>
      <c r="N25">
        <v>0.995</v>
      </c>
      <c r="P25">
        <v>484</v>
      </c>
      <c r="Q25">
        <v>485</v>
      </c>
      <c r="R25">
        <f t="shared" si="1"/>
        <v>0.99793814432989691</v>
      </c>
      <c r="S25">
        <v>0.997</v>
      </c>
      <c r="U25">
        <v>180</v>
      </c>
      <c r="W25">
        <v>216</v>
      </c>
      <c r="X25">
        <v>0</v>
      </c>
      <c r="Y25">
        <v>0</v>
      </c>
      <c r="Z25">
        <f t="shared" si="2"/>
        <v>0</v>
      </c>
      <c r="AA25">
        <v>0.02</v>
      </c>
      <c r="AB25">
        <v>0.05</v>
      </c>
      <c r="AD25">
        <v>8653150</v>
      </c>
      <c r="AE25">
        <v>5510950</v>
      </c>
      <c r="AF25">
        <v>5740000</v>
      </c>
      <c r="AG25">
        <v>0</v>
      </c>
      <c r="AH25">
        <v>24076</v>
      </c>
      <c r="AI25">
        <f t="shared" si="3"/>
        <v>826.71955474331287</v>
      </c>
      <c r="AJ25">
        <v>800</v>
      </c>
      <c r="AL25" t="s">
        <v>2</v>
      </c>
      <c r="AM25" t="s">
        <v>2</v>
      </c>
      <c r="AN25" t="s">
        <v>2</v>
      </c>
      <c r="AO25" t="s">
        <v>2</v>
      </c>
      <c r="AQ25" t="s">
        <v>2</v>
      </c>
      <c r="AR25" t="s">
        <v>2</v>
      </c>
      <c r="AS25" t="s">
        <v>2</v>
      </c>
      <c r="AT25" t="s">
        <v>2</v>
      </c>
      <c r="AV25">
        <v>1750</v>
      </c>
      <c r="AW25">
        <v>7.9</v>
      </c>
      <c r="AX25">
        <f t="shared" si="13"/>
        <v>221.51898734177215</v>
      </c>
      <c r="AY25">
        <v>300</v>
      </c>
      <c r="BA25">
        <v>262</v>
      </c>
      <c r="BB25">
        <v>1.3</v>
      </c>
      <c r="BC25">
        <f t="shared" si="4"/>
        <v>201.53846153846152</v>
      </c>
      <c r="BD25">
        <v>250</v>
      </c>
      <c r="BF25">
        <v>17760</v>
      </c>
      <c r="BG25">
        <v>66</v>
      </c>
      <c r="BH25">
        <f t="shared" si="5"/>
        <v>269.09090909090907</v>
      </c>
      <c r="BI25">
        <v>250</v>
      </c>
      <c r="BK25">
        <v>11291</v>
      </c>
      <c r="BL25">
        <v>100</v>
      </c>
      <c r="BM25">
        <f t="shared" si="6"/>
        <v>112.91</v>
      </c>
      <c r="BN25">
        <v>150</v>
      </c>
      <c r="BP25">
        <v>14504</v>
      </c>
      <c r="BQ25">
        <v>77</v>
      </c>
      <c r="BR25">
        <f t="shared" si="7"/>
        <v>188.36363636363637</v>
      </c>
      <c r="BS25">
        <v>200</v>
      </c>
      <c r="BU25">
        <v>1700</v>
      </c>
      <c r="BV25">
        <v>41.3</v>
      </c>
      <c r="BW25">
        <f t="shared" si="8"/>
        <v>41.162227602905574</v>
      </c>
      <c r="BX25">
        <v>100</v>
      </c>
      <c r="BZ25">
        <v>1255</v>
      </c>
      <c r="CA25">
        <v>7.5</v>
      </c>
      <c r="CB25">
        <f t="shared" si="9"/>
        <v>167.33333333333334</v>
      </c>
      <c r="CC25">
        <v>160</v>
      </c>
      <c r="CE25" t="s">
        <v>2</v>
      </c>
      <c r="CF25" t="s">
        <v>2</v>
      </c>
      <c r="CG25" t="s">
        <v>2</v>
      </c>
      <c r="CH25" t="s">
        <v>2</v>
      </c>
      <c r="CJ25">
        <v>46</v>
      </c>
      <c r="CK25">
        <v>1.5</v>
      </c>
      <c r="CL25">
        <f t="shared" si="10"/>
        <v>30.666666666666668</v>
      </c>
      <c r="CM25">
        <v>40</v>
      </c>
      <c r="CO25">
        <v>3998</v>
      </c>
      <c r="CP25">
        <v>10</v>
      </c>
      <c r="CQ25">
        <f t="shared" si="11"/>
        <v>399.8</v>
      </c>
      <c r="CR25">
        <v>300</v>
      </c>
    </row>
    <row r="26" spans="1:96" x14ac:dyDescent="0.25">
      <c r="A26">
        <v>44128</v>
      </c>
      <c r="B26">
        <v>0</v>
      </c>
      <c r="C26">
        <v>1</v>
      </c>
      <c r="E26">
        <v>0</v>
      </c>
      <c r="F26">
        <v>0</v>
      </c>
      <c r="H26">
        <v>487</v>
      </c>
      <c r="I26">
        <v>843</v>
      </c>
      <c r="K26">
        <v>493</v>
      </c>
      <c r="L26">
        <v>493</v>
      </c>
      <c r="M26">
        <f t="shared" si="0"/>
        <v>1</v>
      </c>
      <c r="N26">
        <v>0.995</v>
      </c>
      <c r="P26">
        <v>451</v>
      </c>
      <c r="Q26">
        <v>451</v>
      </c>
      <c r="R26">
        <f t="shared" si="1"/>
        <v>1</v>
      </c>
      <c r="S26">
        <v>0.997</v>
      </c>
      <c r="U26">
        <v>152</v>
      </c>
      <c r="W26">
        <v>200</v>
      </c>
      <c r="X26">
        <v>0</v>
      </c>
      <c r="Y26">
        <v>0</v>
      </c>
      <c r="Z26">
        <f t="shared" si="2"/>
        <v>0</v>
      </c>
      <c r="AA26">
        <v>0.02</v>
      </c>
      <c r="AB26">
        <v>0.05</v>
      </c>
      <c r="AD26">
        <v>8012180</v>
      </c>
      <c r="AE26">
        <v>4592460</v>
      </c>
      <c r="AF26">
        <v>5180000</v>
      </c>
      <c r="AG26">
        <v>0</v>
      </c>
      <c r="AH26">
        <v>14219</v>
      </c>
      <c r="AI26">
        <f t="shared" si="3"/>
        <v>1250.7658766439272</v>
      </c>
      <c r="AJ26">
        <v>800</v>
      </c>
      <c r="AL26" t="s">
        <v>2</v>
      </c>
      <c r="AM26" t="s">
        <v>2</v>
      </c>
      <c r="AN26" t="s">
        <v>2</v>
      </c>
      <c r="AO26" t="s">
        <v>2</v>
      </c>
      <c r="AQ26" t="s">
        <v>2</v>
      </c>
      <c r="AR26" t="s">
        <v>2</v>
      </c>
      <c r="AS26" t="s">
        <v>2</v>
      </c>
      <c r="AT26" t="s">
        <v>2</v>
      </c>
      <c r="AV26">
        <v>2429</v>
      </c>
      <c r="AW26">
        <v>13.98</v>
      </c>
      <c r="AX26">
        <f t="shared" si="13"/>
        <v>173.74821173104434</v>
      </c>
      <c r="AY26">
        <v>300</v>
      </c>
      <c r="BA26">
        <v>763</v>
      </c>
      <c r="BB26">
        <v>2</v>
      </c>
      <c r="BC26">
        <f t="shared" si="4"/>
        <v>381.5</v>
      </c>
      <c r="BD26">
        <v>250</v>
      </c>
      <c r="BF26">
        <v>12240</v>
      </c>
      <c r="BG26">
        <v>73</v>
      </c>
      <c r="BH26">
        <f t="shared" si="5"/>
        <v>167.67123287671234</v>
      </c>
      <c r="BI26">
        <v>250</v>
      </c>
      <c r="BK26">
        <v>6084</v>
      </c>
      <c r="BL26">
        <v>68</v>
      </c>
      <c r="BM26">
        <f t="shared" si="6"/>
        <v>89.470588235294116</v>
      </c>
      <c r="BN26">
        <v>150</v>
      </c>
      <c r="BP26">
        <v>9329</v>
      </c>
      <c r="BQ26">
        <v>49.5</v>
      </c>
      <c r="BR26">
        <f t="shared" si="7"/>
        <v>188.46464646464648</v>
      </c>
      <c r="BS26">
        <v>200</v>
      </c>
      <c r="BU26">
        <v>0</v>
      </c>
      <c r="BV26">
        <v>0</v>
      </c>
      <c r="BW26" t="e">
        <f t="shared" si="8"/>
        <v>#DIV/0!</v>
      </c>
      <c r="BX26">
        <v>100</v>
      </c>
      <c r="BZ26">
        <v>4473</v>
      </c>
      <c r="CA26">
        <v>26</v>
      </c>
      <c r="CB26">
        <f t="shared" si="9"/>
        <v>172.03846153846155</v>
      </c>
      <c r="CC26">
        <v>160</v>
      </c>
      <c r="CE26" t="s">
        <v>2</v>
      </c>
      <c r="CF26" t="s">
        <v>2</v>
      </c>
      <c r="CG26" t="s">
        <v>2</v>
      </c>
      <c r="CH26" t="s">
        <v>2</v>
      </c>
      <c r="CJ26">
        <v>5</v>
      </c>
      <c r="CK26">
        <v>0.22</v>
      </c>
      <c r="CL26">
        <f t="shared" si="10"/>
        <v>22.727272727272727</v>
      </c>
      <c r="CM26">
        <v>40</v>
      </c>
      <c r="CO26">
        <v>913</v>
      </c>
      <c r="CP26">
        <v>3</v>
      </c>
      <c r="CQ26">
        <f t="shared" si="11"/>
        <v>304.33333333333331</v>
      </c>
      <c r="CR26">
        <v>300</v>
      </c>
    </row>
    <row r="27" spans="1:96" x14ac:dyDescent="0.25">
      <c r="A27">
        <v>44129</v>
      </c>
      <c r="B27" t="s">
        <v>2</v>
      </c>
      <c r="C27">
        <v>1</v>
      </c>
      <c r="E27" t="s">
        <v>2</v>
      </c>
      <c r="F27">
        <v>0</v>
      </c>
      <c r="H27" t="s">
        <v>2</v>
      </c>
      <c r="I27" t="s">
        <v>2</v>
      </c>
      <c r="K27" t="s">
        <v>2</v>
      </c>
      <c r="L27" t="s">
        <v>2</v>
      </c>
      <c r="M27" t="e">
        <f t="shared" si="0"/>
        <v>#VALUE!</v>
      </c>
      <c r="N27">
        <v>0.995</v>
      </c>
      <c r="P27" t="s">
        <v>2</v>
      </c>
      <c r="Q27" t="s">
        <v>2</v>
      </c>
      <c r="R27" t="e">
        <f t="shared" si="1"/>
        <v>#VALUE!</v>
      </c>
      <c r="S27">
        <v>0.997</v>
      </c>
      <c r="U27" t="s">
        <v>2</v>
      </c>
      <c r="W27" t="s">
        <v>2</v>
      </c>
      <c r="X27" t="s">
        <v>2</v>
      </c>
      <c r="Y27" t="s">
        <v>2</v>
      </c>
      <c r="Z27" t="e">
        <f t="shared" si="2"/>
        <v>#DIV/0!</v>
      </c>
      <c r="AA27">
        <v>0.02</v>
      </c>
      <c r="AB27">
        <v>0.05</v>
      </c>
      <c r="AD27" t="s">
        <v>2</v>
      </c>
      <c r="AE27" t="s">
        <v>2</v>
      </c>
      <c r="AF27" t="s">
        <v>2</v>
      </c>
      <c r="AG27" t="s">
        <v>2</v>
      </c>
      <c r="AH27" t="s">
        <v>2</v>
      </c>
      <c r="AI27" t="e">
        <f t="shared" si="3"/>
        <v>#VALUE!</v>
      </c>
      <c r="AJ27">
        <v>800</v>
      </c>
      <c r="AL27" t="s">
        <v>2</v>
      </c>
      <c r="AM27" t="s">
        <v>2</v>
      </c>
      <c r="AN27" t="s">
        <v>2</v>
      </c>
      <c r="AO27" t="s">
        <v>2</v>
      </c>
      <c r="AQ27" t="s">
        <v>2</v>
      </c>
      <c r="AR27" t="s">
        <v>2</v>
      </c>
      <c r="AS27" t="s">
        <v>2</v>
      </c>
      <c r="AT27" t="s">
        <v>2</v>
      </c>
      <c r="AV27" t="s">
        <v>2</v>
      </c>
      <c r="AW27" t="s">
        <v>2</v>
      </c>
      <c r="AX27" t="e">
        <f t="shared" si="13"/>
        <v>#VALUE!</v>
      </c>
      <c r="AY27">
        <v>300</v>
      </c>
      <c r="BA27" t="s">
        <v>2</v>
      </c>
      <c r="BB27" t="s">
        <v>2</v>
      </c>
      <c r="BC27" t="e">
        <f t="shared" si="4"/>
        <v>#VALUE!</v>
      </c>
      <c r="BD27">
        <v>250</v>
      </c>
      <c r="BF27" t="s">
        <v>2</v>
      </c>
      <c r="BG27" t="s">
        <v>2</v>
      </c>
      <c r="BH27" t="e">
        <f t="shared" si="5"/>
        <v>#VALUE!</v>
      </c>
      <c r="BI27">
        <v>250</v>
      </c>
      <c r="BK27" t="s">
        <v>2</v>
      </c>
      <c r="BL27" t="s">
        <v>2</v>
      </c>
      <c r="BM27" t="e">
        <f t="shared" si="6"/>
        <v>#VALUE!</v>
      </c>
      <c r="BN27">
        <v>150</v>
      </c>
      <c r="BP27" t="s">
        <v>2</v>
      </c>
      <c r="BQ27" t="s">
        <v>2</v>
      </c>
      <c r="BR27" t="e">
        <f t="shared" si="7"/>
        <v>#VALUE!</v>
      </c>
      <c r="BS27">
        <v>200</v>
      </c>
      <c r="BU27" t="s">
        <v>2</v>
      </c>
      <c r="BV27" t="s">
        <v>2</v>
      </c>
      <c r="BW27" t="e">
        <f t="shared" si="8"/>
        <v>#VALUE!</v>
      </c>
      <c r="BX27">
        <v>100</v>
      </c>
      <c r="BZ27" t="s">
        <v>2</v>
      </c>
      <c r="CA27" t="s">
        <v>2</v>
      </c>
      <c r="CB27" t="e">
        <f t="shared" si="9"/>
        <v>#VALUE!</v>
      </c>
      <c r="CC27">
        <v>160</v>
      </c>
      <c r="CE27" t="s">
        <v>2</v>
      </c>
      <c r="CF27" t="s">
        <v>2</v>
      </c>
      <c r="CG27" t="s">
        <v>2</v>
      </c>
      <c r="CH27" t="s">
        <v>2</v>
      </c>
      <c r="CJ27" t="s">
        <v>2</v>
      </c>
      <c r="CK27" t="s">
        <v>2</v>
      </c>
      <c r="CL27" t="e">
        <f t="shared" si="10"/>
        <v>#VALUE!</v>
      </c>
      <c r="CM27">
        <v>40</v>
      </c>
      <c r="CO27" t="s">
        <v>2</v>
      </c>
      <c r="CP27" t="s">
        <v>2</v>
      </c>
      <c r="CQ27" t="e">
        <f t="shared" si="11"/>
        <v>#VALUE!</v>
      </c>
      <c r="CR27">
        <v>300</v>
      </c>
    </row>
    <row r="28" spans="1:96" x14ac:dyDescent="0.25">
      <c r="A28">
        <v>44130</v>
      </c>
      <c r="B28">
        <v>0</v>
      </c>
      <c r="C28">
        <v>1</v>
      </c>
      <c r="E28">
        <v>0</v>
      </c>
      <c r="F28">
        <v>0</v>
      </c>
      <c r="H28">
        <v>945</v>
      </c>
      <c r="I28">
        <v>499</v>
      </c>
      <c r="K28">
        <v>964</v>
      </c>
      <c r="L28">
        <v>964</v>
      </c>
      <c r="M28">
        <f t="shared" si="0"/>
        <v>1</v>
      </c>
      <c r="N28">
        <v>0.995</v>
      </c>
      <c r="P28">
        <v>535</v>
      </c>
      <c r="Q28">
        <v>535</v>
      </c>
      <c r="R28">
        <f t="shared" si="1"/>
        <v>1</v>
      </c>
      <c r="S28">
        <v>0.997</v>
      </c>
      <c r="U28">
        <v>108</v>
      </c>
      <c r="W28">
        <v>216</v>
      </c>
      <c r="X28">
        <v>0</v>
      </c>
      <c r="Y28">
        <v>0</v>
      </c>
      <c r="Z28">
        <f t="shared" si="2"/>
        <v>0</v>
      </c>
      <c r="AA28">
        <v>0.02</v>
      </c>
      <c r="AB28">
        <v>0.05</v>
      </c>
      <c r="AD28">
        <v>8653150</v>
      </c>
      <c r="AE28">
        <v>5510950</v>
      </c>
      <c r="AF28">
        <v>3760000</v>
      </c>
      <c r="AG28">
        <v>0</v>
      </c>
      <c r="AH28">
        <v>19668</v>
      </c>
      <c r="AI28">
        <f t="shared" si="3"/>
        <v>911.33312995729102</v>
      </c>
      <c r="AJ28">
        <v>800</v>
      </c>
      <c r="AL28" t="s">
        <v>2</v>
      </c>
      <c r="AM28" t="s">
        <v>2</v>
      </c>
      <c r="AN28" t="s">
        <v>2</v>
      </c>
      <c r="AO28" t="s">
        <v>2</v>
      </c>
      <c r="AQ28" t="s">
        <v>2</v>
      </c>
      <c r="AR28" t="s">
        <v>2</v>
      </c>
      <c r="AS28" t="s">
        <v>2</v>
      </c>
      <c r="AT28" t="s">
        <v>2</v>
      </c>
      <c r="AV28">
        <v>1417</v>
      </c>
      <c r="AW28">
        <v>4.5</v>
      </c>
      <c r="AX28">
        <f t="shared" si="13"/>
        <v>314.88888888888891</v>
      </c>
      <c r="AY28">
        <v>300</v>
      </c>
      <c r="BA28">
        <v>352</v>
      </c>
      <c r="BB28">
        <v>1.5</v>
      </c>
      <c r="BC28">
        <f t="shared" si="4"/>
        <v>234.66666666666666</v>
      </c>
      <c r="BD28">
        <v>250</v>
      </c>
      <c r="BF28">
        <v>20220</v>
      </c>
      <c r="BG28">
        <v>89</v>
      </c>
      <c r="BH28">
        <f t="shared" si="5"/>
        <v>227.19101123595505</v>
      </c>
      <c r="BI28">
        <v>250</v>
      </c>
      <c r="BK28">
        <v>1443</v>
      </c>
      <c r="BL28">
        <v>19</v>
      </c>
      <c r="BM28">
        <f t="shared" si="6"/>
        <v>75.94736842105263</v>
      </c>
      <c r="BN28">
        <v>150</v>
      </c>
      <c r="BP28">
        <v>15700</v>
      </c>
      <c r="BQ28">
        <v>84</v>
      </c>
      <c r="BR28">
        <f t="shared" si="7"/>
        <v>186.9047619047619</v>
      </c>
      <c r="BS28">
        <v>200</v>
      </c>
      <c r="BU28">
        <v>0</v>
      </c>
      <c r="BV28">
        <v>0</v>
      </c>
      <c r="BW28" t="e">
        <f t="shared" si="8"/>
        <v>#DIV/0!</v>
      </c>
      <c r="BX28">
        <v>100</v>
      </c>
      <c r="BZ28">
        <v>3760</v>
      </c>
      <c r="CA28">
        <v>15</v>
      </c>
      <c r="CB28">
        <f t="shared" si="9"/>
        <v>250.66666666666666</v>
      </c>
      <c r="CC28">
        <v>160</v>
      </c>
      <c r="CE28" t="s">
        <v>2</v>
      </c>
      <c r="CF28" t="s">
        <v>2</v>
      </c>
      <c r="CG28" t="s">
        <v>2</v>
      </c>
      <c r="CH28" t="s">
        <v>2</v>
      </c>
      <c r="CJ28">
        <v>3</v>
      </c>
      <c r="CK28">
        <v>0.15</v>
      </c>
      <c r="CL28">
        <f t="shared" si="10"/>
        <v>20</v>
      </c>
      <c r="CM28">
        <v>40</v>
      </c>
      <c r="CO28">
        <v>689</v>
      </c>
      <c r="CP28">
        <v>3.2</v>
      </c>
      <c r="CQ28">
        <f t="shared" si="11"/>
        <v>215.3125</v>
      </c>
      <c r="CR28">
        <v>300</v>
      </c>
    </row>
    <row r="29" spans="1:96" x14ac:dyDescent="0.25">
      <c r="A29">
        <v>44131</v>
      </c>
      <c r="B29">
        <v>0</v>
      </c>
      <c r="C29">
        <v>1</v>
      </c>
      <c r="E29">
        <v>0</v>
      </c>
      <c r="F29">
        <v>0</v>
      </c>
      <c r="H29">
        <v>989</v>
      </c>
      <c r="I29">
        <v>892</v>
      </c>
      <c r="K29">
        <v>1079</v>
      </c>
      <c r="L29">
        <v>1079</v>
      </c>
      <c r="M29">
        <f t="shared" si="0"/>
        <v>1</v>
      </c>
      <c r="N29">
        <v>0.995</v>
      </c>
      <c r="P29">
        <v>487</v>
      </c>
      <c r="Q29">
        <v>487</v>
      </c>
      <c r="R29">
        <f t="shared" si="1"/>
        <v>1</v>
      </c>
      <c r="S29">
        <v>0.997</v>
      </c>
      <c r="U29">
        <v>188</v>
      </c>
      <c r="W29">
        <v>240</v>
      </c>
      <c r="X29">
        <v>10</v>
      </c>
      <c r="Y29">
        <v>0</v>
      </c>
      <c r="Z29">
        <f t="shared" si="2"/>
        <v>2.2831050228310501E-2</v>
      </c>
      <c r="AA29">
        <v>0.02</v>
      </c>
      <c r="AB29">
        <v>0.05</v>
      </c>
      <c r="AD29">
        <v>10215500</v>
      </c>
      <c r="AE29">
        <v>5510950</v>
      </c>
      <c r="AF29">
        <v>5050000</v>
      </c>
      <c r="AG29">
        <v>0</v>
      </c>
      <c r="AH29">
        <v>32430</v>
      </c>
      <c r="AI29">
        <f t="shared" si="3"/>
        <v>640.65525747764411</v>
      </c>
      <c r="AJ29">
        <v>800</v>
      </c>
      <c r="AL29" t="s">
        <v>2</v>
      </c>
      <c r="AM29" t="s">
        <v>2</v>
      </c>
      <c r="AN29" t="s">
        <v>2</v>
      </c>
      <c r="AO29" t="s">
        <v>2</v>
      </c>
      <c r="AQ29" t="s">
        <v>2</v>
      </c>
      <c r="AR29" t="s">
        <v>2</v>
      </c>
      <c r="AS29" t="s">
        <v>2</v>
      </c>
      <c r="AT29" t="s">
        <v>2</v>
      </c>
      <c r="AV29">
        <v>1214</v>
      </c>
      <c r="AW29">
        <v>2.76</v>
      </c>
      <c r="AX29">
        <f t="shared" si="13"/>
        <v>439.85507246376812</v>
      </c>
      <c r="AY29">
        <v>300</v>
      </c>
      <c r="BA29">
        <v>232</v>
      </c>
      <c r="BB29">
        <v>1</v>
      </c>
      <c r="BC29">
        <f t="shared" si="4"/>
        <v>232</v>
      </c>
      <c r="BD29">
        <v>250</v>
      </c>
      <c r="BF29">
        <v>24168</v>
      </c>
      <c r="BG29">
        <v>97</v>
      </c>
      <c r="BH29">
        <f t="shared" si="5"/>
        <v>249.15463917525773</v>
      </c>
      <c r="BI29">
        <v>250</v>
      </c>
      <c r="BK29">
        <v>12138</v>
      </c>
      <c r="BL29">
        <v>70</v>
      </c>
      <c r="BM29">
        <f t="shared" si="6"/>
        <v>173.4</v>
      </c>
      <c r="BN29">
        <v>150</v>
      </c>
      <c r="BP29">
        <v>20998</v>
      </c>
      <c r="BQ29">
        <v>99</v>
      </c>
      <c r="BR29">
        <f t="shared" si="7"/>
        <v>212.1010101010101</v>
      </c>
      <c r="BS29">
        <v>200</v>
      </c>
      <c r="BU29">
        <v>535</v>
      </c>
      <c r="BV29">
        <v>18.28</v>
      </c>
      <c r="BW29">
        <f t="shared" si="8"/>
        <v>29.266958424507656</v>
      </c>
      <c r="BX29">
        <v>100</v>
      </c>
      <c r="BZ29">
        <v>1469</v>
      </c>
      <c r="CA29">
        <v>7.5</v>
      </c>
      <c r="CB29">
        <f t="shared" si="9"/>
        <v>195.86666666666667</v>
      </c>
      <c r="CC29">
        <v>160</v>
      </c>
      <c r="CE29" t="s">
        <v>2</v>
      </c>
      <c r="CF29" t="s">
        <v>2</v>
      </c>
      <c r="CG29" t="s">
        <v>2</v>
      </c>
      <c r="CH29" t="s">
        <v>2</v>
      </c>
      <c r="CJ29">
        <v>16</v>
      </c>
      <c r="CK29">
        <v>0.72</v>
      </c>
      <c r="CL29">
        <f t="shared" si="10"/>
        <v>22.222222222222221</v>
      </c>
      <c r="CM29">
        <v>40</v>
      </c>
      <c r="CO29">
        <v>1591</v>
      </c>
      <c r="CP29">
        <v>8.52</v>
      </c>
      <c r="CQ29">
        <f t="shared" si="11"/>
        <v>186.73708920187795</v>
      </c>
      <c r="CR29">
        <v>300</v>
      </c>
    </row>
    <row r="30" spans="1:96" x14ac:dyDescent="0.25">
      <c r="A30">
        <v>44132</v>
      </c>
      <c r="B30">
        <v>0</v>
      </c>
      <c r="C30">
        <v>1</v>
      </c>
      <c r="E30">
        <v>0</v>
      </c>
      <c r="F30">
        <v>0</v>
      </c>
      <c r="H30">
        <v>1122</v>
      </c>
      <c r="I30">
        <v>1609</v>
      </c>
      <c r="K30">
        <v>1110</v>
      </c>
      <c r="L30">
        <v>1110</v>
      </c>
      <c r="M30">
        <f t="shared" si="0"/>
        <v>1</v>
      </c>
      <c r="N30">
        <v>0.995</v>
      </c>
      <c r="P30">
        <v>595</v>
      </c>
      <c r="Q30">
        <v>595</v>
      </c>
      <c r="R30">
        <f t="shared" si="1"/>
        <v>1</v>
      </c>
      <c r="S30">
        <v>0.997</v>
      </c>
      <c r="U30">
        <v>168</v>
      </c>
      <c r="W30">
        <v>216</v>
      </c>
      <c r="X30">
        <v>0</v>
      </c>
      <c r="Y30">
        <v>0</v>
      </c>
      <c r="Z30">
        <f t="shared" si="2"/>
        <v>0</v>
      </c>
      <c r="AA30">
        <v>0.02</v>
      </c>
      <c r="AB30">
        <v>0.05</v>
      </c>
      <c r="AD30">
        <v>8653150</v>
      </c>
      <c r="AE30">
        <v>5970190</v>
      </c>
      <c r="AF30">
        <v>5340000</v>
      </c>
      <c r="AG30">
        <v>0</v>
      </c>
      <c r="AH30">
        <v>26972</v>
      </c>
      <c r="AI30">
        <f t="shared" si="3"/>
        <v>740.1505264718968</v>
      </c>
      <c r="AJ30">
        <v>800</v>
      </c>
      <c r="AL30" t="s">
        <v>2</v>
      </c>
      <c r="AM30" t="s">
        <v>2</v>
      </c>
      <c r="AN30" t="s">
        <v>2</v>
      </c>
      <c r="AO30" t="s">
        <v>2</v>
      </c>
      <c r="AQ30" t="s">
        <v>2</v>
      </c>
      <c r="AR30" t="s">
        <v>2</v>
      </c>
      <c r="AS30" t="s">
        <v>2</v>
      </c>
      <c r="AT30" t="s">
        <v>2</v>
      </c>
      <c r="AV30">
        <v>696</v>
      </c>
      <c r="AW30">
        <v>2.0699999999999998</v>
      </c>
      <c r="AX30">
        <f t="shared" si="13"/>
        <v>336.23188405797106</v>
      </c>
      <c r="AY30">
        <v>300</v>
      </c>
      <c r="BA30">
        <v>612</v>
      </c>
      <c r="BB30">
        <v>1.6</v>
      </c>
      <c r="BC30">
        <f t="shared" si="4"/>
        <v>382.5</v>
      </c>
      <c r="BD30">
        <v>250</v>
      </c>
      <c r="BF30">
        <v>8916</v>
      </c>
      <c r="BG30">
        <v>40</v>
      </c>
      <c r="BH30">
        <f t="shared" si="5"/>
        <v>222.9</v>
      </c>
      <c r="BI30">
        <v>250</v>
      </c>
      <c r="BK30">
        <v>6616</v>
      </c>
      <c r="BL30">
        <v>84</v>
      </c>
      <c r="BM30">
        <f t="shared" si="6"/>
        <v>78.761904761904759</v>
      </c>
      <c r="BN30">
        <v>150</v>
      </c>
      <c r="BP30">
        <v>20154</v>
      </c>
      <c r="BQ30">
        <v>97.9</v>
      </c>
      <c r="BR30">
        <f t="shared" si="7"/>
        <v>205.86312563840653</v>
      </c>
      <c r="BS30">
        <v>200</v>
      </c>
      <c r="BU30">
        <v>6881</v>
      </c>
      <c r="BV30">
        <v>67.03</v>
      </c>
      <c r="BW30">
        <f t="shared" si="8"/>
        <v>102.65552737580188</v>
      </c>
      <c r="BX30">
        <v>100</v>
      </c>
      <c r="BZ30">
        <v>1883</v>
      </c>
      <c r="CA30">
        <v>10</v>
      </c>
      <c r="CB30">
        <f t="shared" si="9"/>
        <v>188.3</v>
      </c>
      <c r="CC30">
        <v>160</v>
      </c>
      <c r="CE30" t="s">
        <v>2</v>
      </c>
      <c r="CF30" t="s">
        <v>2</v>
      </c>
      <c r="CG30" t="s">
        <v>2</v>
      </c>
      <c r="CH30" t="s">
        <v>2</v>
      </c>
      <c r="CJ30">
        <v>26</v>
      </c>
      <c r="CK30">
        <v>1.2</v>
      </c>
      <c r="CL30">
        <f t="shared" si="10"/>
        <v>21.666666666666668</v>
      </c>
      <c r="CM30">
        <v>40</v>
      </c>
      <c r="CO30">
        <v>3570</v>
      </c>
      <c r="CP30">
        <v>12</v>
      </c>
      <c r="CQ30">
        <f t="shared" si="11"/>
        <v>297.5</v>
      </c>
      <c r="CR30">
        <v>300</v>
      </c>
    </row>
    <row r="31" spans="1:96" x14ac:dyDescent="0.25">
      <c r="A31">
        <v>44133</v>
      </c>
      <c r="B31">
        <v>0</v>
      </c>
      <c r="C31">
        <v>1</v>
      </c>
      <c r="E31">
        <v>0</v>
      </c>
      <c r="F31">
        <v>0</v>
      </c>
      <c r="H31">
        <v>1415</v>
      </c>
      <c r="I31">
        <v>1553</v>
      </c>
      <c r="K31">
        <v>1406</v>
      </c>
      <c r="L31">
        <v>1406</v>
      </c>
      <c r="M31">
        <f t="shared" si="0"/>
        <v>1</v>
      </c>
      <c r="N31">
        <v>0.995</v>
      </c>
      <c r="P31">
        <v>514</v>
      </c>
      <c r="Q31">
        <v>514</v>
      </c>
      <c r="R31">
        <f t="shared" si="1"/>
        <v>1</v>
      </c>
      <c r="S31">
        <v>0.997</v>
      </c>
      <c r="U31">
        <v>168</v>
      </c>
      <c r="W31">
        <v>232</v>
      </c>
      <c r="X31">
        <v>27</v>
      </c>
      <c r="Y31">
        <v>18</v>
      </c>
      <c r="Z31">
        <f t="shared" si="2"/>
        <v>0.10112359550561797</v>
      </c>
      <c r="AA31">
        <v>0.02</v>
      </c>
      <c r="AB31">
        <v>0.05</v>
      </c>
      <c r="AD31">
        <v>11022400</v>
      </c>
      <c r="AE31">
        <v>5970190</v>
      </c>
      <c r="AF31">
        <v>6318750</v>
      </c>
      <c r="AG31">
        <v>0</v>
      </c>
      <c r="AH31">
        <v>34100</v>
      </c>
      <c r="AI31">
        <f t="shared" si="3"/>
        <v>683.61700879765397</v>
      </c>
      <c r="AJ31">
        <v>800</v>
      </c>
      <c r="AL31" t="s">
        <v>2</v>
      </c>
      <c r="AM31" t="s">
        <v>2</v>
      </c>
      <c r="AN31" t="s">
        <v>2</v>
      </c>
      <c r="AO31" t="s">
        <v>2</v>
      </c>
      <c r="AQ31" t="s">
        <v>2</v>
      </c>
      <c r="AR31" t="s">
        <v>2</v>
      </c>
      <c r="AS31" t="s">
        <v>2</v>
      </c>
      <c r="AT31" t="s">
        <v>2</v>
      </c>
      <c r="AV31">
        <v>643</v>
      </c>
      <c r="AW31">
        <v>2.78</v>
      </c>
      <c r="AX31">
        <f t="shared" si="13"/>
        <v>231.294964028777</v>
      </c>
      <c r="AY31">
        <v>300</v>
      </c>
      <c r="BA31">
        <v>664</v>
      </c>
      <c r="BB31">
        <v>2.2000000000000002</v>
      </c>
      <c r="BC31">
        <f t="shared" si="4"/>
        <v>301.81818181818181</v>
      </c>
      <c r="BD31">
        <v>250</v>
      </c>
      <c r="BF31">
        <v>17208</v>
      </c>
      <c r="BG31">
        <v>72.7</v>
      </c>
      <c r="BH31">
        <f t="shared" si="5"/>
        <v>236.69876203576339</v>
      </c>
      <c r="BI31">
        <v>250</v>
      </c>
      <c r="BK31">
        <v>2626</v>
      </c>
      <c r="BL31">
        <v>44</v>
      </c>
      <c r="BM31">
        <f t="shared" si="6"/>
        <v>59.68181818181818</v>
      </c>
      <c r="BN31">
        <v>150</v>
      </c>
      <c r="BP31">
        <v>27691</v>
      </c>
      <c r="BQ31">
        <v>121.8</v>
      </c>
      <c r="BR31">
        <f t="shared" si="7"/>
        <v>227.3481116584565</v>
      </c>
      <c r="BS31">
        <v>200</v>
      </c>
      <c r="BU31">
        <v>912</v>
      </c>
      <c r="BV31">
        <v>16.25</v>
      </c>
      <c r="BW31">
        <f t="shared" si="8"/>
        <v>56.123076923076923</v>
      </c>
      <c r="BX31">
        <v>100</v>
      </c>
      <c r="BZ31">
        <v>1179</v>
      </c>
      <c r="CA31">
        <v>8</v>
      </c>
      <c r="CB31">
        <f t="shared" si="9"/>
        <v>147.375</v>
      </c>
      <c r="CC31">
        <v>160</v>
      </c>
      <c r="CE31" t="s">
        <v>2</v>
      </c>
      <c r="CF31" t="s">
        <v>2</v>
      </c>
      <c r="CG31" t="s">
        <v>2</v>
      </c>
      <c r="CH31" t="s">
        <v>2</v>
      </c>
      <c r="CJ31">
        <v>22</v>
      </c>
      <c r="CK31">
        <v>0.67</v>
      </c>
      <c r="CL31">
        <f t="shared" si="10"/>
        <v>32.835820895522389</v>
      </c>
      <c r="CM31">
        <v>40</v>
      </c>
      <c r="CO31">
        <v>1984</v>
      </c>
      <c r="CP31">
        <v>7</v>
      </c>
      <c r="CQ31">
        <f t="shared" si="11"/>
        <v>283.42857142857144</v>
      </c>
      <c r="CR31">
        <v>300</v>
      </c>
    </row>
    <row r="32" spans="1:96" x14ac:dyDescent="0.25">
      <c r="A32">
        <v>44134</v>
      </c>
      <c r="B32">
        <v>0</v>
      </c>
      <c r="C32">
        <v>1</v>
      </c>
      <c r="E32">
        <v>0</v>
      </c>
      <c r="F32">
        <v>0</v>
      </c>
      <c r="H32">
        <v>988</v>
      </c>
      <c r="I32">
        <v>1569</v>
      </c>
      <c r="K32">
        <v>1011</v>
      </c>
      <c r="L32">
        <v>1011</v>
      </c>
      <c r="M32">
        <f t="shared" si="0"/>
        <v>1</v>
      </c>
      <c r="N32">
        <v>0.995</v>
      </c>
      <c r="P32">
        <v>462</v>
      </c>
      <c r="Q32">
        <v>462</v>
      </c>
      <c r="R32">
        <f t="shared" si="1"/>
        <v>1</v>
      </c>
      <c r="S32">
        <v>0.997</v>
      </c>
      <c r="U32">
        <v>184</v>
      </c>
      <c r="W32">
        <v>228</v>
      </c>
      <c r="X32">
        <v>24</v>
      </c>
      <c r="Y32">
        <v>0</v>
      </c>
      <c r="Z32">
        <f t="shared" si="2"/>
        <v>5.5045871559633031E-2</v>
      </c>
      <c r="AA32">
        <v>0.02</v>
      </c>
      <c r="AB32">
        <v>0.05</v>
      </c>
      <c r="AD32">
        <v>10576100</v>
      </c>
      <c r="AE32">
        <v>5970190</v>
      </c>
      <c r="AF32">
        <v>5620000</v>
      </c>
      <c r="AG32">
        <v>0</v>
      </c>
      <c r="AH32">
        <v>29898</v>
      </c>
      <c r="AI32">
        <f t="shared" si="3"/>
        <v>741.39708341695098</v>
      </c>
      <c r="AJ32">
        <v>800</v>
      </c>
      <c r="AL32" t="s">
        <v>2</v>
      </c>
      <c r="AM32" t="s">
        <v>2</v>
      </c>
      <c r="AN32" t="s">
        <v>2</v>
      </c>
      <c r="AO32" t="s">
        <v>2</v>
      </c>
      <c r="AQ32" t="s">
        <v>2</v>
      </c>
      <c r="AR32" t="s">
        <v>2</v>
      </c>
      <c r="AS32" t="s">
        <v>2</v>
      </c>
      <c r="AT32" t="s">
        <v>2</v>
      </c>
      <c r="AV32">
        <v>6347</v>
      </c>
      <c r="AW32">
        <v>27.01</v>
      </c>
      <c r="AX32">
        <f t="shared" si="13"/>
        <v>234.98704183635689</v>
      </c>
      <c r="AY32">
        <v>300</v>
      </c>
      <c r="BA32">
        <v>3058</v>
      </c>
      <c r="BB32">
        <v>12.18</v>
      </c>
      <c r="BC32">
        <f t="shared" si="4"/>
        <v>251.0673234811166</v>
      </c>
      <c r="BD32">
        <v>250</v>
      </c>
      <c r="BF32">
        <v>23652</v>
      </c>
      <c r="BG32">
        <v>120</v>
      </c>
      <c r="BH32">
        <f t="shared" si="5"/>
        <v>197.1</v>
      </c>
      <c r="BI32">
        <v>250</v>
      </c>
      <c r="BK32">
        <v>11767</v>
      </c>
      <c r="BL32">
        <v>56</v>
      </c>
      <c r="BM32">
        <f t="shared" si="6"/>
        <v>210.125</v>
      </c>
      <c r="BN32">
        <v>150</v>
      </c>
      <c r="BP32">
        <v>16675</v>
      </c>
      <c r="BQ32">
        <v>84.375</v>
      </c>
      <c r="BR32">
        <f t="shared" si="7"/>
        <v>197.62962962962962</v>
      </c>
      <c r="BS32">
        <v>200</v>
      </c>
      <c r="BU32">
        <v>0</v>
      </c>
      <c r="BV32">
        <v>0</v>
      </c>
      <c r="BW32" t="e">
        <f t="shared" si="8"/>
        <v>#DIV/0!</v>
      </c>
      <c r="BX32">
        <v>100</v>
      </c>
      <c r="BZ32">
        <v>6046</v>
      </c>
      <c r="CA32">
        <v>26.5</v>
      </c>
      <c r="CB32">
        <f t="shared" si="9"/>
        <v>228.15094339622641</v>
      </c>
      <c r="CC32">
        <v>160</v>
      </c>
      <c r="CE32" t="s">
        <v>2</v>
      </c>
      <c r="CF32" t="s">
        <v>2</v>
      </c>
      <c r="CG32" t="s">
        <v>2</v>
      </c>
      <c r="CH32" t="s">
        <v>2</v>
      </c>
      <c r="CJ32">
        <v>102</v>
      </c>
      <c r="CK32">
        <v>5.07</v>
      </c>
      <c r="CL32">
        <f t="shared" si="10"/>
        <v>20.11834319526627</v>
      </c>
      <c r="CM32">
        <v>40</v>
      </c>
      <c r="CO32">
        <v>6992</v>
      </c>
      <c r="CP32">
        <v>22</v>
      </c>
      <c r="CQ32">
        <f t="shared" si="11"/>
        <v>317.81818181818181</v>
      </c>
      <c r="CR32">
        <v>300</v>
      </c>
    </row>
    <row r="33" spans="1:96" x14ac:dyDescent="0.25">
      <c r="A33">
        <v>44135</v>
      </c>
      <c r="B33">
        <v>0</v>
      </c>
      <c r="C33">
        <v>1</v>
      </c>
      <c r="E33">
        <v>0</v>
      </c>
      <c r="F33">
        <v>0</v>
      </c>
      <c r="H33">
        <v>883</v>
      </c>
      <c r="I33">
        <v>1474</v>
      </c>
      <c r="K33">
        <v>883</v>
      </c>
      <c r="L33">
        <v>883</v>
      </c>
      <c r="M33">
        <f t="shared" si="0"/>
        <v>1</v>
      </c>
      <c r="N33">
        <v>0.995</v>
      </c>
      <c r="P33">
        <v>450</v>
      </c>
      <c r="Q33">
        <v>450</v>
      </c>
      <c r="R33">
        <f t="shared" si="1"/>
        <v>1</v>
      </c>
      <c r="S33">
        <v>0.997</v>
      </c>
      <c r="U33">
        <v>216</v>
      </c>
      <c r="W33">
        <v>240</v>
      </c>
      <c r="X33">
        <v>0</v>
      </c>
      <c r="Y33">
        <v>0</v>
      </c>
      <c r="Z33">
        <f t="shared" si="2"/>
        <v>0</v>
      </c>
      <c r="AA33">
        <v>0.02</v>
      </c>
      <c r="AB33">
        <v>0.05</v>
      </c>
      <c r="AD33">
        <v>9614620</v>
      </c>
      <c r="AE33">
        <v>5740570</v>
      </c>
      <c r="AF33">
        <v>7080000</v>
      </c>
      <c r="AG33">
        <v>0</v>
      </c>
      <c r="AH33">
        <v>30258</v>
      </c>
      <c r="AI33">
        <f t="shared" si="3"/>
        <v>741.46308414303655</v>
      </c>
      <c r="AJ33">
        <v>800</v>
      </c>
      <c r="AL33" t="s">
        <v>2</v>
      </c>
      <c r="AM33" t="s">
        <v>2</v>
      </c>
      <c r="AN33" t="s">
        <v>2</v>
      </c>
      <c r="AO33" t="s">
        <v>2</v>
      </c>
      <c r="AQ33" t="s">
        <v>2</v>
      </c>
      <c r="AR33" t="s">
        <v>2</v>
      </c>
      <c r="AS33" t="s">
        <v>2</v>
      </c>
      <c r="AT33" t="s">
        <v>2</v>
      </c>
      <c r="AV33">
        <v>2461</v>
      </c>
      <c r="AW33">
        <v>10.6</v>
      </c>
      <c r="AX33">
        <f t="shared" si="13"/>
        <v>232.16981132075472</v>
      </c>
      <c r="AY33">
        <v>300</v>
      </c>
      <c r="BA33">
        <v>2226</v>
      </c>
      <c r="BB33">
        <v>8.4</v>
      </c>
      <c r="BC33">
        <f t="shared" si="4"/>
        <v>265</v>
      </c>
      <c r="BD33">
        <v>250</v>
      </c>
      <c r="BF33">
        <v>15936</v>
      </c>
      <c r="BG33">
        <v>108</v>
      </c>
      <c r="BH33">
        <f t="shared" si="5"/>
        <v>147.55555555555554</v>
      </c>
      <c r="BI33">
        <v>250</v>
      </c>
      <c r="BK33">
        <v>8787</v>
      </c>
      <c r="BL33">
        <v>79</v>
      </c>
      <c r="BM33">
        <f t="shared" si="6"/>
        <v>111.22784810126582</v>
      </c>
      <c r="BN33">
        <v>150</v>
      </c>
      <c r="BP33">
        <v>18324</v>
      </c>
      <c r="BQ33">
        <v>91</v>
      </c>
      <c r="BR33">
        <f t="shared" si="7"/>
        <v>201.36263736263737</v>
      </c>
      <c r="BS33">
        <v>200</v>
      </c>
      <c r="BU33">
        <v>0</v>
      </c>
      <c r="BV33">
        <v>0</v>
      </c>
      <c r="BW33" t="e">
        <f t="shared" si="8"/>
        <v>#DIV/0!</v>
      </c>
      <c r="BX33">
        <v>100</v>
      </c>
      <c r="BZ33">
        <v>5459</v>
      </c>
      <c r="CA33">
        <v>37.5</v>
      </c>
      <c r="CB33">
        <f t="shared" si="9"/>
        <v>145.57333333333332</v>
      </c>
      <c r="CC33">
        <v>160</v>
      </c>
      <c r="CE33" t="s">
        <v>2</v>
      </c>
      <c r="CF33" t="s">
        <v>2</v>
      </c>
      <c r="CG33" t="s">
        <v>2</v>
      </c>
      <c r="CH33" t="s">
        <v>2</v>
      </c>
      <c r="CJ33">
        <v>40</v>
      </c>
      <c r="CK33">
        <v>2.2000000000000002</v>
      </c>
      <c r="CL33">
        <f t="shared" si="10"/>
        <v>18.18181818181818</v>
      </c>
      <c r="CM33">
        <v>40</v>
      </c>
      <c r="CO33">
        <v>3843</v>
      </c>
      <c r="CP33">
        <v>12.82</v>
      </c>
      <c r="CQ33">
        <f t="shared" si="11"/>
        <v>299.76599063962556</v>
      </c>
      <c r="CR33">
        <v>300</v>
      </c>
    </row>
    <row r="34" spans="1:96" x14ac:dyDescent="0.25">
      <c r="A34">
        <v>44136</v>
      </c>
      <c r="B34" t="s">
        <v>2</v>
      </c>
      <c r="C34">
        <v>1</v>
      </c>
      <c r="E34" t="s">
        <v>2</v>
      </c>
      <c r="F34">
        <v>0</v>
      </c>
      <c r="H34" t="s">
        <v>2</v>
      </c>
      <c r="I34" t="s">
        <v>2</v>
      </c>
      <c r="K34" t="s">
        <v>2</v>
      </c>
      <c r="L34" t="s">
        <v>2</v>
      </c>
      <c r="M34" t="e">
        <f t="shared" si="0"/>
        <v>#VALUE!</v>
      </c>
      <c r="N34">
        <v>0.995</v>
      </c>
      <c r="P34" t="s">
        <v>2</v>
      </c>
      <c r="Q34" t="s">
        <v>2</v>
      </c>
      <c r="R34" t="e">
        <f t="shared" si="1"/>
        <v>#VALUE!</v>
      </c>
      <c r="S34">
        <v>0.997</v>
      </c>
      <c r="U34" t="s">
        <v>2</v>
      </c>
      <c r="W34" t="s">
        <v>2</v>
      </c>
      <c r="X34" t="s">
        <v>2</v>
      </c>
      <c r="Y34" t="s">
        <v>2</v>
      </c>
      <c r="Z34" t="e">
        <f t="shared" si="2"/>
        <v>#DIV/0!</v>
      </c>
      <c r="AA34">
        <v>0.02</v>
      </c>
      <c r="AB34">
        <v>0.05</v>
      </c>
      <c r="AD34" t="s">
        <v>2</v>
      </c>
      <c r="AE34" t="s">
        <v>2</v>
      </c>
      <c r="AF34" t="s">
        <v>2</v>
      </c>
      <c r="AG34" t="s">
        <v>2</v>
      </c>
      <c r="AH34" t="s">
        <v>2</v>
      </c>
      <c r="AI34" t="e">
        <f t="shared" si="3"/>
        <v>#VALUE!</v>
      </c>
      <c r="AJ34">
        <v>800</v>
      </c>
      <c r="AL34" t="s">
        <v>2</v>
      </c>
      <c r="AM34" t="s">
        <v>2</v>
      </c>
      <c r="AN34" t="s">
        <v>2</v>
      </c>
      <c r="AO34" t="s">
        <v>2</v>
      </c>
      <c r="AQ34" t="s">
        <v>2</v>
      </c>
      <c r="AR34" t="s">
        <v>2</v>
      </c>
      <c r="AS34" t="e">
        <f t="shared" ref="AS34:AS63" si="14">AQ34/AR34</f>
        <v>#VALUE!</v>
      </c>
      <c r="AT34">
        <v>250</v>
      </c>
      <c r="AV34" t="s">
        <v>2</v>
      </c>
      <c r="AW34" t="s">
        <v>2</v>
      </c>
      <c r="AX34" t="e">
        <f t="shared" si="13"/>
        <v>#VALUE!</v>
      </c>
      <c r="AY34">
        <v>300</v>
      </c>
      <c r="BA34" t="s">
        <v>2</v>
      </c>
      <c r="BB34" t="s">
        <v>2</v>
      </c>
      <c r="BC34" t="e">
        <f t="shared" si="4"/>
        <v>#VALUE!</v>
      </c>
      <c r="BD34">
        <v>250</v>
      </c>
      <c r="BF34" t="s">
        <v>2</v>
      </c>
      <c r="BG34" t="s">
        <v>2</v>
      </c>
      <c r="BH34" t="e">
        <f t="shared" si="5"/>
        <v>#VALUE!</v>
      </c>
      <c r="BI34">
        <v>250</v>
      </c>
      <c r="BK34" t="s">
        <v>2</v>
      </c>
      <c r="BL34" t="s">
        <v>2</v>
      </c>
      <c r="BM34" t="e">
        <f t="shared" si="6"/>
        <v>#VALUE!</v>
      </c>
      <c r="BN34">
        <v>150</v>
      </c>
      <c r="BP34" t="s">
        <v>2</v>
      </c>
      <c r="BQ34" t="s">
        <v>2</v>
      </c>
      <c r="BR34" t="e">
        <f t="shared" si="7"/>
        <v>#VALUE!</v>
      </c>
      <c r="BS34">
        <v>200</v>
      </c>
      <c r="BU34" t="s">
        <v>2</v>
      </c>
      <c r="BV34" t="s">
        <v>2</v>
      </c>
      <c r="BW34" t="e">
        <f t="shared" si="8"/>
        <v>#VALUE!</v>
      </c>
      <c r="BX34">
        <v>100</v>
      </c>
      <c r="BZ34" t="s">
        <v>2</v>
      </c>
      <c r="CA34" t="s">
        <v>2</v>
      </c>
      <c r="CB34" t="e">
        <f t="shared" si="9"/>
        <v>#VALUE!</v>
      </c>
      <c r="CC34">
        <v>160</v>
      </c>
      <c r="CE34" t="s">
        <v>2</v>
      </c>
      <c r="CF34" t="s">
        <v>2</v>
      </c>
      <c r="CG34" t="s">
        <v>2</v>
      </c>
      <c r="CH34" t="s">
        <v>2</v>
      </c>
      <c r="CJ34" t="s">
        <v>2</v>
      </c>
      <c r="CK34" t="s">
        <v>2</v>
      </c>
      <c r="CL34" t="e">
        <f t="shared" si="10"/>
        <v>#VALUE!</v>
      </c>
      <c r="CM34">
        <v>40</v>
      </c>
      <c r="CO34" t="s">
        <v>2</v>
      </c>
      <c r="CP34" t="s">
        <v>2</v>
      </c>
      <c r="CQ34" t="e">
        <f t="shared" si="11"/>
        <v>#VALUE!</v>
      </c>
      <c r="CR34">
        <v>300</v>
      </c>
    </row>
    <row r="35" spans="1:96" x14ac:dyDescent="0.25">
      <c r="A35">
        <v>44137</v>
      </c>
      <c r="B35">
        <v>0</v>
      </c>
      <c r="C35">
        <v>1</v>
      </c>
      <c r="E35">
        <v>0</v>
      </c>
      <c r="F35">
        <v>0</v>
      </c>
      <c r="H35">
        <v>1257</v>
      </c>
      <c r="I35">
        <v>1483</v>
      </c>
      <c r="K35">
        <v>1254</v>
      </c>
      <c r="L35">
        <v>1254</v>
      </c>
      <c r="M35">
        <f t="shared" si="0"/>
        <v>1</v>
      </c>
      <c r="N35">
        <v>0.995</v>
      </c>
      <c r="P35">
        <v>399</v>
      </c>
      <c r="Q35">
        <v>399</v>
      </c>
      <c r="R35">
        <f t="shared" ref="R35:R63" si="15">P35/Q35</f>
        <v>1</v>
      </c>
      <c r="S35">
        <v>0.997</v>
      </c>
      <c r="U35">
        <v>171</v>
      </c>
      <c r="W35">
        <v>232</v>
      </c>
      <c r="X35">
        <v>30.5</v>
      </c>
      <c r="Y35">
        <v>18</v>
      </c>
      <c r="Z35">
        <f t="shared" ref="Z35:Z63" si="16">SUM(X35:Y35)/SUM(U35:Y35)</f>
        <v>0.10741971207087486</v>
      </c>
      <c r="AA35">
        <v>0.02</v>
      </c>
      <c r="AB35">
        <v>0.05</v>
      </c>
      <c r="AD35">
        <v>11232700</v>
      </c>
      <c r="AE35">
        <v>5970190</v>
      </c>
      <c r="AF35">
        <v>6838750</v>
      </c>
      <c r="AG35">
        <v>0</v>
      </c>
      <c r="AH35">
        <v>31931</v>
      </c>
      <c r="AI35">
        <f t="shared" ref="AI35:AI63" si="17">SUM(AD35:AG35)/AH35</f>
        <v>752.92474397920512</v>
      </c>
      <c r="AJ35">
        <v>800</v>
      </c>
      <c r="AL35" t="s">
        <v>2</v>
      </c>
      <c r="AM35" t="s">
        <v>2</v>
      </c>
      <c r="AN35" t="s">
        <v>2</v>
      </c>
      <c r="AO35" t="s">
        <v>2</v>
      </c>
      <c r="AQ35">
        <v>740</v>
      </c>
      <c r="AR35">
        <v>4.05</v>
      </c>
      <c r="AS35">
        <f t="shared" si="14"/>
        <v>182.71604938271605</v>
      </c>
      <c r="AT35">
        <v>250</v>
      </c>
      <c r="AV35">
        <v>549</v>
      </c>
      <c r="AW35">
        <v>3.25</v>
      </c>
      <c r="AX35">
        <f t="shared" si="13"/>
        <v>168.92307692307693</v>
      </c>
      <c r="AY35">
        <v>300</v>
      </c>
      <c r="BA35">
        <v>191</v>
      </c>
      <c r="BB35">
        <v>0.8</v>
      </c>
      <c r="BC35">
        <f t="shared" ref="BC35:BC63" si="18">BA35/BB35</f>
        <v>238.75</v>
      </c>
      <c r="BD35">
        <v>250</v>
      </c>
      <c r="BF35">
        <v>18276</v>
      </c>
      <c r="BG35">
        <v>92</v>
      </c>
      <c r="BH35">
        <f t="shared" ref="BH35:BH63" si="19">BF35/BG35</f>
        <v>198.65217391304347</v>
      </c>
      <c r="BI35">
        <v>250</v>
      </c>
      <c r="BK35">
        <v>8671</v>
      </c>
      <c r="BL35">
        <v>71</v>
      </c>
      <c r="BM35">
        <f t="shared" ref="BM35:BM63" si="20">BK35/BL35</f>
        <v>122.12676056338029</v>
      </c>
      <c r="BN35">
        <v>150</v>
      </c>
      <c r="BP35">
        <v>26144</v>
      </c>
      <c r="BQ35">
        <v>126.63500000000001</v>
      </c>
      <c r="BR35">
        <f t="shared" ref="BR35:BR63" si="21">BP35/BQ35</f>
        <v>206.45161290322579</v>
      </c>
      <c r="BS35">
        <v>200</v>
      </c>
      <c r="BU35">
        <v>760</v>
      </c>
      <c r="BV35">
        <v>15</v>
      </c>
      <c r="BW35">
        <f t="shared" ref="BW35:BW63" si="22">BU35/BV35</f>
        <v>50.666666666666664</v>
      </c>
      <c r="BX35">
        <v>100</v>
      </c>
      <c r="BZ35">
        <v>4471</v>
      </c>
      <c r="CA35">
        <v>23.3</v>
      </c>
      <c r="CB35">
        <f t="shared" ref="CB35:CB63" si="23">BZ35/CA35</f>
        <v>191.88841201716738</v>
      </c>
      <c r="CC35">
        <v>160</v>
      </c>
      <c r="CE35">
        <v>1456</v>
      </c>
      <c r="CF35">
        <v>1.63</v>
      </c>
      <c r="CG35">
        <f t="shared" ref="CG35:CG63" si="24">CE35/CF35</f>
        <v>893.25153374233139</v>
      </c>
      <c r="CJ35">
        <v>0</v>
      </c>
      <c r="CK35">
        <v>0</v>
      </c>
      <c r="CL35" t="e">
        <f t="shared" ref="CL35:CL63" si="25">CJ35/CK35</f>
        <v>#DIV/0!</v>
      </c>
      <c r="CM35">
        <v>40</v>
      </c>
      <c r="CO35">
        <v>97</v>
      </c>
      <c r="CP35">
        <v>0.4</v>
      </c>
      <c r="CQ35">
        <f t="shared" ref="CQ35:CQ63" si="26">CO35/CP35</f>
        <v>242.5</v>
      </c>
      <c r="CR35">
        <v>300</v>
      </c>
    </row>
    <row r="36" spans="1:96" x14ac:dyDescent="0.25">
      <c r="A36">
        <v>44138</v>
      </c>
      <c r="B36">
        <v>0</v>
      </c>
      <c r="C36">
        <v>1</v>
      </c>
      <c r="E36">
        <v>0</v>
      </c>
      <c r="F36">
        <v>0</v>
      </c>
      <c r="H36">
        <v>1437</v>
      </c>
      <c r="I36">
        <v>1512</v>
      </c>
      <c r="K36">
        <v>1397</v>
      </c>
      <c r="L36">
        <v>1397</v>
      </c>
      <c r="M36">
        <f t="shared" si="0"/>
        <v>1</v>
      </c>
      <c r="N36">
        <v>0.995</v>
      </c>
      <c r="P36">
        <v>447</v>
      </c>
      <c r="Q36">
        <v>447</v>
      </c>
      <c r="R36">
        <f t="shared" si="15"/>
        <v>1</v>
      </c>
      <c r="S36">
        <v>0.997</v>
      </c>
      <c r="U36">
        <v>184</v>
      </c>
      <c r="W36">
        <v>249</v>
      </c>
      <c r="X36">
        <v>24</v>
      </c>
      <c r="Y36">
        <v>26</v>
      </c>
      <c r="Z36">
        <f t="shared" si="16"/>
        <v>0.10351966873706005</v>
      </c>
      <c r="AA36">
        <v>0.02</v>
      </c>
      <c r="AB36">
        <v>0.05</v>
      </c>
      <c r="AD36">
        <v>11592000</v>
      </c>
      <c r="AE36">
        <v>5970190</v>
      </c>
      <c r="AF36">
        <v>8111880</v>
      </c>
      <c r="AG36">
        <v>0</v>
      </c>
      <c r="AH36">
        <v>39531</v>
      </c>
      <c r="AI36">
        <f t="shared" si="17"/>
        <v>649.46674761579516</v>
      </c>
      <c r="AJ36">
        <v>800</v>
      </c>
      <c r="AL36" t="s">
        <v>2</v>
      </c>
      <c r="AM36" t="s">
        <v>2</v>
      </c>
      <c r="AN36" t="s">
        <v>2</v>
      </c>
      <c r="AO36" t="s">
        <v>2</v>
      </c>
      <c r="AQ36">
        <v>1197</v>
      </c>
      <c r="AR36">
        <v>3.27</v>
      </c>
      <c r="AS36">
        <f t="shared" si="14"/>
        <v>366.05504587155963</v>
      </c>
      <c r="AT36">
        <v>250</v>
      </c>
      <c r="AV36">
        <v>1197</v>
      </c>
      <c r="AW36">
        <v>3.27</v>
      </c>
      <c r="AX36">
        <f t="shared" si="13"/>
        <v>366.05504587155963</v>
      </c>
      <c r="AY36">
        <v>300</v>
      </c>
      <c r="BA36">
        <v>0</v>
      </c>
      <c r="BB36">
        <v>0</v>
      </c>
      <c r="BC36" t="e">
        <f t="shared" si="18"/>
        <v>#DIV/0!</v>
      </c>
      <c r="BD36">
        <v>250</v>
      </c>
      <c r="BF36">
        <v>11300</v>
      </c>
      <c r="BG36">
        <v>59</v>
      </c>
      <c r="BH36">
        <f t="shared" si="19"/>
        <v>191.52542372881356</v>
      </c>
      <c r="BI36">
        <v>250</v>
      </c>
      <c r="BK36">
        <v>8649</v>
      </c>
      <c r="BL36">
        <v>67</v>
      </c>
      <c r="BM36">
        <f t="shared" si="20"/>
        <v>129.08955223880596</v>
      </c>
      <c r="BN36">
        <v>150</v>
      </c>
      <c r="BP36">
        <v>31701</v>
      </c>
      <c r="BQ36">
        <v>150.03</v>
      </c>
      <c r="BR36">
        <f t="shared" si="21"/>
        <v>211.29774045190962</v>
      </c>
      <c r="BS36">
        <v>200</v>
      </c>
      <c r="BU36">
        <v>2588</v>
      </c>
      <c r="BV36">
        <v>50.75</v>
      </c>
      <c r="BW36">
        <f t="shared" si="22"/>
        <v>50.995073891625616</v>
      </c>
      <c r="BX36">
        <v>100</v>
      </c>
      <c r="BZ36">
        <v>1838</v>
      </c>
      <c r="CA36">
        <v>12</v>
      </c>
      <c r="CB36">
        <f t="shared" si="23"/>
        <v>153.16666666666666</v>
      </c>
      <c r="CC36">
        <v>160</v>
      </c>
      <c r="CE36">
        <v>0</v>
      </c>
      <c r="CF36">
        <v>0</v>
      </c>
      <c r="CG36" t="e">
        <f t="shared" si="24"/>
        <v>#DIV/0!</v>
      </c>
      <c r="CJ36">
        <v>9</v>
      </c>
      <c r="CK36">
        <v>0.33</v>
      </c>
      <c r="CL36">
        <f t="shared" si="25"/>
        <v>27.27272727272727</v>
      </c>
      <c r="CM36">
        <v>40</v>
      </c>
      <c r="CO36">
        <v>1360</v>
      </c>
      <c r="CP36">
        <v>6.07</v>
      </c>
      <c r="CQ36">
        <f t="shared" si="26"/>
        <v>224.05271828665568</v>
      </c>
      <c r="CR36">
        <v>300</v>
      </c>
    </row>
    <row r="37" spans="1:96" x14ac:dyDescent="0.25">
      <c r="A37">
        <v>44139</v>
      </c>
      <c r="B37">
        <v>0</v>
      </c>
      <c r="C37">
        <v>1</v>
      </c>
      <c r="E37">
        <v>0</v>
      </c>
      <c r="F37">
        <v>0</v>
      </c>
      <c r="H37">
        <v>1477</v>
      </c>
      <c r="I37">
        <v>850</v>
      </c>
      <c r="K37">
        <v>1477</v>
      </c>
      <c r="L37">
        <v>1477</v>
      </c>
      <c r="M37">
        <f t="shared" si="0"/>
        <v>1</v>
      </c>
      <c r="N37">
        <v>0.995</v>
      </c>
      <c r="P37">
        <v>632</v>
      </c>
      <c r="Q37">
        <v>632</v>
      </c>
      <c r="R37">
        <f t="shared" si="15"/>
        <v>1</v>
      </c>
      <c r="S37">
        <v>0.997</v>
      </c>
      <c r="U37">
        <v>200</v>
      </c>
      <c r="W37">
        <v>248</v>
      </c>
      <c r="X37">
        <v>0</v>
      </c>
      <c r="Y37">
        <v>0</v>
      </c>
      <c r="Z37">
        <f t="shared" si="16"/>
        <v>0</v>
      </c>
      <c r="AA37">
        <v>0.02</v>
      </c>
      <c r="AB37">
        <v>0.05</v>
      </c>
      <c r="AD37">
        <v>9935100</v>
      </c>
      <c r="AE37">
        <v>5970190</v>
      </c>
      <c r="AF37">
        <v>6870000</v>
      </c>
      <c r="AG37">
        <v>0</v>
      </c>
      <c r="AH37">
        <v>30669</v>
      </c>
      <c r="AI37">
        <f t="shared" si="17"/>
        <v>742.61599660895365</v>
      </c>
      <c r="AJ37">
        <v>800</v>
      </c>
      <c r="AL37" t="s">
        <v>2</v>
      </c>
      <c r="AM37" t="s">
        <v>2</v>
      </c>
      <c r="AN37" t="s">
        <v>2</v>
      </c>
      <c r="AO37" t="s">
        <v>2</v>
      </c>
      <c r="AQ37">
        <v>3031</v>
      </c>
      <c r="AR37">
        <v>14.63</v>
      </c>
      <c r="AS37">
        <f t="shared" si="14"/>
        <v>207.17703349282294</v>
      </c>
      <c r="AT37">
        <v>250</v>
      </c>
      <c r="AV37">
        <v>2013</v>
      </c>
      <c r="AW37">
        <v>9.6300000000000008</v>
      </c>
      <c r="AX37">
        <f t="shared" si="13"/>
        <v>209.03426791277258</v>
      </c>
      <c r="AY37">
        <v>300</v>
      </c>
      <c r="BA37">
        <v>1018</v>
      </c>
      <c r="BB37">
        <v>5</v>
      </c>
      <c r="BC37">
        <f t="shared" si="18"/>
        <v>203.6</v>
      </c>
      <c r="BD37">
        <v>250</v>
      </c>
      <c r="BF37">
        <v>17088</v>
      </c>
      <c r="BG37">
        <v>88</v>
      </c>
      <c r="BH37">
        <f t="shared" si="19"/>
        <v>194.18181818181819</v>
      </c>
      <c r="BI37">
        <v>250</v>
      </c>
      <c r="BK37">
        <v>8530</v>
      </c>
      <c r="BL37">
        <v>63</v>
      </c>
      <c r="BM37">
        <f t="shared" si="20"/>
        <v>135.39682539682539</v>
      </c>
      <c r="BN37">
        <v>150</v>
      </c>
      <c r="BP37">
        <v>24885</v>
      </c>
      <c r="BQ37">
        <v>127.5</v>
      </c>
      <c r="BR37">
        <f t="shared" si="21"/>
        <v>195.1764705882353</v>
      </c>
      <c r="BS37">
        <v>200</v>
      </c>
      <c r="BU37">
        <v>765</v>
      </c>
      <c r="BV37">
        <v>18.75</v>
      </c>
      <c r="BW37">
        <f t="shared" si="22"/>
        <v>40.799999999999997</v>
      </c>
      <c r="BX37">
        <v>100</v>
      </c>
      <c r="BZ37">
        <v>2839</v>
      </c>
      <c r="CA37">
        <v>18</v>
      </c>
      <c r="CB37">
        <f t="shared" si="23"/>
        <v>157.72222222222223</v>
      </c>
      <c r="CC37">
        <v>160</v>
      </c>
      <c r="CE37">
        <v>0</v>
      </c>
      <c r="CF37">
        <v>0</v>
      </c>
      <c r="CG37" t="e">
        <f t="shared" si="24"/>
        <v>#DIV/0!</v>
      </c>
      <c r="CJ37">
        <v>18</v>
      </c>
      <c r="CK37">
        <v>0.52</v>
      </c>
      <c r="CL37">
        <f t="shared" si="25"/>
        <v>34.615384615384613</v>
      </c>
      <c r="CM37">
        <v>40</v>
      </c>
      <c r="CO37">
        <v>758</v>
      </c>
      <c r="CP37">
        <v>3.3</v>
      </c>
      <c r="CQ37">
        <f t="shared" si="26"/>
        <v>229.69696969696972</v>
      </c>
      <c r="CR37">
        <v>300</v>
      </c>
    </row>
    <row r="38" spans="1:96" x14ac:dyDescent="0.25">
      <c r="A38">
        <v>44140</v>
      </c>
      <c r="B38">
        <v>0</v>
      </c>
      <c r="C38">
        <v>1</v>
      </c>
      <c r="E38">
        <v>0</v>
      </c>
      <c r="F38">
        <v>0</v>
      </c>
      <c r="H38">
        <v>711</v>
      </c>
      <c r="I38">
        <v>678</v>
      </c>
      <c r="K38">
        <v>714</v>
      </c>
      <c r="L38">
        <v>714</v>
      </c>
      <c r="M38">
        <f t="shared" si="0"/>
        <v>1</v>
      </c>
      <c r="N38">
        <v>0.995</v>
      </c>
      <c r="P38">
        <v>441</v>
      </c>
      <c r="Q38">
        <v>441</v>
      </c>
      <c r="R38">
        <f t="shared" si="15"/>
        <v>1</v>
      </c>
      <c r="S38">
        <v>0.997</v>
      </c>
      <c r="U38">
        <v>200</v>
      </c>
      <c r="W38">
        <v>240</v>
      </c>
      <c r="X38">
        <v>0</v>
      </c>
      <c r="Y38">
        <v>0</v>
      </c>
      <c r="Z38">
        <f t="shared" si="16"/>
        <v>0</v>
      </c>
      <c r="AA38">
        <v>0.02</v>
      </c>
      <c r="AB38">
        <v>0.05</v>
      </c>
      <c r="AD38">
        <v>9614620</v>
      </c>
      <c r="AE38">
        <v>5740570</v>
      </c>
      <c r="AF38">
        <v>6660000</v>
      </c>
      <c r="AG38">
        <v>0</v>
      </c>
      <c r="AH38">
        <v>35151</v>
      </c>
      <c r="AI38">
        <f t="shared" si="17"/>
        <v>626.30337685983329</v>
      </c>
      <c r="AJ38">
        <v>800</v>
      </c>
      <c r="AL38" t="s">
        <v>2</v>
      </c>
      <c r="AM38" t="s">
        <v>2</v>
      </c>
      <c r="AN38" t="s">
        <v>2</v>
      </c>
      <c r="AO38" t="s">
        <v>2</v>
      </c>
      <c r="AQ38">
        <v>4168</v>
      </c>
      <c r="AR38">
        <v>15.12</v>
      </c>
      <c r="AS38">
        <f t="shared" si="14"/>
        <v>275.6613756613757</v>
      </c>
      <c r="AT38">
        <v>250</v>
      </c>
      <c r="AV38">
        <v>3207</v>
      </c>
      <c r="AW38">
        <v>10.72</v>
      </c>
      <c r="AX38">
        <f t="shared" si="13"/>
        <v>299.16044776119401</v>
      </c>
      <c r="AY38">
        <v>300</v>
      </c>
      <c r="BA38">
        <v>961</v>
      </c>
      <c r="BB38">
        <v>4.4000000000000004</v>
      </c>
      <c r="BC38">
        <f t="shared" si="18"/>
        <v>218.40909090909088</v>
      </c>
      <c r="BD38">
        <v>250</v>
      </c>
      <c r="BF38">
        <v>21936</v>
      </c>
      <c r="BG38">
        <v>97</v>
      </c>
      <c r="BH38">
        <f t="shared" si="19"/>
        <v>226.14432989690721</v>
      </c>
      <c r="BI38">
        <v>250</v>
      </c>
      <c r="BK38">
        <v>13880</v>
      </c>
      <c r="BL38">
        <v>83</v>
      </c>
      <c r="BM38">
        <f t="shared" si="20"/>
        <v>167.22891566265059</v>
      </c>
      <c r="BN38">
        <v>150</v>
      </c>
      <c r="BP38">
        <v>20673</v>
      </c>
      <c r="BQ38">
        <v>97.9</v>
      </c>
      <c r="BR38">
        <f t="shared" si="21"/>
        <v>211.16445352400407</v>
      </c>
      <c r="BS38">
        <v>200</v>
      </c>
      <c r="BU38">
        <v>654</v>
      </c>
      <c r="BV38">
        <v>15</v>
      </c>
      <c r="BW38">
        <f t="shared" si="22"/>
        <v>43.6</v>
      </c>
      <c r="BX38">
        <v>100</v>
      </c>
      <c r="BZ38">
        <v>4717</v>
      </c>
      <c r="CA38">
        <v>28.8</v>
      </c>
      <c r="CB38">
        <f t="shared" si="23"/>
        <v>163.78472222222223</v>
      </c>
      <c r="CC38">
        <v>160</v>
      </c>
      <c r="CE38">
        <v>334</v>
      </c>
      <c r="CF38">
        <v>0.42</v>
      </c>
      <c r="CG38">
        <f t="shared" si="24"/>
        <v>795.2380952380953</v>
      </c>
      <c r="CJ38">
        <v>23</v>
      </c>
      <c r="CK38">
        <v>0.83</v>
      </c>
      <c r="CL38">
        <f t="shared" si="25"/>
        <v>27.710843373493976</v>
      </c>
      <c r="CM38">
        <v>40</v>
      </c>
      <c r="CO38">
        <v>1748</v>
      </c>
      <c r="CP38">
        <v>7.75</v>
      </c>
      <c r="CQ38">
        <f t="shared" si="26"/>
        <v>225.54838709677421</v>
      </c>
      <c r="CR38">
        <v>300</v>
      </c>
    </row>
    <row r="39" spans="1:96" x14ac:dyDescent="0.25">
      <c r="A39">
        <v>44141</v>
      </c>
      <c r="B39">
        <v>0</v>
      </c>
      <c r="C39">
        <v>1</v>
      </c>
      <c r="E39">
        <v>0</v>
      </c>
      <c r="F39">
        <v>0</v>
      </c>
      <c r="H39">
        <v>917</v>
      </c>
      <c r="I39">
        <v>1037</v>
      </c>
      <c r="K39">
        <v>741</v>
      </c>
      <c r="L39">
        <v>741</v>
      </c>
      <c r="M39">
        <f t="shared" si="0"/>
        <v>1</v>
      </c>
      <c r="N39">
        <v>0.995</v>
      </c>
      <c r="P39">
        <v>414</v>
      </c>
      <c r="Q39">
        <v>414</v>
      </c>
      <c r="R39">
        <f t="shared" si="15"/>
        <v>1</v>
      </c>
      <c r="S39">
        <v>0.997</v>
      </c>
      <c r="U39">
        <v>208</v>
      </c>
      <c r="W39">
        <v>200</v>
      </c>
      <c r="X39">
        <v>27</v>
      </c>
      <c r="Y39">
        <v>3</v>
      </c>
      <c r="Z39">
        <f t="shared" si="16"/>
        <v>6.8493150684931503E-2</v>
      </c>
      <c r="AA39">
        <v>0.02</v>
      </c>
      <c r="AB39">
        <v>0.05</v>
      </c>
      <c r="AD39">
        <v>9634650</v>
      </c>
      <c r="AE39">
        <v>5510950</v>
      </c>
      <c r="AF39">
        <v>6788130</v>
      </c>
      <c r="AG39">
        <v>0</v>
      </c>
      <c r="AH39">
        <v>17497</v>
      </c>
      <c r="AI39">
        <f t="shared" si="17"/>
        <v>1253.570897868206</v>
      </c>
      <c r="AJ39">
        <v>800</v>
      </c>
      <c r="AL39" t="s">
        <v>2</v>
      </c>
      <c r="AM39" t="s">
        <v>2</v>
      </c>
      <c r="AN39" t="s">
        <v>2</v>
      </c>
      <c r="AO39" t="s">
        <v>2</v>
      </c>
      <c r="AQ39">
        <v>6070</v>
      </c>
      <c r="AR39">
        <v>21</v>
      </c>
      <c r="AS39">
        <f t="shared" si="14"/>
        <v>289.04761904761904</v>
      </c>
      <c r="AT39">
        <v>250</v>
      </c>
      <c r="AV39">
        <v>2797</v>
      </c>
      <c r="AW39">
        <v>12.8</v>
      </c>
      <c r="AX39">
        <f t="shared" si="13"/>
        <v>218.515625</v>
      </c>
      <c r="AY39">
        <v>300</v>
      </c>
      <c r="BA39">
        <v>3273</v>
      </c>
      <c r="BB39">
        <v>8.1999999999999993</v>
      </c>
      <c r="BC39">
        <f t="shared" si="18"/>
        <v>399.14634146341467</v>
      </c>
      <c r="BD39">
        <v>250</v>
      </c>
      <c r="BF39">
        <v>32484</v>
      </c>
      <c r="BG39">
        <v>135</v>
      </c>
      <c r="BH39">
        <f t="shared" si="19"/>
        <v>240.62222222222223</v>
      </c>
      <c r="BI39">
        <v>250</v>
      </c>
      <c r="BK39">
        <v>9388</v>
      </c>
      <c r="BL39">
        <v>58</v>
      </c>
      <c r="BM39">
        <f t="shared" si="20"/>
        <v>161.86206896551724</v>
      </c>
      <c r="BN39">
        <v>150</v>
      </c>
      <c r="BP39">
        <v>11487</v>
      </c>
      <c r="BQ39">
        <v>84</v>
      </c>
      <c r="BR39">
        <f t="shared" si="21"/>
        <v>136.75</v>
      </c>
      <c r="BS39">
        <v>200</v>
      </c>
      <c r="BU39">
        <v>0</v>
      </c>
      <c r="BV39">
        <v>0</v>
      </c>
      <c r="BW39" t="e">
        <f t="shared" si="22"/>
        <v>#DIV/0!</v>
      </c>
      <c r="BX39">
        <v>100</v>
      </c>
      <c r="BZ39">
        <v>4733</v>
      </c>
      <c r="CA39">
        <v>30</v>
      </c>
      <c r="CB39">
        <f t="shared" si="23"/>
        <v>157.76666666666668</v>
      </c>
      <c r="CC39">
        <v>160</v>
      </c>
      <c r="CE39">
        <v>0</v>
      </c>
      <c r="CF39">
        <v>0</v>
      </c>
      <c r="CG39" t="e">
        <f t="shared" si="24"/>
        <v>#DIV/0!</v>
      </c>
      <c r="CJ39">
        <v>34</v>
      </c>
      <c r="CK39">
        <v>1.3</v>
      </c>
      <c r="CL39">
        <f t="shared" si="25"/>
        <v>26.153846153846153</v>
      </c>
      <c r="CM39">
        <v>40</v>
      </c>
      <c r="CO39">
        <v>2211</v>
      </c>
      <c r="CP39">
        <v>7.47</v>
      </c>
      <c r="CQ39">
        <f t="shared" si="26"/>
        <v>295.98393574297188</v>
      </c>
      <c r="CR39">
        <v>300</v>
      </c>
    </row>
    <row r="40" spans="1:96" x14ac:dyDescent="0.25">
      <c r="A40">
        <v>44142</v>
      </c>
      <c r="B40">
        <v>0</v>
      </c>
      <c r="C40">
        <v>1</v>
      </c>
      <c r="E40">
        <v>0</v>
      </c>
      <c r="F40">
        <v>0</v>
      </c>
      <c r="H40">
        <v>435</v>
      </c>
      <c r="I40">
        <v>765</v>
      </c>
      <c r="K40">
        <v>541</v>
      </c>
      <c r="L40">
        <v>541</v>
      </c>
      <c r="M40">
        <f t="shared" si="0"/>
        <v>1</v>
      </c>
      <c r="N40">
        <v>0.995</v>
      </c>
      <c r="P40">
        <v>416</v>
      </c>
      <c r="Q40">
        <v>416</v>
      </c>
      <c r="R40">
        <f t="shared" si="15"/>
        <v>1</v>
      </c>
      <c r="S40">
        <v>0.997</v>
      </c>
      <c r="U40">
        <v>216</v>
      </c>
      <c r="W40">
        <v>176</v>
      </c>
      <c r="X40">
        <v>0</v>
      </c>
      <c r="Y40">
        <v>0</v>
      </c>
      <c r="Z40">
        <f t="shared" si="16"/>
        <v>0</v>
      </c>
      <c r="AA40">
        <v>0.02</v>
      </c>
      <c r="AB40">
        <v>0.05</v>
      </c>
      <c r="AD40">
        <v>7083520</v>
      </c>
      <c r="AE40">
        <v>4943830</v>
      </c>
      <c r="AF40">
        <v>6890000</v>
      </c>
      <c r="AG40">
        <v>0</v>
      </c>
      <c r="AH40">
        <v>12945</v>
      </c>
      <c r="AI40">
        <f t="shared" si="17"/>
        <v>1461.363460795674</v>
      </c>
      <c r="AJ40">
        <v>800</v>
      </c>
      <c r="AL40" t="s">
        <v>2</v>
      </c>
      <c r="AM40" t="s">
        <v>2</v>
      </c>
      <c r="AN40" t="s">
        <v>2</v>
      </c>
      <c r="AO40" t="s">
        <v>2</v>
      </c>
      <c r="AQ40">
        <v>4154</v>
      </c>
      <c r="AR40">
        <v>14.7</v>
      </c>
      <c r="AS40">
        <f t="shared" si="14"/>
        <v>282.58503401360548</v>
      </c>
      <c r="AT40">
        <v>250</v>
      </c>
      <c r="AV40">
        <v>3139</v>
      </c>
      <c r="AW40">
        <v>11.87</v>
      </c>
      <c r="AX40">
        <f t="shared" si="13"/>
        <v>264.44818871103627</v>
      </c>
      <c r="AY40">
        <v>300</v>
      </c>
      <c r="BA40">
        <v>1015</v>
      </c>
      <c r="BB40">
        <v>2.8</v>
      </c>
      <c r="BC40">
        <f t="shared" si="18"/>
        <v>362.5</v>
      </c>
      <c r="BD40">
        <v>250</v>
      </c>
      <c r="BF40">
        <v>23184</v>
      </c>
      <c r="BG40">
        <v>108</v>
      </c>
      <c r="BH40">
        <f t="shared" si="19"/>
        <v>214.66666666666666</v>
      </c>
      <c r="BI40">
        <v>250</v>
      </c>
      <c r="BK40">
        <v>7891</v>
      </c>
      <c r="BL40">
        <v>71</v>
      </c>
      <c r="BM40">
        <f t="shared" si="20"/>
        <v>111.14084507042253</v>
      </c>
      <c r="BN40">
        <v>150</v>
      </c>
      <c r="BP40">
        <v>5497</v>
      </c>
      <c r="BQ40">
        <v>38.5</v>
      </c>
      <c r="BR40">
        <f t="shared" si="21"/>
        <v>142.77922077922079</v>
      </c>
      <c r="BS40">
        <v>200</v>
      </c>
      <c r="BU40">
        <v>0</v>
      </c>
      <c r="BV40">
        <v>0</v>
      </c>
      <c r="BW40" t="e">
        <f t="shared" si="22"/>
        <v>#DIV/0!</v>
      </c>
      <c r="BX40">
        <v>100</v>
      </c>
      <c r="BZ40">
        <v>5028</v>
      </c>
      <c r="CA40">
        <v>29.3</v>
      </c>
      <c r="CB40">
        <f t="shared" si="23"/>
        <v>171.60409556313994</v>
      </c>
      <c r="CC40">
        <v>160</v>
      </c>
      <c r="CE40">
        <v>0</v>
      </c>
      <c r="CF40">
        <v>0</v>
      </c>
      <c r="CG40" t="e">
        <f t="shared" si="24"/>
        <v>#DIV/0!</v>
      </c>
      <c r="CJ40">
        <v>7</v>
      </c>
      <c r="CK40">
        <v>0.2</v>
      </c>
      <c r="CL40">
        <f t="shared" si="25"/>
        <v>35</v>
      </c>
      <c r="CM40">
        <v>40</v>
      </c>
      <c r="CO40">
        <v>1483</v>
      </c>
      <c r="CP40">
        <v>6.32</v>
      </c>
      <c r="CQ40">
        <f t="shared" si="26"/>
        <v>234.65189873417719</v>
      </c>
      <c r="CR40">
        <v>300</v>
      </c>
    </row>
    <row r="41" spans="1:96" x14ac:dyDescent="0.25">
      <c r="A41">
        <v>44143</v>
      </c>
      <c r="B41" t="s">
        <v>2</v>
      </c>
      <c r="C41">
        <v>1</v>
      </c>
      <c r="E41" t="s">
        <v>2</v>
      </c>
      <c r="F41">
        <v>0</v>
      </c>
      <c r="H41" t="s">
        <v>2</v>
      </c>
      <c r="I41" t="s">
        <v>2</v>
      </c>
      <c r="K41" t="s">
        <v>2</v>
      </c>
      <c r="L41" t="s">
        <v>2</v>
      </c>
      <c r="M41" t="e">
        <f t="shared" si="0"/>
        <v>#VALUE!</v>
      </c>
      <c r="N41">
        <v>0.995</v>
      </c>
      <c r="P41" t="s">
        <v>2</v>
      </c>
      <c r="Q41" t="s">
        <v>2</v>
      </c>
      <c r="R41" t="e">
        <f t="shared" si="15"/>
        <v>#VALUE!</v>
      </c>
      <c r="S41">
        <v>0.997</v>
      </c>
      <c r="U41" t="s">
        <v>2</v>
      </c>
      <c r="W41" t="s">
        <v>2</v>
      </c>
      <c r="X41" t="s">
        <v>2</v>
      </c>
      <c r="Y41" t="s">
        <v>2</v>
      </c>
      <c r="Z41" t="e">
        <f t="shared" si="16"/>
        <v>#DIV/0!</v>
      </c>
      <c r="AA41">
        <v>0.02</v>
      </c>
      <c r="AB41">
        <v>0.05</v>
      </c>
      <c r="AD41" t="s">
        <v>2</v>
      </c>
      <c r="AE41" t="s">
        <v>2</v>
      </c>
      <c r="AF41" t="s">
        <v>2</v>
      </c>
      <c r="AG41" t="s">
        <v>2</v>
      </c>
      <c r="AH41" t="s">
        <v>2</v>
      </c>
      <c r="AI41" t="e">
        <f t="shared" si="17"/>
        <v>#VALUE!</v>
      </c>
      <c r="AJ41">
        <v>800</v>
      </c>
      <c r="AL41" t="s">
        <v>2</v>
      </c>
      <c r="AM41" t="s">
        <v>2</v>
      </c>
      <c r="AN41" t="s">
        <v>2</v>
      </c>
      <c r="AO41" t="s">
        <v>2</v>
      </c>
      <c r="AQ41" t="s">
        <v>2</v>
      </c>
      <c r="AR41" t="s">
        <v>2</v>
      </c>
      <c r="AS41" t="e">
        <f t="shared" si="14"/>
        <v>#VALUE!</v>
      </c>
      <c r="AT41">
        <v>250</v>
      </c>
      <c r="AV41" t="s">
        <v>2</v>
      </c>
      <c r="AW41" t="s">
        <v>2</v>
      </c>
      <c r="AX41" t="e">
        <f t="shared" si="13"/>
        <v>#VALUE!</v>
      </c>
      <c r="AY41">
        <v>300</v>
      </c>
      <c r="BA41" t="s">
        <v>2</v>
      </c>
      <c r="BB41" t="s">
        <v>2</v>
      </c>
      <c r="BC41" t="e">
        <f t="shared" si="18"/>
        <v>#VALUE!</v>
      </c>
      <c r="BD41">
        <v>250</v>
      </c>
      <c r="BF41" t="s">
        <v>2</v>
      </c>
      <c r="BG41" t="s">
        <v>2</v>
      </c>
      <c r="BH41" t="e">
        <f t="shared" si="19"/>
        <v>#VALUE!</v>
      </c>
      <c r="BI41">
        <v>250</v>
      </c>
      <c r="BK41" t="s">
        <v>2</v>
      </c>
      <c r="BL41" t="s">
        <v>2</v>
      </c>
      <c r="BM41" t="e">
        <f t="shared" si="20"/>
        <v>#VALUE!</v>
      </c>
      <c r="BN41">
        <v>150</v>
      </c>
      <c r="BP41" t="s">
        <v>2</v>
      </c>
      <c r="BQ41" t="s">
        <v>2</v>
      </c>
      <c r="BR41" t="e">
        <f t="shared" si="21"/>
        <v>#VALUE!</v>
      </c>
      <c r="BS41">
        <v>200</v>
      </c>
      <c r="BU41" t="s">
        <v>2</v>
      </c>
      <c r="BV41" t="s">
        <v>2</v>
      </c>
      <c r="BW41" t="e">
        <f t="shared" si="22"/>
        <v>#VALUE!</v>
      </c>
      <c r="BX41">
        <v>100</v>
      </c>
      <c r="BZ41" t="s">
        <v>2</v>
      </c>
      <c r="CA41" t="s">
        <v>2</v>
      </c>
      <c r="CB41" t="e">
        <f t="shared" si="23"/>
        <v>#VALUE!</v>
      </c>
      <c r="CC41">
        <v>160</v>
      </c>
      <c r="CE41" t="s">
        <v>2</v>
      </c>
      <c r="CF41" t="s">
        <v>2</v>
      </c>
      <c r="CG41" t="e">
        <f t="shared" si="24"/>
        <v>#VALUE!</v>
      </c>
      <c r="CJ41" t="s">
        <v>2</v>
      </c>
      <c r="CK41" t="s">
        <v>2</v>
      </c>
      <c r="CL41" t="e">
        <f t="shared" si="25"/>
        <v>#VALUE!</v>
      </c>
      <c r="CM41">
        <v>40</v>
      </c>
      <c r="CO41" t="s">
        <v>2</v>
      </c>
      <c r="CP41" t="s">
        <v>2</v>
      </c>
      <c r="CQ41" t="e">
        <f t="shared" si="26"/>
        <v>#VALUE!</v>
      </c>
      <c r="CR41">
        <v>300</v>
      </c>
    </row>
    <row r="42" spans="1:96" x14ac:dyDescent="0.25">
      <c r="A42">
        <v>44144</v>
      </c>
      <c r="B42">
        <v>0</v>
      </c>
      <c r="C42">
        <v>1</v>
      </c>
      <c r="E42">
        <v>0</v>
      </c>
      <c r="F42">
        <v>0</v>
      </c>
      <c r="H42">
        <v>783</v>
      </c>
      <c r="I42">
        <v>646</v>
      </c>
      <c r="K42">
        <v>852</v>
      </c>
      <c r="L42">
        <v>852</v>
      </c>
      <c r="M42">
        <f t="shared" si="0"/>
        <v>1</v>
      </c>
      <c r="N42">
        <v>0.995</v>
      </c>
      <c r="P42">
        <v>399</v>
      </c>
      <c r="Q42">
        <v>399</v>
      </c>
      <c r="R42">
        <f t="shared" si="15"/>
        <v>1</v>
      </c>
      <c r="S42">
        <v>0.997</v>
      </c>
      <c r="U42">
        <v>232</v>
      </c>
      <c r="W42">
        <v>192</v>
      </c>
      <c r="X42">
        <v>0</v>
      </c>
      <c r="Y42">
        <v>0</v>
      </c>
      <c r="Z42">
        <f t="shared" si="16"/>
        <v>0</v>
      </c>
      <c r="AA42">
        <v>0.02</v>
      </c>
      <c r="AB42">
        <v>0.05</v>
      </c>
      <c r="AD42">
        <v>7727470</v>
      </c>
      <c r="AE42">
        <v>5393270</v>
      </c>
      <c r="AF42">
        <v>7540000</v>
      </c>
      <c r="AG42">
        <v>0</v>
      </c>
      <c r="AH42">
        <v>25062</v>
      </c>
      <c r="AI42">
        <f t="shared" si="17"/>
        <v>824.3851248902721</v>
      </c>
      <c r="AJ42">
        <v>800</v>
      </c>
      <c r="AL42" t="s">
        <v>2</v>
      </c>
      <c r="AM42" t="s">
        <v>2</v>
      </c>
      <c r="AN42" t="s">
        <v>2</v>
      </c>
      <c r="AO42" t="s">
        <v>2</v>
      </c>
      <c r="AQ42">
        <v>6549</v>
      </c>
      <c r="AR42">
        <v>25.54</v>
      </c>
      <c r="AS42">
        <f t="shared" si="14"/>
        <v>256.42129992169146</v>
      </c>
      <c r="AT42">
        <v>250</v>
      </c>
      <c r="AV42">
        <v>4108</v>
      </c>
      <c r="AW42">
        <v>17.32</v>
      </c>
      <c r="AX42">
        <f t="shared" si="13"/>
        <v>237.18244803695148</v>
      </c>
      <c r="AY42">
        <v>300</v>
      </c>
      <c r="BA42">
        <v>2441</v>
      </c>
      <c r="BB42">
        <v>8.1999999999999993</v>
      </c>
      <c r="BC42">
        <f t="shared" si="18"/>
        <v>297.6829268292683</v>
      </c>
      <c r="BD42">
        <v>250</v>
      </c>
      <c r="BF42">
        <v>17604</v>
      </c>
      <c r="BG42">
        <v>86</v>
      </c>
      <c r="BH42">
        <f t="shared" si="19"/>
        <v>204.69767441860466</v>
      </c>
      <c r="BI42">
        <v>250</v>
      </c>
      <c r="BK42">
        <v>8608</v>
      </c>
      <c r="BL42">
        <v>58</v>
      </c>
      <c r="BM42">
        <f t="shared" si="20"/>
        <v>148.41379310344828</v>
      </c>
      <c r="BN42">
        <v>150</v>
      </c>
      <c r="BP42">
        <v>11255</v>
      </c>
      <c r="BQ42">
        <v>70</v>
      </c>
      <c r="BR42">
        <f t="shared" si="21"/>
        <v>160.78571428571428</v>
      </c>
      <c r="BS42">
        <v>200</v>
      </c>
      <c r="BU42">
        <v>3938</v>
      </c>
      <c r="BV42">
        <v>36.17</v>
      </c>
      <c r="BW42">
        <f t="shared" si="22"/>
        <v>108.87475808681226</v>
      </c>
      <c r="BX42">
        <v>100</v>
      </c>
      <c r="BZ42">
        <v>9020</v>
      </c>
      <c r="CA42">
        <v>40</v>
      </c>
      <c r="CB42">
        <f t="shared" si="23"/>
        <v>225.5</v>
      </c>
      <c r="CC42">
        <v>160</v>
      </c>
      <c r="CE42">
        <v>3136</v>
      </c>
      <c r="CF42">
        <v>3</v>
      </c>
      <c r="CG42">
        <f t="shared" si="24"/>
        <v>1045.3333333333333</v>
      </c>
      <c r="CJ42">
        <v>10</v>
      </c>
      <c r="CK42">
        <v>0.3</v>
      </c>
      <c r="CL42">
        <f t="shared" si="25"/>
        <v>33.333333333333336</v>
      </c>
      <c r="CM42">
        <v>40</v>
      </c>
      <c r="CO42">
        <v>1470</v>
      </c>
      <c r="CP42">
        <v>5.3</v>
      </c>
      <c r="CQ42">
        <f t="shared" si="26"/>
        <v>277.35849056603774</v>
      </c>
      <c r="CR42">
        <v>300</v>
      </c>
    </row>
    <row r="43" spans="1:96" x14ac:dyDescent="0.25">
      <c r="A43">
        <v>44145</v>
      </c>
      <c r="B43">
        <v>0</v>
      </c>
      <c r="C43">
        <v>1</v>
      </c>
      <c r="E43">
        <v>0</v>
      </c>
      <c r="F43">
        <v>0</v>
      </c>
      <c r="H43">
        <v>869</v>
      </c>
      <c r="I43">
        <v>380</v>
      </c>
      <c r="K43">
        <v>884</v>
      </c>
      <c r="L43">
        <v>884</v>
      </c>
      <c r="M43">
        <f t="shared" si="0"/>
        <v>1</v>
      </c>
      <c r="N43">
        <v>0.995</v>
      </c>
      <c r="P43">
        <v>447</v>
      </c>
      <c r="Q43">
        <v>447</v>
      </c>
      <c r="R43">
        <f t="shared" si="15"/>
        <v>1</v>
      </c>
      <c r="S43">
        <v>0.997</v>
      </c>
      <c r="U43">
        <v>232</v>
      </c>
      <c r="W43">
        <v>198</v>
      </c>
      <c r="X43">
        <v>0</v>
      </c>
      <c r="Y43">
        <v>0</v>
      </c>
      <c r="Z43">
        <f t="shared" si="16"/>
        <v>0</v>
      </c>
      <c r="AA43">
        <v>0.02</v>
      </c>
      <c r="AB43">
        <v>0.05</v>
      </c>
      <c r="AD43">
        <v>7968960</v>
      </c>
      <c r="AE43">
        <v>5393270</v>
      </c>
      <c r="AF43">
        <v>7540000</v>
      </c>
      <c r="AG43">
        <v>0</v>
      </c>
      <c r="AH43">
        <v>25943</v>
      </c>
      <c r="AI43">
        <f t="shared" si="17"/>
        <v>805.69826157344949</v>
      </c>
      <c r="AJ43">
        <v>800</v>
      </c>
      <c r="AL43" t="s">
        <v>2</v>
      </c>
      <c r="AM43" t="s">
        <v>2</v>
      </c>
      <c r="AN43" t="s">
        <v>2</v>
      </c>
      <c r="AO43" t="s">
        <v>2</v>
      </c>
      <c r="AQ43">
        <v>1989</v>
      </c>
      <c r="AR43">
        <v>11.65</v>
      </c>
      <c r="AS43">
        <f t="shared" si="14"/>
        <v>170.72961373390558</v>
      </c>
      <c r="AT43">
        <v>250</v>
      </c>
      <c r="AV43">
        <v>1989</v>
      </c>
      <c r="AW43">
        <v>11.65</v>
      </c>
      <c r="AX43">
        <f t="shared" si="13"/>
        <v>170.72961373390558</v>
      </c>
      <c r="AY43">
        <v>300</v>
      </c>
      <c r="BA43">
        <v>0</v>
      </c>
      <c r="BB43">
        <v>0</v>
      </c>
      <c r="BC43" t="e">
        <f t="shared" si="18"/>
        <v>#DIV/0!</v>
      </c>
      <c r="BD43">
        <v>250</v>
      </c>
      <c r="BF43">
        <v>12960</v>
      </c>
      <c r="BG43">
        <v>64</v>
      </c>
      <c r="BH43">
        <f t="shared" si="19"/>
        <v>202.5</v>
      </c>
      <c r="BI43">
        <v>250</v>
      </c>
      <c r="BK43">
        <v>9007</v>
      </c>
      <c r="BL43">
        <v>89</v>
      </c>
      <c r="BM43">
        <f t="shared" si="20"/>
        <v>101.20224719101124</v>
      </c>
      <c r="BN43">
        <v>150</v>
      </c>
      <c r="BP43">
        <v>13068</v>
      </c>
      <c r="BQ43">
        <v>67.5</v>
      </c>
      <c r="BR43">
        <f t="shared" si="21"/>
        <v>193.6</v>
      </c>
      <c r="BS43">
        <v>200</v>
      </c>
      <c r="BU43">
        <v>6369</v>
      </c>
      <c r="BV43">
        <v>86.25</v>
      </c>
      <c r="BW43">
        <f t="shared" si="22"/>
        <v>73.84347826086956</v>
      </c>
      <c r="BX43">
        <v>100</v>
      </c>
      <c r="BZ43">
        <v>5368</v>
      </c>
      <c r="CA43">
        <v>35.5</v>
      </c>
      <c r="CB43">
        <f t="shared" si="23"/>
        <v>151.21126760563379</v>
      </c>
      <c r="CC43">
        <v>160</v>
      </c>
      <c r="CE43">
        <v>600</v>
      </c>
      <c r="CF43">
        <v>0.92</v>
      </c>
      <c r="CG43">
        <f t="shared" si="24"/>
        <v>652.17391304347825</v>
      </c>
      <c r="CJ43">
        <v>4</v>
      </c>
      <c r="CK43">
        <v>0.17</v>
      </c>
      <c r="CL43">
        <f t="shared" si="25"/>
        <v>23.52941176470588</v>
      </c>
      <c r="CM43">
        <v>40</v>
      </c>
      <c r="CO43">
        <v>2243</v>
      </c>
      <c r="CP43">
        <v>9.1199999999999992</v>
      </c>
      <c r="CQ43">
        <f t="shared" si="26"/>
        <v>245.94298245614038</v>
      </c>
      <c r="CR43">
        <v>300</v>
      </c>
    </row>
    <row r="44" spans="1:96" x14ac:dyDescent="0.25">
      <c r="A44">
        <v>44146</v>
      </c>
      <c r="B44">
        <v>0</v>
      </c>
      <c r="C44">
        <v>1</v>
      </c>
      <c r="E44">
        <v>0</v>
      </c>
      <c r="F44">
        <v>0</v>
      </c>
      <c r="H44">
        <v>1081</v>
      </c>
      <c r="I44">
        <v>1087</v>
      </c>
      <c r="K44">
        <v>813</v>
      </c>
      <c r="L44">
        <v>813</v>
      </c>
      <c r="M44">
        <f t="shared" si="0"/>
        <v>1</v>
      </c>
      <c r="N44">
        <v>0.995</v>
      </c>
      <c r="P44">
        <v>632</v>
      </c>
      <c r="Q44">
        <v>632</v>
      </c>
      <c r="R44">
        <f t="shared" si="15"/>
        <v>1</v>
      </c>
      <c r="S44">
        <v>0.997</v>
      </c>
      <c r="U44">
        <v>228</v>
      </c>
      <c r="W44">
        <v>192</v>
      </c>
      <c r="X44">
        <v>15</v>
      </c>
      <c r="Y44">
        <v>12</v>
      </c>
      <c r="Z44">
        <f t="shared" si="16"/>
        <v>6.0402684563758392E-2</v>
      </c>
      <c r="AA44">
        <v>0.02</v>
      </c>
      <c r="AB44">
        <v>0.05</v>
      </c>
      <c r="AC44" t="s">
        <v>21</v>
      </c>
      <c r="AD44">
        <v>8713530</v>
      </c>
      <c r="AE44">
        <v>5393270</v>
      </c>
      <c r="AF44">
        <v>8047500</v>
      </c>
      <c r="AG44">
        <v>0</v>
      </c>
      <c r="AH44">
        <v>22661</v>
      </c>
      <c r="AI44">
        <f t="shared" si="17"/>
        <v>977.63999823485278</v>
      </c>
      <c r="AJ44">
        <v>800</v>
      </c>
      <c r="AL44" t="s">
        <v>2</v>
      </c>
      <c r="AM44" t="s">
        <v>2</v>
      </c>
      <c r="AN44" t="s">
        <v>2</v>
      </c>
      <c r="AO44" t="s">
        <v>2</v>
      </c>
      <c r="AQ44">
        <v>897</v>
      </c>
      <c r="AR44">
        <v>5.43</v>
      </c>
      <c r="AS44">
        <f t="shared" si="14"/>
        <v>165.19337016574588</v>
      </c>
      <c r="AT44">
        <v>250</v>
      </c>
      <c r="AV44">
        <v>897</v>
      </c>
      <c r="AW44">
        <v>5.43</v>
      </c>
      <c r="AX44">
        <f t="shared" si="13"/>
        <v>165.19337016574588</v>
      </c>
      <c r="AY44">
        <v>300</v>
      </c>
      <c r="BA44">
        <v>0</v>
      </c>
      <c r="BB44">
        <v>0</v>
      </c>
      <c r="BC44" t="e">
        <f t="shared" si="18"/>
        <v>#DIV/0!</v>
      </c>
      <c r="BD44">
        <v>250</v>
      </c>
      <c r="BF44">
        <v>33900</v>
      </c>
      <c r="BG44">
        <v>130</v>
      </c>
      <c r="BH44">
        <f t="shared" si="19"/>
        <v>260.76923076923077</v>
      </c>
      <c r="BI44">
        <v>250</v>
      </c>
      <c r="BK44">
        <v>11520</v>
      </c>
      <c r="BL44">
        <v>79</v>
      </c>
      <c r="BM44">
        <f t="shared" si="20"/>
        <v>145.82278481012659</v>
      </c>
      <c r="BN44">
        <v>150</v>
      </c>
      <c r="BP44">
        <v>12275</v>
      </c>
      <c r="BQ44">
        <v>65</v>
      </c>
      <c r="BR44">
        <f t="shared" si="21"/>
        <v>188.84615384615384</v>
      </c>
      <c r="BS44">
        <v>200</v>
      </c>
      <c r="BU44">
        <v>939</v>
      </c>
      <c r="BV44">
        <v>12.18</v>
      </c>
      <c r="BW44">
        <f t="shared" si="22"/>
        <v>77.093596059113295</v>
      </c>
      <c r="BX44">
        <v>100</v>
      </c>
      <c r="BZ44">
        <v>6417</v>
      </c>
      <c r="CA44">
        <v>40.5</v>
      </c>
      <c r="CB44">
        <f t="shared" si="23"/>
        <v>158.44444444444446</v>
      </c>
      <c r="CC44">
        <v>160</v>
      </c>
      <c r="CE44">
        <v>0</v>
      </c>
      <c r="CF44">
        <v>0</v>
      </c>
      <c r="CG44" t="e">
        <f t="shared" si="24"/>
        <v>#DIV/0!</v>
      </c>
      <c r="CJ44">
        <v>32</v>
      </c>
      <c r="CK44">
        <v>1.3</v>
      </c>
      <c r="CL44">
        <f t="shared" si="25"/>
        <v>24.615384615384613</v>
      </c>
      <c r="CM44">
        <v>40</v>
      </c>
      <c r="CO44">
        <v>1809</v>
      </c>
      <c r="CP44">
        <v>7.29</v>
      </c>
      <c r="CQ44">
        <f t="shared" si="26"/>
        <v>248.14814814814815</v>
      </c>
      <c r="CR44">
        <v>300</v>
      </c>
    </row>
    <row r="45" spans="1:96" x14ac:dyDescent="0.25">
      <c r="A45">
        <v>44147</v>
      </c>
      <c r="B45">
        <v>0</v>
      </c>
      <c r="C45">
        <v>1</v>
      </c>
      <c r="E45">
        <v>0</v>
      </c>
      <c r="F45">
        <v>0</v>
      </c>
      <c r="H45">
        <v>881</v>
      </c>
      <c r="I45">
        <v>1033</v>
      </c>
      <c r="K45">
        <v>838</v>
      </c>
      <c r="L45">
        <v>838</v>
      </c>
      <c r="M45">
        <f t="shared" si="0"/>
        <v>1</v>
      </c>
      <c r="N45">
        <v>0.995</v>
      </c>
      <c r="P45">
        <v>441</v>
      </c>
      <c r="Q45">
        <v>441</v>
      </c>
      <c r="R45">
        <f t="shared" si="15"/>
        <v>1</v>
      </c>
      <c r="S45">
        <v>0.997</v>
      </c>
      <c r="U45">
        <v>208</v>
      </c>
      <c r="W45">
        <v>200</v>
      </c>
      <c r="X45">
        <v>0</v>
      </c>
      <c r="Y45">
        <v>0</v>
      </c>
      <c r="Z45">
        <f t="shared" si="16"/>
        <v>0</v>
      </c>
      <c r="AA45">
        <v>0.02</v>
      </c>
      <c r="AB45">
        <v>0.05</v>
      </c>
      <c r="AD45">
        <v>8049450</v>
      </c>
      <c r="AE45">
        <v>5393270</v>
      </c>
      <c r="AF45">
        <v>6530000</v>
      </c>
      <c r="AG45">
        <v>0</v>
      </c>
      <c r="AH45">
        <v>20235</v>
      </c>
      <c r="AI45">
        <f t="shared" si="17"/>
        <v>987.03829997529033</v>
      </c>
      <c r="AJ45">
        <v>800</v>
      </c>
      <c r="AL45" t="s">
        <v>2</v>
      </c>
      <c r="AM45" t="s">
        <v>2</v>
      </c>
      <c r="AN45" t="s">
        <v>2</v>
      </c>
      <c r="AO45" t="s">
        <v>2</v>
      </c>
      <c r="AQ45">
        <v>5141</v>
      </c>
      <c r="AR45">
        <v>20.43</v>
      </c>
      <c r="AS45">
        <f t="shared" si="14"/>
        <v>251.6397454723446</v>
      </c>
      <c r="AT45">
        <v>250</v>
      </c>
      <c r="AV45">
        <v>2811</v>
      </c>
      <c r="AW45">
        <v>13.63</v>
      </c>
      <c r="AX45">
        <f t="shared" si="13"/>
        <v>206.23624358033749</v>
      </c>
      <c r="AY45">
        <v>300</v>
      </c>
      <c r="BA45">
        <v>2330</v>
      </c>
      <c r="BB45">
        <v>6.8</v>
      </c>
      <c r="BC45">
        <f t="shared" si="18"/>
        <v>342.64705882352945</v>
      </c>
      <c r="BD45">
        <v>250</v>
      </c>
      <c r="BF45">
        <v>28476</v>
      </c>
      <c r="BG45">
        <v>109</v>
      </c>
      <c r="BH45">
        <f t="shared" si="19"/>
        <v>261.24770642201833</v>
      </c>
      <c r="BI45">
        <v>250</v>
      </c>
      <c r="BK45">
        <v>8001</v>
      </c>
      <c r="BL45">
        <v>57</v>
      </c>
      <c r="BM45">
        <f t="shared" si="20"/>
        <v>140.36842105263159</v>
      </c>
      <c r="BN45">
        <v>150</v>
      </c>
      <c r="BP45">
        <v>12489</v>
      </c>
      <c r="BQ45">
        <v>62.5</v>
      </c>
      <c r="BR45">
        <f t="shared" si="21"/>
        <v>199.82400000000001</v>
      </c>
      <c r="BS45">
        <v>200</v>
      </c>
      <c r="BU45">
        <v>2534</v>
      </c>
      <c r="BV45">
        <v>30</v>
      </c>
      <c r="BW45">
        <f t="shared" si="22"/>
        <v>84.466666666666669</v>
      </c>
      <c r="BX45">
        <v>100</v>
      </c>
      <c r="BZ45">
        <v>3920</v>
      </c>
      <c r="CA45">
        <v>24.5</v>
      </c>
      <c r="CB45">
        <f t="shared" si="23"/>
        <v>160</v>
      </c>
      <c r="CC45">
        <v>160</v>
      </c>
      <c r="CE45">
        <v>0</v>
      </c>
      <c r="CF45">
        <v>0</v>
      </c>
      <c r="CG45" t="e">
        <f t="shared" si="24"/>
        <v>#DIV/0!</v>
      </c>
      <c r="CJ45">
        <v>12</v>
      </c>
      <c r="CK45">
        <v>0.42</v>
      </c>
      <c r="CL45">
        <f t="shared" si="25"/>
        <v>28.571428571428573</v>
      </c>
      <c r="CM45">
        <v>40</v>
      </c>
      <c r="CO45">
        <v>1466</v>
      </c>
      <c r="CP45">
        <v>6.6</v>
      </c>
      <c r="CQ45">
        <f t="shared" si="26"/>
        <v>222.12121212121212</v>
      </c>
      <c r="CR45">
        <v>300</v>
      </c>
    </row>
    <row r="46" spans="1:96" x14ac:dyDescent="0.25">
      <c r="A46">
        <v>44148</v>
      </c>
      <c r="B46">
        <v>0</v>
      </c>
      <c r="C46">
        <v>1</v>
      </c>
      <c r="E46">
        <v>0</v>
      </c>
      <c r="F46">
        <v>0</v>
      </c>
      <c r="H46">
        <v>838</v>
      </c>
      <c r="I46">
        <v>864</v>
      </c>
      <c r="K46">
        <v>1034</v>
      </c>
      <c r="L46">
        <v>1034</v>
      </c>
      <c r="M46">
        <f t="shared" si="0"/>
        <v>1</v>
      </c>
      <c r="N46">
        <v>0.995</v>
      </c>
      <c r="P46">
        <v>414</v>
      </c>
      <c r="Q46">
        <v>414</v>
      </c>
      <c r="R46">
        <f t="shared" si="15"/>
        <v>1</v>
      </c>
      <c r="S46">
        <v>0.997</v>
      </c>
      <c r="U46">
        <v>248</v>
      </c>
      <c r="W46">
        <v>192</v>
      </c>
      <c r="X46">
        <v>88</v>
      </c>
      <c r="Y46">
        <v>6</v>
      </c>
      <c r="Z46">
        <f t="shared" si="16"/>
        <v>0.17602996254681649</v>
      </c>
      <c r="AA46">
        <v>0.02</v>
      </c>
      <c r="AB46">
        <v>0.05</v>
      </c>
      <c r="AC46" t="s">
        <v>22</v>
      </c>
      <c r="AD46">
        <v>13040100</v>
      </c>
      <c r="AE46">
        <v>5393270</v>
      </c>
      <c r="AF46">
        <v>8376250</v>
      </c>
      <c r="AG46">
        <v>0</v>
      </c>
      <c r="AH46">
        <v>22762</v>
      </c>
      <c r="AI46">
        <f t="shared" si="17"/>
        <v>1177.8235655917758</v>
      </c>
      <c r="AJ46">
        <v>800</v>
      </c>
      <c r="AL46" t="s">
        <v>2</v>
      </c>
      <c r="AM46" t="s">
        <v>2</v>
      </c>
      <c r="AN46" t="s">
        <v>2</v>
      </c>
      <c r="AO46" t="s">
        <v>2</v>
      </c>
      <c r="AQ46">
        <v>7066</v>
      </c>
      <c r="AR46">
        <v>30.88</v>
      </c>
      <c r="AS46">
        <f t="shared" si="14"/>
        <v>228.82124352331607</v>
      </c>
      <c r="AT46">
        <v>250</v>
      </c>
      <c r="AV46">
        <v>3373</v>
      </c>
      <c r="AW46">
        <v>18.43</v>
      </c>
      <c r="AX46">
        <f t="shared" si="13"/>
        <v>183.01682040151925</v>
      </c>
      <c r="AY46">
        <v>300</v>
      </c>
      <c r="BA46">
        <v>3693</v>
      </c>
      <c r="BB46">
        <v>12.45</v>
      </c>
      <c r="BC46">
        <f t="shared" si="18"/>
        <v>296.62650602409639</v>
      </c>
      <c r="BD46">
        <v>250</v>
      </c>
      <c r="BF46">
        <v>38628</v>
      </c>
      <c r="BG46">
        <v>143</v>
      </c>
      <c r="BH46">
        <f t="shared" si="19"/>
        <v>270.12587412587413</v>
      </c>
      <c r="BI46">
        <v>250</v>
      </c>
      <c r="BK46">
        <v>8824</v>
      </c>
      <c r="BL46">
        <v>40</v>
      </c>
      <c r="BM46">
        <f t="shared" si="20"/>
        <v>220.6</v>
      </c>
      <c r="BN46">
        <v>150</v>
      </c>
      <c r="BP46">
        <v>12610</v>
      </c>
      <c r="BQ46">
        <v>65</v>
      </c>
      <c r="BR46">
        <f t="shared" si="21"/>
        <v>194</v>
      </c>
      <c r="BS46">
        <v>200</v>
      </c>
      <c r="BU46">
        <v>501</v>
      </c>
      <c r="BV46">
        <v>5.63</v>
      </c>
      <c r="BW46">
        <f t="shared" si="22"/>
        <v>88.987566607460039</v>
      </c>
      <c r="BX46">
        <v>100</v>
      </c>
      <c r="BZ46">
        <v>6843</v>
      </c>
      <c r="CA46">
        <v>39.5</v>
      </c>
      <c r="CB46">
        <f t="shared" si="23"/>
        <v>173.24050632911391</v>
      </c>
      <c r="CC46">
        <v>160</v>
      </c>
      <c r="CE46">
        <v>680</v>
      </c>
      <c r="CF46">
        <v>0.67</v>
      </c>
      <c r="CG46">
        <f t="shared" si="24"/>
        <v>1014.9253731343283</v>
      </c>
      <c r="CJ46">
        <v>62</v>
      </c>
      <c r="CK46">
        <v>1.5</v>
      </c>
      <c r="CL46">
        <f t="shared" si="25"/>
        <v>41.333333333333336</v>
      </c>
      <c r="CM46">
        <v>40</v>
      </c>
      <c r="CO46">
        <v>2975</v>
      </c>
      <c r="CP46">
        <v>9.93</v>
      </c>
      <c r="CQ46">
        <f t="shared" si="26"/>
        <v>299.59718026183282</v>
      </c>
      <c r="CR46">
        <v>300</v>
      </c>
    </row>
    <row r="47" spans="1:96" x14ac:dyDescent="0.25">
      <c r="A47">
        <v>44149</v>
      </c>
      <c r="B47">
        <v>0</v>
      </c>
      <c r="C47">
        <v>1</v>
      </c>
      <c r="E47">
        <v>0</v>
      </c>
      <c r="F47">
        <v>0</v>
      </c>
      <c r="H47">
        <v>545</v>
      </c>
      <c r="I47">
        <v>791</v>
      </c>
      <c r="K47">
        <v>630</v>
      </c>
      <c r="L47">
        <v>630</v>
      </c>
      <c r="M47">
        <f t="shared" si="0"/>
        <v>1</v>
      </c>
      <c r="N47">
        <v>0.995</v>
      </c>
      <c r="P47">
        <v>416</v>
      </c>
      <c r="Q47">
        <v>416</v>
      </c>
      <c r="R47">
        <f t="shared" si="15"/>
        <v>1</v>
      </c>
      <c r="S47">
        <v>0.997</v>
      </c>
      <c r="U47">
        <v>216</v>
      </c>
      <c r="W47">
        <v>188</v>
      </c>
      <c r="X47">
        <v>0</v>
      </c>
      <c r="Y47">
        <v>0</v>
      </c>
      <c r="Z47">
        <f t="shared" si="16"/>
        <v>0</v>
      </c>
      <c r="AA47">
        <v>0.02</v>
      </c>
      <c r="AB47">
        <v>0.05</v>
      </c>
      <c r="AD47">
        <v>7566480</v>
      </c>
      <c r="AE47">
        <v>3370790</v>
      </c>
      <c r="AF47">
        <v>7180000</v>
      </c>
      <c r="AG47">
        <v>0</v>
      </c>
      <c r="AH47">
        <v>19168</v>
      </c>
      <c r="AI47">
        <f t="shared" si="17"/>
        <v>945.18311769616025</v>
      </c>
      <c r="AJ47">
        <v>800</v>
      </c>
      <c r="AL47" t="s">
        <v>2</v>
      </c>
      <c r="AM47" t="s">
        <v>2</v>
      </c>
      <c r="AN47" t="s">
        <v>2</v>
      </c>
      <c r="AO47" t="s">
        <v>2</v>
      </c>
      <c r="AQ47">
        <v>3389</v>
      </c>
      <c r="AR47">
        <v>20.65</v>
      </c>
      <c r="AS47">
        <f t="shared" si="14"/>
        <v>164.11622276029055</v>
      </c>
      <c r="AT47">
        <v>250</v>
      </c>
      <c r="AV47">
        <v>2870</v>
      </c>
      <c r="AW47">
        <v>17.23</v>
      </c>
      <c r="AX47">
        <f t="shared" si="13"/>
        <v>166.56993615786419</v>
      </c>
      <c r="AY47">
        <v>300</v>
      </c>
      <c r="BA47">
        <v>519</v>
      </c>
      <c r="BB47">
        <v>3.42</v>
      </c>
      <c r="BC47">
        <f t="shared" si="18"/>
        <v>151.75438596491227</v>
      </c>
      <c r="BD47">
        <v>250</v>
      </c>
      <c r="BF47">
        <v>34812</v>
      </c>
      <c r="BG47">
        <v>134</v>
      </c>
      <c r="BH47">
        <f t="shared" si="19"/>
        <v>259.79104477611941</v>
      </c>
      <c r="BI47">
        <v>250</v>
      </c>
      <c r="BK47">
        <v>14167</v>
      </c>
      <c r="BL47">
        <v>49</v>
      </c>
      <c r="BM47">
        <f t="shared" si="20"/>
        <v>289.12244897959181</v>
      </c>
      <c r="BN47">
        <v>150</v>
      </c>
      <c r="BP47">
        <v>8342</v>
      </c>
      <c r="BQ47">
        <v>43.125</v>
      </c>
      <c r="BR47">
        <f t="shared" si="21"/>
        <v>193.43768115942029</v>
      </c>
      <c r="BS47">
        <v>200</v>
      </c>
      <c r="BU47">
        <v>893</v>
      </c>
      <c r="BV47">
        <v>9.3800000000000008</v>
      </c>
      <c r="BW47">
        <f t="shared" si="22"/>
        <v>95.202558635394453</v>
      </c>
      <c r="BX47">
        <v>100</v>
      </c>
      <c r="BZ47">
        <v>4387</v>
      </c>
      <c r="CA47">
        <v>30</v>
      </c>
      <c r="CB47">
        <f t="shared" si="23"/>
        <v>146.23333333333332</v>
      </c>
      <c r="CC47">
        <v>160</v>
      </c>
      <c r="CE47">
        <v>0</v>
      </c>
      <c r="CF47">
        <v>0</v>
      </c>
      <c r="CG47" t="e">
        <f t="shared" si="24"/>
        <v>#DIV/0!</v>
      </c>
      <c r="CJ47">
        <v>26</v>
      </c>
      <c r="CK47">
        <v>0.7</v>
      </c>
      <c r="CL47">
        <f t="shared" si="25"/>
        <v>37.142857142857146</v>
      </c>
      <c r="CM47">
        <v>40</v>
      </c>
      <c r="CO47">
        <v>2520</v>
      </c>
      <c r="CP47">
        <v>9.8000000000000007</v>
      </c>
      <c r="CQ47">
        <f t="shared" si="26"/>
        <v>257.14285714285711</v>
      </c>
      <c r="CR47">
        <v>300</v>
      </c>
    </row>
    <row r="48" spans="1:96" x14ac:dyDescent="0.25">
      <c r="A48">
        <v>44150</v>
      </c>
      <c r="B48" t="s">
        <v>2</v>
      </c>
      <c r="C48">
        <v>1</v>
      </c>
      <c r="E48" t="s">
        <v>2</v>
      </c>
      <c r="F48">
        <v>0</v>
      </c>
      <c r="H48" t="s">
        <v>2</v>
      </c>
      <c r="I48" t="s">
        <v>2</v>
      </c>
      <c r="K48" t="s">
        <v>2</v>
      </c>
      <c r="L48" t="s">
        <v>2</v>
      </c>
      <c r="M48" t="s">
        <v>2</v>
      </c>
      <c r="N48">
        <v>0.995</v>
      </c>
      <c r="P48" t="s">
        <v>2</v>
      </c>
      <c r="Q48" t="s">
        <v>2</v>
      </c>
      <c r="R48" t="e">
        <f t="shared" si="15"/>
        <v>#VALUE!</v>
      </c>
      <c r="S48">
        <v>0.997</v>
      </c>
      <c r="U48" t="s">
        <v>2</v>
      </c>
      <c r="W48" t="s">
        <v>2</v>
      </c>
      <c r="X48" t="s">
        <v>2</v>
      </c>
      <c r="Y48" t="s">
        <v>2</v>
      </c>
      <c r="Z48" t="e">
        <f t="shared" si="16"/>
        <v>#DIV/0!</v>
      </c>
      <c r="AA48">
        <v>0.02</v>
      </c>
      <c r="AB48">
        <v>0.05</v>
      </c>
      <c r="AD48" t="s">
        <v>2</v>
      </c>
      <c r="AE48" t="s">
        <v>2</v>
      </c>
      <c r="AF48" t="s">
        <v>2</v>
      </c>
      <c r="AG48" t="s">
        <v>2</v>
      </c>
      <c r="AH48" t="s">
        <v>2</v>
      </c>
      <c r="AI48" t="e">
        <f t="shared" si="17"/>
        <v>#VALUE!</v>
      </c>
      <c r="AJ48">
        <v>800</v>
      </c>
      <c r="AL48" t="s">
        <v>2</v>
      </c>
      <c r="AM48" t="s">
        <v>2</v>
      </c>
      <c r="AN48" t="s">
        <v>2</v>
      </c>
      <c r="AO48" t="s">
        <v>2</v>
      </c>
      <c r="AQ48" t="s">
        <v>2</v>
      </c>
      <c r="AR48" t="s">
        <v>2</v>
      </c>
      <c r="AS48" t="e">
        <f t="shared" si="14"/>
        <v>#VALUE!</v>
      </c>
      <c r="AT48">
        <v>250</v>
      </c>
      <c r="AV48" t="s">
        <v>2</v>
      </c>
      <c r="AW48" t="s">
        <v>2</v>
      </c>
      <c r="AX48" t="e">
        <f t="shared" si="13"/>
        <v>#VALUE!</v>
      </c>
      <c r="AY48">
        <v>300</v>
      </c>
      <c r="BA48" t="s">
        <v>2</v>
      </c>
      <c r="BB48" t="s">
        <v>2</v>
      </c>
      <c r="BC48" t="e">
        <f t="shared" si="18"/>
        <v>#VALUE!</v>
      </c>
      <c r="BD48">
        <v>250</v>
      </c>
      <c r="BF48" t="s">
        <v>2</v>
      </c>
      <c r="BG48" t="s">
        <v>2</v>
      </c>
      <c r="BH48" t="e">
        <f t="shared" si="19"/>
        <v>#VALUE!</v>
      </c>
      <c r="BI48">
        <v>250</v>
      </c>
      <c r="BK48" t="s">
        <v>2</v>
      </c>
      <c r="BL48" t="s">
        <v>2</v>
      </c>
      <c r="BM48" t="e">
        <f t="shared" si="20"/>
        <v>#VALUE!</v>
      </c>
      <c r="BN48">
        <v>150</v>
      </c>
      <c r="BP48" t="s">
        <v>2</v>
      </c>
      <c r="BQ48" t="s">
        <v>2</v>
      </c>
      <c r="BR48" t="e">
        <f t="shared" si="21"/>
        <v>#VALUE!</v>
      </c>
      <c r="BS48">
        <v>200</v>
      </c>
      <c r="BU48" t="s">
        <v>2</v>
      </c>
      <c r="BV48" t="s">
        <v>2</v>
      </c>
      <c r="BW48" t="e">
        <f t="shared" si="22"/>
        <v>#VALUE!</v>
      </c>
      <c r="BX48">
        <v>100</v>
      </c>
      <c r="BZ48" t="s">
        <v>2</v>
      </c>
      <c r="CA48" t="s">
        <v>2</v>
      </c>
      <c r="CB48" t="e">
        <f t="shared" si="23"/>
        <v>#VALUE!</v>
      </c>
      <c r="CC48">
        <v>160</v>
      </c>
      <c r="CE48" t="s">
        <v>2</v>
      </c>
      <c r="CF48" t="s">
        <v>2</v>
      </c>
      <c r="CG48" t="e">
        <f t="shared" si="24"/>
        <v>#VALUE!</v>
      </c>
      <c r="CJ48" t="s">
        <v>2</v>
      </c>
      <c r="CK48" t="s">
        <v>2</v>
      </c>
      <c r="CL48" t="e">
        <f t="shared" si="25"/>
        <v>#VALUE!</v>
      </c>
      <c r="CM48">
        <v>40</v>
      </c>
      <c r="CO48" t="s">
        <v>2</v>
      </c>
      <c r="CP48" t="s">
        <v>2</v>
      </c>
      <c r="CQ48" t="e">
        <f t="shared" si="26"/>
        <v>#VALUE!</v>
      </c>
      <c r="CR48">
        <v>300</v>
      </c>
    </row>
    <row r="49" spans="1:96" x14ac:dyDescent="0.25">
      <c r="A49">
        <v>44151</v>
      </c>
      <c r="B49">
        <v>0</v>
      </c>
      <c r="C49">
        <v>1</v>
      </c>
      <c r="E49">
        <v>0</v>
      </c>
      <c r="F49">
        <v>0</v>
      </c>
      <c r="H49">
        <v>807</v>
      </c>
      <c r="I49">
        <v>761</v>
      </c>
      <c r="K49">
        <v>758</v>
      </c>
      <c r="L49">
        <v>758</v>
      </c>
      <c r="M49">
        <f t="shared" ref="M49:M61" si="27">K49/L49</f>
        <v>1</v>
      </c>
      <c r="N49">
        <v>0.995</v>
      </c>
      <c r="P49">
        <v>630</v>
      </c>
      <c r="Q49">
        <v>630</v>
      </c>
      <c r="R49">
        <f t="shared" si="15"/>
        <v>1</v>
      </c>
      <c r="S49">
        <v>0.997</v>
      </c>
      <c r="U49">
        <v>240</v>
      </c>
      <c r="W49">
        <v>192</v>
      </c>
      <c r="X49">
        <v>0</v>
      </c>
      <c r="Y49">
        <v>0</v>
      </c>
      <c r="Z49">
        <f t="shared" si="16"/>
        <v>0</v>
      </c>
      <c r="AA49">
        <v>0.02</v>
      </c>
      <c r="AB49">
        <v>0.05</v>
      </c>
      <c r="AD49">
        <v>7727470</v>
      </c>
      <c r="AE49">
        <v>5393270</v>
      </c>
      <c r="AF49">
        <v>7805000</v>
      </c>
      <c r="AG49">
        <v>0</v>
      </c>
      <c r="AH49">
        <v>24502</v>
      </c>
      <c r="AI49">
        <f t="shared" si="17"/>
        <v>854.042119010693</v>
      </c>
      <c r="AJ49">
        <v>800</v>
      </c>
      <c r="AL49" t="s">
        <v>2</v>
      </c>
      <c r="AM49" t="s">
        <v>2</v>
      </c>
      <c r="AN49" t="s">
        <v>2</v>
      </c>
      <c r="AO49" t="s">
        <v>2</v>
      </c>
      <c r="AQ49">
        <v>2283</v>
      </c>
      <c r="AR49">
        <v>13.88</v>
      </c>
      <c r="AS49">
        <f t="shared" si="14"/>
        <v>164.48126801152736</v>
      </c>
      <c r="AT49">
        <v>250</v>
      </c>
      <c r="AV49">
        <v>2206</v>
      </c>
      <c r="AW49">
        <v>13.53</v>
      </c>
      <c r="AX49">
        <f t="shared" si="13"/>
        <v>163.04508499630452</v>
      </c>
      <c r="AY49">
        <v>300</v>
      </c>
      <c r="BA49">
        <v>77</v>
      </c>
      <c r="BB49">
        <v>0.35</v>
      </c>
      <c r="BC49">
        <f t="shared" si="18"/>
        <v>220</v>
      </c>
      <c r="BD49">
        <v>250</v>
      </c>
      <c r="BF49">
        <v>29916</v>
      </c>
      <c r="BG49">
        <v>116</v>
      </c>
      <c r="BH49">
        <f t="shared" si="19"/>
        <v>257.89655172413791</v>
      </c>
      <c r="BI49">
        <v>250</v>
      </c>
      <c r="BK49">
        <v>15138</v>
      </c>
      <c r="BL49">
        <v>56</v>
      </c>
      <c r="BM49">
        <f t="shared" si="20"/>
        <v>270.32142857142856</v>
      </c>
      <c r="BN49">
        <v>150</v>
      </c>
      <c r="BP49">
        <v>13736</v>
      </c>
      <c r="BQ49">
        <v>70</v>
      </c>
      <c r="BR49">
        <f t="shared" si="21"/>
        <v>196.22857142857143</v>
      </c>
      <c r="BS49">
        <v>200</v>
      </c>
      <c r="BU49">
        <v>2050</v>
      </c>
      <c r="BV49">
        <v>19.690000000000001</v>
      </c>
      <c r="BW49">
        <f t="shared" si="22"/>
        <v>104.11376333164041</v>
      </c>
      <c r="BX49">
        <v>100</v>
      </c>
      <c r="BY49" t="s">
        <v>40</v>
      </c>
      <c r="BZ49">
        <v>5992</v>
      </c>
      <c r="CA49">
        <v>37.5</v>
      </c>
      <c r="CB49">
        <f t="shared" si="23"/>
        <v>159.78666666666666</v>
      </c>
      <c r="CC49">
        <v>160</v>
      </c>
      <c r="CE49">
        <v>705</v>
      </c>
      <c r="CF49">
        <v>1.3</v>
      </c>
      <c r="CG49">
        <f t="shared" si="24"/>
        <v>542.30769230769226</v>
      </c>
      <c r="CJ49">
        <v>30</v>
      </c>
      <c r="CK49">
        <v>1.02</v>
      </c>
      <c r="CL49">
        <f t="shared" si="25"/>
        <v>29.411764705882351</v>
      </c>
      <c r="CM49">
        <v>40</v>
      </c>
      <c r="CO49">
        <v>1629</v>
      </c>
      <c r="CP49">
        <v>4.58</v>
      </c>
      <c r="CQ49">
        <f t="shared" si="26"/>
        <v>355.67685589519652</v>
      </c>
      <c r="CR49">
        <v>300</v>
      </c>
    </row>
    <row r="50" spans="1:96" x14ac:dyDescent="0.25">
      <c r="A50">
        <v>44152</v>
      </c>
      <c r="B50">
        <v>0</v>
      </c>
      <c r="C50">
        <v>1</v>
      </c>
      <c r="E50">
        <v>0</v>
      </c>
      <c r="F50">
        <v>0</v>
      </c>
      <c r="H50">
        <v>1082</v>
      </c>
      <c r="I50">
        <v>712</v>
      </c>
      <c r="K50">
        <v>1067</v>
      </c>
      <c r="L50">
        <v>1067</v>
      </c>
      <c r="M50">
        <f t="shared" si="27"/>
        <v>1</v>
      </c>
      <c r="N50">
        <v>0.995</v>
      </c>
      <c r="P50">
        <v>524</v>
      </c>
      <c r="Q50">
        <v>524</v>
      </c>
      <c r="R50">
        <f t="shared" si="15"/>
        <v>1</v>
      </c>
      <c r="S50">
        <v>0.997</v>
      </c>
      <c r="U50">
        <v>280</v>
      </c>
      <c r="W50">
        <v>204</v>
      </c>
      <c r="X50">
        <v>37.5</v>
      </c>
      <c r="Y50">
        <v>39</v>
      </c>
      <c r="Z50">
        <f t="shared" si="16"/>
        <v>0.13648528099910795</v>
      </c>
      <c r="AA50">
        <v>0.02</v>
      </c>
      <c r="AB50">
        <v>0.05</v>
      </c>
      <c r="AC50" t="s">
        <v>23</v>
      </c>
      <c r="AD50">
        <v>10474300</v>
      </c>
      <c r="AE50">
        <v>5393270</v>
      </c>
      <c r="AF50">
        <v>10326300</v>
      </c>
      <c r="AG50">
        <v>0</v>
      </c>
      <c r="AH50">
        <v>28361</v>
      </c>
      <c r="AI50">
        <f t="shared" si="17"/>
        <v>923.58767321321534</v>
      </c>
      <c r="AJ50">
        <v>800</v>
      </c>
      <c r="AL50" t="s">
        <v>2</v>
      </c>
      <c r="AM50" t="s">
        <v>2</v>
      </c>
      <c r="AN50" t="s">
        <v>2</v>
      </c>
      <c r="AO50" t="s">
        <v>2</v>
      </c>
      <c r="AQ50">
        <v>2085</v>
      </c>
      <c r="AR50">
        <v>7.38</v>
      </c>
      <c r="AS50">
        <f t="shared" si="14"/>
        <v>282.52032520325201</v>
      </c>
      <c r="AT50">
        <v>250</v>
      </c>
      <c r="AV50">
        <v>2073</v>
      </c>
      <c r="AW50">
        <v>7.33</v>
      </c>
      <c r="AX50">
        <f t="shared" si="13"/>
        <v>282.81036834924964</v>
      </c>
      <c r="AY50">
        <v>300</v>
      </c>
      <c r="BA50">
        <v>12</v>
      </c>
      <c r="BB50">
        <v>0.05</v>
      </c>
      <c r="BC50">
        <f t="shared" si="18"/>
        <v>240</v>
      </c>
      <c r="BD50">
        <v>250</v>
      </c>
      <c r="BF50">
        <v>49956</v>
      </c>
      <c r="BG50">
        <v>150</v>
      </c>
      <c r="BH50">
        <f t="shared" si="19"/>
        <v>333.04</v>
      </c>
      <c r="BI50">
        <v>250</v>
      </c>
      <c r="BK50">
        <v>8950</v>
      </c>
      <c r="BL50">
        <v>103</v>
      </c>
      <c r="BM50">
        <f t="shared" si="20"/>
        <v>86.893203883495147</v>
      </c>
      <c r="BN50">
        <v>150</v>
      </c>
      <c r="BP50">
        <v>17462</v>
      </c>
      <c r="BQ50">
        <v>80.5</v>
      </c>
      <c r="BR50">
        <f t="shared" si="21"/>
        <v>216.91925465838509</v>
      </c>
      <c r="BS50">
        <v>200</v>
      </c>
      <c r="BU50">
        <v>4852</v>
      </c>
      <c r="BV50">
        <v>43.125</v>
      </c>
      <c r="BW50">
        <f t="shared" si="22"/>
        <v>112.51014492753623</v>
      </c>
      <c r="BX50">
        <v>100</v>
      </c>
      <c r="BY50" t="s">
        <v>40</v>
      </c>
      <c r="BZ50">
        <v>6258</v>
      </c>
      <c r="CA50">
        <v>35.5</v>
      </c>
      <c r="CB50">
        <f t="shared" si="23"/>
        <v>176.28169014084506</v>
      </c>
      <c r="CC50">
        <v>160</v>
      </c>
      <c r="CE50">
        <v>25</v>
      </c>
      <c r="CF50">
        <v>0.08</v>
      </c>
      <c r="CG50">
        <f t="shared" si="24"/>
        <v>312.5</v>
      </c>
      <c r="CJ50">
        <v>31</v>
      </c>
      <c r="CK50">
        <v>1.4</v>
      </c>
      <c r="CL50">
        <f t="shared" si="25"/>
        <v>22.142857142857146</v>
      </c>
      <c r="CM50">
        <v>40</v>
      </c>
      <c r="CO50">
        <v>2677</v>
      </c>
      <c r="CP50">
        <v>12.02</v>
      </c>
      <c r="CQ50">
        <f t="shared" si="26"/>
        <v>222.71214642262896</v>
      </c>
      <c r="CR50">
        <v>300</v>
      </c>
    </row>
    <row r="51" spans="1:96" x14ac:dyDescent="0.25">
      <c r="A51">
        <v>44153</v>
      </c>
      <c r="B51">
        <v>0</v>
      </c>
      <c r="C51">
        <v>1</v>
      </c>
      <c r="E51">
        <v>0</v>
      </c>
      <c r="F51">
        <v>0</v>
      </c>
      <c r="H51">
        <v>1132</v>
      </c>
      <c r="I51">
        <v>651</v>
      </c>
      <c r="K51">
        <v>1193</v>
      </c>
      <c r="L51">
        <v>1193</v>
      </c>
      <c r="M51">
        <f t="shared" si="27"/>
        <v>1</v>
      </c>
      <c r="N51">
        <v>0.995</v>
      </c>
      <c r="P51">
        <v>441</v>
      </c>
      <c r="Q51">
        <v>441</v>
      </c>
      <c r="R51">
        <f t="shared" si="15"/>
        <v>1</v>
      </c>
      <c r="S51">
        <v>0.997</v>
      </c>
      <c r="U51">
        <v>288</v>
      </c>
      <c r="W51">
        <v>196</v>
      </c>
      <c r="X51">
        <v>24.5</v>
      </c>
      <c r="Y51">
        <v>21</v>
      </c>
      <c r="Z51">
        <f t="shared" si="16"/>
        <v>8.593012275731822E-2</v>
      </c>
      <c r="AA51">
        <v>0.02</v>
      </c>
      <c r="AB51">
        <v>0.05</v>
      </c>
      <c r="AD51">
        <v>9126060</v>
      </c>
      <c r="AE51">
        <v>5393270</v>
      </c>
      <c r="AF51">
        <v>9911880</v>
      </c>
      <c r="AG51">
        <v>0</v>
      </c>
      <c r="AH51">
        <v>39745</v>
      </c>
      <c r="AI51">
        <f t="shared" si="17"/>
        <v>614.69895584350229</v>
      </c>
      <c r="AJ51">
        <v>800</v>
      </c>
      <c r="AL51" t="s">
        <v>2</v>
      </c>
      <c r="AM51" t="s">
        <v>2</v>
      </c>
      <c r="AN51" t="s">
        <v>2</v>
      </c>
      <c r="AO51" t="s">
        <v>2</v>
      </c>
      <c r="AQ51">
        <v>2218</v>
      </c>
      <c r="AR51">
        <v>7.52</v>
      </c>
      <c r="AS51">
        <f t="shared" si="14"/>
        <v>294.94680851063833</v>
      </c>
      <c r="AT51">
        <v>250</v>
      </c>
      <c r="AV51">
        <v>2213</v>
      </c>
      <c r="AW51">
        <v>7.5</v>
      </c>
      <c r="AX51">
        <f t="shared" si="13"/>
        <v>295.06666666666666</v>
      </c>
      <c r="AY51">
        <v>300</v>
      </c>
      <c r="BA51">
        <v>5</v>
      </c>
      <c r="BB51">
        <v>0.02</v>
      </c>
      <c r="BC51">
        <f t="shared" si="18"/>
        <v>250</v>
      </c>
      <c r="BD51">
        <v>250</v>
      </c>
      <c r="BF51">
        <v>41568</v>
      </c>
      <c r="BG51">
        <v>150</v>
      </c>
      <c r="BH51">
        <f t="shared" si="19"/>
        <v>277.12</v>
      </c>
      <c r="BI51">
        <v>250</v>
      </c>
      <c r="BK51">
        <v>14288</v>
      </c>
      <c r="BL51">
        <v>60</v>
      </c>
      <c r="BM51">
        <f t="shared" si="20"/>
        <v>238.13333333333333</v>
      </c>
      <c r="BN51">
        <v>150</v>
      </c>
      <c r="BP51">
        <v>18078</v>
      </c>
      <c r="BQ51">
        <v>86.3</v>
      </c>
      <c r="BR51">
        <f t="shared" si="21"/>
        <v>209.47856315179607</v>
      </c>
      <c r="BS51">
        <v>200</v>
      </c>
      <c r="BU51">
        <v>3247</v>
      </c>
      <c r="BV51">
        <v>33.049999999999997</v>
      </c>
      <c r="BW51">
        <f t="shared" si="22"/>
        <v>98.245083207261729</v>
      </c>
      <c r="BX51">
        <v>100</v>
      </c>
      <c r="BY51" t="s">
        <v>40</v>
      </c>
      <c r="BZ51">
        <v>10026</v>
      </c>
      <c r="CA51">
        <v>30</v>
      </c>
      <c r="CB51">
        <f t="shared" si="23"/>
        <v>334.2</v>
      </c>
      <c r="CC51">
        <v>160</v>
      </c>
      <c r="CE51">
        <v>1967</v>
      </c>
      <c r="CF51">
        <v>1.42</v>
      </c>
      <c r="CG51">
        <f t="shared" si="24"/>
        <v>1385.2112676056338</v>
      </c>
      <c r="CJ51">
        <v>88</v>
      </c>
      <c r="CK51">
        <v>3.13</v>
      </c>
      <c r="CL51">
        <f t="shared" si="25"/>
        <v>28.115015974440894</v>
      </c>
      <c r="CM51">
        <v>40</v>
      </c>
      <c r="CO51">
        <v>8020</v>
      </c>
      <c r="CP51">
        <v>22.28</v>
      </c>
      <c r="CQ51">
        <f t="shared" si="26"/>
        <v>359.96409335727105</v>
      </c>
      <c r="CR51">
        <v>300</v>
      </c>
    </row>
    <row r="52" spans="1:96" x14ac:dyDescent="0.25">
      <c r="A52">
        <v>44154</v>
      </c>
      <c r="B52">
        <v>0</v>
      </c>
      <c r="C52">
        <v>1</v>
      </c>
      <c r="E52">
        <v>0</v>
      </c>
      <c r="F52">
        <v>0</v>
      </c>
      <c r="H52">
        <v>862</v>
      </c>
      <c r="I52">
        <v>790</v>
      </c>
      <c r="K52">
        <v>878</v>
      </c>
      <c r="L52">
        <v>878</v>
      </c>
      <c r="M52">
        <f t="shared" si="27"/>
        <v>1</v>
      </c>
      <c r="N52">
        <v>0.995</v>
      </c>
      <c r="P52">
        <v>545</v>
      </c>
      <c r="Q52">
        <v>545</v>
      </c>
      <c r="R52">
        <f t="shared" si="15"/>
        <v>1</v>
      </c>
      <c r="S52">
        <v>0.997</v>
      </c>
      <c r="U52">
        <v>304</v>
      </c>
      <c r="W52">
        <v>208</v>
      </c>
      <c r="X52">
        <v>21</v>
      </c>
      <c r="Y52">
        <v>48</v>
      </c>
      <c r="Z52">
        <f t="shared" si="16"/>
        <v>0.11876075731497418</v>
      </c>
      <c r="AA52">
        <v>0.02</v>
      </c>
      <c r="AB52">
        <v>0.05</v>
      </c>
      <c r="AD52">
        <v>9639220</v>
      </c>
      <c r="AE52">
        <v>5393270</v>
      </c>
      <c r="AF52">
        <v>11616300</v>
      </c>
      <c r="AG52">
        <v>0</v>
      </c>
      <c r="AH52">
        <v>23641</v>
      </c>
      <c r="AI52">
        <f t="shared" si="17"/>
        <v>1127.2276976439236</v>
      </c>
      <c r="AJ52">
        <v>800</v>
      </c>
      <c r="AL52" t="s">
        <v>2</v>
      </c>
      <c r="AM52" t="s">
        <v>2</v>
      </c>
      <c r="AN52" t="s">
        <v>2</v>
      </c>
      <c r="AO52" t="s">
        <v>2</v>
      </c>
      <c r="AQ52">
        <v>7442</v>
      </c>
      <c r="AR52">
        <v>30.33</v>
      </c>
      <c r="AS52">
        <f t="shared" si="14"/>
        <v>245.36762281569403</v>
      </c>
      <c r="AT52">
        <v>250</v>
      </c>
      <c r="AV52">
        <v>5290</v>
      </c>
      <c r="AW52">
        <v>20.9</v>
      </c>
      <c r="AX52">
        <f t="shared" si="13"/>
        <v>253.11004784688996</v>
      </c>
      <c r="AY52">
        <v>300</v>
      </c>
      <c r="BA52">
        <v>2152</v>
      </c>
      <c r="BB52">
        <v>9.43</v>
      </c>
      <c r="BC52">
        <f t="shared" si="18"/>
        <v>228.20784729586427</v>
      </c>
      <c r="BD52">
        <v>250</v>
      </c>
      <c r="BF52">
        <v>56016</v>
      </c>
      <c r="BG52">
        <v>154</v>
      </c>
      <c r="BH52">
        <f t="shared" si="19"/>
        <v>363.74025974025972</v>
      </c>
      <c r="BI52">
        <v>250</v>
      </c>
      <c r="BK52">
        <v>7482</v>
      </c>
      <c r="BL52">
        <v>72</v>
      </c>
      <c r="BM52">
        <f t="shared" si="20"/>
        <v>103.91666666666667</v>
      </c>
      <c r="BN52">
        <v>150</v>
      </c>
      <c r="BP52">
        <v>15466</v>
      </c>
      <c r="BQ52">
        <v>77</v>
      </c>
      <c r="BR52">
        <f t="shared" si="21"/>
        <v>200.85714285714286</v>
      </c>
      <c r="BS52">
        <v>200</v>
      </c>
      <c r="BU52">
        <v>5856</v>
      </c>
      <c r="BV52">
        <v>45.93</v>
      </c>
      <c r="BW52">
        <f t="shared" si="22"/>
        <v>127.49836708033965</v>
      </c>
      <c r="BX52">
        <v>100</v>
      </c>
      <c r="BY52" t="s">
        <v>40</v>
      </c>
      <c r="BZ52">
        <v>14785</v>
      </c>
      <c r="CA52">
        <v>40</v>
      </c>
      <c r="CB52">
        <f t="shared" si="23"/>
        <v>369.625</v>
      </c>
      <c r="CC52">
        <v>160</v>
      </c>
      <c r="CE52">
        <v>1689</v>
      </c>
      <c r="CF52">
        <v>2.08</v>
      </c>
      <c r="CG52">
        <f t="shared" si="24"/>
        <v>812.01923076923072</v>
      </c>
      <c r="CJ52">
        <v>12</v>
      </c>
      <c r="CK52">
        <v>0.32</v>
      </c>
      <c r="CL52">
        <f t="shared" si="25"/>
        <v>37.5</v>
      </c>
      <c r="CM52">
        <v>40</v>
      </c>
      <c r="CO52">
        <v>1956</v>
      </c>
      <c r="CP52">
        <v>8.77</v>
      </c>
      <c r="CQ52">
        <f t="shared" si="26"/>
        <v>223.03306727480046</v>
      </c>
      <c r="CR52">
        <v>300</v>
      </c>
    </row>
    <row r="53" spans="1:96" x14ac:dyDescent="0.25">
      <c r="A53">
        <v>44155</v>
      </c>
      <c r="B53">
        <v>0</v>
      </c>
      <c r="C53">
        <v>1</v>
      </c>
      <c r="E53">
        <v>0</v>
      </c>
      <c r="F53">
        <v>0</v>
      </c>
      <c r="H53">
        <v>786</v>
      </c>
      <c r="I53">
        <v>1056</v>
      </c>
      <c r="K53">
        <v>679</v>
      </c>
      <c r="L53">
        <v>679</v>
      </c>
      <c r="M53">
        <f t="shared" si="27"/>
        <v>1</v>
      </c>
      <c r="N53">
        <v>0.995</v>
      </c>
      <c r="P53">
        <v>345</v>
      </c>
      <c r="Q53">
        <v>345</v>
      </c>
      <c r="R53">
        <f t="shared" si="15"/>
        <v>1</v>
      </c>
      <c r="S53">
        <v>0.997</v>
      </c>
      <c r="U53">
        <v>320</v>
      </c>
      <c r="W53">
        <v>192</v>
      </c>
      <c r="X53">
        <v>41</v>
      </c>
      <c r="Y53">
        <v>32</v>
      </c>
      <c r="Z53">
        <f t="shared" si="16"/>
        <v>0.12478632478632479</v>
      </c>
      <c r="AA53">
        <v>0.02</v>
      </c>
      <c r="AB53">
        <v>0.05</v>
      </c>
      <c r="AD53">
        <v>10202700</v>
      </c>
      <c r="AE53">
        <v>5393270</v>
      </c>
      <c r="AF53">
        <v>11638800</v>
      </c>
      <c r="AG53">
        <v>0</v>
      </c>
      <c r="AH53">
        <v>45207</v>
      </c>
      <c r="AI53">
        <f t="shared" si="17"/>
        <v>602.44586015440086</v>
      </c>
      <c r="AJ53">
        <v>800</v>
      </c>
      <c r="AL53" t="s">
        <v>2</v>
      </c>
      <c r="AM53" t="s">
        <v>2</v>
      </c>
      <c r="AN53" t="s">
        <v>2</v>
      </c>
      <c r="AO53" t="s">
        <v>2</v>
      </c>
      <c r="AQ53">
        <v>6766</v>
      </c>
      <c r="AR53">
        <v>30.8</v>
      </c>
      <c r="AS53">
        <f t="shared" si="14"/>
        <v>219.67532467532467</v>
      </c>
      <c r="AT53">
        <v>250</v>
      </c>
      <c r="AV53">
        <v>4078</v>
      </c>
      <c r="AW53">
        <v>18.329999999999998</v>
      </c>
      <c r="AX53">
        <f t="shared" si="13"/>
        <v>222.47681396617568</v>
      </c>
      <c r="AY53">
        <v>300</v>
      </c>
      <c r="BA53">
        <v>2688</v>
      </c>
      <c r="BB53">
        <v>12.47</v>
      </c>
      <c r="BC53">
        <f t="shared" si="18"/>
        <v>215.55733761026463</v>
      </c>
      <c r="BD53">
        <v>250</v>
      </c>
      <c r="BF53">
        <v>43968</v>
      </c>
      <c r="BG53">
        <v>158</v>
      </c>
      <c r="BH53">
        <f t="shared" si="19"/>
        <v>278.27848101265823</v>
      </c>
      <c r="BI53">
        <v>250</v>
      </c>
      <c r="BK53">
        <v>13179</v>
      </c>
      <c r="BL53">
        <v>84</v>
      </c>
      <c r="BM53">
        <f t="shared" si="20"/>
        <v>156.89285714285714</v>
      </c>
      <c r="BN53">
        <v>150</v>
      </c>
      <c r="BP53">
        <v>11288</v>
      </c>
      <c r="BQ53">
        <v>62.5</v>
      </c>
      <c r="BR53">
        <f t="shared" si="21"/>
        <v>180.608</v>
      </c>
      <c r="BS53">
        <v>200</v>
      </c>
      <c r="BU53">
        <v>6197</v>
      </c>
      <c r="BV53">
        <v>63.75</v>
      </c>
      <c r="BW53">
        <f t="shared" si="22"/>
        <v>97.207843137254898</v>
      </c>
      <c r="BX53">
        <v>100</v>
      </c>
      <c r="BY53" t="s">
        <v>40</v>
      </c>
      <c r="BZ53">
        <v>8287</v>
      </c>
      <c r="CA53">
        <v>40</v>
      </c>
      <c r="CB53">
        <f t="shared" si="23"/>
        <v>207.17500000000001</v>
      </c>
      <c r="CC53">
        <v>160</v>
      </c>
      <c r="CE53">
        <v>3795</v>
      </c>
      <c r="CF53">
        <v>3.42</v>
      </c>
      <c r="CG53">
        <f t="shared" si="24"/>
        <v>1109.6491228070176</v>
      </c>
      <c r="CJ53">
        <v>75</v>
      </c>
      <c r="CK53">
        <v>2.35</v>
      </c>
      <c r="CL53">
        <f t="shared" si="25"/>
        <v>31.914893617021274</v>
      </c>
      <c r="CM53">
        <v>40</v>
      </c>
      <c r="CO53">
        <v>1504</v>
      </c>
      <c r="CP53">
        <v>7.15</v>
      </c>
      <c r="CQ53">
        <f t="shared" si="26"/>
        <v>210.34965034965035</v>
      </c>
      <c r="CR53">
        <v>300</v>
      </c>
    </row>
    <row r="54" spans="1:96" x14ac:dyDescent="0.25">
      <c r="A54">
        <v>44156</v>
      </c>
      <c r="B54">
        <v>0</v>
      </c>
      <c r="C54">
        <v>1</v>
      </c>
      <c r="E54">
        <v>0</v>
      </c>
      <c r="F54">
        <v>0</v>
      </c>
      <c r="M54" t="e">
        <f t="shared" si="27"/>
        <v>#DIV/0!</v>
      </c>
      <c r="N54">
        <v>0.995</v>
      </c>
      <c r="R54" t="e">
        <f t="shared" si="15"/>
        <v>#DIV/0!</v>
      </c>
      <c r="S54">
        <v>0.997</v>
      </c>
      <c r="Z54" t="e">
        <f t="shared" si="16"/>
        <v>#DIV/0!</v>
      </c>
      <c r="AA54">
        <v>0.02</v>
      </c>
      <c r="AB54">
        <v>0.05</v>
      </c>
      <c r="AG54">
        <v>0</v>
      </c>
      <c r="AI54" t="e">
        <f t="shared" si="17"/>
        <v>#DIV/0!</v>
      </c>
      <c r="AJ54">
        <v>800</v>
      </c>
      <c r="AL54" t="s">
        <v>2</v>
      </c>
      <c r="AM54" t="s">
        <v>2</v>
      </c>
      <c r="AN54" t="s">
        <v>2</v>
      </c>
      <c r="AO54" t="s">
        <v>2</v>
      </c>
      <c r="AS54" t="e">
        <f t="shared" si="14"/>
        <v>#DIV/0!</v>
      </c>
      <c r="AT54">
        <v>250</v>
      </c>
      <c r="AX54" t="e">
        <f t="shared" si="13"/>
        <v>#DIV/0!</v>
      </c>
      <c r="AY54">
        <v>300</v>
      </c>
      <c r="BC54" t="e">
        <f t="shared" si="18"/>
        <v>#DIV/0!</v>
      </c>
      <c r="BD54">
        <v>250</v>
      </c>
      <c r="BH54" t="e">
        <f t="shared" si="19"/>
        <v>#DIV/0!</v>
      </c>
      <c r="BI54">
        <v>250</v>
      </c>
      <c r="BM54" t="e">
        <f t="shared" si="20"/>
        <v>#DIV/0!</v>
      </c>
      <c r="BN54">
        <v>150</v>
      </c>
      <c r="BR54" t="e">
        <f t="shared" si="21"/>
        <v>#DIV/0!</v>
      </c>
      <c r="BS54">
        <v>200</v>
      </c>
      <c r="BW54" t="e">
        <f t="shared" si="22"/>
        <v>#DIV/0!</v>
      </c>
      <c r="BX54">
        <v>100</v>
      </c>
      <c r="BY54" t="s">
        <v>40</v>
      </c>
      <c r="CB54" t="e">
        <f t="shared" si="23"/>
        <v>#DIV/0!</v>
      </c>
      <c r="CC54">
        <v>160</v>
      </c>
      <c r="CG54" t="e">
        <f t="shared" si="24"/>
        <v>#DIV/0!</v>
      </c>
      <c r="CL54" t="e">
        <f t="shared" si="25"/>
        <v>#DIV/0!</v>
      </c>
      <c r="CM54">
        <v>40</v>
      </c>
      <c r="CQ54" t="e">
        <f t="shared" si="26"/>
        <v>#DIV/0!</v>
      </c>
      <c r="CR54">
        <v>300</v>
      </c>
    </row>
    <row r="55" spans="1:96" x14ac:dyDescent="0.25">
      <c r="A55">
        <v>44157</v>
      </c>
      <c r="B55" t="s">
        <v>2</v>
      </c>
      <c r="C55">
        <v>1</v>
      </c>
      <c r="E55" t="s">
        <v>2</v>
      </c>
      <c r="F55">
        <v>0</v>
      </c>
      <c r="H55" t="s">
        <v>2</v>
      </c>
      <c r="I55" t="s">
        <v>2</v>
      </c>
      <c r="K55" t="s">
        <v>2</v>
      </c>
      <c r="L55" t="s">
        <v>2</v>
      </c>
      <c r="M55" t="e">
        <f t="shared" si="27"/>
        <v>#VALUE!</v>
      </c>
      <c r="N55">
        <v>0.995</v>
      </c>
      <c r="P55" t="s">
        <v>2</v>
      </c>
      <c r="Q55" t="s">
        <v>2</v>
      </c>
      <c r="R55" t="e">
        <f t="shared" si="15"/>
        <v>#VALUE!</v>
      </c>
      <c r="S55">
        <v>0.997</v>
      </c>
      <c r="U55" t="s">
        <v>2</v>
      </c>
      <c r="W55" t="s">
        <v>2</v>
      </c>
      <c r="X55" t="s">
        <v>2</v>
      </c>
      <c r="Y55" t="s">
        <v>2</v>
      </c>
      <c r="Z55" t="e">
        <f t="shared" si="16"/>
        <v>#DIV/0!</v>
      </c>
      <c r="AA55">
        <v>0.02</v>
      </c>
      <c r="AB55">
        <v>0.05</v>
      </c>
      <c r="AD55" t="s">
        <v>2</v>
      </c>
      <c r="AE55" t="s">
        <v>2</v>
      </c>
      <c r="AF55" t="s">
        <v>2</v>
      </c>
      <c r="AG55" t="s">
        <v>2</v>
      </c>
      <c r="AH55" t="s">
        <v>2</v>
      </c>
      <c r="AI55" t="e">
        <f t="shared" si="17"/>
        <v>#VALUE!</v>
      </c>
      <c r="AJ55">
        <v>800</v>
      </c>
      <c r="AL55" t="s">
        <v>2</v>
      </c>
      <c r="AM55" t="s">
        <v>2</v>
      </c>
      <c r="AN55" t="s">
        <v>2</v>
      </c>
      <c r="AO55" t="s">
        <v>2</v>
      </c>
      <c r="AQ55" t="s">
        <v>2</v>
      </c>
      <c r="AR55" t="s">
        <v>2</v>
      </c>
      <c r="AS55" t="e">
        <f t="shared" si="14"/>
        <v>#VALUE!</v>
      </c>
      <c r="AT55">
        <v>250</v>
      </c>
      <c r="AV55" t="s">
        <v>2</v>
      </c>
      <c r="AW55" t="s">
        <v>2</v>
      </c>
      <c r="AX55" t="e">
        <f t="shared" si="13"/>
        <v>#VALUE!</v>
      </c>
      <c r="AY55">
        <v>300</v>
      </c>
      <c r="BA55" t="s">
        <v>2</v>
      </c>
      <c r="BB55" t="s">
        <v>2</v>
      </c>
      <c r="BC55" t="e">
        <f t="shared" si="18"/>
        <v>#VALUE!</v>
      </c>
      <c r="BD55">
        <v>250</v>
      </c>
      <c r="BF55" t="s">
        <v>2</v>
      </c>
      <c r="BG55" t="s">
        <v>2</v>
      </c>
      <c r="BH55" t="e">
        <f t="shared" si="19"/>
        <v>#VALUE!</v>
      </c>
      <c r="BI55">
        <v>250</v>
      </c>
      <c r="BK55" t="s">
        <v>2</v>
      </c>
      <c r="BL55" t="s">
        <v>2</v>
      </c>
      <c r="BM55" t="e">
        <f t="shared" si="20"/>
        <v>#VALUE!</v>
      </c>
      <c r="BN55">
        <v>150</v>
      </c>
      <c r="BP55" t="s">
        <v>2</v>
      </c>
      <c r="BQ55" t="s">
        <v>2</v>
      </c>
      <c r="BR55" t="e">
        <f t="shared" si="21"/>
        <v>#VALUE!</v>
      </c>
      <c r="BS55">
        <v>200</v>
      </c>
      <c r="BU55" t="s">
        <v>2</v>
      </c>
      <c r="BV55" t="s">
        <v>2</v>
      </c>
      <c r="BW55" t="e">
        <f t="shared" si="22"/>
        <v>#VALUE!</v>
      </c>
      <c r="BX55">
        <v>100</v>
      </c>
      <c r="BZ55" t="s">
        <v>2</v>
      </c>
      <c r="CA55" t="s">
        <v>2</v>
      </c>
      <c r="CB55" t="e">
        <f t="shared" si="23"/>
        <v>#VALUE!</v>
      </c>
      <c r="CC55">
        <v>160</v>
      </c>
      <c r="CE55" t="s">
        <v>2</v>
      </c>
      <c r="CF55" t="s">
        <v>2</v>
      </c>
      <c r="CG55" t="e">
        <f t="shared" si="24"/>
        <v>#VALUE!</v>
      </c>
      <c r="CJ55" t="s">
        <v>2</v>
      </c>
      <c r="CK55" t="s">
        <v>2</v>
      </c>
      <c r="CL55" t="e">
        <f t="shared" si="25"/>
        <v>#VALUE!</v>
      </c>
      <c r="CM55">
        <v>40</v>
      </c>
      <c r="CO55" t="s">
        <v>2</v>
      </c>
      <c r="CP55" t="s">
        <v>2</v>
      </c>
      <c r="CQ55" t="e">
        <f t="shared" si="26"/>
        <v>#VALUE!</v>
      </c>
      <c r="CR55">
        <v>300</v>
      </c>
    </row>
    <row r="56" spans="1:96" x14ac:dyDescent="0.25">
      <c r="A56">
        <v>44158</v>
      </c>
      <c r="C56">
        <v>1</v>
      </c>
      <c r="F56">
        <v>0</v>
      </c>
      <c r="M56" t="e">
        <f t="shared" si="27"/>
        <v>#DIV/0!</v>
      </c>
      <c r="N56">
        <v>0.995</v>
      </c>
      <c r="R56" t="e">
        <f t="shared" si="15"/>
        <v>#DIV/0!</v>
      </c>
      <c r="S56">
        <v>0.997</v>
      </c>
      <c r="Z56" t="e">
        <f t="shared" si="16"/>
        <v>#DIV/0!</v>
      </c>
      <c r="AA56">
        <v>0.02</v>
      </c>
      <c r="AB56">
        <v>0.05</v>
      </c>
      <c r="AI56" t="e">
        <f t="shared" si="17"/>
        <v>#DIV/0!</v>
      </c>
      <c r="AJ56">
        <v>800</v>
      </c>
      <c r="AS56" t="e">
        <f t="shared" si="14"/>
        <v>#DIV/0!</v>
      </c>
      <c r="AT56">
        <v>250</v>
      </c>
      <c r="AX56" t="e">
        <f t="shared" si="13"/>
        <v>#DIV/0!</v>
      </c>
      <c r="AY56">
        <v>300</v>
      </c>
      <c r="BC56" t="e">
        <f t="shared" si="18"/>
        <v>#DIV/0!</v>
      </c>
      <c r="BD56">
        <v>250</v>
      </c>
      <c r="BH56" t="e">
        <f t="shared" si="19"/>
        <v>#DIV/0!</v>
      </c>
      <c r="BI56">
        <v>250</v>
      </c>
      <c r="BM56" t="e">
        <f t="shared" si="20"/>
        <v>#DIV/0!</v>
      </c>
      <c r="BN56">
        <v>150</v>
      </c>
      <c r="BR56" t="e">
        <f t="shared" si="21"/>
        <v>#DIV/0!</v>
      </c>
      <c r="BS56">
        <v>200</v>
      </c>
      <c r="BW56" t="e">
        <f t="shared" si="22"/>
        <v>#DIV/0!</v>
      </c>
      <c r="BX56">
        <v>100</v>
      </c>
      <c r="CB56" t="e">
        <f t="shared" si="23"/>
        <v>#DIV/0!</v>
      </c>
      <c r="CC56">
        <v>160</v>
      </c>
      <c r="CG56" t="e">
        <f t="shared" si="24"/>
        <v>#DIV/0!</v>
      </c>
      <c r="CL56" t="e">
        <f t="shared" si="25"/>
        <v>#DIV/0!</v>
      </c>
      <c r="CM56">
        <v>40</v>
      </c>
      <c r="CQ56" t="e">
        <f t="shared" si="26"/>
        <v>#DIV/0!</v>
      </c>
      <c r="CR56">
        <v>300</v>
      </c>
    </row>
    <row r="57" spans="1:96" x14ac:dyDescent="0.25">
      <c r="A57">
        <v>44159</v>
      </c>
      <c r="C57">
        <v>1</v>
      </c>
      <c r="F57">
        <v>0</v>
      </c>
      <c r="M57" t="e">
        <f t="shared" si="27"/>
        <v>#DIV/0!</v>
      </c>
      <c r="N57">
        <v>0.995</v>
      </c>
      <c r="R57" t="e">
        <f t="shared" si="15"/>
        <v>#DIV/0!</v>
      </c>
      <c r="S57">
        <v>0.997</v>
      </c>
      <c r="Z57" t="e">
        <f t="shared" si="16"/>
        <v>#DIV/0!</v>
      </c>
      <c r="AA57">
        <v>0.02</v>
      </c>
      <c r="AB57">
        <v>0.05</v>
      </c>
      <c r="AI57" t="e">
        <f t="shared" si="17"/>
        <v>#DIV/0!</v>
      </c>
      <c r="AJ57">
        <v>800</v>
      </c>
      <c r="AS57" t="e">
        <f t="shared" si="14"/>
        <v>#DIV/0!</v>
      </c>
      <c r="AT57">
        <v>250</v>
      </c>
      <c r="AX57" t="e">
        <f t="shared" si="13"/>
        <v>#DIV/0!</v>
      </c>
      <c r="AY57">
        <v>300</v>
      </c>
      <c r="BC57" t="e">
        <f t="shared" si="18"/>
        <v>#DIV/0!</v>
      </c>
      <c r="BD57">
        <v>250</v>
      </c>
      <c r="BH57" t="e">
        <f t="shared" si="19"/>
        <v>#DIV/0!</v>
      </c>
      <c r="BI57">
        <v>250</v>
      </c>
      <c r="BM57" t="e">
        <f t="shared" si="20"/>
        <v>#DIV/0!</v>
      </c>
      <c r="BN57">
        <v>150</v>
      </c>
      <c r="BR57" t="e">
        <f t="shared" si="21"/>
        <v>#DIV/0!</v>
      </c>
      <c r="BS57">
        <v>200</v>
      </c>
      <c r="BW57" t="e">
        <f t="shared" si="22"/>
        <v>#DIV/0!</v>
      </c>
      <c r="BX57">
        <v>100</v>
      </c>
      <c r="CB57" t="e">
        <f t="shared" si="23"/>
        <v>#DIV/0!</v>
      </c>
      <c r="CC57">
        <v>160</v>
      </c>
      <c r="CG57" t="e">
        <f t="shared" si="24"/>
        <v>#DIV/0!</v>
      </c>
      <c r="CL57" t="e">
        <f t="shared" si="25"/>
        <v>#DIV/0!</v>
      </c>
      <c r="CM57">
        <v>40</v>
      </c>
      <c r="CQ57" t="e">
        <f t="shared" si="26"/>
        <v>#DIV/0!</v>
      </c>
      <c r="CR57">
        <v>300</v>
      </c>
    </row>
    <row r="58" spans="1:96" x14ac:dyDescent="0.25">
      <c r="A58">
        <v>44160</v>
      </c>
      <c r="C58">
        <v>1</v>
      </c>
      <c r="F58">
        <v>0</v>
      </c>
      <c r="M58" t="e">
        <f t="shared" si="27"/>
        <v>#DIV/0!</v>
      </c>
      <c r="N58">
        <v>0.995</v>
      </c>
      <c r="R58" t="e">
        <f t="shared" si="15"/>
        <v>#DIV/0!</v>
      </c>
      <c r="S58">
        <v>0.997</v>
      </c>
      <c r="Z58" t="e">
        <f t="shared" si="16"/>
        <v>#DIV/0!</v>
      </c>
      <c r="AA58">
        <v>0.02</v>
      </c>
      <c r="AB58">
        <v>0.05</v>
      </c>
      <c r="AI58" t="e">
        <f t="shared" si="17"/>
        <v>#DIV/0!</v>
      </c>
      <c r="AJ58">
        <v>800</v>
      </c>
      <c r="AS58" t="e">
        <f t="shared" si="14"/>
        <v>#DIV/0!</v>
      </c>
      <c r="AT58">
        <v>250</v>
      </c>
      <c r="AX58" t="e">
        <f t="shared" si="13"/>
        <v>#DIV/0!</v>
      </c>
      <c r="AY58">
        <v>300</v>
      </c>
      <c r="BC58" t="e">
        <f t="shared" si="18"/>
        <v>#DIV/0!</v>
      </c>
      <c r="BD58">
        <v>250</v>
      </c>
      <c r="BH58" t="e">
        <f t="shared" si="19"/>
        <v>#DIV/0!</v>
      </c>
      <c r="BI58">
        <v>250</v>
      </c>
      <c r="BM58" t="e">
        <f t="shared" si="20"/>
        <v>#DIV/0!</v>
      </c>
      <c r="BN58">
        <v>150</v>
      </c>
      <c r="BR58" t="e">
        <f t="shared" si="21"/>
        <v>#DIV/0!</v>
      </c>
      <c r="BS58">
        <v>200</v>
      </c>
      <c r="BW58" t="e">
        <f t="shared" si="22"/>
        <v>#DIV/0!</v>
      </c>
      <c r="BX58">
        <v>100</v>
      </c>
      <c r="CB58" t="e">
        <f t="shared" si="23"/>
        <v>#DIV/0!</v>
      </c>
      <c r="CC58">
        <v>160</v>
      </c>
      <c r="CG58" t="e">
        <f t="shared" si="24"/>
        <v>#DIV/0!</v>
      </c>
      <c r="CL58" t="e">
        <f t="shared" si="25"/>
        <v>#DIV/0!</v>
      </c>
      <c r="CM58">
        <v>40</v>
      </c>
      <c r="CQ58" t="e">
        <f t="shared" si="26"/>
        <v>#DIV/0!</v>
      </c>
      <c r="CR58">
        <v>300</v>
      </c>
    </row>
    <row r="59" spans="1:96" x14ac:dyDescent="0.25">
      <c r="A59">
        <v>44161</v>
      </c>
      <c r="C59">
        <v>1</v>
      </c>
      <c r="F59">
        <v>0</v>
      </c>
      <c r="M59" t="e">
        <f t="shared" si="27"/>
        <v>#DIV/0!</v>
      </c>
      <c r="N59">
        <v>0.995</v>
      </c>
      <c r="R59" t="e">
        <f t="shared" si="15"/>
        <v>#DIV/0!</v>
      </c>
      <c r="S59">
        <v>0.997</v>
      </c>
      <c r="Z59" t="e">
        <f t="shared" si="16"/>
        <v>#DIV/0!</v>
      </c>
      <c r="AA59">
        <v>0.02</v>
      </c>
      <c r="AB59">
        <v>0.05</v>
      </c>
      <c r="AI59" t="e">
        <f t="shared" si="17"/>
        <v>#DIV/0!</v>
      </c>
      <c r="AJ59">
        <v>800</v>
      </c>
      <c r="AS59" t="e">
        <f t="shared" si="14"/>
        <v>#DIV/0!</v>
      </c>
      <c r="AT59">
        <v>250</v>
      </c>
      <c r="AX59" t="e">
        <f t="shared" si="13"/>
        <v>#DIV/0!</v>
      </c>
      <c r="AY59">
        <v>300</v>
      </c>
      <c r="BC59" t="e">
        <f t="shared" si="18"/>
        <v>#DIV/0!</v>
      </c>
      <c r="BD59">
        <v>250</v>
      </c>
      <c r="BH59" t="e">
        <f t="shared" si="19"/>
        <v>#DIV/0!</v>
      </c>
      <c r="BI59">
        <v>250</v>
      </c>
      <c r="BM59" t="e">
        <f t="shared" si="20"/>
        <v>#DIV/0!</v>
      </c>
      <c r="BN59">
        <v>150</v>
      </c>
      <c r="BR59" t="e">
        <f t="shared" si="21"/>
        <v>#DIV/0!</v>
      </c>
      <c r="BS59">
        <v>200</v>
      </c>
      <c r="BW59" t="e">
        <f t="shared" si="22"/>
        <v>#DIV/0!</v>
      </c>
      <c r="BX59">
        <v>100</v>
      </c>
      <c r="CB59" t="e">
        <f t="shared" si="23"/>
        <v>#DIV/0!</v>
      </c>
      <c r="CC59">
        <v>160</v>
      </c>
      <c r="CG59" t="e">
        <f t="shared" si="24"/>
        <v>#DIV/0!</v>
      </c>
      <c r="CL59" t="e">
        <f t="shared" si="25"/>
        <v>#DIV/0!</v>
      </c>
      <c r="CM59">
        <v>40</v>
      </c>
      <c r="CQ59" t="e">
        <f t="shared" si="26"/>
        <v>#DIV/0!</v>
      </c>
      <c r="CR59">
        <v>300</v>
      </c>
    </row>
    <row r="60" spans="1:96" x14ac:dyDescent="0.25">
      <c r="A60">
        <v>44162</v>
      </c>
      <c r="C60">
        <v>1</v>
      </c>
      <c r="F60">
        <v>0</v>
      </c>
      <c r="M60" t="e">
        <f t="shared" si="27"/>
        <v>#DIV/0!</v>
      </c>
      <c r="N60">
        <v>0.995</v>
      </c>
      <c r="R60" t="e">
        <f t="shared" si="15"/>
        <v>#DIV/0!</v>
      </c>
      <c r="S60">
        <v>0.997</v>
      </c>
      <c r="Z60" t="e">
        <f t="shared" si="16"/>
        <v>#DIV/0!</v>
      </c>
      <c r="AA60">
        <v>0.02</v>
      </c>
      <c r="AB60">
        <v>0.05</v>
      </c>
      <c r="AI60" t="e">
        <f t="shared" si="17"/>
        <v>#DIV/0!</v>
      </c>
      <c r="AJ60">
        <v>800</v>
      </c>
      <c r="AS60" t="e">
        <f t="shared" si="14"/>
        <v>#DIV/0!</v>
      </c>
      <c r="AT60">
        <v>250</v>
      </c>
      <c r="AX60" t="e">
        <f t="shared" si="13"/>
        <v>#DIV/0!</v>
      </c>
      <c r="AY60">
        <v>300</v>
      </c>
      <c r="BC60" t="e">
        <f t="shared" si="18"/>
        <v>#DIV/0!</v>
      </c>
      <c r="BD60">
        <v>250</v>
      </c>
      <c r="BH60" t="e">
        <f t="shared" si="19"/>
        <v>#DIV/0!</v>
      </c>
      <c r="BI60">
        <v>250</v>
      </c>
      <c r="BM60" t="e">
        <f t="shared" si="20"/>
        <v>#DIV/0!</v>
      </c>
      <c r="BN60">
        <v>150</v>
      </c>
      <c r="BR60" t="e">
        <f t="shared" si="21"/>
        <v>#DIV/0!</v>
      </c>
      <c r="BS60">
        <v>200</v>
      </c>
      <c r="BW60" t="e">
        <f t="shared" si="22"/>
        <v>#DIV/0!</v>
      </c>
      <c r="BX60">
        <v>100</v>
      </c>
      <c r="CB60" t="e">
        <f t="shared" si="23"/>
        <v>#DIV/0!</v>
      </c>
      <c r="CC60">
        <v>160</v>
      </c>
      <c r="CG60" t="e">
        <f t="shared" si="24"/>
        <v>#DIV/0!</v>
      </c>
      <c r="CL60" t="e">
        <f t="shared" si="25"/>
        <v>#DIV/0!</v>
      </c>
      <c r="CM60">
        <v>40</v>
      </c>
      <c r="CQ60" t="e">
        <f t="shared" si="26"/>
        <v>#DIV/0!</v>
      </c>
      <c r="CR60">
        <v>300</v>
      </c>
    </row>
    <row r="61" spans="1:96" x14ac:dyDescent="0.25">
      <c r="A61">
        <v>44163</v>
      </c>
      <c r="C61">
        <v>1</v>
      </c>
      <c r="F61">
        <v>0</v>
      </c>
      <c r="M61" t="e">
        <f t="shared" si="27"/>
        <v>#DIV/0!</v>
      </c>
      <c r="N61">
        <v>0.995</v>
      </c>
      <c r="R61" t="e">
        <f t="shared" si="15"/>
        <v>#DIV/0!</v>
      </c>
      <c r="S61">
        <v>0.997</v>
      </c>
      <c r="Z61" t="e">
        <f t="shared" si="16"/>
        <v>#DIV/0!</v>
      </c>
      <c r="AA61">
        <v>0.02</v>
      </c>
      <c r="AB61">
        <v>0.05</v>
      </c>
      <c r="AI61" t="e">
        <f t="shared" si="17"/>
        <v>#DIV/0!</v>
      </c>
      <c r="AJ61">
        <v>800</v>
      </c>
      <c r="AS61" t="e">
        <f t="shared" si="14"/>
        <v>#DIV/0!</v>
      </c>
      <c r="AT61">
        <v>250</v>
      </c>
      <c r="AX61" t="e">
        <f t="shared" si="13"/>
        <v>#DIV/0!</v>
      </c>
      <c r="AY61">
        <v>300</v>
      </c>
      <c r="BC61" t="e">
        <f t="shared" si="18"/>
        <v>#DIV/0!</v>
      </c>
      <c r="BD61">
        <v>250</v>
      </c>
      <c r="BH61" t="e">
        <f t="shared" si="19"/>
        <v>#DIV/0!</v>
      </c>
      <c r="BI61">
        <v>250</v>
      </c>
      <c r="BM61" t="e">
        <f t="shared" si="20"/>
        <v>#DIV/0!</v>
      </c>
      <c r="BN61">
        <v>150</v>
      </c>
      <c r="BR61" t="e">
        <f t="shared" si="21"/>
        <v>#DIV/0!</v>
      </c>
      <c r="BS61">
        <v>200</v>
      </c>
      <c r="BW61" t="e">
        <f t="shared" si="22"/>
        <v>#DIV/0!</v>
      </c>
      <c r="BX61">
        <v>100</v>
      </c>
      <c r="CB61" t="e">
        <f t="shared" si="23"/>
        <v>#DIV/0!</v>
      </c>
      <c r="CC61">
        <v>160</v>
      </c>
      <c r="CG61" t="e">
        <f t="shared" si="24"/>
        <v>#DIV/0!</v>
      </c>
      <c r="CL61" t="e">
        <f t="shared" si="25"/>
        <v>#DIV/0!</v>
      </c>
      <c r="CM61">
        <v>40</v>
      </c>
      <c r="CQ61" t="e">
        <f t="shared" si="26"/>
        <v>#DIV/0!</v>
      </c>
      <c r="CR61">
        <v>300</v>
      </c>
    </row>
    <row r="62" spans="1:96" x14ac:dyDescent="0.25">
      <c r="A62">
        <v>44164</v>
      </c>
      <c r="C62">
        <v>1</v>
      </c>
      <c r="E62" t="s">
        <v>2</v>
      </c>
      <c r="F62">
        <v>0</v>
      </c>
      <c r="H62" t="s">
        <v>2</v>
      </c>
      <c r="I62" t="s">
        <v>2</v>
      </c>
      <c r="K62" t="s">
        <v>2</v>
      </c>
      <c r="L62" t="s">
        <v>2</v>
      </c>
      <c r="M62" t="s">
        <v>2</v>
      </c>
      <c r="N62">
        <v>0.995</v>
      </c>
      <c r="P62" t="s">
        <v>2</v>
      </c>
      <c r="Q62" t="s">
        <v>2</v>
      </c>
      <c r="R62" t="e">
        <f t="shared" si="15"/>
        <v>#VALUE!</v>
      </c>
      <c r="S62">
        <v>0.997</v>
      </c>
      <c r="U62" t="s">
        <v>2</v>
      </c>
      <c r="W62" t="s">
        <v>2</v>
      </c>
      <c r="X62" t="s">
        <v>2</v>
      </c>
      <c r="Y62" t="s">
        <v>2</v>
      </c>
      <c r="Z62" t="e">
        <f t="shared" si="16"/>
        <v>#DIV/0!</v>
      </c>
      <c r="AA62">
        <v>0.02</v>
      </c>
      <c r="AB62">
        <v>0.05</v>
      </c>
      <c r="AD62" t="s">
        <v>2</v>
      </c>
      <c r="AE62" t="s">
        <v>2</v>
      </c>
      <c r="AF62" t="s">
        <v>2</v>
      </c>
      <c r="AG62" t="s">
        <v>2</v>
      </c>
      <c r="AH62" t="s">
        <v>2</v>
      </c>
      <c r="AI62" t="e">
        <f t="shared" si="17"/>
        <v>#VALUE!</v>
      </c>
      <c r="AJ62">
        <v>800</v>
      </c>
      <c r="AL62" t="s">
        <v>2</v>
      </c>
      <c r="AM62" t="s">
        <v>2</v>
      </c>
      <c r="AQ62" t="s">
        <v>2</v>
      </c>
      <c r="AR62" t="s">
        <v>2</v>
      </c>
      <c r="AS62" t="e">
        <f t="shared" si="14"/>
        <v>#VALUE!</v>
      </c>
      <c r="AT62">
        <v>250</v>
      </c>
      <c r="AV62" t="s">
        <v>2</v>
      </c>
      <c r="AW62" t="s">
        <v>2</v>
      </c>
      <c r="AX62" t="e">
        <f t="shared" si="13"/>
        <v>#VALUE!</v>
      </c>
      <c r="AY62">
        <v>300</v>
      </c>
      <c r="BA62" t="s">
        <v>2</v>
      </c>
      <c r="BB62" t="s">
        <v>2</v>
      </c>
      <c r="BC62" t="e">
        <f t="shared" si="18"/>
        <v>#VALUE!</v>
      </c>
      <c r="BD62">
        <v>250</v>
      </c>
      <c r="BF62" t="s">
        <v>2</v>
      </c>
      <c r="BG62" t="s">
        <v>2</v>
      </c>
      <c r="BH62" t="e">
        <f t="shared" si="19"/>
        <v>#VALUE!</v>
      </c>
      <c r="BI62">
        <v>250</v>
      </c>
      <c r="BK62" t="s">
        <v>2</v>
      </c>
      <c r="BL62" t="s">
        <v>2</v>
      </c>
      <c r="BM62" t="e">
        <f t="shared" si="20"/>
        <v>#VALUE!</v>
      </c>
      <c r="BN62">
        <v>150</v>
      </c>
      <c r="BP62" t="s">
        <v>2</v>
      </c>
      <c r="BQ62" t="s">
        <v>2</v>
      </c>
      <c r="BR62" t="e">
        <f t="shared" si="21"/>
        <v>#VALUE!</v>
      </c>
      <c r="BS62">
        <v>200</v>
      </c>
      <c r="BU62" t="s">
        <v>2</v>
      </c>
      <c r="BV62" t="s">
        <v>2</v>
      </c>
      <c r="BW62" t="e">
        <f t="shared" si="22"/>
        <v>#VALUE!</v>
      </c>
      <c r="BX62">
        <v>100</v>
      </c>
      <c r="BZ62" t="s">
        <v>2</v>
      </c>
      <c r="CA62" t="s">
        <v>2</v>
      </c>
      <c r="CB62" t="e">
        <f t="shared" si="23"/>
        <v>#VALUE!</v>
      </c>
      <c r="CC62">
        <v>160</v>
      </c>
      <c r="CE62" t="s">
        <v>2</v>
      </c>
      <c r="CF62" t="s">
        <v>2</v>
      </c>
      <c r="CG62" t="e">
        <f t="shared" si="24"/>
        <v>#VALUE!</v>
      </c>
      <c r="CJ62" t="s">
        <v>2</v>
      </c>
      <c r="CK62" t="s">
        <v>2</v>
      </c>
      <c r="CL62" t="e">
        <f t="shared" si="25"/>
        <v>#VALUE!</v>
      </c>
      <c r="CM62">
        <v>40</v>
      </c>
      <c r="CO62" t="s">
        <v>2</v>
      </c>
      <c r="CP62" t="s">
        <v>2</v>
      </c>
      <c r="CQ62" t="e">
        <f t="shared" si="26"/>
        <v>#VALUE!</v>
      </c>
      <c r="CR62">
        <v>300</v>
      </c>
    </row>
    <row r="63" spans="1:96" x14ac:dyDescent="0.25">
      <c r="A63">
        <v>44165</v>
      </c>
      <c r="C63">
        <v>1</v>
      </c>
      <c r="F63">
        <v>0</v>
      </c>
      <c r="M63" t="e">
        <f>K63/L63</f>
        <v>#DIV/0!</v>
      </c>
      <c r="N63">
        <v>0.995</v>
      </c>
      <c r="R63" t="e">
        <f t="shared" si="15"/>
        <v>#DIV/0!</v>
      </c>
      <c r="S63">
        <v>0.997</v>
      </c>
      <c r="Z63" t="e">
        <f t="shared" si="16"/>
        <v>#DIV/0!</v>
      </c>
      <c r="AA63">
        <v>0.02</v>
      </c>
      <c r="AB63">
        <v>0.05</v>
      </c>
      <c r="AI63" t="e">
        <f t="shared" si="17"/>
        <v>#DIV/0!</v>
      </c>
      <c r="AJ63">
        <v>800</v>
      </c>
      <c r="AS63" t="e">
        <f t="shared" si="14"/>
        <v>#DIV/0!</v>
      </c>
      <c r="AT63">
        <v>250</v>
      </c>
      <c r="AX63" t="e">
        <f t="shared" si="13"/>
        <v>#DIV/0!</v>
      </c>
      <c r="AY63">
        <v>300</v>
      </c>
      <c r="BC63" t="e">
        <f t="shared" si="18"/>
        <v>#DIV/0!</v>
      </c>
      <c r="BD63">
        <v>250</v>
      </c>
      <c r="BH63" t="e">
        <f t="shared" si="19"/>
        <v>#DIV/0!</v>
      </c>
      <c r="BI63">
        <v>250</v>
      </c>
      <c r="BM63" t="e">
        <f t="shared" si="20"/>
        <v>#DIV/0!</v>
      </c>
      <c r="BN63">
        <v>150</v>
      </c>
      <c r="BR63" t="e">
        <f t="shared" si="21"/>
        <v>#DIV/0!</v>
      </c>
      <c r="BS63">
        <v>200</v>
      </c>
      <c r="BW63" t="e">
        <f t="shared" si="22"/>
        <v>#DIV/0!</v>
      </c>
      <c r="BX63">
        <v>100</v>
      </c>
      <c r="CB63" t="e">
        <f t="shared" si="23"/>
        <v>#DIV/0!</v>
      </c>
      <c r="CC63">
        <v>160</v>
      </c>
      <c r="CG63" t="e">
        <f t="shared" si="24"/>
        <v>#DIV/0!</v>
      </c>
      <c r="CL63" t="e">
        <f t="shared" si="25"/>
        <v>#DIV/0!</v>
      </c>
      <c r="CM63">
        <v>40</v>
      </c>
      <c r="CQ63" t="e">
        <f t="shared" si="26"/>
        <v>#DIV/0!</v>
      </c>
    </row>
    <row r="64" spans="1:96" x14ac:dyDescent="0.25">
      <c r="A64">
        <v>44166</v>
      </c>
    </row>
    <row r="65" spans="1:1" x14ac:dyDescent="0.25">
      <c r="A65">
        <v>44167</v>
      </c>
    </row>
    <row r="66" spans="1:1" x14ac:dyDescent="0.25">
      <c r="A66">
        <v>44168</v>
      </c>
    </row>
    <row r="67" spans="1:1" x14ac:dyDescent="0.25">
      <c r="A67">
        <v>44169</v>
      </c>
    </row>
    <row r="68" spans="1:1" x14ac:dyDescent="0.25">
      <c r="A68">
        <v>44170</v>
      </c>
    </row>
    <row r="69" spans="1:1" x14ac:dyDescent="0.25">
      <c r="A69">
        <v>44171</v>
      </c>
    </row>
    <row r="70" spans="1:1" x14ac:dyDescent="0.25">
      <c r="A70">
        <v>44172</v>
      </c>
    </row>
    <row r="71" spans="1:1" x14ac:dyDescent="0.25">
      <c r="A71">
        <v>44173</v>
      </c>
    </row>
    <row r="72" spans="1:1" x14ac:dyDescent="0.25">
      <c r="A72">
        <v>44174</v>
      </c>
    </row>
    <row r="73" spans="1:1" x14ac:dyDescent="0.25">
      <c r="A73">
        <v>44175</v>
      </c>
    </row>
    <row r="74" spans="1:1" x14ac:dyDescent="0.25">
      <c r="A74">
        <v>44176</v>
      </c>
    </row>
    <row r="75" spans="1:1" x14ac:dyDescent="0.25">
      <c r="A75">
        <v>44177</v>
      </c>
    </row>
    <row r="76" spans="1:1" x14ac:dyDescent="0.25">
      <c r="A76">
        <v>44178</v>
      </c>
    </row>
    <row r="77" spans="1:1" x14ac:dyDescent="0.25">
      <c r="A77">
        <v>44179</v>
      </c>
    </row>
    <row r="78" spans="1:1" x14ac:dyDescent="0.25">
      <c r="A78">
        <v>44180</v>
      </c>
    </row>
    <row r="79" spans="1:1" x14ac:dyDescent="0.25">
      <c r="A79">
        <v>44181</v>
      </c>
    </row>
    <row r="80" spans="1:1" x14ac:dyDescent="0.25">
      <c r="A80">
        <v>44182</v>
      </c>
    </row>
    <row r="81" spans="1:1" x14ac:dyDescent="0.25">
      <c r="A81">
        <v>44183</v>
      </c>
    </row>
    <row r="82" spans="1:1" x14ac:dyDescent="0.25">
      <c r="A82">
        <v>44184</v>
      </c>
    </row>
    <row r="83" spans="1:1" x14ac:dyDescent="0.25">
      <c r="A83">
        <v>44185</v>
      </c>
    </row>
    <row r="84" spans="1:1" x14ac:dyDescent="0.25">
      <c r="A84">
        <v>44186</v>
      </c>
    </row>
    <row r="85" spans="1:1" x14ac:dyDescent="0.25">
      <c r="A85">
        <v>44187</v>
      </c>
    </row>
    <row r="86" spans="1:1" x14ac:dyDescent="0.25">
      <c r="A86">
        <v>44188</v>
      </c>
    </row>
    <row r="87" spans="1:1" x14ac:dyDescent="0.25">
      <c r="A87">
        <v>44189</v>
      </c>
    </row>
    <row r="88" spans="1:1" x14ac:dyDescent="0.25">
      <c r="A88">
        <v>44190</v>
      </c>
    </row>
    <row r="89" spans="1:1" x14ac:dyDescent="0.25">
      <c r="A89">
        <v>44191</v>
      </c>
    </row>
    <row r="90" spans="1:1" x14ac:dyDescent="0.25">
      <c r="A90">
        <v>44192</v>
      </c>
    </row>
    <row r="91" spans="1:1" x14ac:dyDescent="0.25">
      <c r="A91">
        <v>44193</v>
      </c>
    </row>
    <row r="92" spans="1:1" x14ac:dyDescent="0.25">
      <c r="A92">
        <v>44194</v>
      </c>
    </row>
    <row r="93" spans="1:1" x14ac:dyDescent="0.25">
      <c r="A93">
        <v>44195</v>
      </c>
    </row>
    <row r="94" spans="1:1" x14ac:dyDescent="0.25">
      <c r="A94">
        <v>44196</v>
      </c>
    </row>
  </sheetData>
  <conditionalFormatting sqref="C2:CQ2">
    <cfRule type="duplicateValues" dxfId="13" priority="1"/>
    <cfRule type="duplicateValues" dxfId="12" priority="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O113"/>
  <sheetViews>
    <sheetView zoomScale="48" zoomScaleNormal="48" workbookViewId="0">
      <selection activeCell="A2" sqref="A2:BB2"/>
    </sheetView>
  </sheetViews>
  <sheetFormatPr defaultColWidth="7.625" defaultRowHeight="15.75" x14ac:dyDescent="0.25"/>
  <cols>
    <col min="1" max="1" width="52.25" customWidth="1"/>
    <col min="2" max="62" width="11" customWidth="1"/>
  </cols>
  <sheetData>
    <row r="1" spans="1:93" x14ac:dyDescent="0.25">
      <c r="A1" s="2" t="s">
        <v>0</v>
      </c>
      <c r="B1">
        <v>44105</v>
      </c>
      <c r="C1">
        <v>44106</v>
      </c>
      <c r="D1">
        <v>44107</v>
      </c>
      <c r="E1">
        <v>44108</v>
      </c>
      <c r="F1">
        <v>44109</v>
      </c>
      <c r="G1">
        <v>44110</v>
      </c>
      <c r="H1">
        <v>44111</v>
      </c>
      <c r="I1">
        <v>44112</v>
      </c>
      <c r="J1">
        <v>44113</v>
      </c>
      <c r="K1">
        <v>44114</v>
      </c>
      <c r="L1">
        <v>44115</v>
      </c>
      <c r="M1">
        <v>44116</v>
      </c>
      <c r="N1">
        <v>44117</v>
      </c>
      <c r="O1">
        <v>44118</v>
      </c>
      <c r="P1">
        <v>44119</v>
      </c>
      <c r="Q1">
        <v>44120</v>
      </c>
      <c r="R1">
        <v>44121</v>
      </c>
      <c r="S1">
        <v>44122</v>
      </c>
      <c r="T1">
        <v>44123</v>
      </c>
      <c r="U1">
        <v>44124</v>
      </c>
      <c r="V1">
        <v>44125</v>
      </c>
      <c r="W1">
        <v>44126</v>
      </c>
      <c r="X1">
        <v>44127</v>
      </c>
      <c r="Y1">
        <v>44128</v>
      </c>
      <c r="Z1">
        <v>44129</v>
      </c>
      <c r="AA1">
        <v>44130</v>
      </c>
      <c r="AB1">
        <v>44131</v>
      </c>
      <c r="AC1">
        <v>44132</v>
      </c>
      <c r="AD1">
        <v>44133</v>
      </c>
      <c r="AE1">
        <v>44134</v>
      </c>
      <c r="AF1">
        <v>44135</v>
      </c>
      <c r="AG1">
        <v>44136</v>
      </c>
      <c r="AH1">
        <v>44137</v>
      </c>
      <c r="AI1">
        <v>44138</v>
      </c>
      <c r="AJ1">
        <v>44139</v>
      </c>
      <c r="AK1">
        <v>44140</v>
      </c>
      <c r="AL1">
        <v>44141</v>
      </c>
      <c r="AM1">
        <v>44142</v>
      </c>
      <c r="AN1">
        <v>44143</v>
      </c>
      <c r="AO1">
        <v>44144</v>
      </c>
      <c r="AP1">
        <v>44145</v>
      </c>
      <c r="AQ1">
        <v>44146</v>
      </c>
      <c r="AR1">
        <v>44147</v>
      </c>
      <c r="AS1">
        <v>44148</v>
      </c>
      <c r="AT1">
        <v>44149</v>
      </c>
      <c r="AU1">
        <v>44150</v>
      </c>
      <c r="AV1">
        <v>44151</v>
      </c>
      <c r="AW1">
        <v>44152</v>
      </c>
      <c r="AX1">
        <v>44153</v>
      </c>
      <c r="AY1">
        <v>44154</v>
      </c>
      <c r="AZ1">
        <v>44155</v>
      </c>
      <c r="BA1">
        <v>44156</v>
      </c>
      <c r="BB1">
        <v>44157</v>
      </c>
      <c r="BC1">
        <v>44158</v>
      </c>
      <c r="BD1">
        <v>44159</v>
      </c>
      <c r="BE1">
        <v>44160</v>
      </c>
      <c r="BF1">
        <v>44161</v>
      </c>
      <c r="BG1">
        <v>44162</v>
      </c>
      <c r="BH1">
        <v>44163</v>
      </c>
      <c r="BI1">
        <v>44164</v>
      </c>
      <c r="BJ1">
        <v>44165</v>
      </c>
      <c r="BK1">
        <v>44166</v>
      </c>
      <c r="BL1">
        <v>44167</v>
      </c>
      <c r="BM1">
        <v>44168</v>
      </c>
      <c r="BN1">
        <v>44169</v>
      </c>
      <c r="BO1">
        <v>44170</v>
      </c>
      <c r="BP1">
        <v>44171</v>
      </c>
      <c r="BQ1">
        <v>44172</v>
      </c>
      <c r="BR1">
        <v>44173</v>
      </c>
      <c r="BS1">
        <v>44174</v>
      </c>
      <c r="BT1">
        <v>44175</v>
      </c>
      <c r="BU1">
        <v>44176</v>
      </c>
      <c r="BV1">
        <v>44177</v>
      </c>
      <c r="BW1">
        <v>44178</v>
      </c>
      <c r="BX1">
        <v>44179</v>
      </c>
      <c r="BY1">
        <v>44180</v>
      </c>
      <c r="BZ1">
        <v>44181</v>
      </c>
      <c r="CA1">
        <v>44182</v>
      </c>
      <c r="CB1">
        <v>44183</v>
      </c>
      <c r="CC1">
        <v>44184</v>
      </c>
      <c r="CD1">
        <v>44185</v>
      </c>
      <c r="CE1">
        <v>44186</v>
      </c>
      <c r="CF1">
        <v>44187</v>
      </c>
      <c r="CG1">
        <v>44188</v>
      </c>
      <c r="CH1">
        <v>44189</v>
      </c>
      <c r="CI1">
        <v>44190</v>
      </c>
      <c r="CJ1">
        <v>44191</v>
      </c>
      <c r="CK1">
        <v>44192</v>
      </c>
      <c r="CL1">
        <v>44193</v>
      </c>
      <c r="CM1">
        <v>44194</v>
      </c>
      <c r="CN1">
        <v>44195</v>
      </c>
      <c r="CO1">
        <v>44196</v>
      </c>
    </row>
    <row r="2" spans="1:93" x14ac:dyDescent="0.25">
      <c r="A2" s="2" t="s">
        <v>1</v>
      </c>
      <c r="B2">
        <v>0</v>
      </c>
      <c r="C2">
        <v>0</v>
      </c>
      <c r="D2">
        <v>0</v>
      </c>
      <c r="E2" t="s">
        <v>2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 t="s">
        <v>2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 t="s">
        <v>2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 t="s">
        <v>2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 t="s">
        <v>2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 t="s">
        <v>2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 t="s">
        <v>2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 t="s">
        <v>2</v>
      </c>
    </row>
    <row r="3" spans="1:93" x14ac:dyDescent="0.25">
      <c r="A3" s="2" t="s">
        <v>46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AY3">
        <v>1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1</v>
      </c>
      <c r="BJ3">
        <v>1</v>
      </c>
    </row>
    <row r="4" spans="1:93" x14ac:dyDescent="0.25">
      <c r="A4" s="2" t="s">
        <v>47</v>
      </c>
    </row>
    <row r="5" spans="1:93" x14ac:dyDescent="0.25">
      <c r="A5" s="2"/>
    </row>
    <row r="6" spans="1:93" x14ac:dyDescent="0.25">
      <c r="A6" s="2" t="s">
        <v>5</v>
      </c>
      <c r="B6">
        <v>0</v>
      </c>
      <c r="C6">
        <v>0</v>
      </c>
      <c r="D6">
        <v>0</v>
      </c>
      <c r="E6" t="s">
        <v>2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 t="s">
        <v>2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 t="s">
        <v>2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 t="s">
        <v>2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 t="s">
        <v>2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 t="s">
        <v>2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 t="s">
        <v>2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 t="s">
        <v>2</v>
      </c>
      <c r="BI6" t="s">
        <v>2</v>
      </c>
    </row>
    <row r="7" spans="1:93" x14ac:dyDescent="0.25">
      <c r="A7" s="2" t="s">
        <v>48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</row>
    <row r="8" spans="1:93" x14ac:dyDescent="0.25">
      <c r="A8" s="2" t="s">
        <v>49</v>
      </c>
    </row>
    <row r="9" spans="1:93" x14ac:dyDescent="0.25">
      <c r="A9" s="2"/>
    </row>
    <row r="10" spans="1:93" x14ac:dyDescent="0.25">
      <c r="A10" s="2" t="s">
        <v>6</v>
      </c>
      <c r="B10">
        <v>1450</v>
      </c>
      <c r="C10">
        <v>1444</v>
      </c>
      <c r="D10">
        <v>846</v>
      </c>
      <c r="E10" t="s">
        <v>2</v>
      </c>
      <c r="F10">
        <v>586</v>
      </c>
      <c r="G10">
        <v>931</v>
      </c>
      <c r="H10">
        <v>791</v>
      </c>
      <c r="I10">
        <v>701</v>
      </c>
      <c r="J10">
        <v>710</v>
      </c>
      <c r="K10">
        <v>397</v>
      </c>
      <c r="L10" t="s">
        <v>2</v>
      </c>
      <c r="M10">
        <v>796</v>
      </c>
      <c r="N10">
        <v>1017</v>
      </c>
      <c r="O10">
        <v>865</v>
      </c>
      <c r="P10">
        <v>737</v>
      </c>
      <c r="Q10">
        <v>689</v>
      </c>
      <c r="R10">
        <v>582</v>
      </c>
      <c r="S10" t="s">
        <v>2</v>
      </c>
      <c r="T10">
        <v>713</v>
      </c>
      <c r="U10">
        <v>1074</v>
      </c>
      <c r="V10">
        <v>840</v>
      </c>
      <c r="W10">
        <v>876</v>
      </c>
      <c r="X10">
        <v>828</v>
      </c>
      <c r="Y10">
        <v>487</v>
      </c>
      <c r="Z10" t="s">
        <v>2</v>
      </c>
      <c r="AA10">
        <v>945</v>
      </c>
      <c r="AB10">
        <v>989</v>
      </c>
      <c r="AC10">
        <v>1122</v>
      </c>
      <c r="AD10">
        <v>1415</v>
      </c>
      <c r="AE10">
        <v>988</v>
      </c>
      <c r="AF10">
        <v>883</v>
      </c>
      <c r="AG10" t="s">
        <v>2</v>
      </c>
      <c r="AH10">
        <v>1257</v>
      </c>
      <c r="AI10">
        <v>1437</v>
      </c>
      <c r="AJ10">
        <v>1477</v>
      </c>
      <c r="AK10">
        <v>711</v>
      </c>
      <c r="AL10">
        <v>917</v>
      </c>
      <c r="AM10">
        <v>435</v>
      </c>
      <c r="AN10" t="s">
        <v>2</v>
      </c>
      <c r="AO10">
        <v>783</v>
      </c>
      <c r="AP10">
        <v>869</v>
      </c>
      <c r="AQ10">
        <v>1081</v>
      </c>
      <c r="AR10">
        <v>881</v>
      </c>
      <c r="AS10">
        <v>838</v>
      </c>
      <c r="AT10">
        <v>545</v>
      </c>
      <c r="AU10" t="s">
        <v>2</v>
      </c>
      <c r="AV10">
        <v>807</v>
      </c>
      <c r="AW10">
        <v>1082</v>
      </c>
      <c r="AX10">
        <v>1132</v>
      </c>
      <c r="AY10">
        <v>862</v>
      </c>
      <c r="AZ10">
        <v>786</v>
      </c>
      <c r="BB10" t="s">
        <v>2</v>
      </c>
      <c r="BI10" t="s">
        <v>2</v>
      </c>
    </row>
    <row r="11" spans="1:93" x14ac:dyDescent="0.25">
      <c r="A11" s="2" t="s">
        <v>7</v>
      </c>
      <c r="B11">
        <v>1246</v>
      </c>
      <c r="C11">
        <v>969</v>
      </c>
      <c r="D11">
        <v>1131</v>
      </c>
      <c r="E11" t="s">
        <v>2</v>
      </c>
      <c r="F11">
        <v>699</v>
      </c>
      <c r="G11">
        <v>848</v>
      </c>
      <c r="H11">
        <v>831</v>
      </c>
      <c r="I11">
        <v>848</v>
      </c>
      <c r="J11">
        <v>833</v>
      </c>
      <c r="K11">
        <v>761</v>
      </c>
      <c r="L11" t="s">
        <v>2</v>
      </c>
      <c r="M11">
        <v>473</v>
      </c>
      <c r="N11">
        <v>925</v>
      </c>
      <c r="O11">
        <v>1133</v>
      </c>
      <c r="P11">
        <v>883</v>
      </c>
      <c r="Q11">
        <v>899</v>
      </c>
      <c r="R11">
        <v>749</v>
      </c>
      <c r="S11" t="s">
        <v>2</v>
      </c>
      <c r="T11">
        <v>450</v>
      </c>
      <c r="U11">
        <v>652</v>
      </c>
      <c r="V11">
        <v>1160</v>
      </c>
      <c r="W11">
        <v>1262</v>
      </c>
      <c r="X11">
        <v>978</v>
      </c>
      <c r="Y11">
        <v>843</v>
      </c>
      <c r="Z11" t="s">
        <v>2</v>
      </c>
      <c r="AA11">
        <v>499</v>
      </c>
      <c r="AB11">
        <v>892</v>
      </c>
      <c r="AC11">
        <v>1609</v>
      </c>
      <c r="AD11">
        <v>1553</v>
      </c>
      <c r="AE11">
        <v>1569</v>
      </c>
      <c r="AF11">
        <v>1474</v>
      </c>
      <c r="AG11" t="s">
        <v>2</v>
      </c>
      <c r="AH11">
        <v>1483</v>
      </c>
      <c r="AI11">
        <v>1512</v>
      </c>
      <c r="AJ11">
        <v>850</v>
      </c>
      <c r="AK11">
        <v>678</v>
      </c>
      <c r="AL11">
        <v>1037</v>
      </c>
      <c r="AM11">
        <v>765</v>
      </c>
      <c r="AN11" t="s">
        <v>2</v>
      </c>
      <c r="AO11">
        <v>646</v>
      </c>
      <c r="AP11">
        <v>380</v>
      </c>
      <c r="AQ11">
        <v>1087</v>
      </c>
      <c r="AR11">
        <v>1033</v>
      </c>
      <c r="AS11">
        <v>864</v>
      </c>
      <c r="AT11">
        <v>791</v>
      </c>
      <c r="AU11" t="s">
        <v>2</v>
      </c>
      <c r="AV11">
        <v>761</v>
      </c>
      <c r="AW11">
        <v>712</v>
      </c>
      <c r="AX11">
        <v>651</v>
      </c>
      <c r="AY11">
        <v>790</v>
      </c>
      <c r="AZ11">
        <v>1056</v>
      </c>
      <c r="BB11" t="s">
        <v>2</v>
      </c>
      <c r="BI11" t="s">
        <v>2</v>
      </c>
    </row>
    <row r="12" spans="1:93" x14ac:dyDescent="0.25">
      <c r="A12" s="2" t="s">
        <v>50</v>
      </c>
    </row>
    <row r="13" spans="1:93" x14ac:dyDescent="0.25">
      <c r="A13" s="2"/>
    </row>
    <row r="14" spans="1:93" x14ac:dyDescent="0.25">
      <c r="A14" s="2" t="s">
        <v>8</v>
      </c>
      <c r="B14">
        <v>1456</v>
      </c>
      <c r="C14">
        <v>1388</v>
      </c>
      <c r="D14">
        <v>761</v>
      </c>
      <c r="E14" t="s">
        <v>2</v>
      </c>
      <c r="F14">
        <v>551</v>
      </c>
      <c r="G14">
        <v>905</v>
      </c>
      <c r="H14">
        <v>878</v>
      </c>
      <c r="I14">
        <v>723</v>
      </c>
      <c r="J14">
        <v>705</v>
      </c>
      <c r="K14">
        <v>421</v>
      </c>
      <c r="L14" t="s">
        <v>2</v>
      </c>
      <c r="M14">
        <v>795</v>
      </c>
      <c r="N14">
        <v>894</v>
      </c>
      <c r="O14">
        <v>982</v>
      </c>
      <c r="P14">
        <v>784</v>
      </c>
      <c r="Q14">
        <v>647</v>
      </c>
      <c r="R14">
        <v>561</v>
      </c>
      <c r="S14" t="s">
        <v>2</v>
      </c>
      <c r="T14">
        <v>832</v>
      </c>
      <c r="U14">
        <v>1099</v>
      </c>
      <c r="V14">
        <v>870</v>
      </c>
      <c r="W14">
        <v>843</v>
      </c>
      <c r="X14">
        <v>816</v>
      </c>
      <c r="Y14">
        <v>493</v>
      </c>
      <c r="Z14" t="s">
        <v>2</v>
      </c>
      <c r="AA14">
        <v>964</v>
      </c>
      <c r="AB14">
        <v>1079</v>
      </c>
      <c r="AC14">
        <v>1110</v>
      </c>
      <c r="AD14">
        <v>1406</v>
      </c>
      <c r="AE14">
        <v>1011</v>
      </c>
      <c r="AF14">
        <v>883</v>
      </c>
      <c r="AG14" t="s">
        <v>2</v>
      </c>
      <c r="AH14">
        <v>1254</v>
      </c>
      <c r="AI14">
        <v>1397</v>
      </c>
      <c r="AJ14">
        <v>1477</v>
      </c>
      <c r="AK14">
        <v>714</v>
      </c>
      <c r="AL14">
        <v>741</v>
      </c>
      <c r="AM14">
        <v>541</v>
      </c>
      <c r="AN14" t="s">
        <v>2</v>
      </c>
      <c r="AO14">
        <v>852</v>
      </c>
      <c r="AP14">
        <v>884</v>
      </c>
      <c r="AQ14">
        <v>813</v>
      </c>
      <c r="AR14">
        <v>838</v>
      </c>
      <c r="AS14">
        <v>1034</v>
      </c>
      <c r="AT14">
        <v>630</v>
      </c>
      <c r="AU14" t="s">
        <v>2</v>
      </c>
      <c r="AV14">
        <v>758</v>
      </c>
      <c r="AW14">
        <v>1067</v>
      </c>
      <c r="AX14">
        <v>1193</v>
      </c>
      <c r="AY14">
        <v>878</v>
      </c>
      <c r="AZ14">
        <v>679</v>
      </c>
      <c r="BB14" t="s">
        <v>2</v>
      </c>
      <c r="BI14" t="s">
        <v>2</v>
      </c>
    </row>
    <row r="15" spans="1:93" x14ac:dyDescent="0.25">
      <c r="A15" s="2" t="s">
        <v>9</v>
      </c>
      <c r="B15">
        <v>1456</v>
      </c>
      <c r="C15">
        <v>1388</v>
      </c>
      <c r="D15">
        <v>761</v>
      </c>
      <c r="E15" t="s">
        <v>2</v>
      </c>
      <c r="F15">
        <v>551</v>
      </c>
      <c r="G15">
        <v>905</v>
      </c>
      <c r="H15">
        <v>878</v>
      </c>
      <c r="I15">
        <v>723</v>
      </c>
      <c r="J15">
        <v>705</v>
      </c>
      <c r="K15">
        <v>421</v>
      </c>
      <c r="L15" t="s">
        <v>2</v>
      </c>
      <c r="M15">
        <v>795</v>
      </c>
      <c r="N15">
        <v>894</v>
      </c>
      <c r="O15">
        <v>982</v>
      </c>
      <c r="P15">
        <v>784</v>
      </c>
      <c r="Q15">
        <v>647</v>
      </c>
      <c r="R15">
        <v>561</v>
      </c>
      <c r="S15" t="s">
        <v>2</v>
      </c>
      <c r="T15">
        <v>832</v>
      </c>
      <c r="U15">
        <v>1099</v>
      </c>
      <c r="V15">
        <v>870</v>
      </c>
      <c r="W15">
        <v>843</v>
      </c>
      <c r="X15">
        <v>816</v>
      </c>
      <c r="Y15">
        <v>493</v>
      </c>
      <c r="Z15" t="s">
        <v>2</v>
      </c>
      <c r="AA15">
        <v>964</v>
      </c>
      <c r="AB15">
        <v>1079</v>
      </c>
      <c r="AC15">
        <v>1110</v>
      </c>
      <c r="AD15">
        <v>1406</v>
      </c>
      <c r="AE15">
        <v>1011</v>
      </c>
      <c r="AF15">
        <v>883</v>
      </c>
      <c r="AG15" t="s">
        <v>2</v>
      </c>
      <c r="AH15">
        <v>1254</v>
      </c>
      <c r="AI15">
        <v>1397</v>
      </c>
      <c r="AJ15">
        <v>1477</v>
      </c>
      <c r="AK15">
        <v>714</v>
      </c>
      <c r="AL15">
        <v>741</v>
      </c>
      <c r="AM15">
        <v>541</v>
      </c>
      <c r="AN15" t="s">
        <v>2</v>
      </c>
      <c r="AO15">
        <v>852</v>
      </c>
      <c r="AP15">
        <v>884</v>
      </c>
      <c r="AQ15">
        <v>813</v>
      </c>
      <c r="AR15">
        <v>838</v>
      </c>
      <c r="AS15">
        <v>1034</v>
      </c>
      <c r="AT15">
        <v>630</v>
      </c>
      <c r="AU15" t="s">
        <v>2</v>
      </c>
      <c r="AV15">
        <v>758</v>
      </c>
      <c r="AW15">
        <v>1067</v>
      </c>
      <c r="AX15">
        <v>1193</v>
      </c>
      <c r="AY15">
        <v>878</v>
      </c>
      <c r="AZ15">
        <v>679</v>
      </c>
      <c r="BB15" t="s">
        <v>2</v>
      </c>
      <c r="BI15" t="s">
        <v>2</v>
      </c>
    </row>
    <row r="16" spans="1:93" x14ac:dyDescent="0.25">
      <c r="A16" s="2" t="s">
        <v>10</v>
      </c>
      <c r="B16">
        <f t="shared" ref="B16:AT16" si="0">B14/B15</f>
        <v>1</v>
      </c>
      <c r="C16">
        <f t="shared" si="0"/>
        <v>1</v>
      </c>
      <c r="D16">
        <f t="shared" si="0"/>
        <v>1</v>
      </c>
      <c r="E16" t="e">
        <f t="shared" si="0"/>
        <v>#VALUE!</v>
      </c>
      <c r="F16">
        <f t="shared" si="0"/>
        <v>1</v>
      </c>
      <c r="G16">
        <f t="shared" si="0"/>
        <v>1</v>
      </c>
      <c r="H16">
        <f t="shared" si="0"/>
        <v>1</v>
      </c>
      <c r="I16">
        <f t="shared" si="0"/>
        <v>1</v>
      </c>
      <c r="J16">
        <f t="shared" si="0"/>
        <v>1</v>
      </c>
      <c r="K16">
        <f t="shared" si="0"/>
        <v>1</v>
      </c>
      <c r="L16" t="e">
        <f t="shared" si="0"/>
        <v>#VALUE!</v>
      </c>
      <c r="M16">
        <f t="shared" si="0"/>
        <v>1</v>
      </c>
      <c r="N16">
        <f t="shared" si="0"/>
        <v>1</v>
      </c>
      <c r="O16">
        <f t="shared" si="0"/>
        <v>1</v>
      </c>
      <c r="P16">
        <f t="shared" si="0"/>
        <v>1</v>
      </c>
      <c r="Q16">
        <f t="shared" si="0"/>
        <v>1</v>
      </c>
      <c r="R16">
        <f t="shared" si="0"/>
        <v>1</v>
      </c>
      <c r="S16" t="e">
        <f t="shared" si="0"/>
        <v>#VALUE!</v>
      </c>
      <c r="T16">
        <f t="shared" si="0"/>
        <v>1</v>
      </c>
      <c r="U16">
        <f t="shared" si="0"/>
        <v>1</v>
      </c>
      <c r="V16">
        <f t="shared" si="0"/>
        <v>1</v>
      </c>
      <c r="W16">
        <f t="shared" si="0"/>
        <v>1</v>
      </c>
      <c r="X16">
        <f t="shared" si="0"/>
        <v>1</v>
      </c>
      <c r="Y16">
        <f t="shared" si="0"/>
        <v>1</v>
      </c>
      <c r="Z16" t="e">
        <f t="shared" si="0"/>
        <v>#VALUE!</v>
      </c>
      <c r="AA16">
        <f t="shared" si="0"/>
        <v>1</v>
      </c>
      <c r="AB16">
        <f t="shared" si="0"/>
        <v>1</v>
      </c>
      <c r="AC16">
        <f t="shared" si="0"/>
        <v>1</v>
      </c>
      <c r="AD16">
        <f t="shared" si="0"/>
        <v>1</v>
      </c>
      <c r="AE16">
        <f t="shared" si="0"/>
        <v>1</v>
      </c>
      <c r="AF16">
        <f t="shared" si="0"/>
        <v>1</v>
      </c>
      <c r="AG16" t="e">
        <f t="shared" si="0"/>
        <v>#VALUE!</v>
      </c>
      <c r="AH16">
        <f t="shared" si="0"/>
        <v>1</v>
      </c>
      <c r="AI16">
        <f t="shared" si="0"/>
        <v>1</v>
      </c>
      <c r="AJ16">
        <f t="shared" si="0"/>
        <v>1</v>
      </c>
      <c r="AK16">
        <f t="shared" si="0"/>
        <v>1</v>
      </c>
      <c r="AL16">
        <f t="shared" si="0"/>
        <v>1</v>
      </c>
      <c r="AM16">
        <f t="shared" si="0"/>
        <v>1</v>
      </c>
      <c r="AN16" t="e">
        <f t="shared" si="0"/>
        <v>#VALUE!</v>
      </c>
      <c r="AO16">
        <f t="shared" si="0"/>
        <v>1</v>
      </c>
      <c r="AP16">
        <f t="shared" si="0"/>
        <v>1</v>
      </c>
      <c r="AQ16">
        <f t="shared" si="0"/>
        <v>1</v>
      </c>
      <c r="AR16">
        <f t="shared" si="0"/>
        <v>1</v>
      </c>
      <c r="AS16">
        <f t="shared" si="0"/>
        <v>1</v>
      </c>
      <c r="AT16">
        <f t="shared" si="0"/>
        <v>1</v>
      </c>
      <c r="AU16" t="s">
        <v>2</v>
      </c>
      <c r="AV16">
        <f t="shared" ref="AV16:BH16" si="1">AV14/AV15</f>
        <v>1</v>
      </c>
      <c r="AW16">
        <f t="shared" si="1"/>
        <v>1</v>
      </c>
      <c r="AX16">
        <f t="shared" si="1"/>
        <v>1</v>
      </c>
      <c r="AY16">
        <f t="shared" si="1"/>
        <v>1</v>
      </c>
      <c r="AZ16">
        <f t="shared" si="1"/>
        <v>1</v>
      </c>
      <c r="BA16" t="e">
        <f t="shared" si="1"/>
        <v>#DIV/0!</v>
      </c>
      <c r="BB16" t="e">
        <f t="shared" si="1"/>
        <v>#VALUE!</v>
      </c>
      <c r="BC16" t="e">
        <f t="shared" si="1"/>
        <v>#DIV/0!</v>
      </c>
      <c r="BD16" t="e">
        <f t="shared" si="1"/>
        <v>#DIV/0!</v>
      </c>
      <c r="BE16" t="e">
        <f t="shared" si="1"/>
        <v>#DIV/0!</v>
      </c>
      <c r="BF16" t="e">
        <f t="shared" si="1"/>
        <v>#DIV/0!</v>
      </c>
      <c r="BG16" t="e">
        <f t="shared" si="1"/>
        <v>#DIV/0!</v>
      </c>
      <c r="BH16" t="e">
        <f t="shared" si="1"/>
        <v>#DIV/0!</v>
      </c>
      <c r="BI16" t="s">
        <v>2</v>
      </c>
      <c r="BJ16" t="e">
        <f>BJ14/BJ15</f>
        <v>#DIV/0!</v>
      </c>
    </row>
    <row r="17" spans="1:62" x14ac:dyDescent="0.25">
      <c r="A17" s="2" t="s">
        <v>51</v>
      </c>
      <c r="B17">
        <v>0.995</v>
      </c>
      <c r="C17">
        <v>0.995</v>
      </c>
      <c r="D17">
        <v>0.995</v>
      </c>
      <c r="E17">
        <v>0.995</v>
      </c>
      <c r="F17">
        <v>0.995</v>
      </c>
      <c r="G17">
        <v>0.995</v>
      </c>
      <c r="H17">
        <v>0.995</v>
      </c>
      <c r="I17">
        <v>0.995</v>
      </c>
      <c r="J17">
        <v>0.995</v>
      </c>
      <c r="K17">
        <v>0.995</v>
      </c>
      <c r="L17">
        <v>0.995</v>
      </c>
      <c r="M17">
        <v>0.995</v>
      </c>
      <c r="N17">
        <v>0.995</v>
      </c>
      <c r="O17">
        <v>0.995</v>
      </c>
      <c r="P17">
        <v>0.995</v>
      </c>
      <c r="Q17">
        <v>0.995</v>
      </c>
      <c r="R17">
        <v>0.995</v>
      </c>
      <c r="S17">
        <v>0.995</v>
      </c>
      <c r="T17">
        <v>0.995</v>
      </c>
      <c r="U17">
        <v>0.995</v>
      </c>
      <c r="V17">
        <v>0.995</v>
      </c>
      <c r="W17">
        <v>0.995</v>
      </c>
      <c r="X17">
        <v>0.995</v>
      </c>
      <c r="Y17">
        <v>0.995</v>
      </c>
      <c r="Z17">
        <v>0.995</v>
      </c>
      <c r="AA17">
        <v>0.995</v>
      </c>
      <c r="AB17">
        <v>0.995</v>
      </c>
      <c r="AC17">
        <v>0.995</v>
      </c>
      <c r="AD17">
        <v>0.995</v>
      </c>
      <c r="AE17">
        <v>0.995</v>
      </c>
      <c r="AF17">
        <v>0.995</v>
      </c>
      <c r="AG17">
        <v>0.995</v>
      </c>
      <c r="AH17">
        <v>0.995</v>
      </c>
      <c r="AI17">
        <v>0.995</v>
      </c>
      <c r="AJ17">
        <v>0.995</v>
      </c>
      <c r="AK17">
        <v>0.995</v>
      </c>
      <c r="AL17">
        <v>0.995</v>
      </c>
      <c r="AM17">
        <v>0.995</v>
      </c>
      <c r="AN17">
        <v>0.995</v>
      </c>
      <c r="AO17">
        <v>0.995</v>
      </c>
      <c r="AP17">
        <v>0.995</v>
      </c>
      <c r="AQ17">
        <v>0.995</v>
      </c>
      <c r="AR17">
        <v>0.995</v>
      </c>
      <c r="AS17">
        <v>0.995</v>
      </c>
      <c r="AT17">
        <v>0.995</v>
      </c>
      <c r="AU17">
        <v>0.995</v>
      </c>
      <c r="AV17">
        <v>0.995</v>
      </c>
      <c r="AW17">
        <v>0.995</v>
      </c>
      <c r="AX17">
        <v>0.995</v>
      </c>
      <c r="AY17">
        <v>0.995</v>
      </c>
      <c r="AZ17">
        <v>0.995</v>
      </c>
      <c r="BA17">
        <v>0.995</v>
      </c>
      <c r="BB17">
        <v>0.995</v>
      </c>
      <c r="BC17">
        <v>0.995</v>
      </c>
      <c r="BD17">
        <v>0.995</v>
      </c>
      <c r="BE17">
        <v>0.995</v>
      </c>
      <c r="BF17">
        <v>0.995</v>
      </c>
      <c r="BG17">
        <v>0.995</v>
      </c>
      <c r="BH17">
        <v>0.995</v>
      </c>
      <c r="BI17">
        <v>0.995</v>
      </c>
      <c r="BJ17">
        <v>0.995</v>
      </c>
    </row>
    <row r="18" spans="1:62" x14ac:dyDescent="0.25">
      <c r="A18" s="2" t="s">
        <v>52</v>
      </c>
    </row>
    <row r="19" spans="1:62" x14ac:dyDescent="0.25">
      <c r="A19" s="2"/>
    </row>
    <row r="20" spans="1:62" x14ac:dyDescent="0.25">
      <c r="A20" s="2" t="s">
        <v>11</v>
      </c>
      <c r="B20">
        <v>594</v>
      </c>
      <c r="C20">
        <v>561</v>
      </c>
      <c r="D20">
        <v>556</v>
      </c>
      <c r="E20" t="s">
        <v>2</v>
      </c>
      <c r="F20">
        <v>457</v>
      </c>
      <c r="G20">
        <v>580</v>
      </c>
      <c r="H20">
        <v>615</v>
      </c>
      <c r="I20">
        <v>456</v>
      </c>
      <c r="J20">
        <v>581</v>
      </c>
      <c r="K20">
        <v>461</v>
      </c>
      <c r="L20" t="s">
        <v>2</v>
      </c>
      <c r="M20">
        <v>468</v>
      </c>
      <c r="N20">
        <v>510</v>
      </c>
      <c r="O20">
        <v>548</v>
      </c>
      <c r="P20">
        <v>674</v>
      </c>
      <c r="Q20">
        <v>2704</v>
      </c>
      <c r="R20">
        <v>551</v>
      </c>
      <c r="S20" t="s">
        <v>2</v>
      </c>
      <c r="T20">
        <v>413</v>
      </c>
      <c r="U20">
        <v>417</v>
      </c>
      <c r="V20">
        <v>530</v>
      </c>
      <c r="W20">
        <v>764</v>
      </c>
      <c r="X20">
        <v>484</v>
      </c>
      <c r="Y20">
        <v>451</v>
      </c>
      <c r="Z20" t="s">
        <v>2</v>
      </c>
      <c r="AA20">
        <v>535</v>
      </c>
      <c r="AB20">
        <v>487</v>
      </c>
      <c r="AC20">
        <v>595</v>
      </c>
      <c r="AD20">
        <v>514</v>
      </c>
      <c r="AE20">
        <v>462</v>
      </c>
      <c r="AF20">
        <v>450</v>
      </c>
      <c r="AG20" t="s">
        <v>2</v>
      </c>
      <c r="AH20">
        <v>399</v>
      </c>
      <c r="AI20">
        <v>447</v>
      </c>
      <c r="AJ20">
        <v>632</v>
      </c>
      <c r="AK20">
        <v>441</v>
      </c>
      <c r="AL20">
        <v>414</v>
      </c>
      <c r="AM20">
        <v>416</v>
      </c>
      <c r="AN20" t="s">
        <v>2</v>
      </c>
      <c r="AO20">
        <v>399</v>
      </c>
      <c r="AP20">
        <v>447</v>
      </c>
      <c r="AQ20">
        <v>632</v>
      </c>
      <c r="AR20">
        <v>441</v>
      </c>
      <c r="AS20">
        <v>414</v>
      </c>
      <c r="AT20">
        <v>416</v>
      </c>
      <c r="AU20" t="s">
        <v>2</v>
      </c>
      <c r="AV20">
        <v>630</v>
      </c>
      <c r="AW20">
        <v>524</v>
      </c>
      <c r="AX20">
        <v>441</v>
      </c>
      <c r="AY20">
        <v>545</v>
      </c>
      <c r="AZ20">
        <v>345</v>
      </c>
      <c r="BB20" t="s">
        <v>2</v>
      </c>
      <c r="BI20" t="s">
        <v>2</v>
      </c>
    </row>
    <row r="21" spans="1:62" x14ac:dyDescent="0.25">
      <c r="A21" s="2" t="s">
        <v>12</v>
      </c>
      <c r="B21">
        <v>594</v>
      </c>
      <c r="C21">
        <v>561</v>
      </c>
      <c r="D21">
        <v>556</v>
      </c>
      <c r="E21" t="s">
        <v>2</v>
      </c>
      <c r="F21">
        <v>458</v>
      </c>
      <c r="G21">
        <v>580</v>
      </c>
      <c r="H21">
        <v>618</v>
      </c>
      <c r="I21">
        <v>456</v>
      </c>
      <c r="J21">
        <v>582</v>
      </c>
      <c r="K21">
        <v>461</v>
      </c>
      <c r="L21" t="s">
        <v>2</v>
      </c>
      <c r="M21">
        <v>470</v>
      </c>
      <c r="N21">
        <v>512</v>
      </c>
      <c r="O21">
        <v>548</v>
      </c>
      <c r="P21">
        <v>674</v>
      </c>
      <c r="Q21">
        <v>2704</v>
      </c>
      <c r="R21">
        <v>551</v>
      </c>
      <c r="S21" t="s">
        <v>2</v>
      </c>
      <c r="T21">
        <v>413</v>
      </c>
      <c r="U21">
        <v>417</v>
      </c>
      <c r="V21">
        <v>530</v>
      </c>
      <c r="W21">
        <v>765</v>
      </c>
      <c r="X21">
        <v>485</v>
      </c>
      <c r="Y21">
        <v>451</v>
      </c>
      <c r="Z21" t="s">
        <v>2</v>
      </c>
      <c r="AA21">
        <v>535</v>
      </c>
      <c r="AB21">
        <v>487</v>
      </c>
      <c r="AC21">
        <v>595</v>
      </c>
      <c r="AD21">
        <v>514</v>
      </c>
      <c r="AE21">
        <v>462</v>
      </c>
      <c r="AF21">
        <v>450</v>
      </c>
      <c r="AG21" t="s">
        <v>2</v>
      </c>
      <c r="AH21">
        <v>399</v>
      </c>
      <c r="AI21">
        <v>447</v>
      </c>
      <c r="AJ21">
        <v>632</v>
      </c>
      <c r="AK21">
        <v>441</v>
      </c>
      <c r="AL21">
        <v>414</v>
      </c>
      <c r="AM21">
        <v>416</v>
      </c>
      <c r="AN21" t="s">
        <v>2</v>
      </c>
      <c r="AO21">
        <v>399</v>
      </c>
      <c r="AP21">
        <v>447</v>
      </c>
      <c r="AQ21">
        <v>632</v>
      </c>
      <c r="AR21">
        <v>441</v>
      </c>
      <c r="AS21">
        <v>414</v>
      </c>
      <c r="AT21">
        <v>416</v>
      </c>
      <c r="AU21" t="s">
        <v>2</v>
      </c>
      <c r="AV21">
        <v>630</v>
      </c>
      <c r="AW21">
        <v>524</v>
      </c>
      <c r="AX21">
        <v>441</v>
      </c>
      <c r="AY21">
        <v>545</v>
      </c>
      <c r="AZ21">
        <v>345</v>
      </c>
      <c r="BB21" t="s">
        <v>2</v>
      </c>
      <c r="BI21" t="s">
        <v>2</v>
      </c>
    </row>
    <row r="22" spans="1:62" x14ac:dyDescent="0.25">
      <c r="A22" s="2" t="s">
        <v>13</v>
      </c>
      <c r="B22">
        <f t="shared" ref="B22:AG22" si="2">B20/B21</f>
        <v>1</v>
      </c>
      <c r="C22">
        <f t="shared" si="2"/>
        <v>1</v>
      </c>
      <c r="D22">
        <f t="shared" si="2"/>
        <v>1</v>
      </c>
      <c r="E22" t="e">
        <f t="shared" si="2"/>
        <v>#VALUE!</v>
      </c>
      <c r="F22">
        <f t="shared" si="2"/>
        <v>0.99781659388646293</v>
      </c>
      <c r="G22">
        <f t="shared" si="2"/>
        <v>1</v>
      </c>
      <c r="H22">
        <f t="shared" si="2"/>
        <v>0.99514563106796117</v>
      </c>
      <c r="I22">
        <f t="shared" si="2"/>
        <v>1</v>
      </c>
      <c r="J22">
        <f t="shared" si="2"/>
        <v>0.99828178694158076</v>
      </c>
      <c r="K22">
        <f t="shared" si="2"/>
        <v>1</v>
      </c>
      <c r="L22" t="e">
        <f t="shared" si="2"/>
        <v>#VALUE!</v>
      </c>
      <c r="M22">
        <f t="shared" si="2"/>
        <v>0.99574468085106382</v>
      </c>
      <c r="N22">
        <f t="shared" si="2"/>
        <v>0.99609375</v>
      </c>
      <c r="O22">
        <f t="shared" si="2"/>
        <v>1</v>
      </c>
      <c r="P22">
        <f t="shared" si="2"/>
        <v>1</v>
      </c>
      <c r="Q22">
        <f t="shared" si="2"/>
        <v>1</v>
      </c>
      <c r="R22">
        <f t="shared" si="2"/>
        <v>1</v>
      </c>
      <c r="S22" t="e">
        <f t="shared" si="2"/>
        <v>#VALUE!</v>
      </c>
      <c r="T22">
        <f t="shared" si="2"/>
        <v>1</v>
      </c>
      <c r="U22">
        <f t="shared" si="2"/>
        <v>1</v>
      </c>
      <c r="V22">
        <f t="shared" si="2"/>
        <v>1</v>
      </c>
      <c r="W22">
        <f t="shared" si="2"/>
        <v>0.99869281045751634</v>
      </c>
      <c r="X22">
        <f t="shared" si="2"/>
        <v>0.99793814432989691</v>
      </c>
      <c r="Y22">
        <f t="shared" si="2"/>
        <v>1</v>
      </c>
      <c r="Z22" t="e">
        <f t="shared" si="2"/>
        <v>#VALUE!</v>
      </c>
      <c r="AA22">
        <f t="shared" si="2"/>
        <v>1</v>
      </c>
      <c r="AB22">
        <f t="shared" si="2"/>
        <v>1</v>
      </c>
      <c r="AC22">
        <f t="shared" si="2"/>
        <v>1</v>
      </c>
      <c r="AD22">
        <f t="shared" si="2"/>
        <v>1</v>
      </c>
      <c r="AE22">
        <f t="shared" si="2"/>
        <v>1</v>
      </c>
      <c r="AF22">
        <f t="shared" si="2"/>
        <v>1</v>
      </c>
      <c r="AG22" t="e">
        <f t="shared" si="2"/>
        <v>#VALUE!</v>
      </c>
      <c r="AH22">
        <f t="shared" ref="AH22:BJ22" si="3">AH20/AH21</f>
        <v>1</v>
      </c>
      <c r="AI22">
        <f t="shared" si="3"/>
        <v>1</v>
      </c>
      <c r="AJ22">
        <f t="shared" si="3"/>
        <v>1</v>
      </c>
      <c r="AK22">
        <f t="shared" si="3"/>
        <v>1</v>
      </c>
      <c r="AL22">
        <f t="shared" si="3"/>
        <v>1</v>
      </c>
      <c r="AM22">
        <f t="shared" si="3"/>
        <v>1</v>
      </c>
      <c r="AN22" t="e">
        <f t="shared" si="3"/>
        <v>#VALUE!</v>
      </c>
      <c r="AO22">
        <f t="shared" si="3"/>
        <v>1</v>
      </c>
      <c r="AP22">
        <f t="shared" si="3"/>
        <v>1</v>
      </c>
      <c r="AQ22">
        <f t="shared" si="3"/>
        <v>1</v>
      </c>
      <c r="AR22">
        <f t="shared" si="3"/>
        <v>1</v>
      </c>
      <c r="AS22">
        <f t="shared" si="3"/>
        <v>1</v>
      </c>
      <c r="AT22">
        <f t="shared" si="3"/>
        <v>1</v>
      </c>
      <c r="AU22" t="e">
        <f t="shared" si="3"/>
        <v>#VALUE!</v>
      </c>
      <c r="AV22">
        <f t="shared" si="3"/>
        <v>1</v>
      </c>
      <c r="AW22">
        <f t="shared" si="3"/>
        <v>1</v>
      </c>
      <c r="AX22">
        <f t="shared" si="3"/>
        <v>1</v>
      </c>
      <c r="AY22">
        <f t="shared" si="3"/>
        <v>1</v>
      </c>
      <c r="AZ22">
        <f t="shared" si="3"/>
        <v>1</v>
      </c>
      <c r="BA22" t="e">
        <f t="shared" si="3"/>
        <v>#DIV/0!</v>
      </c>
      <c r="BB22" t="e">
        <f t="shared" si="3"/>
        <v>#VALUE!</v>
      </c>
      <c r="BC22" t="e">
        <f t="shared" si="3"/>
        <v>#DIV/0!</v>
      </c>
      <c r="BD22" t="e">
        <f t="shared" si="3"/>
        <v>#DIV/0!</v>
      </c>
      <c r="BE22" t="e">
        <f t="shared" si="3"/>
        <v>#DIV/0!</v>
      </c>
      <c r="BF22" t="e">
        <f t="shared" si="3"/>
        <v>#DIV/0!</v>
      </c>
      <c r="BG22" t="e">
        <f t="shared" si="3"/>
        <v>#DIV/0!</v>
      </c>
      <c r="BH22" t="e">
        <f t="shared" si="3"/>
        <v>#DIV/0!</v>
      </c>
      <c r="BI22" t="e">
        <f t="shared" si="3"/>
        <v>#VALUE!</v>
      </c>
      <c r="BJ22" t="e">
        <f t="shared" si="3"/>
        <v>#DIV/0!</v>
      </c>
    </row>
    <row r="23" spans="1:62" x14ac:dyDescent="0.25">
      <c r="A23" s="2" t="s">
        <v>53</v>
      </c>
      <c r="B23">
        <v>0.997</v>
      </c>
      <c r="C23">
        <v>0.997</v>
      </c>
      <c r="D23">
        <v>0.997</v>
      </c>
      <c r="E23">
        <v>0.997</v>
      </c>
      <c r="F23">
        <v>0.997</v>
      </c>
      <c r="G23">
        <v>0.997</v>
      </c>
      <c r="H23">
        <v>0.997</v>
      </c>
      <c r="I23">
        <v>0.997</v>
      </c>
      <c r="J23">
        <v>0.997</v>
      </c>
      <c r="K23">
        <v>0.997</v>
      </c>
      <c r="L23">
        <v>0.997</v>
      </c>
      <c r="M23">
        <v>0.997</v>
      </c>
      <c r="N23">
        <v>0.997</v>
      </c>
      <c r="O23">
        <v>0.997</v>
      </c>
      <c r="P23">
        <v>0.997</v>
      </c>
      <c r="Q23">
        <v>0.997</v>
      </c>
      <c r="R23">
        <v>0.997</v>
      </c>
      <c r="S23">
        <v>0.997</v>
      </c>
      <c r="T23">
        <v>0.997</v>
      </c>
      <c r="U23">
        <v>0.997</v>
      </c>
      <c r="V23">
        <v>0.997</v>
      </c>
      <c r="W23">
        <v>0.997</v>
      </c>
      <c r="X23">
        <v>0.997</v>
      </c>
      <c r="Y23">
        <v>0.997</v>
      </c>
      <c r="Z23">
        <v>0.997</v>
      </c>
      <c r="AA23">
        <v>0.997</v>
      </c>
      <c r="AB23">
        <v>0.997</v>
      </c>
      <c r="AC23">
        <v>0.997</v>
      </c>
      <c r="AD23">
        <v>0.997</v>
      </c>
      <c r="AE23">
        <v>0.997</v>
      </c>
      <c r="AF23">
        <v>0.997</v>
      </c>
      <c r="AG23">
        <v>0.997</v>
      </c>
      <c r="AH23">
        <v>0.997</v>
      </c>
      <c r="AI23">
        <v>0.997</v>
      </c>
      <c r="AJ23">
        <v>0.997</v>
      </c>
      <c r="AK23">
        <v>0.997</v>
      </c>
      <c r="AL23">
        <v>0.997</v>
      </c>
      <c r="AM23">
        <v>0.997</v>
      </c>
      <c r="AN23">
        <v>0.997</v>
      </c>
      <c r="AO23">
        <v>0.997</v>
      </c>
      <c r="AP23">
        <v>0.997</v>
      </c>
      <c r="AQ23">
        <v>0.997</v>
      </c>
      <c r="AR23">
        <v>0.997</v>
      </c>
      <c r="AS23">
        <v>0.997</v>
      </c>
      <c r="AT23">
        <v>0.997</v>
      </c>
      <c r="AU23">
        <v>0.997</v>
      </c>
      <c r="AV23">
        <v>0.997</v>
      </c>
      <c r="AW23">
        <v>0.997</v>
      </c>
      <c r="AX23">
        <v>0.997</v>
      </c>
      <c r="AY23">
        <v>0.997</v>
      </c>
      <c r="AZ23">
        <v>0.997</v>
      </c>
      <c r="BA23">
        <v>0.997</v>
      </c>
      <c r="BB23">
        <v>0.997</v>
      </c>
      <c r="BC23">
        <v>0.997</v>
      </c>
      <c r="BD23">
        <v>0.997</v>
      </c>
      <c r="BE23">
        <v>0.997</v>
      </c>
      <c r="BF23">
        <v>0.997</v>
      </c>
      <c r="BG23">
        <v>0.997</v>
      </c>
      <c r="BH23">
        <v>0.997</v>
      </c>
      <c r="BI23">
        <v>0.997</v>
      </c>
      <c r="BJ23">
        <v>0.997</v>
      </c>
    </row>
    <row r="24" spans="1:62" x14ac:dyDescent="0.25">
      <c r="A24" s="2" t="s">
        <v>54</v>
      </c>
    </row>
    <row r="25" spans="1:62" x14ac:dyDescent="0.25">
      <c r="A25" s="2"/>
    </row>
    <row r="26" spans="1:62" x14ac:dyDescent="0.25">
      <c r="A26" s="2" t="s">
        <v>14</v>
      </c>
      <c r="B26">
        <v>184</v>
      </c>
      <c r="C26">
        <v>200</v>
      </c>
      <c r="D26">
        <v>228</v>
      </c>
      <c r="E26" t="s">
        <v>2</v>
      </c>
      <c r="F26">
        <v>252</v>
      </c>
      <c r="G26">
        <v>316</v>
      </c>
      <c r="H26">
        <v>232</v>
      </c>
      <c r="I26">
        <v>190</v>
      </c>
      <c r="J26">
        <v>296</v>
      </c>
      <c r="K26">
        <v>175</v>
      </c>
      <c r="L26" t="s">
        <v>2</v>
      </c>
      <c r="M26">
        <v>224</v>
      </c>
      <c r="N26">
        <v>234</v>
      </c>
      <c r="O26">
        <v>248</v>
      </c>
      <c r="P26">
        <v>166</v>
      </c>
      <c r="Q26">
        <v>228</v>
      </c>
      <c r="R26">
        <v>198</v>
      </c>
      <c r="S26" t="s">
        <v>2</v>
      </c>
      <c r="T26">
        <v>196</v>
      </c>
      <c r="U26">
        <v>184</v>
      </c>
      <c r="V26">
        <v>195</v>
      </c>
      <c r="W26">
        <v>208</v>
      </c>
      <c r="X26">
        <v>180</v>
      </c>
      <c r="Y26">
        <v>152</v>
      </c>
      <c r="Z26" t="s">
        <v>2</v>
      </c>
      <c r="AA26">
        <v>108</v>
      </c>
      <c r="AB26">
        <v>188</v>
      </c>
      <c r="AC26">
        <v>168</v>
      </c>
      <c r="AD26">
        <v>168</v>
      </c>
      <c r="AE26">
        <v>184</v>
      </c>
      <c r="AF26">
        <v>216</v>
      </c>
      <c r="AG26" t="s">
        <v>2</v>
      </c>
      <c r="AH26">
        <v>171</v>
      </c>
      <c r="AI26">
        <v>184</v>
      </c>
      <c r="AJ26">
        <v>200</v>
      </c>
      <c r="AK26">
        <v>200</v>
      </c>
      <c r="AL26">
        <v>208</v>
      </c>
      <c r="AM26">
        <v>216</v>
      </c>
      <c r="AN26" t="s">
        <v>2</v>
      </c>
      <c r="AO26">
        <v>232</v>
      </c>
      <c r="AP26">
        <v>232</v>
      </c>
      <c r="AQ26">
        <v>228</v>
      </c>
      <c r="AR26">
        <v>208</v>
      </c>
      <c r="AS26">
        <v>248</v>
      </c>
      <c r="AT26">
        <v>216</v>
      </c>
      <c r="AU26" t="s">
        <v>2</v>
      </c>
      <c r="AV26">
        <v>240</v>
      </c>
      <c r="AW26">
        <v>280</v>
      </c>
      <c r="AX26">
        <v>288</v>
      </c>
      <c r="AY26">
        <v>304</v>
      </c>
      <c r="AZ26">
        <v>320</v>
      </c>
      <c r="BB26" t="s">
        <v>2</v>
      </c>
      <c r="BI26" t="s">
        <v>2</v>
      </c>
    </row>
    <row r="27" spans="1:62" x14ac:dyDescent="0.25">
      <c r="A27" s="2" t="s">
        <v>15</v>
      </c>
      <c r="B27">
        <v>197</v>
      </c>
      <c r="C27">
        <v>233</v>
      </c>
      <c r="D27">
        <v>256</v>
      </c>
      <c r="E27" t="s">
        <v>2</v>
      </c>
      <c r="F27">
        <v>228</v>
      </c>
      <c r="G27">
        <v>236</v>
      </c>
      <c r="H27">
        <v>240</v>
      </c>
      <c r="I27">
        <v>236</v>
      </c>
      <c r="J27">
        <v>212</v>
      </c>
      <c r="K27">
        <v>216</v>
      </c>
      <c r="L27" t="s">
        <v>2</v>
      </c>
      <c r="M27">
        <v>232</v>
      </c>
      <c r="N27">
        <v>240</v>
      </c>
      <c r="O27">
        <v>216</v>
      </c>
      <c r="P27">
        <v>224</v>
      </c>
      <c r="Q27">
        <v>220</v>
      </c>
      <c r="R27">
        <v>164</v>
      </c>
      <c r="S27" t="s">
        <v>2</v>
      </c>
      <c r="T27">
        <v>216</v>
      </c>
      <c r="U27">
        <v>240</v>
      </c>
      <c r="V27">
        <v>224</v>
      </c>
      <c r="W27">
        <v>220</v>
      </c>
      <c r="X27">
        <v>216</v>
      </c>
      <c r="Y27">
        <v>200</v>
      </c>
      <c r="Z27" t="s">
        <v>2</v>
      </c>
      <c r="AA27">
        <v>216</v>
      </c>
      <c r="AB27">
        <v>240</v>
      </c>
      <c r="AC27">
        <v>216</v>
      </c>
      <c r="AD27">
        <v>232</v>
      </c>
      <c r="AE27">
        <v>228</v>
      </c>
      <c r="AF27">
        <v>240</v>
      </c>
      <c r="AG27" t="s">
        <v>2</v>
      </c>
      <c r="AH27">
        <v>232</v>
      </c>
      <c r="AI27">
        <v>249</v>
      </c>
      <c r="AJ27">
        <v>248</v>
      </c>
      <c r="AK27">
        <v>240</v>
      </c>
      <c r="AL27">
        <v>200</v>
      </c>
      <c r="AM27">
        <v>176</v>
      </c>
      <c r="AN27" t="s">
        <v>2</v>
      </c>
      <c r="AO27">
        <v>192</v>
      </c>
      <c r="AP27">
        <v>198</v>
      </c>
      <c r="AQ27">
        <v>192</v>
      </c>
      <c r="AR27">
        <v>200</v>
      </c>
      <c r="AS27">
        <v>192</v>
      </c>
      <c r="AT27">
        <v>188</v>
      </c>
      <c r="AU27" t="s">
        <v>2</v>
      </c>
      <c r="AV27">
        <v>192</v>
      </c>
      <c r="AW27">
        <v>204</v>
      </c>
      <c r="AX27">
        <v>196</v>
      </c>
      <c r="AY27">
        <v>208</v>
      </c>
      <c r="AZ27">
        <v>192</v>
      </c>
      <c r="BB27" t="s">
        <v>2</v>
      </c>
      <c r="BI27" t="s">
        <v>2</v>
      </c>
    </row>
    <row r="28" spans="1:62" x14ac:dyDescent="0.25">
      <c r="A28" s="2" t="s">
        <v>16</v>
      </c>
      <c r="B28">
        <v>31</v>
      </c>
      <c r="C28">
        <v>39</v>
      </c>
      <c r="D28">
        <v>0</v>
      </c>
      <c r="E28" t="s">
        <v>2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 t="s">
        <v>2</v>
      </c>
      <c r="M28">
        <v>4</v>
      </c>
      <c r="N28">
        <v>35</v>
      </c>
      <c r="O28">
        <v>0</v>
      </c>
      <c r="P28">
        <v>0</v>
      </c>
      <c r="Q28">
        <v>24</v>
      </c>
      <c r="R28">
        <v>0</v>
      </c>
      <c r="S28" t="s">
        <v>2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 t="s">
        <v>2</v>
      </c>
      <c r="AA28">
        <v>0</v>
      </c>
      <c r="AB28">
        <v>10</v>
      </c>
      <c r="AC28">
        <v>0</v>
      </c>
      <c r="AD28">
        <v>27</v>
      </c>
      <c r="AE28">
        <v>24</v>
      </c>
      <c r="AF28">
        <v>0</v>
      </c>
      <c r="AG28" t="s">
        <v>2</v>
      </c>
      <c r="AH28">
        <v>30.5</v>
      </c>
      <c r="AI28">
        <v>24</v>
      </c>
      <c r="AJ28">
        <v>0</v>
      </c>
      <c r="AK28">
        <v>0</v>
      </c>
      <c r="AL28">
        <v>27</v>
      </c>
      <c r="AM28">
        <v>0</v>
      </c>
      <c r="AN28" t="s">
        <v>2</v>
      </c>
      <c r="AO28">
        <v>0</v>
      </c>
      <c r="AP28">
        <v>0</v>
      </c>
      <c r="AQ28">
        <v>15</v>
      </c>
      <c r="AR28">
        <v>0</v>
      </c>
      <c r="AS28">
        <v>88</v>
      </c>
      <c r="AT28">
        <v>0</v>
      </c>
      <c r="AU28" t="s">
        <v>2</v>
      </c>
      <c r="AV28">
        <v>0</v>
      </c>
      <c r="AW28">
        <v>37.5</v>
      </c>
      <c r="AX28">
        <v>24.5</v>
      </c>
      <c r="AY28">
        <v>21</v>
      </c>
      <c r="AZ28">
        <v>41</v>
      </c>
      <c r="BB28" t="s">
        <v>2</v>
      </c>
      <c r="BI28" t="s">
        <v>2</v>
      </c>
    </row>
    <row r="29" spans="1:62" x14ac:dyDescent="0.25">
      <c r="A29" s="2" t="s">
        <v>17</v>
      </c>
      <c r="B29">
        <v>28</v>
      </c>
      <c r="C29">
        <v>36</v>
      </c>
      <c r="D29">
        <v>0</v>
      </c>
      <c r="E29" t="s">
        <v>2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 t="s">
        <v>2</v>
      </c>
      <c r="M29">
        <v>0</v>
      </c>
      <c r="N29">
        <v>23</v>
      </c>
      <c r="O29">
        <v>0</v>
      </c>
      <c r="P29">
        <v>0</v>
      </c>
      <c r="Q29">
        <v>0</v>
      </c>
      <c r="R29">
        <v>0</v>
      </c>
      <c r="S29" t="s">
        <v>2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 t="s">
        <v>2</v>
      </c>
      <c r="AA29">
        <v>0</v>
      </c>
      <c r="AB29">
        <v>0</v>
      </c>
      <c r="AC29">
        <v>0</v>
      </c>
      <c r="AD29">
        <v>18</v>
      </c>
      <c r="AE29">
        <v>0</v>
      </c>
      <c r="AF29">
        <v>0</v>
      </c>
      <c r="AG29" t="s">
        <v>2</v>
      </c>
      <c r="AH29">
        <v>18</v>
      </c>
      <c r="AI29">
        <v>26</v>
      </c>
      <c r="AJ29">
        <v>0</v>
      </c>
      <c r="AK29">
        <v>0</v>
      </c>
      <c r="AL29">
        <v>3</v>
      </c>
      <c r="AM29">
        <v>0</v>
      </c>
      <c r="AN29" t="s">
        <v>2</v>
      </c>
      <c r="AO29">
        <v>0</v>
      </c>
      <c r="AP29">
        <v>0</v>
      </c>
      <c r="AQ29">
        <v>12</v>
      </c>
      <c r="AR29">
        <v>0</v>
      </c>
      <c r="AS29">
        <v>6</v>
      </c>
      <c r="AT29">
        <v>0</v>
      </c>
      <c r="AU29" t="s">
        <v>2</v>
      </c>
      <c r="AV29">
        <v>0</v>
      </c>
      <c r="AW29">
        <v>39</v>
      </c>
      <c r="AX29">
        <v>21</v>
      </c>
      <c r="AY29">
        <v>48</v>
      </c>
      <c r="AZ29">
        <v>32</v>
      </c>
      <c r="BB29" t="s">
        <v>2</v>
      </c>
      <c r="BI29" t="s">
        <v>2</v>
      </c>
    </row>
    <row r="30" spans="1:62" x14ac:dyDescent="0.25">
      <c r="A30" s="2" t="s">
        <v>18</v>
      </c>
      <c r="B30">
        <f t="shared" ref="B30:AG30" si="4">SUM(B28:B29)/SUM(B26:B29)</f>
        <v>0.13409090909090909</v>
      </c>
      <c r="C30">
        <f t="shared" si="4"/>
        <v>0.14763779527559054</v>
      </c>
      <c r="D30">
        <f t="shared" si="4"/>
        <v>0</v>
      </c>
      <c r="E30" t="e">
        <f t="shared" si="4"/>
        <v>#DIV/0!</v>
      </c>
      <c r="F30">
        <f t="shared" si="4"/>
        <v>0</v>
      </c>
      <c r="G30">
        <f t="shared" si="4"/>
        <v>0</v>
      </c>
      <c r="H30">
        <f t="shared" si="4"/>
        <v>0</v>
      </c>
      <c r="I30">
        <f t="shared" si="4"/>
        <v>0</v>
      </c>
      <c r="J30">
        <f t="shared" si="4"/>
        <v>0</v>
      </c>
      <c r="K30">
        <f t="shared" si="4"/>
        <v>0</v>
      </c>
      <c r="L30" t="e">
        <f t="shared" si="4"/>
        <v>#DIV/0!</v>
      </c>
      <c r="M30">
        <f t="shared" si="4"/>
        <v>8.6956521739130436E-3</v>
      </c>
      <c r="N30">
        <f t="shared" si="4"/>
        <v>0.10902255639097744</v>
      </c>
      <c r="O30">
        <f t="shared" si="4"/>
        <v>0</v>
      </c>
      <c r="P30">
        <f t="shared" si="4"/>
        <v>0</v>
      </c>
      <c r="Q30">
        <f t="shared" si="4"/>
        <v>5.0847457627118647E-2</v>
      </c>
      <c r="R30">
        <f t="shared" si="4"/>
        <v>0</v>
      </c>
      <c r="S30" t="e">
        <f t="shared" si="4"/>
        <v>#DIV/0!</v>
      </c>
      <c r="T30">
        <f t="shared" si="4"/>
        <v>0</v>
      </c>
      <c r="U30">
        <f t="shared" si="4"/>
        <v>0</v>
      </c>
      <c r="V30">
        <f t="shared" si="4"/>
        <v>0</v>
      </c>
      <c r="W30">
        <f t="shared" si="4"/>
        <v>0</v>
      </c>
      <c r="X30">
        <f t="shared" si="4"/>
        <v>0</v>
      </c>
      <c r="Y30">
        <f t="shared" si="4"/>
        <v>0</v>
      </c>
      <c r="Z30" t="e">
        <f t="shared" si="4"/>
        <v>#DIV/0!</v>
      </c>
      <c r="AA30">
        <f t="shared" si="4"/>
        <v>0</v>
      </c>
      <c r="AB30">
        <f t="shared" si="4"/>
        <v>2.2831050228310501E-2</v>
      </c>
      <c r="AC30">
        <f t="shared" si="4"/>
        <v>0</v>
      </c>
      <c r="AD30">
        <f t="shared" si="4"/>
        <v>0.10112359550561797</v>
      </c>
      <c r="AE30">
        <f t="shared" si="4"/>
        <v>5.5045871559633031E-2</v>
      </c>
      <c r="AF30">
        <f t="shared" si="4"/>
        <v>0</v>
      </c>
      <c r="AG30" t="e">
        <f t="shared" si="4"/>
        <v>#DIV/0!</v>
      </c>
      <c r="AH30">
        <f t="shared" ref="AH30:BJ30" si="5">SUM(AH28:AH29)/SUM(AH26:AH29)</f>
        <v>0.10741971207087486</v>
      </c>
      <c r="AI30">
        <f t="shared" si="5"/>
        <v>0.10351966873706005</v>
      </c>
      <c r="AJ30">
        <f t="shared" si="5"/>
        <v>0</v>
      </c>
      <c r="AK30">
        <f t="shared" si="5"/>
        <v>0</v>
      </c>
      <c r="AL30">
        <f t="shared" si="5"/>
        <v>6.8493150684931503E-2</v>
      </c>
      <c r="AM30">
        <f t="shared" si="5"/>
        <v>0</v>
      </c>
      <c r="AN30" t="e">
        <f t="shared" si="5"/>
        <v>#DIV/0!</v>
      </c>
      <c r="AO30">
        <f t="shared" si="5"/>
        <v>0</v>
      </c>
      <c r="AP30">
        <f t="shared" si="5"/>
        <v>0</v>
      </c>
      <c r="AQ30">
        <f t="shared" si="5"/>
        <v>6.0402684563758392E-2</v>
      </c>
      <c r="AR30">
        <f t="shared" si="5"/>
        <v>0</v>
      </c>
      <c r="AS30">
        <f t="shared" si="5"/>
        <v>0.17602996254681649</v>
      </c>
      <c r="AT30">
        <f t="shared" si="5"/>
        <v>0</v>
      </c>
      <c r="AU30" t="e">
        <f t="shared" si="5"/>
        <v>#DIV/0!</v>
      </c>
      <c r="AV30">
        <f t="shared" si="5"/>
        <v>0</v>
      </c>
      <c r="AW30">
        <f t="shared" si="5"/>
        <v>0.13648528099910795</v>
      </c>
      <c r="AX30">
        <f t="shared" si="5"/>
        <v>8.593012275731822E-2</v>
      </c>
      <c r="AY30">
        <f t="shared" si="5"/>
        <v>0.11876075731497418</v>
      </c>
      <c r="AZ30">
        <f t="shared" si="5"/>
        <v>0.12478632478632479</v>
      </c>
      <c r="BA30" t="e">
        <f t="shared" si="5"/>
        <v>#DIV/0!</v>
      </c>
      <c r="BB30" t="e">
        <f t="shared" si="5"/>
        <v>#DIV/0!</v>
      </c>
      <c r="BC30" t="e">
        <f t="shared" si="5"/>
        <v>#DIV/0!</v>
      </c>
      <c r="BD30" t="e">
        <f t="shared" si="5"/>
        <v>#DIV/0!</v>
      </c>
      <c r="BE30" t="e">
        <f t="shared" si="5"/>
        <v>#DIV/0!</v>
      </c>
      <c r="BF30" t="e">
        <f t="shared" si="5"/>
        <v>#DIV/0!</v>
      </c>
      <c r="BG30" t="e">
        <f t="shared" si="5"/>
        <v>#DIV/0!</v>
      </c>
      <c r="BH30" t="e">
        <f t="shared" si="5"/>
        <v>#DIV/0!</v>
      </c>
      <c r="BI30" t="e">
        <f t="shared" si="5"/>
        <v>#DIV/0!</v>
      </c>
      <c r="BJ30" t="e">
        <f t="shared" si="5"/>
        <v>#DIV/0!</v>
      </c>
    </row>
    <row r="31" spans="1:62" x14ac:dyDescent="0.25">
      <c r="A31" s="2" t="s">
        <v>19</v>
      </c>
      <c r="B31">
        <v>0.02</v>
      </c>
      <c r="C31">
        <v>0.02</v>
      </c>
      <c r="D31">
        <v>0.02</v>
      </c>
      <c r="E31">
        <v>0.02</v>
      </c>
      <c r="F31">
        <v>0.02</v>
      </c>
      <c r="G31">
        <v>0.02</v>
      </c>
      <c r="H31">
        <v>0.02</v>
      </c>
      <c r="I31">
        <v>0.02</v>
      </c>
      <c r="J31">
        <v>0.02</v>
      </c>
      <c r="K31">
        <v>0.02</v>
      </c>
      <c r="L31">
        <v>0.02</v>
      </c>
      <c r="M31">
        <v>0.02</v>
      </c>
      <c r="N31">
        <v>0.02</v>
      </c>
      <c r="O31">
        <v>0.02</v>
      </c>
      <c r="P31">
        <v>0.02</v>
      </c>
      <c r="Q31">
        <v>0.02</v>
      </c>
      <c r="R31">
        <v>0.02</v>
      </c>
      <c r="S31">
        <v>0.02</v>
      </c>
      <c r="T31">
        <v>0.02</v>
      </c>
      <c r="U31">
        <v>0.02</v>
      </c>
      <c r="V31">
        <v>0.02</v>
      </c>
      <c r="W31">
        <v>0.02</v>
      </c>
      <c r="X31">
        <v>0.02</v>
      </c>
      <c r="Y31">
        <v>0.02</v>
      </c>
      <c r="Z31">
        <v>0.02</v>
      </c>
      <c r="AA31">
        <v>0.02</v>
      </c>
      <c r="AB31">
        <v>0.02</v>
      </c>
      <c r="AC31">
        <v>0.02</v>
      </c>
      <c r="AD31">
        <v>0.02</v>
      </c>
      <c r="AE31">
        <v>0.02</v>
      </c>
      <c r="AF31">
        <v>0.02</v>
      </c>
      <c r="AG31">
        <v>0.02</v>
      </c>
      <c r="AH31">
        <v>0.02</v>
      </c>
      <c r="AI31">
        <v>0.02</v>
      </c>
      <c r="AJ31">
        <v>0.02</v>
      </c>
      <c r="AK31">
        <v>0.02</v>
      </c>
      <c r="AL31">
        <v>0.02</v>
      </c>
      <c r="AM31">
        <v>0.02</v>
      </c>
      <c r="AN31">
        <v>0.02</v>
      </c>
      <c r="AO31">
        <v>0.02</v>
      </c>
      <c r="AP31">
        <v>0.02</v>
      </c>
      <c r="AQ31">
        <v>0.02</v>
      </c>
      <c r="AR31">
        <v>0.02</v>
      </c>
      <c r="AS31">
        <v>0.02</v>
      </c>
      <c r="AT31">
        <v>0.02</v>
      </c>
      <c r="AU31">
        <v>0.02</v>
      </c>
      <c r="AV31">
        <v>0.02</v>
      </c>
      <c r="AW31">
        <v>0.02</v>
      </c>
      <c r="AX31">
        <v>0.02</v>
      </c>
      <c r="AY31">
        <v>0.02</v>
      </c>
      <c r="AZ31">
        <v>0.02</v>
      </c>
      <c r="BA31">
        <v>0.02</v>
      </c>
      <c r="BB31">
        <v>0.02</v>
      </c>
      <c r="BC31">
        <v>0.02</v>
      </c>
      <c r="BD31">
        <v>0.02</v>
      </c>
      <c r="BE31">
        <v>0.02</v>
      </c>
      <c r="BF31">
        <v>0.02</v>
      </c>
      <c r="BG31">
        <v>0.02</v>
      </c>
      <c r="BH31">
        <v>0.02</v>
      </c>
      <c r="BI31">
        <v>0.02</v>
      </c>
      <c r="BJ31">
        <v>0.02</v>
      </c>
    </row>
    <row r="32" spans="1:62" x14ac:dyDescent="0.25">
      <c r="A32" s="2" t="s">
        <v>20</v>
      </c>
      <c r="B32">
        <v>0.05</v>
      </c>
      <c r="C32">
        <v>0.05</v>
      </c>
      <c r="D32">
        <v>0.05</v>
      </c>
      <c r="E32">
        <v>0.05</v>
      </c>
      <c r="F32">
        <v>0.05</v>
      </c>
      <c r="G32">
        <v>0.05</v>
      </c>
      <c r="H32">
        <v>0.05</v>
      </c>
      <c r="I32">
        <v>0.05</v>
      </c>
      <c r="J32">
        <v>0.05</v>
      </c>
      <c r="K32">
        <v>0.05</v>
      </c>
      <c r="L32">
        <v>0.05</v>
      </c>
      <c r="M32">
        <v>0.05</v>
      </c>
      <c r="N32">
        <v>0.05</v>
      </c>
      <c r="O32">
        <v>0.05</v>
      </c>
      <c r="P32">
        <v>0.05</v>
      </c>
      <c r="Q32">
        <v>0.05</v>
      </c>
      <c r="R32">
        <v>0.05</v>
      </c>
      <c r="S32">
        <v>0.05</v>
      </c>
      <c r="T32">
        <v>0.05</v>
      </c>
      <c r="U32">
        <v>0.05</v>
      </c>
      <c r="V32">
        <v>0.05</v>
      </c>
      <c r="W32">
        <v>0.05</v>
      </c>
      <c r="X32">
        <v>0.05</v>
      </c>
      <c r="Y32">
        <v>0.05</v>
      </c>
      <c r="Z32">
        <v>0.05</v>
      </c>
      <c r="AA32">
        <v>0.05</v>
      </c>
      <c r="AB32">
        <v>0.05</v>
      </c>
      <c r="AC32">
        <v>0.05</v>
      </c>
      <c r="AD32">
        <v>0.05</v>
      </c>
      <c r="AE32">
        <v>0.05</v>
      </c>
      <c r="AF32">
        <v>0.05</v>
      </c>
      <c r="AG32">
        <v>0.05</v>
      </c>
      <c r="AH32">
        <v>0.05</v>
      </c>
      <c r="AI32">
        <v>0.05</v>
      </c>
      <c r="AJ32">
        <v>0.05</v>
      </c>
      <c r="AK32">
        <v>0.05</v>
      </c>
      <c r="AL32">
        <v>0.05</v>
      </c>
      <c r="AM32">
        <v>0.05</v>
      </c>
      <c r="AN32">
        <v>0.05</v>
      </c>
      <c r="AO32">
        <v>0.05</v>
      </c>
      <c r="AP32">
        <v>0.05</v>
      </c>
      <c r="AQ32">
        <v>0.05</v>
      </c>
      <c r="AR32">
        <v>0.05</v>
      </c>
      <c r="AS32">
        <v>0.05</v>
      </c>
      <c r="AT32">
        <v>0.05</v>
      </c>
      <c r="AU32">
        <v>0.05</v>
      </c>
      <c r="AV32">
        <v>0.05</v>
      </c>
      <c r="AW32">
        <v>0.05</v>
      </c>
      <c r="AX32">
        <v>0.05</v>
      </c>
      <c r="AY32">
        <v>0.05</v>
      </c>
      <c r="AZ32">
        <v>0.05</v>
      </c>
      <c r="BA32">
        <v>0.05</v>
      </c>
      <c r="BB32">
        <v>0.05</v>
      </c>
      <c r="BC32">
        <v>0.05</v>
      </c>
      <c r="BD32">
        <v>0.05</v>
      </c>
      <c r="BE32">
        <v>0.05</v>
      </c>
      <c r="BF32">
        <v>0.05</v>
      </c>
      <c r="BG32">
        <v>0.05</v>
      </c>
      <c r="BH32">
        <v>0.05</v>
      </c>
      <c r="BI32">
        <v>0.05</v>
      </c>
      <c r="BJ32">
        <v>0.05</v>
      </c>
    </row>
    <row r="33" spans="1:62" x14ac:dyDescent="0.25">
      <c r="A33" s="2" t="s">
        <v>55</v>
      </c>
      <c r="L33" t="s">
        <v>21</v>
      </c>
      <c r="N33" t="s">
        <v>22</v>
      </c>
      <c r="R33" t="s">
        <v>23</v>
      </c>
      <c r="AQ33" t="s">
        <v>21</v>
      </c>
      <c r="AS33" t="s">
        <v>22</v>
      </c>
      <c r="AW33" t="s">
        <v>23</v>
      </c>
    </row>
    <row r="34" spans="1:62" x14ac:dyDescent="0.25">
      <c r="A34" s="2"/>
    </row>
    <row r="35" spans="1:62" x14ac:dyDescent="0.25">
      <c r="A35" s="2" t="s">
        <v>24</v>
      </c>
      <c r="B35">
        <v>9286560</v>
      </c>
      <c r="C35">
        <v>9127380</v>
      </c>
      <c r="D35">
        <v>10194900</v>
      </c>
      <c r="E35" t="s">
        <v>2</v>
      </c>
      <c r="F35">
        <v>9079810</v>
      </c>
      <c r="G35">
        <v>9398400</v>
      </c>
      <c r="H35">
        <v>9557690</v>
      </c>
      <c r="I35">
        <v>9398400</v>
      </c>
      <c r="J35">
        <v>8442630</v>
      </c>
      <c r="K35">
        <v>8601920</v>
      </c>
      <c r="L35" t="s">
        <v>2</v>
      </c>
      <c r="M35">
        <v>9514460</v>
      </c>
      <c r="N35">
        <v>11693200</v>
      </c>
      <c r="O35">
        <v>8634980</v>
      </c>
      <c r="P35">
        <v>8954790</v>
      </c>
      <c r="Q35">
        <v>10234000</v>
      </c>
      <c r="R35">
        <v>7835440</v>
      </c>
      <c r="S35" t="s">
        <v>2</v>
      </c>
      <c r="T35">
        <v>8634980</v>
      </c>
      <c r="U35">
        <v>9594420</v>
      </c>
      <c r="V35">
        <v>8954790</v>
      </c>
      <c r="W35">
        <v>8813400</v>
      </c>
      <c r="X35">
        <v>8653150</v>
      </c>
      <c r="Y35">
        <v>8012180</v>
      </c>
      <c r="Z35" t="s">
        <v>2</v>
      </c>
      <c r="AA35">
        <v>8653150</v>
      </c>
      <c r="AB35">
        <v>10215500</v>
      </c>
      <c r="AC35">
        <v>8653150</v>
      </c>
      <c r="AD35">
        <v>11022400</v>
      </c>
      <c r="AE35">
        <v>10576100</v>
      </c>
      <c r="AF35">
        <v>9614620</v>
      </c>
      <c r="AG35" t="s">
        <v>2</v>
      </c>
      <c r="AH35">
        <v>11232700</v>
      </c>
      <c r="AI35">
        <v>11592000</v>
      </c>
      <c r="AJ35">
        <v>9935100</v>
      </c>
      <c r="AK35">
        <v>9614620</v>
      </c>
      <c r="AL35">
        <v>9634650</v>
      </c>
      <c r="AM35">
        <v>7083520</v>
      </c>
      <c r="AN35" t="s">
        <v>2</v>
      </c>
      <c r="AO35">
        <v>7727470</v>
      </c>
      <c r="AP35">
        <v>7968960</v>
      </c>
      <c r="AQ35">
        <v>8713530</v>
      </c>
      <c r="AR35">
        <v>8049450</v>
      </c>
      <c r="AS35">
        <v>13040100</v>
      </c>
      <c r="AT35">
        <v>7566480</v>
      </c>
      <c r="AU35" t="s">
        <v>2</v>
      </c>
      <c r="AV35">
        <v>7727470</v>
      </c>
      <c r="AW35">
        <v>10474300</v>
      </c>
      <c r="AX35">
        <v>9126060</v>
      </c>
      <c r="AY35">
        <v>9639220</v>
      </c>
      <c r="AZ35">
        <v>10202700</v>
      </c>
      <c r="BB35" t="s">
        <v>2</v>
      </c>
      <c r="BI35" t="s">
        <v>2</v>
      </c>
    </row>
    <row r="36" spans="1:62" x14ac:dyDescent="0.25">
      <c r="A36" s="2" t="s">
        <v>25</v>
      </c>
      <c r="B36">
        <v>6308600</v>
      </c>
      <c r="C36">
        <v>6308600</v>
      </c>
      <c r="D36">
        <v>6137500</v>
      </c>
      <c r="E36" t="s">
        <v>2</v>
      </c>
      <c r="F36">
        <v>6137500</v>
      </c>
      <c r="G36">
        <v>6609620</v>
      </c>
      <c r="H36">
        <v>6137500</v>
      </c>
      <c r="I36">
        <v>6609620</v>
      </c>
      <c r="J36">
        <v>6609620</v>
      </c>
      <c r="K36">
        <v>6609620</v>
      </c>
      <c r="L36" t="s">
        <v>2</v>
      </c>
      <c r="M36">
        <v>6609620</v>
      </c>
      <c r="N36">
        <v>8645610</v>
      </c>
      <c r="O36">
        <v>6609620</v>
      </c>
      <c r="P36">
        <v>6137500</v>
      </c>
      <c r="Q36">
        <v>6934190</v>
      </c>
      <c r="R36">
        <v>5652960</v>
      </c>
      <c r="S36" t="s">
        <v>2</v>
      </c>
      <c r="T36">
        <v>6595120</v>
      </c>
      <c r="U36">
        <v>6595120</v>
      </c>
      <c r="V36">
        <v>6595120</v>
      </c>
      <c r="W36">
        <v>5970190</v>
      </c>
      <c r="X36">
        <v>5510950</v>
      </c>
      <c r="Y36">
        <v>4592460</v>
      </c>
      <c r="Z36" t="s">
        <v>2</v>
      </c>
      <c r="AA36">
        <v>5510950</v>
      </c>
      <c r="AB36">
        <v>5510950</v>
      </c>
      <c r="AC36">
        <v>5970190</v>
      </c>
      <c r="AD36">
        <v>5970190</v>
      </c>
      <c r="AE36">
        <v>5970190</v>
      </c>
      <c r="AF36">
        <v>5740570</v>
      </c>
      <c r="AG36" t="s">
        <v>2</v>
      </c>
      <c r="AH36">
        <v>5970190</v>
      </c>
      <c r="AI36">
        <v>5970190</v>
      </c>
      <c r="AJ36">
        <v>5970190</v>
      </c>
      <c r="AK36">
        <v>5740570</v>
      </c>
      <c r="AL36">
        <v>5510950</v>
      </c>
      <c r="AM36">
        <v>4943830</v>
      </c>
      <c r="AN36" t="s">
        <v>2</v>
      </c>
      <c r="AO36">
        <v>5393270</v>
      </c>
      <c r="AP36">
        <v>5393270</v>
      </c>
      <c r="AQ36">
        <v>5393270</v>
      </c>
      <c r="AR36">
        <v>5393270</v>
      </c>
      <c r="AS36">
        <v>5393270</v>
      </c>
      <c r="AT36">
        <v>3370790</v>
      </c>
      <c r="AU36" t="s">
        <v>2</v>
      </c>
      <c r="AV36">
        <v>5393270</v>
      </c>
      <c r="AW36">
        <v>5393270</v>
      </c>
      <c r="AX36">
        <v>5393270</v>
      </c>
      <c r="AY36">
        <v>5393270</v>
      </c>
      <c r="AZ36">
        <v>5393270</v>
      </c>
      <c r="BB36" t="s">
        <v>2</v>
      </c>
      <c r="BI36" t="s">
        <v>2</v>
      </c>
    </row>
    <row r="37" spans="1:62" x14ac:dyDescent="0.25">
      <c r="A37" s="2" t="s">
        <v>26</v>
      </c>
      <c r="B37">
        <v>7302500</v>
      </c>
      <c r="C37">
        <v>8100000</v>
      </c>
      <c r="D37">
        <v>4845000</v>
      </c>
      <c r="E37" t="s">
        <v>2</v>
      </c>
      <c r="F37">
        <v>7925000</v>
      </c>
      <c r="G37">
        <v>9585000</v>
      </c>
      <c r="H37">
        <v>7260000</v>
      </c>
      <c r="I37">
        <v>6185000</v>
      </c>
      <c r="J37">
        <v>9130000</v>
      </c>
      <c r="K37">
        <v>6316250</v>
      </c>
      <c r="L37" t="s">
        <v>2</v>
      </c>
      <c r="M37">
        <v>6057500</v>
      </c>
      <c r="N37">
        <v>9015630</v>
      </c>
      <c r="O37">
        <v>8220000</v>
      </c>
      <c r="P37">
        <v>5410000</v>
      </c>
      <c r="Q37">
        <v>7170000</v>
      </c>
      <c r="R37">
        <v>9220000</v>
      </c>
      <c r="S37" t="s">
        <v>2</v>
      </c>
      <c r="T37">
        <v>6600000</v>
      </c>
      <c r="U37">
        <v>7430000</v>
      </c>
      <c r="V37">
        <v>7810000</v>
      </c>
      <c r="W37">
        <v>7105000</v>
      </c>
      <c r="X37">
        <v>5740000</v>
      </c>
      <c r="Y37">
        <v>5180000</v>
      </c>
      <c r="Z37" t="s">
        <v>2</v>
      </c>
      <c r="AA37">
        <v>3760000</v>
      </c>
      <c r="AB37">
        <v>5050000</v>
      </c>
      <c r="AC37">
        <v>5340000</v>
      </c>
      <c r="AD37">
        <v>6318750</v>
      </c>
      <c r="AE37">
        <v>5620000</v>
      </c>
      <c r="AF37">
        <v>7080000</v>
      </c>
      <c r="AG37" t="s">
        <v>2</v>
      </c>
      <c r="AH37">
        <v>6838750</v>
      </c>
      <c r="AI37">
        <v>8111880</v>
      </c>
      <c r="AJ37">
        <v>6870000</v>
      </c>
      <c r="AK37">
        <v>6660000</v>
      </c>
      <c r="AL37">
        <v>6788130</v>
      </c>
      <c r="AM37">
        <v>6890000</v>
      </c>
      <c r="AN37" t="s">
        <v>2</v>
      </c>
      <c r="AO37">
        <v>7540000</v>
      </c>
      <c r="AP37">
        <v>7540000</v>
      </c>
      <c r="AQ37">
        <v>8047500</v>
      </c>
      <c r="AR37">
        <v>6530000</v>
      </c>
      <c r="AS37">
        <v>8376250</v>
      </c>
      <c r="AT37">
        <v>7180000</v>
      </c>
      <c r="AU37" t="s">
        <v>2</v>
      </c>
      <c r="AV37">
        <v>7805000</v>
      </c>
      <c r="AW37">
        <v>10326300</v>
      </c>
      <c r="AX37">
        <v>9911880</v>
      </c>
      <c r="AY37">
        <v>11616300</v>
      </c>
      <c r="AZ37">
        <v>11638800</v>
      </c>
      <c r="BB37" t="s">
        <v>2</v>
      </c>
      <c r="BI37" t="s">
        <v>2</v>
      </c>
    </row>
    <row r="38" spans="1:62" x14ac:dyDescent="0.25">
      <c r="A38" s="2" t="s">
        <v>27</v>
      </c>
      <c r="B38">
        <v>0</v>
      </c>
      <c r="C38">
        <v>0</v>
      </c>
      <c r="D38">
        <v>0</v>
      </c>
      <c r="E38" t="s">
        <v>2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 t="s">
        <v>2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 t="s">
        <v>2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 t="s">
        <v>2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 t="s">
        <v>2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 t="s">
        <v>2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 t="s">
        <v>2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 t="s">
        <v>2</v>
      </c>
      <c r="BI38" t="s">
        <v>2</v>
      </c>
    </row>
    <row r="39" spans="1:62" x14ac:dyDescent="0.25">
      <c r="A39" s="2" t="s">
        <v>28</v>
      </c>
      <c r="B39">
        <v>33274</v>
      </c>
      <c r="C39">
        <v>34487</v>
      </c>
      <c r="D39">
        <v>20741</v>
      </c>
      <c r="E39" t="s">
        <v>2</v>
      </c>
      <c r="F39">
        <v>15936</v>
      </c>
      <c r="G39">
        <v>28795</v>
      </c>
      <c r="H39">
        <v>20524</v>
      </c>
      <c r="I39">
        <v>23901</v>
      </c>
      <c r="J39">
        <v>20492</v>
      </c>
      <c r="K39">
        <v>9348</v>
      </c>
      <c r="L39" t="s">
        <v>2</v>
      </c>
      <c r="M39">
        <v>18085</v>
      </c>
      <c r="N39">
        <v>23135</v>
      </c>
      <c r="O39">
        <v>24554</v>
      </c>
      <c r="P39">
        <v>19972</v>
      </c>
      <c r="Q39">
        <v>21982</v>
      </c>
      <c r="R39">
        <v>24046</v>
      </c>
      <c r="S39" t="s">
        <v>2</v>
      </c>
      <c r="T39">
        <v>15191</v>
      </c>
      <c r="U39">
        <v>28511</v>
      </c>
      <c r="V39">
        <v>20907</v>
      </c>
      <c r="W39">
        <v>22288</v>
      </c>
      <c r="X39">
        <v>24076</v>
      </c>
      <c r="Y39">
        <v>14219</v>
      </c>
      <c r="Z39" t="s">
        <v>2</v>
      </c>
      <c r="AA39">
        <v>19668</v>
      </c>
      <c r="AB39">
        <v>32430</v>
      </c>
      <c r="AC39">
        <v>26972</v>
      </c>
      <c r="AD39">
        <v>34100</v>
      </c>
      <c r="AE39">
        <v>29898</v>
      </c>
      <c r="AF39">
        <v>30258</v>
      </c>
      <c r="AG39" t="s">
        <v>2</v>
      </c>
      <c r="AH39">
        <v>31931</v>
      </c>
      <c r="AI39">
        <v>39531</v>
      </c>
      <c r="AJ39">
        <v>30669</v>
      </c>
      <c r="AK39">
        <v>35151</v>
      </c>
      <c r="AL39">
        <v>17497</v>
      </c>
      <c r="AM39">
        <v>12945</v>
      </c>
      <c r="AN39" t="s">
        <v>2</v>
      </c>
      <c r="AO39">
        <v>25062</v>
      </c>
      <c r="AP39">
        <v>25943</v>
      </c>
      <c r="AQ39">
        <v>22661</v>
      </c>
      <c r="AR39">
        <v>20235</v>
      </c>
      <c r="AS39">
        <v>22762</v>
      </c>
      <c r="AT39">
        <v>19168</v>
      </c>
      <c r="AU39" t="s">
        <v>2</v>
      </c>
      <c r="AV39">
        <v>24502</v>
      </c>
      <c r="AW39">
        <v>28361</v>
      </c>
      <c r="AX39">
        <v>39745</v>
      </c>
      <c r="AY39">
        <v>23641</v>
      </c>
      <c r="AZ39">
        <v>45207</v>
      </c>
      <c r="BB39" t="s">
        <v>2</v>
      </c>
      <c r="BI39" t="s">
        <v>2</v>
      </c>
    </row>
    <row r="40" spans="1:62" x14ac:dyDescent="0.25">
      <c r="A40" s="2" t="s">
        <v>29</v>
      </c>
      <c r="B40">
        <f t="shared" ref="B40:AG40" si="6">SUM(B35:B38)/B39</f>
        <v>688.15471539340024</v>
      </c>
      <c r="C40">
        <f t="shared" si="6"/>
        <v>682.45947748426943</v>
      </c>
      <c r="D40">
        <f t="shared" si="6"/>
        <v>1021.0404512800733</v>
      </c>
      <c r="E40" t="e">
        <f t="shared" si="6"/>
        <v>#VALUE!</v>
      </c>
      <c r="F40">
        <f t="shared" si="6"/>
        <v>1452.203187751004</v>
      </c>
      <c r="G40">
        <f t="shared" si="6"/>
        <v>888.80083347803441</v>
      </c>
      <c r="H40">
        <f t="shared" si="6"/>
        <v>1118.4559540050673</v>
      </c>
      <c r="I40">
        <f t="shared" si="6"/>
        <v>928.53939165725285</v>
      </c>
      <c r="J40">
        <f t="shared" si="6"/>
        <v>1180.0824712082765</v>
      </c>
      <c r="K40">
        <f t="shared" si="6"/>
        <v>2302.9300385109113</v>
      </c>
      <c r="L40" t="e">
        <f t="shared" si="6"/>
        <v>#VALUE!</v>
      </c>
      <c r="M40">
        <f t="shared" si="6"/>
        <v>1226.5181089300524</v>
      </c>
      <c r="N40">
        <f t="shared" si="6"/>
        <v>1268.8325048627621</v>
      </c>
      <c r="O40">
        <f t="shared" si="6"/>
        <v>955.63248350574247</v>
      </c>
      <c r="P40">
        <f t="shared" si="6"/>
        <v>1026.5516723412777</v>
      </c>
      <c r="Q40">
        <f t="shared" si="6"/>
        <v>1107.1872441088162</v>
      </c>
      <c r="R40">
        <f t="shared" si="6"/>
        <v>944.37328453796886</v>
      </c>
      <c r="S40" t="e">
        <f t="shared" si="6"/>
        <v>#VALUE!</v>
      </c>
      <c r="T40">
        <f t="shared" si="6"/>
        <v>1437.0416694095188</v>
      </c>
      <c r="U40">
        <f t="shared" si="6"/>
        <v>828.43604222931504</v>
      </c>
      <c r="V40">
        <f t="shared" si="6"/>
        <v>1117.3248194384655</v>
      </c>
      <c r="W40">
        <f t="shared" si="6"/>
        <v>982.07959440057425</v>
      </c>
      <c r="X40">
        <f t="shared" si="6"/>
        <v>826.71955474331287</v>
      </c>
      <c r="Y40">
        <f t="shared" si="6"/>
        <v>1250.7658766439272</v>
      </c>
      <c r="Z40" t="e">
        <f t="shared" si="6"/>
        <v>#VALUE!</v>
      </c>
      <c r="AA40">
        <f t="shared" si="6"/>
        <v>911.33312995729102</v>
      </c>
      <c r="AB40">
        <f t="shared" si="6"/>
        <v>640.65525747764411</v>
      </c>
      <c r="AC40">
        <f t="shared" si="6"/>
        <v>740.1505264718968</v>
      </c>
      <c r="AD40">
        <f t="shared" si="6"/>
        <v>683.61700879765397</v>
      </c>
      <c r="AE40">
        <f t="shared" si="6"/>
        <v>741.39708341695098</v>
      </c>
      <c r="AF40">
        <f t="shared" si="6"/>
        <v>741.46308414303655</v>
      </c>
      <c r="AG40" t="e">
        <f t="shared" si="6"/>
        <v>#VALUE!</v>
      </c>
      <c r="AH40">
        <f t="shared" ref="AH40:BJ40" si="7">SUM(AH35:AH38)/AH39</f>
        <v>752.92474397920512</v>
      </c>
      <c r="AI40">
        <f t="shared" si="7"/>
        <v>649.46674761579516</v>
      </c>
      <c r="AJ40">
        <f t="shared" si="7"/>
        <v>742.61599660895365</v>
      </c>
      <c r="AK40">
        <f t="shared" si="7"/>
        <v>626.30337685983329</v>
      </c>
      <c r="AL40">
        <f t="shared" si="7"/>
        <v>1253.570897868206</v>
      </c>
      <c r="AM40">
        <f t="shared" si="7"/>
        <v>1461.363460795674</v>
      </c>
      <c r="AN40" t="e">
        <f t="shared" si="7"/>
        <v>#VALUE!</v>
      </c>
      <c r="AO40">
        <f t="shared" si="7"/>
        <v>824.3851248902721</v>
      </c>
      <c r="AP40">
        <f t="shared" si="7"/>
        <v>805.69826157344949</v>
      </c>
      <c r="AQ40">
        <f t="shared" si="7"/>
        <v>977.63999823485278</v>
      </c>
      <c r="AR40">
        <f t="shared" si="7"/>
        <v>987.03829997529033</v>
      </c>
      <c r="AS40">
        <f t="shared" si="7"/>
        <v>1177.8235655917758</v>
      </c>
      <c r="AT40">
        <f t="shared" si="7"/>
        <v>945.18311769616025</v>
      </c>
      <c r="AU40" t="e">
        <f t="shared" si="7"/>
        <v>#VALUE!</v>
      </c>
      <c r="AV40">
        <f t="shared" si="7"/>
        <v>854.042119010693</v>
      </c>
      <c r="AW40">
        <f t="shared" si="7"/>
        <v>923.58767321321534</v>
      </c>
      <c r="AX40">
        <f t="shared" si="7"/>
        <v>614.69895584350229</v>
      </c>
      <c r="AY40">
        <f t="shared" si="7"/>
        <v>1127.2276976439236</v>
      </c>
      <c r="AZ40">
        <f t="shared" si="7"/>
        <v>602.44586015440086</v>
      </c>
      <c r="BA40" t="e">
        <f t="shared" si="7"/>
        <v>#DIV/0!</v>
      </c>
      <c r="BB40" t="e">
        <f t="shared" si="7"/>
        <v>#VALUE!</v>
      </c>
      <c r="BC40" t="e">
        <f t="shared" si="7"/>
        <v>#DIV/0!</v>
      </c>
      <c r="BD40" t="e">
        <f t="shared" si="7"/>
        <v>#DIV/0!</v>
      </c>
      <c r="BE40" t="e">
        <f t="shared" si="7"/>
        <v>#DIV/0!</v>
      </c>
      <c r="BF40" t="e">
        <f t="shared" si="7"/>
        <v>#DIV/0!</v>
      </c>
      <c r="BG40" t="e">
        <f t="shared" si="7"/>
        <v>#DIV/0!</v>
      </c>
      <c r="BH40" t="e">
        <f t="shared" si="7"/>
        <v>#DIV/0!</v>
      </c>
      <c r="BI40" t="e">
        <f t="shared" si="7"/>
        <v>#VALUE!</v>
      </c>
      <c r="BJ40" t="e">
        <f t="shared" si="7"/>
        <v>#DIV/0!</v>
      </c>
    </row>
    <row r="41" spans="1:62" x14ac:dyDescent="0.25">
      <c r="A41" s="2" t="s">
        <v>56</v>
      </c>
      <c r="B41">
        <v>800</v>
      </c>
      <c r="C41">
        <v>800</v>
      </c>
      <c r="D41">
        <v>800</v>
      </c>
      <c r="E41">
        <v>800</v>
      </c>
      <c r="F41">
        <v>800</v>
      </c>
      <c r="G41">
        <v>800</v>
      </c>
      <c r="H41">
        <v>800</v>
      </c>
      <c r="I41">
        <v>800</v>
      </c>
      <c r="J41">
        <v>800</v>
      </c>
      <c r="K41">
        <v>800</v>
      </c>
      <c r="L41">
        <v>800</v>
      </c>
      <c r="M41">
        <v>800</v>
      </c>
      <c r="N41">
        <v>800</v>
      </c>
      <c r="O41">
        <v>800</v>
      </c>
      <c r="P41">
        <v>800</v>
      </c>
      <c r="Q41">
        <v>800</v>
      </c>
      <c r="R41">
        <v>800</v>
      </c>
      <c r="S41">
        <v>800</v>
      </c>
      <c r="T41">
        <v>800</v>
      </c>
      <c r="U41">
        <v>800</v>
      </c>
      <c r="V41">
        <v>800</v>
      </c>
      <c r="W41">
        <v>800</v>
      </c>
      <c r="X41">
        <v>800</v>
      </c>
      <c r="Y41">
        <v>800</v>
      </c>
      <c r="Z41">
        <v>800</v>
      </c>
      <c r="AA41">
        <v>800</v>
      </c>
      <c r="AB41">
        <v>800</v>
      </c>
      <c r="AC41">
        <v>800</v>
      </c>
      <c r="AD41">
        <v>800</v>
      </c>
      <c r="AE41">
        <v>800</v>
      </c>
      <c r="AF41">
        <v>800</v>
      </c>
      <c r="AG41">
        <v>800</v>
      </c>
      <c r="AH41">
        <v>800</v>
      </c>
      <c r="AI41">
        <v>800</v>
      </c>
      <c r="AJ41">
        <v>800</v>
      </c>
      <c r="AK41">
        <v>800</v>
      </c>
      <c r="AL41">
        <v>800</v>
      </c>
      <c r="AM41">
        <v>800</v>
      </c>
      <c r="AN41">
        <v>800</v>
      </c>
      <c r="AO41">
        <v>800</v>
      </c>
      <c r="AP41">
        <v>800</v>
      </c>
      <c r="AQ41">
        <v>800</v>
      </c>
      <c r="AR41">
        <v>800</v>
      </c>
      <c r="AS41">
        <v>800</v>
      </c>
      <c r="AT41">
        <v>800</v>
      </c>
      <c r="AU41">
        <v>800</v>
      </c>
      <c r="AV41">
        <v>800</v>
      </c>
      <c r="AW41">
        <v>800</v>
      </c>
      <c r="AX41">
        <v>800</v>
      </c>
      <c r="AY41">
        <v>800</v>
      </c>
      <c r="AZ41">
        <v>800</v>
      </c>
      <c r="BA41">
        <v>800</v>
      </c>
      <c r="BB41">
        <v>800</v>
      </c>
      <c r="BC41">
        <v>800</v>
      </c>
      <c r="BD41">
        <v>800</v>
      </c>
      <c r="BE41">
        <v>800</v>
      </c>
      <c r="BF41">
        <v>800</v>
      </c>
      <c r="BG41">
        <v>800</v>
      </c>
      <c r="BH41">
        <v>800</v>
      </c>
      <c r="BI41">
        <v>800</v>
      </c>
      <c r="BJ41">
        <v>800</v>
      </c>
    </row>
    <row r="42" spans="1:62" x14ac:dyDescent="0.25">
      <c r="A42" s="2" t="s">
        <v>57</v>
      </c>
    </row>
    <row r="43" spans="1:62" x14ac:dyDescent="0.25">
      <c r="A43" s="2"/>
    </row>
    <row r="44" spans="1:62" x14ac:dyDescent="0.25">
      <c r="A44" s="2" t="s">
        <v>30</v>
      </c>
      <c r="B44" t="s">
        <v>2</v>
      </c>
      <c r="C44" t="s">
        <v>2</v>
      </c>
      <c r="D44" t="s">
        <v>2</v>
      </c>
      <c r="E44" t="s">
        <v>2</v>
      </c>
      <c r="F44" t="s">
        <v>2</v>
      </c>
      <c r="G44" t="s">
        <v>2</v>
      </c>
      <c r="H44" t="s">
        <v>2</v>
      </c>
      <c r="I44" t="s">
        <v>2</v>
      </c>
      <c r="J44" t="s">
        <v>2</v>
      </c>
      <c r="K44" t="s">
        <v>2</v>
      </c>
      <c r="L44" t="s">
        <v>2</v>
      </c>
      <c r="M44" t="s">
        <v>2</v>
      </c>
      <c r="N44" t="s">
        <v>2</v>
      </c>
      <c r="O44" t="s">
        <v>2</v>
      </c>
      <c r="P44" t="s">
        <v>2</v>
      </c>
      <c r="Q44" t="s">
        <v>2</v>
      </c>
      <c r="R44" t="s">
        <v>2</v>
      </c>
      <c r="S44" t="s">
        <v>2</v>
      </c>
      <c r="T44" t="s">
        <v>2</v>
      </c>
      <c r="U44" t="s">
        <v>2</v>
      </c>
      <c r="V44" t="s">
        <v>2</v>
      </c>
      <c r="W44" t="s">
        <v>2</v>
      </c>
      <c r="X44" t="s">
        <v>2</v>
      </c>
      <c r="Y44" t="s">
        <v>2</v>
      </c>
      <c r="Z44" t="s">
        <v>2</v>
      </c>
      <c r="AA44" t="s">
        <v>2</v>
      </c>
      <c r="AB44" t="s">
        <v>2</v>
      </c>
      <c r="AC44" t="s">
        <v>2</v>
      </c>
      <c r="AD44" t="s">
        <v>2</v>
      </c>
      <c r="AE44" t="s">
        <v>2</v>
      </c>
      <c r="AF44" t="s">
        <v>2</v>
      </c>
      <c r="AG44" t="s">
        <v>2</v>
      </c>
      <c r="AH44" t="s">
        <v>2</v>
      </c>
      <c r="AI44" t="s">
        <v>2</v>
      </c>
      <c r="AJ44" t="s">
        <v>2</v>
      </c>
      <c r="AK44" t="s">
        <v>2</v>
      </c>
      <c r="AL44" t="s">
        <v>2</v>
      </c>
      <c r="AM44" t="s">
        <v>2</v>
      </c>
      <c r="AN44" t="s">
        <v>2</v>
      </c>
      <c r="AO44" t="s">
        <v>2</v>
      </c>
      <c r="AP44" t="s">
        <v>2</v>
      </c>
      <c r="AQ44" t="s">
        <v>2</v>
      </c>
      <c r="AR44" t="s">
        <v>2</v>
      </c>
      <c r="AS44" t="s">
        <v>2</v>
      </c>
      <c r="AT44" t="s">
        <v>2</v>
      </c>
      <c r="AU44" t="s">
        <v>2</v>
      </c>
      <c r="AV44" t="s">
        <v>2</v>
      </c>
      <c r="AW44" t="s">
        <v>2</v>
      </c>
      <c r="AX44" t="s">
        <v>2</v>
      </c>
      <c r="AY44" t="s">
        <v>2</v>
      </c>
      <c r="AZ44" t="s">
        <v>2</v>
      </c>
      <c r="BA44" t="s">
        <v>2</v>
      </c>
      <c r="BB44" t="s">
        <v>2</v>
      </c>
      <c r="BI44" t="s">
        <v>2</v>
      </c>
    </row>
    <row r="45" spans="1:62" x14ac:dyDescent="0.25">
      <c r="A45" s="2" t="s">
        <v>31</v>
      </c>
      <c r="B45" t="s">
        <v>2</v>
      </c>
      <c r="C45" t="s">
        <v>2</v>
      </c>
      <c r="D45" t="s">
        <v>2</v>
      </c>
      <c r="E45" t="s">
        <v>2</v>
      </c>
      <c r="F45" t="s">
        <v>2</v>
      </c>
      <c r="G45" t="s">
        <v>2</v>
      </c>
      <c r="H45" t="s">
        <v>2</v>
      </c>
      <c r="I45" t="s">
        <v>2</v>
      </c>
      <c r="J45" t="s">
        <v>2</v>
      </c>
      <c r="K45" t="s">
        <v>2</v>
      </c>
      <c r="L45" t="s">
        <v>2</v>
      </c>
      <c r="M45" t="s">
        <v>2</v>
      </c>
      <c r="N45" t="s">
        <v>2</v>
      </c>
      <c r="O45" t="s">
        <v>2</v>
      </c>
      <c r="P45" t="s">
        <v>2</v>
      </c>
      <c r="Q45" t="s">
        <v>2</v>
      </c>
      <c r="R45" t="s">
        <v>2</v>
      </c>
      <c r="S45" t="s">
        <v>2</v>
      </c>
      <c r="T45" t="s">
        <v>2</v>
      </c>
      <c r="U45" t="s">
        <v>2</v>
      </c>
      <c r="V45" t="s">
        <v>2</v>
      </c>
      <c r="W45" t="s">
        <v>2</v>
      </c>
      <c r="X45" t="s">
        <v>2</v>
      </c>
      <c r="Y45" t="s">
        <v>2</v>
      </c>
      <c r="Z45" t="s">
        <v>2</v>
      </c>
      <c r="AA45" t="s">
        <v>2</v>
      </c>
      <c r="AB45" t="s">
        <v>2</v>
      </c>
      <c r="AC45" t="s">
        <v>2</v>
      </c>
      <c r="AD45" t="s">
        <v>2</v>
      </c>
      <c r="AE45" t="s">
        <v>2</v>
      </c>
      <c r="AF45" t="s">
        <v>2</v>
      </c>
      <c r="AG45" t="s">
        <v>2</v>
      </c>
      <c r="AH45" t="s">
        <v>2</v>
      </c>
      <c r="AI45" t="s">
        <v>2</v>
      </c>
      <c r="AJ45" t="s">
        <v>2</v>
      </c>
      <c r="AK45" t="s">
        <v>2</v>
      </c>
      <c r="AL45" t="s">
        <v>2</v>
      </c>
      <c r="AM45" t="s">
        <v>2</v>
      </c>
      <c r="AN45" t="s">
        <v>2</v>
      </c>
      <c r="AO45" t="s">
        <v>2</v>
      </c>
      <c r="AP45" t="s">
        <v>2</v>
      </c>
      <c r="AQ45" t="s">
        <v>2</v>
      </c>
      <c r="AR45" t="s">
        <v>2</v>
      </c>
      <c r="AS45" t="s">
        <v>2</v>
      </c>
      <c r="AT45" t="s">
        <v>2</v>
      </c>
      <c r="AU45" t="s">
        <v>2</v>
      </c>
      <c r="AV45" t="s">
        <v>2</v>
      </c>
      <c r="AW45" t="s">
        <v>2</v>
      </c>
      <c r="AX45" t="s">
        <v>2</v>
      </c>
      <c r="AY45" t="s">
        <v>2</v>
      </c>
      <c r="AZ45" t="s">
        <v>2</v>
      </c>
      <c r="BA45" t="s">
        <v>2</v>
      </c>
      <c r="BB45" t="s">
        <v>2</v>
      </c>
      <c r="BI45" t="s">
        <v>2</v>
      </c>
    </row>
    <row r="46" spans="1:62" x14ac:dyDescent="0.25">
      <c r="A46" s="2" t="s">
        <v>32</v>
      </c>
      <c r="B46" t="s">
        <v>2</v>
      </c>
      <c r="C46" t="s">
        <v>2</v>
      </c>
      <c r="D46" t="s">
        <v>2</v>
      </c>
      <c r="E46" t="s">
        <v>2</v>
      </c>
      <c r="F46" t="s">
        <v>2</v>
      </c>
      <c r="G46" t="s">
        <v>2</v>
      </c>
      <c r="H46" t="s">
        <v>2</v>
      </c>
      <c r="I46" t="s">
        <v>2</v>
      </c>
      <c r="J46" t="s">
        <v>2</v>
      </c>
      <c r="K46" t="s">
        <v>2</v>
      </c>
      <c r="L46" t="s">
        <v>2</v>
      </c>
      <c r="M46" t="s">
        <v>2</v>
      </c>
      <c r="N46" t="s">
        <v>2</v>
      </c>
      <c r="O46" t="s">
        <v>2</v>
      </c>
      <c r="P46" t="s">
        <v>2</v>
      </c>
      <c r="Q46" t="s">
        <v>2</v>
      </c>
      <c r="R46" t="s">
        <v>2</v>
      </c>
      <c r="S46" t="s">
        <v>2</v>
      </c>
      <c r="T46" t="s">
        <v>2</v>
      </c>
      <c r="U46" t="s">
        <v>2</v>
      </c>
      <c r="V46" t="s">
        <v>2</v>
      </c>
      <c r="W46" t="s">
        <v>2</v>
      </c>
      <c r="X46" t="s">
        <v>2</v>
      </c>
      <c r="Y46" t="s">
        <v>2</v>
      </c>
      <c r="Z46" t="s">
        <v>2</v>
      </c>
      <c r="AA46" t="s">
        <v>2</v>
      </c>
      <c r="AB46" t="s">
        <v>2</v>
      </c>
      <c r="AC46" t="s">
        <v>2</v>
      </c>
      <c r="AD46" t="s">
        <v>2</v>
      </c>
      <c r="AE46" t="s">
        <v>2</v>
      </c>
      <c r="AF46" t="s">
        <v>2</v>
      </c>
      <c r="AG46" t="s">
        <v>2</v>
      </c>
      <c r="AH46" t="s">
        <v>2</v>
      </c>
      <c r="AI46" t="s">
        <v>2</v>
      </c>
      <c r="AJ46" t="s">
        <v>2</v>
      </c>
      <c r="AK46" t="s">
        <v>2</v>
      </c>
      <c r="AL46" t="s">
        <v>2</v>
      </c>
      <c r="AM46" t="s">
        <v>2</v>
      </c>
      <c r="AN46" t="s">
        <v>2</v>
      </c>
      <c r="AO46" t="s">
        <v>2</v>
      </c>
      <c r="AP46" t="s">
        <v>2</v>
      </c>
      <c r="AQ46" t="s">
        <v>2</v>
      </c>
      <c r="AR46" t="s">
        <v>2</v>
      </c>
      <c r="AS46" t="s">
        <v>2</v>
      </c>
      <c r="AT46" t="s">
        <v>2</v>
      </c>
      <c r="AU46" t="s">
        <v>2</v>
      </c>
      <c r="AV46" t="s">
        <v>2</v>
      </c>
      <c r="AW46" t="s">
        <v>2</v>
      </c>
      <c r="AX46" t="s">
        <v>2</v>
      </c>
      <c r="AY46" t="s">
        <v>2</v>
      </c>
      <c r="AZ46" t="s">
        <v>2</v>
      </c>
      <c r="BA46" t="s">
        <v>2</v>
      </c>
      <c r="BB46" t="s">
        <v>2</v>
      </c>
    </row>
    <row r="47" spans="1:62" x14ac:dyDescent="0.25">
      <c r="A47" s="2" t="s">
        <v>58</v>
      </c>
      <c r="B47" t="s">
        <v>2</v>
      </c>
      <c r="C47" t="s">
        <v>2</v>
      </c>
      <c r="D47" t="s">
        <v>2</v>
      </c>
      <c r="E47" t="s">
        <v>2</v>
      </c>
      <c r="F47" t="s">
        <v>2</v>
      </c>
      <c r="G47" t="s">
        <v>2</v>
      </c>
      <c r="H47" t="s">
        <v>2</v>
      </c>
      <c r="I47" t="s">
        <v>2</v>
      </c>
      <c r="J47" t="s">
        <v>2</v>
      </c>
      <c r="K47" t="s">
        <v>2</v>
      </c>
      <c r="L47" t="s">
        <v>2</v>
      </c>
      <c r="M47" t="s">
        <v>2</v>
      </c>
      <c r="N47" t="s">
        <v>2</v>
      </c>
      <c r="O47" t="s">
        <v>2</v>
      </c>
      <c r="P47" t="s">
        <v>2</v>
      </c>
      <c r="Q47" t="s">
        <v>2</v>
      </c>
      <c r="R47" t="s">
        <v>2</v>
      </c>
      <c r="S47" t="s">
        <v>2</v>
      </c>
      <c r="T47" t="s">
        <v>2</v>
      </c>
      <c r="U47" t="s">
        <v>2</v>
      </c>
      <c r="V47" t="s">
        <v>2</v>
      </c>
      <c r="W47" t="s">
        <v>2</v>
      </c>
      <c r="X47" t="s">
        <v>2</v>
      </c>
      <c r="Y47" t="s">
        <v>2</v>
      </c>
      <c r="Z47" t="s">
        <v>2</v>
      </c>
      <c r="AA47" t="s">
        <v>2</v>
      </c>
      <c r="AB47" t="s">
        <v>2</v>
      </c>
      <c r="AC47" t="s">
        <v>2</v>
      </c>
      <c r="AD47" t="s">
        <v>2</v>
      </c>
      <c r="AE47" t="s">
        <v>2</v>
      </c>
      <c r="AF47" t="s">
        <v>2</v>
      </c>
      <c r="AG47" t="s">
        <v>2</v>
      </c>
      <c r="AH47" t="s">
        <v>2</v>
      </c>
      <c r="AI47" t="s">
        <v>2</v>
      </c>
      <c r="AJ47" t="s">
        <v>2</v>
      </c>
      <c r="AK47" t="s">
        <v>2</v>
      </c>
      <c r="AL47" t="s">
        <v>2</v>
      </c>
      <c r="AM47" t="s">
        <v>2</v>
      </c>
      <c r="AN47" t="s">
        <v>2</v>
      </c>
      <c r="AO47" t="s">
        <v>2</v>
      </c>
      <c r="AP47" t="s">
        <v>2</v>
      </c>
      <c r="AQ47" t="s">
        <v>2</v>
      </c>
      <c r="AR47" t="s">
        <v>2</v>
      </c>
      <c r="AS47" t="s">
        <v>2</v>
      </c>
      <c r="AT47" t="s">
        <v>2</v>
      </c>
      <c r="AU47" t="s">
        <v>2</v>
      </c>
      <c r="AV47" t="s">
        <v>2</v>
      </c>
      <c r="AW47" t="s">
        <v>2</v>
      </c>
      <c r="AX47" t="s">
        <v>2</v>
      </c>
      <c r="AY47" t="s">
        <v>2</v>
      </c>
      <c r="AZ47" t="s">
        <v>2</v>
      </c>
      <c r="BA47" t="s">
        <v>2</v>
      </c>
      <c r="BB47" t="s">
        <v>2</v>
      </c>
    </row>
    <row r="48" spans="1:62" x14ac:dyDescent="0.25">
      <c r="A48" s="2" t="s">
        <v>59</v>
      </c>
    </row>
    <row r="49" spans="1:62" x14ac:dyDescent="0.25">
      <c r="A49" s="2" t="s">
        <v>30</v>
      </c>
      <c r="B49" t="s">
        <v>2</v>
      </c>
      <c r="C49" t="s">
        <v>2</v>
      </c>
      <c r="D49" t="s">
        <v>2</v>
      </c>
      <c r="E49" t="s">
        <v>2</v>
      </c>
      <c r="F49" t="s">
        <v>2</v>
      </c>
      <c r="G49" t="s">
        <v>2</v>
      </c>
      <c r="H49" t="s">
        <v>2</v>
      </c>
      <c r="I49" t="s">
        <v>2</v>
      </c>
      <c r="J49" t="s">
        <v>2</v>
      </c>
      <c r="K49" t="s">
        <v>2</v>
      </c>
      <c r="L49" t="s">
        <v>2</v>
      </c>
      <c r="M49" t="s">
        <v>2</v>
      </c>
      <c r="N49" t="s">
        <v>2</v>
      </c>
      <c r="O49" t="s">
        <v>2</v>
      </c>
      <c r="P49" t="s">
        <v>2</v>
      </c>
      <c r="Q49" t="s">
        <v>2</v>
      </c>
      <c r="R49" t="s">
        <v>2</v>
      </c>
      <c r="S49" t="s">
        <v>2</v>
      </c>
      <c r="T49" t="s">
        <v>2</v>
      </c>
      <c r="U49" t="s">
        <v>2</v>
      </c>
      <c r="V49" t="s">
        <v>2</v>
      </c>
      <c r="W49" t="s">
        <v>2</v>
      </c>
      <c r="X49" t="s">
        <v>2</v>
      </c>
      <c r="Y49" t="s">
        <v>2</v>
      </c>
      <c r="Z49" t="s">
        <v>2</v>
      </c>
      <c r="AA49" t="s">
        <v>2</v>
      </c>
      <c r="AB49" t="s">
        <v>2</v>
      </c>
      <c r="AC49" t="s">
        <v>2</v>
      </c>
      <c r="AD49" t="s">
        <v>2</v>
      </c>
      <c r="AE49" t="s">
        <v>2</v>
      </c>
      <c r="AF49" t="s">
        <v>2</v>
      </c>
      <c r="AG49" t="s">
        <v>2</v>
      </c>
      <c r="AH49">
        <v>740</v>
      </c>
      <c r="AI49">
        <v>1197</v>
      </c>
      <c r="AJ49">
        <v>3031</v>
      </c>
      <c r="AK49">
        <v>4168</v>
      </c>
      <c r="AL49">
        <v>6070</v>
      </c>
      <c r="AM49">
        <v>4154</v>
      </c>
      <c r="AN49" t="s">
        <v>2</v>
      </c>
      <c r="AO49">
        <v>6549</v>
      </c>
      <c r="AP49">
        <v>1989</v>
      </c>
      <c r="AQ49">
        <v>897</v>
      </c>
      <c r="AR49">
        <v>5141</v>
      </c>
      <c r="AS49">
        <v>7066</v>
      </c>
      <c r="AT49">
        <v>3389</v>
      </c>
      <c r="AU49" t="s">
        <v>2</v>
      </c>
      <c r="AV49">
        <v>2283</v>
      </c>
      <c r="AW49">
        <v>2085</v>
      </c>
      <c r="AX49">
        <v>2218</v>
      </c>
      <c r="AY49">
        <v>7442</v>
      </c>
      <c r="AZ49">
        <v>6766</v>
      </c>
      <c r="BB49" t="s">
        <v>2</v>
      </c>
      <c r="BI49" t="s">
        <v>2</v>
      </c>
    </row>
    <row r="50" spans="1:62" x14ac:dyDescent="0.25">
      <c r="A50" s="2" t="s">
        <v>31</v>
      </c>
      <c r="B50" t="s">
        <v>2</v>
      </c>
      <c r="C50" t="s">
        <v>2</v>
      </c>
      <c r="D50" t="s">
        <v>2</v>
      </c>
      <c r="E50" t="s">
        <v>2</v>
      </c>
      <c r="F50" t="s">
        <v>2</v>
      </c>
      <c r="G50" t="s">
        <v>2</v>
      </c>
      <c r="H50" t="s">
        <v>2</v>
      </c>
      <c r="I50" t="s">
        <v>2</v>
      </c>
      <c r="J50" t="s">
        <v>2</v>
      </c>
      <c r="K50" t="s">
        <v>2</v>
      </c>
      <c r="L50" t="s">
        <v>2</v>
      </c>
      <c r="M50" t="s">
        <v>2</v>
      </c>
      <c r="N50" t="s">
        <v>2</v>
      </c>
      <c r="O50" t="s">
        <v>2</v>
      </c>
      <c r="P50" t="s">
        <v>2</v>
      </c>
      <c r="Q50" t="s">
        <v>2</v>
      </c>
      <c r="R50" t="s">
        <v>2</v>
      </c>
      <c r="S50" t="s">
        <v>2</v>
      </c>
      <c r="T50" t="s">
        <v>2</v>
      </c>
      <c r="U50" t="s">
        <v>2</v>
      </c>
      <c r="V50" t="s">
        <v>2</v>
      </c>
      <c r="W50" t="s">
        <v>2</v>
      </c>
      <c r="X50" t="s">
        <v>2</v>
      </c>
      <c r="Y50" t="s">
        <v>2</v>
      </c>
      <c r="Z50" t="s">
        <v>2</v>
      </c>
      <c r="AA50" t="s">
        <v>2</v>
      </c>
      <c r="AB50" t="s">
        <v>2</v>
      </c>
      <c r="AC50" t="s">
        <v>2</v>
      </c>
      <c r="AD50" t="s">
        <v>2</v>
      </c>
      <c r="AE50" t="s">
        <v>2</v>
      </c>
      <c r="AF50" t="s">
        <v>2</v>
      </c>
      <c r="AG50" t="s">
        <v>2</v>
      </c>
      <c r="AH50">
        <v>4.05</v>
      </c>
      <c r="AI50">
        <v>3.27</v>
      </c>
      <c r="AJ50">
        <v>14.63</v>
      </c>
      <c r="AK50">
        <v>15.12</v>
      </c>
      <c r="AL50">
        <v>21</v>
      </c>
      <c r="AM50">
        <v>14.7</v>
      </c>
      <c r="AN50" t="s">
        <v>2</v>
      </c>
      <c r="AO50">
        <v>25.54</v>
      </c>
      <c r="AP50">
        <v>11.65</v>
      </c>
      <c r="AQ50">
        <v>5.43</v>
      </c>
      <c r="AR50">
        <v>20.43</v>
      </c>
      <c r="AS50">
        <v>30.88</v>
      </c>
      <c r="AT50">
        <v>20.65</v>
      </c>
      <c r="AU50" t="s">
        <v>2</v>
      </c>
      <c r="AV50">
        <v>13.88</v>
      </c>
      <c r="AW50">
        <v>7.38</v>
      </c>
      <c r="AX50">
        <v>7.52</v>
      </c>
      <c r="AY50">
        <v>30.33</v>
      </c>
      <c r="AZ50">
        <v>30.8</v>
      </c>
      <c r="BB50" t="s">
        <v>2</v>
      </c>
      <c r="BI50" t="s">
        <v>2</v>
      </c>
    </row>
    <row r="51" spans="1:62" x14ac:dyDescent="0.25">
      <c r="A51" s="2" t="s">
        <v>33</v>
      </c>
      <c r="B51" t="s">
        <v>2</v>
      </c>
      <c r="C51" t="s">
        <v>2</v>
      </c>
      <c r="D51" t="s">
        <v>2</v>
      </c>
      <c r="E51" t="s">
        <v>2</v>
      </c>
      <c r="F51" t="s">
        <v>2</v>
      </c>
      <c r="G51" t="s">
        <v>2</v>
      </c>
      <c r="H51" t="s">
        <v>2</v>
      </c>
      <c r="I51" t="s">
        <v>2</v>
      </c>
      <c r="J51" t="s">
        <v>2</v>
      </c>
      <c r="K51" t="s">
        <v>2</v>
      </c>
      <c r="L51" t="s">
        <v>2</v>
      </c>
      <c r="M51" t="s">
        <v>2</v>
      </c>
      <c r="N51" t="s">
        <v>2</v>
      </c>
      <c r="O51" t="s">
        <v>2</v>
      </c>
      <c r="P51" t="s">
        <v>2</v>
      </c>
      <c r="Q51" t="s">
        <v>2</v>
      </c>
      <c r="R51" t="s">
        <v>2</v>
      </c>
      <c r="S51" t="s">
        <v>2</v>
      </c>
      <c r="T51" t="s">
        <v>2</v>
      </c>
      <c r="U51" t="s">
        <v>2</v>
      </c>
      <c r="V51" t="s">
        <v>2</v>
      </c>
      <c r="W51" t="s">
        <v>2</v>
      </c>
      <c r="X51" t="s">
        <v>2</v>
      </c>
      <c r="Y51" t="s">
        <v>2</v>
      </c>
      <c r="Z51" t="s">
        <v>2</v>
      </c>
      <c r="AA51" t="s">
        <v>2</v>
      </c>
      <c r="AB51" t="s">
        <v>2</v>
      </c>
      <c r="AC51" t="s">
        <v>2</v>
      </c>
      <c r="AD51" t="s">
        <v>2</v>
      </c>
      <c r="AE51" t="s">
        <v>2</v>
      </c>
      <c r="AF51" t="s">
        <v>2</v>
      </c>
      <c r="AG51" t="e">
        <f t="shared" ref="AG51:BJ51" si="8">AG49/AG50</f>
        <v>#VALUE!</v>
      </c>
      <c r="AH51">
        <f t="shared" si="8"/>
        <v>182.71604938271605</v>
      </c>
      <c r="AI51">
        <f t="shared" si="8"/>
        <v>366.05504587155963</v>
      </c>
      <c r="AJ51">
        <f t="shared" si="8"/>
        <v>207.17703349282294</v>
      </c>
      <c r="AK51">
        <f t="shared" si="8"/>
        <v>275.6613756613757</v>
      </c>
      <c r="AL51">
        <f t="shared" si="8"/>
        <v>289.04761904761904</v>
      </c>
      <c r="AM51">
        <f t="shared" si="8"/>
        <v>282.58503401360548</v>
      </c>
      <c r="AN51" t="e">
        <f t="shared" si="8"/>
        <v>#VALUE!</v>
      </c>
      <c r="AO51">
        <f t="shared" si="8"/>
        <v>256.42129992169146</v>
      </c>
      <c r="AP51">
        <f t="shared" si="8"/>
        <v>170.72961373390558</v>
      </c>
      <c r="AQ51">
        <f t="shared" si="8"/>
        <v>165.19337016574588</v>
      </c>
      <c r="AR51">
        <f t="shared" si="8"/>
        <v>251.6397454723446</v>
      </c>
      <c r="AS51">
        <f t="shared" si="8"/>
        <v>228.82124352331607</v>
      </c>
      <c r="AT51">
        <f t="shared" si="8"/>
        <v>164.11622276029055</v>
      </c>
      <c r="AU51" t="e">
        <f t="shared" si="8"/>
        <v>#VALUE!</v>
      </c>
      <c r="AV51">
        <f t="shared" si="8"/>
        <v>164.48126801152736</v>
      </c>
      <c r="AW51">
        <f t="shared" si="8"/>
        <v>282.52032520325201</v>
      </c>
      <c r="AX51">
        <f t="shared" si="8"/>
        <v>294.94680851063833</v>
      </c>
      <c r="AY51">
        <f t="shared" si="8"/>
        <v>245.36762281569403</v>
      </c>
      <c r="AZ51">
        <f t="shared" si="8"/>
        <v>219.67532467532467</v>
      </c>
      <c r="BA51" t="e">
        <f t="shared" si="8"/>
        <v>#DIV/0!</v>
      </c>
      <c r="BB51" t="e">
        <f t="shared" si="8"/>
        <v>#VALUE!</v>
      </c>
      <c r="BC51" t="e">
        <f t="shared" si="8"/>
        <v>#DIV/0!</v>
      </c>
      <c r="BD51" t="e">
        <f t="shared" si="8"/>
        <v>#DIV/0!</v>
      </c>
      <c r="BE51" t="e">
        <f t="shared" si="8"/>
        <v>#DIV/0!</v>
      </c>
      <c r="BF51" t="e">
        <f t="shared" si="8"/>
        <v>#DIV/0!</v>
      </c>
      <c r="BG51" t="e">
        <f t="shared" si="8"/>
        <v>#DIV/0!</v>
      </c>
      <c r="BH51" t="e">
        <f t="shared" si="8"/>
        <v>#DIV/0!</v>
      </c>
      <c r="BI51" t="e">
        <f t="shared" si="8"/>
        <v>#VALUE!</v>
      </c>
      <c r="BJ51" t="e">
        <f t="shared" si="8"/>
        <v>#DIV/0!</v>
      </c>
    </row>
    <row r="52" spans="1:62" x14ac:dyDescent="0.25">
      <c r="A52" s="2" t="s">
        <v>60</v>
      </c>
      <c r="B52" t="s">
        <v>2</v>
      </c>
      <c r="C52" t="s">
        <v>2</v>
      </c>
      <c r="D52" t="s">
        <v>2</v>
      </c>
      <c r="E52" t="s">
        <v>2</v>
      </c>
      <c r="F52" t="s">
        <v>2</v>
      </c>
      <c r="G52" t="s">
        <v>2</v>
      </c>
      <c r="H52" t="s">
        <v>2</v>
      </c>
      <c r="I52" t="s">
        <v>2</v>
      </c>
      <c r="J52" t="s">
        <v>2</v>
      </c>
      <c r="K52" t="s">
        <v>2</v>
      </c>
      <c r="L52" t="s">
        <v>2</v>
      </c>
      <c r="M52" t="s">
        <v>2</v>
      </c>
      <c r="N52" t="s">
        <v>2</v>
      </c>
      <c r="O52" t="s">
        <v>2</v>
      </c>
      <c r="P52" t="s">
        <v>2</v>
      </c>
      <c r="Q52" t="s">
        <v>2</v>
      </c>
      <c r="R52" t="s">
        <v>2</v>
      </c>
      <c r="S52" t="s">
        <v>2</v>
      </c>
      <c r="T52" t="s">
        <v>2</v>
      </c>
      <c r="U52" t="s">
        <v>2</v>
      </c>
      <c r="V52" t="s">
        <v>2</v>
      </c>
      <c r="W52" t="s">
        <v>2</v>
      </c>
      <c r="X52" t="s">
        <v>2</v>
      </c>
      <c r="Y52" t="s">
        <v>2</v>
      </c>
      <c r="Z52" t="s">
        <v>2</v>
      </c>
      <c r="AA52" t="s">
        <v>2</v>
      </c>
      <c r="AB52" t="s">
        <v>2</v>
      </c>
      <c r="AC52" t="s">
        <v>2</v>
      </c>
      <c r="AD52" t="s">
        <v>2</v>
      </c>
      <c r="AE52" t="s">
        <v>2</v>
      </c>
      <c r="AF52" t="s">
        <v>2</v>
      </c>
      <c r="AG52">
        <v>250</v>
      </c>
      <c r="AH52">
        <v>250</v>
      </c>
      <c r="AI52">
        <v>250</v>
      </c>
      <c r="AJ52">
        <v>250</v>
      </c>
      <c r="AK52">
        <v>250</v>
      </c>
      <c r="AL52">
        <v>250</v>
      </c>
      <c r="AM52">
        <v>250</v>
      </c>
      <c r="AN52">
        <v>250</v>
      </c>
      <c r="AO52">
        <v>250</v>
      </c>
      <c r="AP52">
        <v>250</v>
      </c>
      <c r="AQ52">
        <v>250</v>
      </c>
      <c r="AR52">
        <v>250</v>
      </c>
      <c r="AS52">
        <v>250</v>
      </c>
      <c r="AT52">
        <v>250</v>
      </c>
      <c r="AU52">
        <v>250</v>
      </c>
      <c r="AV52">
        <v>250</v>
      </c>
      <c r="AW52">
        <v>250</v>
      </c>
      <c r="AX52">
        <v>250</v>
      </c>
      <c r="AY52">
        <v>250</v>
      </c>
      <c r="AZ52">
        <v>250</v>
      </c>
      <c r="BA52">
        <v>250</v>
      </c>
      <c r="BB52">
        <v>250</v>
      </c>
      <c r="BC52">
        <v>250</v>
      </c>
      <c r="BD52">
        <v>250</v>
      </c>
      <c r="BE52">
        <v>250</v>
      </c>
      <c r="BF52">
        <v>250</v>
      </c>
      <c r="BG52">
        <v>250</v>
      </c>
      <c r="BH52">
        <v>250</v>
      </c>
      <c r="BI52">
        <v>250</v>
      </c>
      <c r="BJ52">
        <v>250</v>
      </c>
    </row>
    <row r="53" spans="1:62" x14ac:dyDescent="0.25">
      <c r="A53" s="2" t="s">
        <v>61</v>
      </c>
    </row>
    <row r="54" spans="1:62" x14ac:dyDescent="0.25">
      <c r="A54" s="2"/>
    </row>
    <row r="55" spans="1:62" x14ac:dyDescent="0.25">
      <c r="A55" s="2" t="s">
        <v>30</v>
      </c>
      <c r="B55">
        <v>2701</v>
      </c>
      <c r="C55">
        <v>1562</v>
      </c>
      <c r="D55">
        <v>2995</v>
      </c>
      <c r="E55" t="s">
        <v>2</v>
      </c>
      <c r="F55">
        <v>3839</v>
      </c>
      <c r="G55">
        <v>4258</v>
      </c>
      <c r="H55">
        <v>1711</v>
      </c>
      <c r="I55">
        <v>61</v>
      </c>
      <c r="J55">
        <v>4449</v>
      </c>
      <c r="K55">
        <v>1732</v>
      </c>
      <c r="L55" t="s">
        <v>2</v>
      </c>
      <c r="M55">
        <v>0</v>
      </c>
      <c r="N55">
        <v>6153</v>
      </c>
      <c r="O55">
        <v>1435</v>
      </c>
      <c r="P55">
        <v>1037</v>
      </c>
      <c r="Q55">
        <v>3498</v>
      </c>
      <c r="R55">
        <v>3137</v>
      </c>
      <c r="S55" t="s">
        <v>2</v>
      </c>
      <c r="T55">
        <v>2230</v>
      </c>
      <c r="U55">
        <v>1125</v>
      </c>
      <c r="V55">
        <v>2254</v>
      </c>
      <c r="W55">
        <v>1756</v>
      </c>
      <c r="X55">
        <v>1750</v>
      </c>
      <c r="Y55">
        <v>2429</v>
      </c>
      <c r="Z55" t="s">
        <v>2</v>
      </c>
      <c r="AA55">
        <v>1417</v>
      </c>
      <c r="AB55">
        <v>1214</v>
      </c>
      <c r="AC55">
        <v>696</v>
      </c>
      <c r="AD55">
        <v>643</v>
      </c>
      <c r="AE55">
        <v>6347</v>
      </c>
      <c r="AF55">
        <v>2461</v>
      </c>
      <c r="AG55" t="s">
        <v>2</v>
      </c>
      <c r="AH55">
        <v>549</v>
      </c>
      <c r="AI55">
        <v>1197</v>
      </c>
      <c r="AJ55">
        <v>2013</v>
      </c>
      <c r="AK55">
        <v>3207</v>
      </c>
      <c r="AL55">
        <v>2797</v>
      </c>
      <c r="AM55">
        <v>3139</v>
      </c>
      <c r="AN55" t="s">
        <v>2</v>
      </c>
      <c r="AO55">
        <v>4108</v>
      </c>
      <c r="AP55">
        <v>1989</v>
      </c>
      <c r="AQ55">
        <v>897</v>
      </c>
      <c r="AR55">
        <v>2811</v>
      </c>
      <c r="AS55">
        <v>3373</v>
      </c>
      <c r="AT55">
        <v>2870</v>
      </c>
      <c r="AU55" t="s">
        <v>2</v>
      </c>
      <c r="AV55">
        <v>2206</v>
      </c>
      <c r="AW55">
        <v>2073</v>
      </c>
      <c r="AX55">
        <v>2213</v>
      </c>
      <c r="AY55">
        <v>5290</v>
      </c>
      <c r="AZ55">
        <v>4078</v>
      </c>
      <c r="BB55" t="s">
        <v>2</v>
      </c>
      <c r="BI55" t="s">
        <v>2</v>
      </c>
    </row>
    <row r="56" spans="1:62" x14ac:dyDescent="0.25">
      <c r="A56" s="2" t="s">
        <v>31</v>
      </c>
      <c r="B56">
        <v>8</v>
      </c>
      <c r="C56">
        <v>4</v>
      </c>
      <c r="D56">
        <v>14.5</v>
      </c>
      <c r="E56" t="s">
        <v>2</v>
      </c>
      <c r="F56">
        <v>17.13</v>
      </c>
      <c r="G56">
        <v>18.670000000000002</v>
      </c>
      <c r="H56">
        <v>7.67</v>
      </c>
      <c r="I56">
        <v>0.25</v>
      </c>
      <c r="J56">
        <v>12.17</v>
      </c>
      <c r="K56">
        <v>5</v>
      </c>
      <c r="L56" t="s">
        <v>2</v>
      </c>
      <c r="M56">
        <v>0</v>
      </c>
      <c r="N56">
        <v>30.67</v>
      </c>
      <c r="O56">
        <v>6.73</v>
      </c>
      <c r="P56">
        <v>3.33</v>
      </c>
      <c r="Q56">
        <v>14.16</v>
      </c>
      <c r="R56">
        <v>15</v>
      </c>
      <c r="S56" t="s">
        <v>2</v>
      </c>
      <c r="T56">
        <v>10.9</v>
      </c>
      <c r="U56">
        <v>5.3</v>
      </c>
      <c r="V56">
        <v>7.9</v>
      </c>
      <c r="W56">
        <v>6.46</v>
      </c>
      <c r="X56">
        <v>7.9</v>
      </c>
      <c r="Y56">
        <v>13.98</v>
      </c>
      <c r="Z56" t="s">
        <v>2</v>
      </c>
      <c r="AA56">
        <v>4.5</v>
      </c>
      <c r="AB56">
        <v>2.76</v>
      </c>
      <c r="AC56">
        <v>2.0699999999999998</v>
      </c>
      <c r="AD56">
        <v>2.78</v>
      </c>
      <c r="AE56">
        <v>27.01</v>
      </c>
      <c r="AF56">
        <v>10.6</v>
      </c>
      <c r="AG56" t="s">
        <v>2</v>
      </c>
      <c r="AH56">
        <v>3.25</v>
      </c>
      <c r="AI56">
        <v>3.27</v>
      </c>
      <c r="AJ56">
        <v>9.6300000000000008</v>
      </c>
      <c r="AK56">
        <v>10.72</v>
      </c>
      <c r="AL56">
        <v>12.8</v>
      </c>
      <c r="AM56">
        <v>11.87</v>
      </c>
      <c r="AN56" t="s">
        <v>2</v>
      </c>
      <c r="AO56">
        <v>17.32</v>
      </c>
      <c r="AP56">
        <v>11.65</v>
      </c>
      <c r="AQ56">
        <v>5.43</v>
      </c>
      <c r="AR56">
        <v>13.63</v>
      </c>
      <c r="AS56">
        <v>18.43</v>
      </c>
      <c r="AT56">
        <v>17.23</v>
      </c>
      <c r="AU56" t="s">
        <v>2</v>
      </c>
      <c r="AV56">
        <v>13.53</v>
      </c>
      <c r="AW56">
        <v>7.33</v>
      </c>
      <c r="AX56">
        <v>7.5</v>
      </c>
      <c r="AY56">
        <v>20.9</v>
      </c>
      <c r="AZ56">
        <v>18.329999999999998</v>
      </c>
      <c r="BB56" t="s">
        <v>2</v>
      </c>
      <c r="BI56" t="s">
        <v>2</v>
      </c>
    </row>
    <row r="57" spans="1:62" x14ac:dyDescent="0.25">
      <c r="A57" s="2" t="s">
        <v>34</v>
      </c>
      <c r="B57">
        <f>B55/B56</f>
        <v>337.625</v>
      </c>
      <c r="C57">
        <f>C55/C56</f>
        <v>390.5</v>
      </c>
      <c r="D57">
        <f>D55/D56</f>
        <v>206.55172413793105</v>
      </c>
      <c r="E57" t="e">
        <f>E55/E56</f>
        <v>#VALUE!</v>
      </c>
      <c r="F57">
        <f t="shared" ref="F57:O57" si="9">B55/F56</f>
        <v>157.67659077641565</v>
      </c>
      <c r="G57">
        <f t="shared" si="9"/>
        <v>83.663631494375991</v>
      </c>
      <c r="H57">
        <f t="shared" si="9"/>
        <v>390.48239895697526</v>
      </c>
      <c r="I57" t="e">
        <f t="shared" si="9"/>
        <v>#VALUE!</v>
      </c>
      <c r="J57">
        <f t="shared" si="9"/>
        <v>315.44782251437965</v>
      </c>
      <c r="K57">
        <f t="shared" si="9"/>
        <v>851.6</v>
      </c>
      <c r="L57" t="e">
        <f t="shared" si="9"/>
        <v>#VALUE!</v>
      </c>
      <c r="M57" t="e">
        <f t="shared" si="9"/>
        <v>#DIV/0!</v>
      </c>
      <c r="N57">
        <f t="shared" si="9"/>
        <v>145.0603195304858</v>
      </c>
      <c r="O57">
        <f t="shared" si="9"/>
        <v>257.35512630014858</v>
      </c>
      <c r="P57">
        <f t="shared" ref="P57:BJ57" si="10">P55/P56</f>
        <v>311.41141141141139</v>
      </c>
      <c r="Q57">
        <f t="shared" si="10"/>
        <v>247.03389830508473</v>
      </c>
      <c r="R57">
        <f t="shared" si="10"/>
        <v>209.13333333333333</v>
      </c>
      <c r="S57" t="e">
        <f t="shared" si="10"/>
        <v>#VALUE!</v>
      </c>
      <c r="T57">
        <f t="shared" si="10"/>
        <v>204.58715596330273</v>
      </c>
      <c r="U57">
        <f t="shared" si="10"/>
        <v>212.26415094339623</v>
      </c>
      <c r="V57">
        <f t="shared" si="10"/>
        <v>285.31645569620252</v>
      </c>
      <c r="W57">
        <f t="shared" si="10"/>
        <v>271.82662538699691</v>
      </c>
      <c r="X57">
        <f t="shared" si="10"/>
        <v>221.51898734177215</v>
      </c>
      <c r="Y57">
        <f t="shared" si="10"/>
        <v>173.74821173104434</v>
      </c>
      <c r="Z57" t="e">
        <f t="shared" si="10"/>
        <v>#VALUE!</v>
      </c>
      <c r="AA57">
        <f t="shared" si="10"/>
        <v>314.88888888888891</v>
      </c>
      <c r="AB57">
        <f t="shared" si="10"/>
        <v>439.85507246376812</v>
      </c>
      <c r="AC57">
        <f t="shared" si="10"/>
        <v>336.23188405797106</v>
      </c>
      <c r="AD57">
        <f t="shared" si="10"/>
        <v>231.294964028777</v>
      </c>
      <c r="AE57">
        <f t="shared" si="10"/>
        <v>234.98704183635689</v>
      </c>
      <c r="AF57">
        <f t="shared" si="10"/>
        <v>232.16981132075472</v>
      </c>
      <c r="AG57" t="e">
        <f t="shared" si="10"/>
        <v>#VALUE!</v>
      </c>
      <c r="AH57">
        <f t="shared" si="10"/>
        <v>168.92307692307693</v>
      </c>
      <c r="AI57">
        <f t="shared" si="10"/>
        <v>366.05504587155963</v>
      </c>
      <c r="AJ57">
        <f t="shared" si="10"/>
        <v>209.03426791277258</v>
      </c>
      <c r="AK57">
        <f t="shared" si="10"/>
        <v>299.16044776119401</v>
      </c>
      <c r="AL57">
        <f t="shared" si="10"/>
        <v>218.515625</v>
      </c>
      <c r="AM57">
        <f t="shared" si="10"/>
        <v>264.44818871103627</v>
      </c>
      <c r="AN57" t="e">
        <f t="shared" si="10"/>
        <v>#VALUE!</v>
      </c>
      <c r="AO57">
        <f t="shared" si="10"/>
        <v>237.18244803695148</v>
      </c>
      <c r="AP57">
        <f t="shared" si="10"/>
        <v>170.72961373390558</v>
      </c>
      <c r="AQ57">
        <f t="shared" si="10"/>
        <v>165.19337016574588</v>
      </c>
      <c r="AR57">
        <f t="shared" si="10"/>
        <v>206.23624358033749</v>
      </c>
      <c r="AS57">
        <f t="shared" si="10"/>
        <v>183.01682040151925</v>
      </c>
      <c r="AT57">
        <f t="shared" si="10"/>
        <v>166.56993615786419</v>
      </c>
      <c r="AU57" t="e">
        <f t="shared" si="10"/>
        <v>#VALUE!</v>
      </c>
      <c r="AV57">
        <f t="shared" si="10"/>
        <v>163.04508499630452</v>
      </c>
      <c r="AW57">
        <f t="shared" si="10"/>
        <v>282.81036834924964</v>
      </c>
      <c r="AX57">
        <f t="shared" si="10"/>
        <v>295.06666666666666</v>
      </c>
      <c r="AY57">
        <f t="shared" si="10"/>
        <v>253.11004784688996</v>
      </c>
      <c r="AZ57">
        <f t="shared" si="10"/>
        <v>222.47681396617568</v>
      </c>
      <c r="BA57" t="e">
        <f t="shared" si="10"/>
        <v>#DIV/0!</v>
      </c>
      <c r="BB57" t="e">
        <f t="shared" si="10"/>
        <v>#VALUE!</v>
      </c>
      <c r="BC57" t="e">
        <f t="shared" si="10"/>
        <v>#DIV/0!</v>
      </c>
      <c r="BD57" t="e">
        <f t="shared" si="10"/>
        <v>#DIV/0!</v>
      </c>
      <c r="BE57" t="e">
        <f t="shared" si="10"/>
        <v>#DIV/0!</v>
      </c>
      <c r="BF57" t="e">
        <f t="shared" si="10"/>
        <v>#DIV/0!</v>
      </c>
      <c r="BG57" t="e">
        <f t="shared" si="10"/>
        <v>#DIV/0!</v>
      </c>
      <c r="BH57" t="e">
        <f t="shared" si="10"/>
        <v>#DIV/0!</v>
      </c>
      <c r="BI57" t="e">
        <f t="shared" si="10"/>
        <v>#VALUE!</v>
      </c>
      <c r="BJ57" t="e">
        <f t="shared" si="10"/>
        <v>#DIV/0!</v>
      </c>
    </row>
    <row r="58" spans="1:62" x14ac:dyDescent="0.25">
      <c r="A58" s="2" t="s">
        <v>62</v>
      </c>
      <c r="B58">
        <v>300</v>
      </c>
      <c r="C58">
        <v>300</v>
      </c>
      <c r="D58">
        <v>300</v>
      </c>
      <c r="E58">
        <v>300</v>
      </c>
      <c r="F58">
        <v>300</v>
      </c>
      <c r="G58">
        <v>300</v>
      </c>
      <c r="H58">
        <v>300</v>
      </c>
      <c r="I58">
        <v>300</v>
      </c>
      <c r="J58">
        <v>300</v>
      </c>
      <c r="K58">
        <v>300</v>
      </c>
      <c r="L58">
        <v>300</v>
      </c>
      <c r="M58">
        <v>300</v>
      </c>
      <c r="N58">
        <v>300</v>
      </c>
      <c r="O58">
        <v>300</v>
      </c>
      <c r="P58">
        <v>300</v>
      </c>
      <c r="Q58">
        <v>300</v>
      </c>
      <c r="R58">
        <v>300</v>
      </c>
      <c r="S58">
        <v>300</v>
      </c>
      <c r="T58">
        <v>300</v>
      </c>
      <c r="U58">
        <v>300</v>
      </c>
      <c r="V58">
        <v>300</v>
      </c>
      <c r="W58">
        <v>300</v>
      </c>
      <c r="X58">
        <v>300</v>
      </c>
      <c r="Y58">
        <v>300</v>
      </c>
      <c r="Z58">
        <v>300</v>
      </c>
      <c r="AA58">
        <v>300</v>
      </c>
      <c r="AB58">
        <v>300</v>
      </c>
      <c r="AC58">
        <v>300</v>
      </c>
      <c r="AD58">
        <v>300</v>
      </c>
      <c r="AE58">
        <v>300</v>
      </c>
      <c r="AF58">
        <v>300</v>
      </c>
      <c r="AG58">
        <v>300</v>
      </c>
      <c r="AH58">
        <v>300</v>
      </c>
      <c r="AI58">
        <v>300</v>
      </c>
      <c r="AJ58">
        <v>300</v>
      </c>
      <c r="AK58">
        <v>300</v>
      </c>
      <c r="AL58">
        <v>300</v>
      </c>
      <c r="AM58">
        <v>300</v>
      </c>
      <c r="AN58">
        <v>300</v>
      </c>
      <c r="AO58">
        <v>300</v>
      </c>
      <c r="AP58">
        <v>300</v>
      </c>
      <c r="AQ58">
        <v>300</v>
      </c>
      <c r="AR58">
        <v>300</v>
      </c>
      <c r="AS58">
        <v>300</v>
      </c>
      <c r="AT58">
        <v>300</v>
      </c>
      <c r="AU58">
        <v>300</v>
      </c>
      <c r="AV58">
        <v>300</v>
      </c>
      <c r="AW58">
        <v>300</v>
      </c>
      <c r="AX58">
        <v>300</v>
      </c>
      <c r="AY58">
        <v>300</v>
      </c>
      <c r="AZ58">
        <v>300</v>
      </c>
      <c r="BA58">
        <v>300</v>
      </c>
      <c r="BB58">
        <v>300</v>
      </c>
      <c r="BC58">
        <v>300</v>
      </c>
      <c r="BD58">
        <v>300</v>
      </c>
      <c r="BE58">
        <v>300</v>
      </c>
      <c r="BF58">
        <v>300</v>
      </c>
      <c r="BG58">
        <v>300</v>
      </c>
      <c r="BH58">
        <v>300</v>
      </c>
      <c r="BI58">
        <v>300</v>
      </c>
      <c r="BJ58">
        <v>300</v>
      </c>
    </row>
    <row r="59" spans="1:62" x14ac:dyDescent="0.25">
      <c r="A59" s="2" t="s">
        <v>63</v>
      </c>
    </row>
    <row r="60" spans="1:62" x14ac:dyDescent="0.25">
      <c r="A60" s="2"/>
    </row>
    <row r="61" spans="1:62" x14ac:dyDescent="0.25">
      <c r="A61" s="2" t="s">
        <v>30</v>
      </c>
      <c r="B61">
        <v>13</v>
      </c>
      <c r="C61">
        <v>5</v>
      </c>
      <c r="D61">
        <v>3204</v>
      </c>
      <c r="E61" t="s">
        <v>2</v>
      </c>
      <c r="F61">
        <v>1034</v>
      </c>
      <c r="G61">
        <v>63</v>
      </c>
      <c r="H61">
        <v>0</v>
      </c>
      <c r="I61">
        <v>22</v>
      </c>
      <c r="J61">
        <v>22</v>
      </c>
      <c r="K61">
        <v>317</v>
      </c>
      <c r="L61" t="s">
        <v>2</v>
      </c>
      <c r="M61">
        <v>403</v>
      </c>
      <c r="N61">
        <v>1454</v>
      </c>
      <c r="O61">
        <v>206</v>
      </c>
      <c r="P61">
        <v>70</v>
      </c>
      <c r="Q61">
        <v>2406</v>
      </c>
      <c r="R61">
        <v>883</v>
      </c>
      <c r="S61" t="s">
        <v>2</v>
      </c>
      <c r="T61">
        <v>1101</v>
      </c>
      <c r="U61">
        <v>0</v>
      </c>
      <c r="V61">
        <v>0</v>
      </c>
      <c r="W61">
        <v>72</v>
      </c>
      <c r="X61">
        <v>262</v>
      </c>
      <c r="Y61">
        <v>763</v>
      </c>
      <c r="Z61" t="s">
        <v>2</v>
      </c>
      <c r="AA61">
        <v>352</v>
      </c>
      <c r="AB61">
        <v>232</v>
      </c>
      <c r="AC61">
        <v>612</v>
      </c>
      <c r="AD61">
        <v>664</v>
      </c>
      <c r="AE61">
        <v>3058</v>
      </c>
      <c r="AF61">
        <v>2226</v>
      </c>
      <c r="AG61" t="s">
        <v>2</v>
      </c>
      <c r="AH61">
        <v>191</v>
      </c>
      <c r="AI61">
        <v>0</v>
      </c>
      <c r="AJ61">
        <v>1018</v>
      </c>
      <c r="AK61">
        <v>961</v>
      </c>
      <c r="AL61">
        <v>3273</v>
      </c>
      <c r="AM61">
        <v>1015</v>
      </c>
      <c r="AN61" t="s">
        <v>2</v>
      </c>
      <c r="AO61">
        <v>2441</v>
      </c>
      <c r="AP61">
        <v>0</v>
      </c>
      <c r="AQ61">
        <v>0</v>
      </c>
      <c r="AR61">
        <v>2330</v>
      </c>
      <c r="AS61">
        <v>3693</v>
      </c>
      <c r="AT61">
        <v>519</v>
      </c>
      <c r="AU61" t="s">
        <v>2</v>
      </c>
      <c r="AV61">
        <v>77</v>
      </c>
      <c r="AW61">
        <v>12</v>
      </c>
      <c r="AX61">
        <v>5</v>
      </c>
      <c r="AY61">
        <v>2152</v>
      </c>
      <c r="AZ61">
        <v>2688</v>
      </c>
      <c r="BB61" t="s">
        <v>2</v>
      </c>
      <c r="BI61" t="s">
        <v>2</v>
      </c>
    </row>
    <row r="62" spans="1:62" x14ac:dyDescent="0.25">
      <c r="A62" s="2" t="s">
        <v>31</v>
      </c>
      <c r="B62">
        <v>0.06</v>
      </c>
      <c r="C62">
        <v>0.02</v>
      </c>
      <c r="D62">
        <v>14.9</v>
      </c>
      <c r="E62" t="s">
        <v>2</v>
      </c>
      <c r="F62">
        <v>5</v>
      </c>
      <c r="G62">
        <v>0.3</v>
      </c>
      <c r="H62">
        <v>0</v>
      </c>
      <c r="I62">
        <v>0.11</v>
      </c>
      <c r="J62">
        <v>0.11</v>
      </c>
      <c r="K62">
        <v>1.5</v>
      </c>
      <c r="L62" t="s">
        <v>2</v>
      </c>
      <c r="M62">
        <v>1.6</v>
      </c>
      <c r="N62">
        <v>5.9</v>
      </c>
      <c r="O62">
        <v>0.7</v>
      </c>
      <c r="P62">
        <v>0.3</v>
      </c>
      <c r="Q62">
        <v>10.4</v>
      </c>
      <c r="R62">
        <v>4</v>
      </c>
      <c r="S62" t="s">
        <v>2</v>
      </c>
      <c r="T62">
        <v>4.0999999999999996</v>
      </c>
      <c r="U62">
        <v>0</v>
      </c>
      <c r="V62">
        <v>0</v>
      </c>
      <c r="W62">
        <v>0.3</v>
      </c>
      <c r="X62">
        <v>1.3</v>
      </c>
      <c r="Y62">
        <v>2</v>
      </c>
      <c r="Z62" t="s">
        <v>2</v>
      </c>
      <c r="AA62">
        <v>1.5</v>
      </c>
      <c r="AB62">
        <v>1</v>
      </c>
      <c r="AC62">
        <v>1.6</v>
      </c>
      <c r="AD62">
        <v>2.2000000000000002</v>
      </c>
      <c r="AE62">
        <v>12.18</v>
      </c>
      <c r="AF62">
        <v>8.4</v>
      </c>
      <c r="AG62" t="s">
        <v>2</v>
      </c>
      <c r="AH62">
        <v>0.8</v>
      </c>
      <c r="AI62">
        <v>0</v>
      </c>
      <c r="AJ62">
        <v>5</v>
      </c>
      <c r="AK62">
        <v>4.4000000000000004</v>
      </c>
      <c r="AL62">
        <v>8.1999999999999993</v>
      </c>
      <c r="AM62">
        <v>2.8</v>
      </c>
      <c r="AN62" t="s">
        <v>2</v>
      </c>
      <c r="AO62">
        <v>8.1999999999999993</v>
      </c>
      <c r="AP62">
        <v>0</v>
      </c>
      <c r="AQ62">
        <v>0</v>
      </c>
      <c r="AR62">
        <v>6.8</v>
      </c>
      <c r="AS62">
        <v>12.45</v>
      </c>
      <c r="AT62">
        <v>3.42</v>
      </c>
      <c r="AU62" t="s">
        <v>2</v>
      </c>
      <c r="AV62">
        <v>0.35</v>
      </c>
      <c r="AW62">
        <v>0.05</v>
      </c>
      <c r="AX62">
        <v>0.02</v>
      </c>
      <c r="AY62">
        <v>9.43</v>
      </c>
      <c r="AZ62">
        <v>12.47</v>
      </c>
      <c r="BB62" t="s">
        <v>2</v>
      </c>
      <c r="BI62" t="s">
        <v>2</v>
      </c>
    </row>
    <row r="63" spans="1:62" x14ac:dyDescent="0.25">
      <c r="A63" s="2" t="s">
        <v>35</v>
      </c>
      <c r="B63">
        <f t="shared" ref="B63:AG63" si="11">B61/B62</f>
        <v>216.66666666666669</v>
      </c>
      <c r="C63">
        <f t="shared" si="11"/>
        <v>250</v>
      </c>
      <c r="D63">
        <f t="shared" si="11"/>
        <v>215.03355704697987</v>
      </c>
      <c r="E63" t="e">
        <f t="shared" si="11"/>
        <v>#VALUE!</v>
      </c>
      <c r="F63">
        <f t="shared" si="11"/>
        <v>206.8</v>
      </c>
      <c r="G63">
        <f t="shared" si="11"/>
        <v>210</v>
      </c>
      <c r="H63" t="e">
        <f t="shared" si="11"/>
        <v>#DIV/0!</v>
      </c>
      <c r="I63">
        <f t="shared" si="11"/>
        <v>200</v>
      </c>
      <c r="J63">
        <f t="shared" si="11"/>
        <v>200</v>
      </c>
      <c r="K63">
        <f t="shared" si="11"/>
        <v>211.33333333333334</v>
      </c>
      <c r="L63" t="e">
        <f t="shared" si="11"/>
        <v>#VALUE!</v>
      </c>
      <c r="M63">
        <f t="shared" si="11"/>
        <v>251.875</v>
      </c>
      <c r="N63">
        <f t="shared" si="11"/>
        <v>246.44067796610167</v>
      </c>
      <c r="O63">
        <f t="shared" si="11"/>
        <v>294.28571428571428</v>
      </c>
      <c r="P63">
        <f t="shared" si="11"/>
        <v>233.33333333333334</v>
      </c>
      <c r="Q63">
        <f t="shared" si="11"/>
        <v>231.34615384615384</v>
      </c>
      <c r="R63">
        <f t="shared" si="11"/>
        <v>220.75</v>
      </c>
      <c r="S63" t="e">
        <f t="shared" si="11"/>
        <v>#VALUE!</v>
      </c>
      <c r="T63">
        <f t="shared" si="11"/>
        <v>268.53658536585368</v>
      </c>
      <c r="U63" t="e">
        <f t="shared" si="11"/>
        <v>#DIV/0!</v>
      </c>
      <c r="V63" t="e">
        <f t="shared" si="11"/>
        <v>#DIV/0!</v>
      </c>
      <c r="W63">
        <f t="shared" si="11"/>
        <v>240</v>
      </c>
      <c r="X63">
        <f t="shared" si="11"/>
        <v>201.53846153846152</v>
      </c>
      <c r="Y63">
        <f t="shared" si="11"/>
        <v>381.5</v>
      </c>
      <c r="Z63" t="e">
        <f t="shared" si="11"/>
        <v>#VALUE!</v>
      </c>
      <c r="AA63">
        <f t="shared" si="11"/>
        <v>234.66666666666666</v>
      </c>
      <c r="AB63">
        <f t="shared" si="11"/>
        <v>232</v>
      </c>
      <c r="AC63">
        <f t="shared" si="11"/>
        <v>382.5</v>
      </c>
      <c r="AD63">
        <f t="shared" si="11"/>
        <v>301.81818181818181</v>
      </c>
      <c r="AE63">
        <f t="shared" si="11"/>
        <v>251.0673234811166</v>
      </c>
      <c r="AF63">
        <f t="shared" si="11"/>
        <v>265</v>
      </c>
      <c r="AG63" t="e">
        <f t="shared" si="11"/>
        <v>#VALUE!</v>
      </c>
      <c r="AH63">
        <f t="shared" ref="AH63:BJ63" si="12">AH61/AH62</f>
        <v>238.75</v>
      </c>
      <c r="AI63" t="e">
        <f t="shared" si="12"/>
        <v>#DIV/0!</v>
      </c>
      <c r="AJ63">
        <f t="shared" si="12"/>
        <v>203.6</v>
      </c>
      <c r="AK63">
        <f t="shared" si="12"/>
        <v>218.40909090909088</v>
      </c>
      <c r="AL63">
        <f t="shared" si="12"/>
        <v>399.14634146341467</v>
      </c>
      <c r="AM63">
        <f t="shared" si="12"/>
        <v>362.5</v>
      </c>
      <c r="AN63" t="e">
        <f t="shared" si="12"/>
        <v>#VALUE!</v>
      </c>
      <c r="AO63">
        <f t="shared" si="12"/>
        <v>297.6829268292683</v>
      </c>
      <c r="AP63" t="e">
        <f t="shared" si="12"/>
        <v>#DIV/0!</v>
      </c>
      <c r="AQ63" t="e">
        <f t="shared" si="12"/>
        <v>#DIV/0!</v>
      </c>
      <c r="AR63">
        <f t="shared" si="12"/>
        <v>342.64705882352945</v>
      </c>
      <c r="AS63">
        <f t="shared" si="12"/>
        <v>296.62650602409639</v>
      </c>
      <c r="AT63">
        <f t="shared" si="12"/>
        <v>151.75438596491227</v>
      </c>
      <c r="AU63" t="e">
        <f t="shared" si="12"/>
        <v>#VALUE!</v>
      </c>
      <c r="AV63">
        <f t="shared" si="12"/>
        <v>220</v>
      </c>
      <c r="AW63">
        <f t="shared" si="12"/>
        <v>240</v>
      </c>
      <c r="AX63">
        <f t="shared" si="12"/>
        <v>250</v>
      </c>
      <c r="AY63">
        <f t="shared" si="12"/>
        <v>228.20784729586427</v>
      </c>
      <c r="AZ63">
        <f t="shared" si="12"/>
        <v>215.55733761026463</v>
      </c>
      <c r="BA63" t="e">
        <f t="shared" si="12"/>
        <v>#DIV/0!</v>
      </c>
      <c r="BB63" t="e">
        <f t="shared" si="12"/>
        <v>#VALUE!</v>
      </c>
      <c r="BC63" t="e">
        <f t="shared" si="12"/>
        <v>#DIV/0!</v>
      </c>
      <c r="BD63" t="e">
        <f t="shared" si="12"/>
        <v>#DIV/0!</v>
      </c>
      <c r="BE63" t="e">
        <f t="shared" si="12"/>
        <v>#DIV/0!</v>
      </c>
      <c r="BF63" t="e">
        <f t="shared" si="12"/>
        <v>#DIV/0!</v>
      </c>
      <c r="BG63" t="e">
        <f t="shared" si="12"/>
        <v>#DIV/0!</v>
      </c>
      <c r="BH63" t="e">
        <f t="shared" si="12"/>
        <v>#DIV/0!</v>
      </c>
      <c r="BI63" t="e">
        <f t="shared" si="12"/>
        <v>#VALUE!</v>
      </c>
      <c r="BJ63" t="e">
        <f t="shared" si="12"/>
        <v>#DIV/0!</v>
      </c>
    </row>
    <row r="64" spans="1:62" x14ac:dyDescent="0.25">
      <c r="A64" s="2" t="s">
        <v>64</v>
      </c>
      <c r="B64">
        <v>250</v>
      </c>
      <c r="C64">
        <v>250</v>
      </c>
      <c r="D64">
        <v>250</v>
      </c>
      <c r="E64">
        <v>250</v>
      </c>
      <c r="F64">
        <v>250</v>
      </c>
      <c r="G64">
        <v>250</v>
      </c>
      <c r="H64">
        <v>250</v>
      </c>
      <c r="I64">
        <v>250</v>
      </c>
      <c r="J64">
        <v>250</v>
      </c>
      <c r="K64">
        <v>250</v>
      </c>
      <c r="L64">
        <v>250</v>
      </c>
      <c r="M64">
        <v>250</v>
      </c>
      <c r="N64">
        <v>250</v>
      </c>
      <c r="O64">
        <v>250</v>
      </c>
      <c r="P64">
        <v>250</v>
      </c>
      <c r="Q64">
        <v>250</v>
      </c>
      <c r="R64">
        <v>250</v>
      </c>
      <c r="S64">
        <v>250</v>
      </c>
      <c r="T64">
        <v>250</v>
      </c>
      <c r="U64">
        <v>250</v>
      </c>
      <c r="V64">
        <v>250</v>
      </c>
      <c r="W64">
        <v>250</v>
      </c>
      <c r="X64">
        <v>250</v>
      </c>
      <c r="Y64">
        <v>250</v>
      </c>
      <c r="Z64">
        <v>250</v>
      </c>
      <c r="AA64">
        <v>250</v>
      </c>
      <c r="AB64">
        <v>250</v>
      </c>
      <c r="AC64">
        <v>250</v>
      </c>
      <c r="AD64">
        <v>250</v>
      </c>
      <c r="AE64">
        <v>250</v>
      </c>
      <c r="AF64">
        <v>250</v>
      </c>
      <c r="AG64">
        <v>250</v>
      </c>
      <c r="AH64">
        <v>250</v>
      </c>
      <c r="AI64">
        <v>250</v>
      </c>
      <c r="AJ64">
        <v>250</v>
      </c>
      <c r="AK64">
        <v>250</v>
      </c>
      <c r="AL64">
        <v>250</v>
      </c>
      <c r="AM64">
        <v>250</v>
      </c>
      <c r="AN64">
        <v>250</v>
      </c>
      <c r="AO64">
        <v>250</v>
      </c>
      <c r="AP64">
        <v>250</v>
      </c>
      <c r="AQ64">
        <v>250</v>
      </c>
      <c r="AR64">
        <v>250</v>
      </c>
      <c r="AS64">
        <v>250</v>
      </c>
      <c r="AT64">
        <v>250</v>
      </c>
      <c r="AU64">
        <v>250</v>
      </c>
      <c r="AV64">
        <v>250</v>
      </c>
      <c r="AW64">
        <v>250</v>
      </c>
      <c r="AX64">
        <v>250</v>
      </c>
      <c r="AY64">
        <v>250</v>
      </c>
      <c r="AZ64">
        <v>250</v>
      </c>
      <c r="BA64">
        <v>250</v>
      </c>
      <c r="BB64">
        <v>250</v>
      </c>
      <c r="BC64">
        <v>250</v>
      </c>
      <c r="BD64">
        <v>250</v>
      </c>
      <c r="BE64">
        <v>250</v>
      </c>
      <c r="BF64">
        <v>250</v>
      </c>
      <c r="BG64">
        <v>250</v>
      </c>
      <c r="BH64">
        <v>250</v>
      </c>
      <c r="BI64">
        <v>250</v>
      </c>
      <c r="BJ64">
        <v>250</v>
      </c>
    </row>
    <row r="65" spans="1:62" x14ac:dyDescent="0.25">
      <c r="A65" s="2" t="s">
        <v>65</v>
      </c>
    </row>
    <row r="66" spans="1:62" x14ac:dyDescent="0.25">
      <c r="A66" s="2"/>
    </row>
    <row r="67" spans="1:62" x14ac:dyDescent="0.25">
      <c r="A67" s="2" t="s">
        <v>30</v>
      </c>
      <c r="B67">
        <v>35496</v>
      </c>
      <c r="C67">
        <v>39396</v>
      </c>
      <c r="D67">
        <v>28920</v>
      </c>
      <c r="E67" t="s">
        <v>2</v>
      </c>
      <c r="F67">
        <v>41124</v>
      </c>
      <c r="G67">
        <v>40320</v>
      </c>
      <c r="H67">
        <v>28560</v>
      </c>
      <c r="I67">
        <v>7668</v>
      </c>
      <c r="J67">
        <v>26196</v>
      </c>
      <c r="K67">
        <v>24300</v>
      </c>
      <c r="L67" t="s">
        <v>2</v>
      </c>
      <c r="M67">
        <v>10596</v>
      </c>
      <c r="N67">
        <v>28704</v>
      </c>
      <c r="O67">
        <v>36228</v>
      </c>
      <c r="P67">
        <v>30780</v>
      </c>
      <c r="Q67">
        <v>21780</v>
      </c>
      <c r="R67">
        <v>15360</v>
      </c>
      <c r="S67" t="s">
        <v>2</v>
      </c>
      <c r="T67">
        <v>16200</v>
      </c>
      <c r="U67">
        <v>13800</v>
      </c>
      <c r="V67">
        <v>8616</v>
      </c>
      <c r="W67">
        <v>28332</v>
      </c>
      <c r="X67">
        <v>17760</v>
      </c>
      <c r="Y67">
        <v>12240</v>
      </c>
      <c r="Z67" t="s">
        <v>2</v>
      </c>
      <c r="AA67">
        <v>20220</v>
      </c>
      <c r="AB67">
        <v>24168</v>
      </c>
      <c r="AC67">
        <v>8916</v>
      </c>
      <c r="AD67">
        <v>17208</v>
      </c>
      <c r="AE67">
        <v>23652</v>
      </c>
      <c r="AF67">
        <v>15936</v>
      </c>
      <c r="AG67" t="s">
        <v>2</v>
      </c>
      <c r="AH67">
        <v>18276</v>
      </c>
      <c r="AI67">
        <v>11300</v>
      </c>
      <c r="AJ67">
        <v>17088</v>
      </c>
      <c r="AK67">
        <v>21936</v>
      </c>
      <c r="AL67">
        <v>32484</v>
      </c>
      <c r="AM67">
        <v>23184</v>
      </c>
      <c r="AN67" t="s">
        <v>2</v>
      </c>
      <c r="AO67">
        <v>17604</v>
      </c>
      <c r="AP67">
        <v>12960</v>
      </c>
      <c r="AQ67">
        <v>33900</v>
      </c>
      <c r="AR67">
        <v>28476</v>
      </c>
      <c r="AS67">
        <v>38628</v>
      </c>
      <c r="AT67">
        <v>34812</v>
      </c>
      <c r="AU67" t="s">
        <v>2</v>
      </c>
      <c r="AV67">
        <v>29916</v>
      </c>
      <c r="AW67">
        <v>49956</v>
      </c>
      <c r="AX67">
        <v>41568</v>
      </c>
      <c r="AY67">
        <v>56016</v>
      </c>
      <c r="AZ67">
        <v>43968</v>
      </c>
      <c r="BB67" t="s">
        <v>2</v>
      </c>
      <c r="BI67" t="s">
        <v>2</v>
      </c>
    </row>
    <row r="68" spans="1:62" x14ac:dyDescent="0.25">
      <c r="A68" s="2" t="s">
        <v>31</v>
      </c>
      <c r="B68">
        <v>140</v>
      </c>
      <c r="C68">
        <v>144</v>
      </c>
      <c r="D68">
        <v>140</v>
      </c>
      <c r="E68" t="s">
        <v>2</v>
      </c>
      <c r="F68">
        <v>144</v>
      </c>
      <c r="G68">
        <v>160</v>
      </c>
      <c r="H68">
        <v>128</v>
      </c>
      <c r="I68">
        <v>54</v>
      </c>
      <c r="J68">
        <v>144</v>
      </c>
      <c r="K68">
        <v>96</v>
      </c>
      <c r="L68" t="s">
        <v>2</v>
      </c>
      <c r="M68">
        <v>75</v>
      </c>
      <c r="N68">
        <v>134</v>
      </c>
      <c r="O68">
        <v>136</v>
      </c>
      <c r="P68">
        <v>118</v>
      </c>
      <c r="Q68">
        <v>88</v>
      </c>
      <c r="R68">
        <v>54</v>
      </c>
      <c r="S68" t="s">
        <v>2</v>
      </c>
      <c r="T68">
        <v>56</v>
      </c>
      <c r="U68">
        <v>89</v>
      </c>
      <c r="V68">
        <v>67</v>
      </c>
      <c r="W68">
        <v>99.75</v>
      </c>
      <c r="X68">
        <v>66</v>
      </c>
      <c r="Y68">
        <v>73</v>
      </c>
      <c r="Z68" t="s">
        <v>2</v>
      </c>
      <c r="AA68">
        <v>89</v>
      </c>
      <c r="AB68">
        <v>97</v>
      </c>
      <c r="AC68">
        <v>40</v>
      </c>
      <c r="AD68">
        <v>72.7</v>
      </c>
      <c r="AE68">
        <v>120</v>
      </c>
      <c r="AF68">
        <v>108</v>
      </c>
      <c r="AG68" t="s">
        <v>2</v>
      </c>
      <c r="AH68">
        <v>92</v>
      </c>
      <c r="AI68">
        <v>59</v>
      </c>
      <c r="AJ68">
        <v>88</v>
      </c>
      <c r="AK68">
        <v>97</v>
      </c>
      <c r="AL68">
        <v>135</v>
      </c>
      <c r="AM68">
        <v>108</v>
      </c>
      <c r="AN68" t="s">
        <v>2</v>
      </c>
      <c r="AO68">
        <v>86</v>
      </c>
      <c r="AP68">
        <v>64</v>
      </c>
      <c r="AQ68">
        <v>130</v>
      </c>
      <c r="AR68">
        <v>109</v>
      </c>
      <c r="AS68">
        <v>143</v>
      </c>
      <c r="AT68">
        <v>134</v>
      </c>
      <c r="AU68" t="s">
        <v>2</v>
      </c>
      <c r="AV68">
        <v>116</v>
      </c>
      <c r="AW68">
        <v>150</v>
      </c>
      <c r="AX68">
        <v>150</v>
      </c>
      <c r="AY68">
        <v>154</v>
      </c>
      <c r="AZ68">
        <v>158</v>
      </c>
      <c r="BB68" t="s">
        <v>2</v>
      </c>
      <c r="BI68" t="s">
        <v>2</v>
      </c>
    </row>
    <row r="69" spans="1:62" x14ac:dyDescent="0.25">
      <c r="A69" s="2" t="s">
        <v>36</v>
      </c>
      <c r="B69">
        <f t="shared" ref="B69:AG69" si="13">B67/B68</f>
        <v>253.54285714285714</v>
      </c>
      <c r="C69">
        <f t="shared" si="13"/>
        <v>273.58333333333331</v>
      </c>
      <c r="D69">
        <f t="shared" si="13"/>
        <v>206.57142857142858</v>
      </c>
      <c r="E69" t="e">
        <f t="shared" si="13"/>
        <v>#VALUE!</v>
      </c>
      <c r="F69">
        <f t="shared" si="13"/>
        <v>285.58333333333331</v>
      </c>
      <c r="G69">
        <f t="shared" si="13"/>
        <v>252</v>
      </c>
      <c r="H69">
        <f t="shared" si="13"/>
        <v>223.125</v>
      </c>
      <c r="I69">
        <f t="shared" si="13"/>
        <v>142</v>
      </c>
      <c r="J69">
        <f t="shared" si="13"/>
        <v>181.91666666666666</v>
      </c>
      <c r="K69">
        <f t="shared" si="13"/>
        <v>253.125</v>
      </c>
      <c r="L69" t="e">
        <f t="shared" si="13"/>
        <v>#VALUE!</v>
      </c>
      <c r="M69">
        <f t="shared" si="13"/>
        <v>141.28</v>
      </c>
      <c r="N69">
        <f t="shared" si="13"/>
        <v>214.20895522388059</v>
      </c>
      <c r="O69">
        <f t="shared" si="13"/>
        <v>266.38235294117646</v>
      </c>
      <c r="P69">
        <f t="shared" si="13"/>
        <v>260.84745762711867</v>
      </c>
      <c r="Q69">
        <f t="shared" si="13"/>
        <v>247.5</v>
      </c>
      <c r="R69">
        <f t="shared" si="13"/>
        <v>284.44444444444446</v>
      </c>
      <c r="S69" t="e">
        <f t="shared" si="13"/>
        <v>#VALUE!</v>
      </c>
      <c r="T69">
        <f t="shared" si="13"/>
        <v>289.28571428571428</v>
      </c>
      <c r="U69">
        <f t="shared" si="13"/>
        <v>155.0561797752809</v>
      </c>
      <c r="V69">
        <f t="shared" si="13"/>
        <v>128.59701492537314</v>
      </c>
      <c r="W69">
        <f t="shared" si="13"/>
        <v>284.03007518796994</v>
      </c>
      <c r="X69">
        <f t="shared" si="13"/>
        <v>269.09090909090907</v>
      </c>
      <c r="Y69">
        <f t="shared" si="13"/>
        <v>167.67123287671234</v>
      </c>
      <c r="Z69" t="e">
        <f t="shared" si="13"/>
        <v>#VALUE!</v>
      </c>
      <c r="AA69">
        <f t="shared" si="13"/>
        <v>227.19101123595505</v>
      </c>
      <c r="AB69">
        <f t="shared" si="13"/>
        <v>249.15463917525773</v>
      </c>
      <c r="AC69">
        <f t="shared" si="13"/>
        <v>222.9</v>
      </c>
      <c r="AD69">
        <f t="shared" si="13"/>
        <v>236.69876203576339</v>
      </c>
      <c r="AE69">
        <f t="shared" si="13"/>
        <v>197.1</v>
      </c>
      <c r="AF69">
        <f t="shared" si="13"/>
        <v>147.55555555555554</v>
      </c>
      <c r="AG69" t="e">
        <f t="shared" si="13"/>
        <v>#VALUE!</v>
      </c>
      <c r="AH69">
        <f t="shared" ref="AH69:BJ69" si="14">AH67/AH68</f>
        <v>198.65217391304347</v>
      </c>
      <c r="AI69">
        <f t="shared" si="14"/>
        <v>191.52542372881356</v>
      </c>
      <c r="AJ69">
        <f t="shared" si="14"/>
        <v>194.18181818181819</v>
      </c>
      <c r="AK69">
        <f t="shared" si="14"/>
        <v>226.14432989690721</v>
      </c>
      <c r="AL69">
        <f t="shared" si="14"/>
        <v>240.62222222222223</v>
      </c>
      <c r="AM69">
        <f t="shared" si="14"/>
        <v>214.66666666666666</v>
      </c>
      <c r="AN69" t="e">
        <f t="shared" si="14"/>
        <v>#VALUE!</v>
      </c>
      <c r="AO69">
        <f t="shared" si="14"/>
        <v>204.69767441860466</v>
      </c>
      <c r="AP69">
        <f t="shared" si="14"/>
        <v>202.5</v>
      </c>
      <c r="AQ69">
        <f t="shared" si="14"/>
        <v>260.76923076923077</v>
      </c>
      <c r="AR69">
        <f t="shared" si="14"/>
        <v>261.24770642201833</v>
      </c>
      <c r="AS69">
        <f t="shared" si="14"/>
        <v>270.12587412587413</v>
      </c>
      <c r="AT69">
        <f t="shared" si="14"/>
        <v>259.79104477611941</v>
      </c>
      <c r="AU69" t="e">
        <f t="shared" si="14"/>
        <v>#VALUE!</v>
      </c>
      <c r="AV69">
        <f t="shared" si="14"/>
        <v>257.89655172413791</v>
      </c>
      <c r="AW69">
        <f t="shared" si="14"/>
        <v>333.04</v>
      </c>
      <c r="AX69">
        <f t="shared" si="14"/>
        <v>277.12</v>
      </c>
      <c r="AY69">
        <f t="shared" si="14"/>
        <v>363.74025974025972</v>
      </c>
      <c r="AZ69">
        <f t="shared" si="14"/>
        <v>278.27848101265823</v>
      </c>
      <c r="BA69" t="e">
        <f t="shared" si="14"/>
        <v>#DIV/0!</v>
      </c>
      <c r="BB69" t="e">
        <f t="shared" si="14"/>
        <v>#VALUE!</v>
      </c>
      <c r="BC69" t="e">
        <f t="shared" si="14"/>
        <v>#DIV/0!</v>
      </c>
      <c r="BD69" t="e">
        <f t="shared" si="14"/>
        <v>#DIV/0!</v>
      </c>
      <c r="BE69" t="e">
        <f t="shared" si="14"/>
        <v>#DIV/0!</v>
      </c>
      <c r="BF69" t="e">
        <f t="shared" si="14"/>
        <v>#DIV/0!</v>
      </c>
      <c r="BG69" t="e">
        <f t="shared" si="14"/>
        <v>#DIV/0!</v>
      </c>
      <c r="BH69" t="e">
        <f t="shared" si="14"/>
        <v>#DIV/0!</v>
      </c>
      <c r="BI69" t="e">
        <f t="shared" si="14"/>
        <v>#VALUE!</v>
      </c>
      <c r="BJ69" t="e">
        <f t="shared" si="14"/>
        <v>#DIV/0!</v>
      </c>
    </row>
    <row r="70" spans="1:62" x14ac:dyDescent="0.25">
      <c r="A70" s="2" t="s">
        <v>66</v>
      </c>
      <c r="B70">
        <v>250</v>
      </c>
      <c r="C70">
        <v>250</v>
      </c>
      <c r="D70">
        <v>250</v>
      </c>
      <c r="E70">
        <v>250</v>
      </c>
      <c r="F70">
        <v>250</v>
      </c>
      <c r="G70">
        <v>250</v>
      </c>
      <c r="H70">
        <v>250</v>
      </c>
      <c r="I70">
        <v>250</v>
      </c>
      <c r="J70">
        <v>250</v>
      </c>
      <c r="K70">
        <v>250</v>
      </c>
      <c r="L70">
        <v>250</v>
      </c>
      <c r="M70">
        <v>250</v>
      </c>
      <c r="N70">
        <v>250</v>
      </c>
      <c r="O70">
        <v>250</v>
      </c>
      <c r="P70">
        <v>250</v>
      </c>
      <c r="Q70">
        <v>250</v>
      </c>
      <c r="R70">
        <v>250</v>
      </c>
      <c r="S70">
        <v>250</v>
      </c>
      <c r="T70">
        <v>250</v>
      </c>
      <c r="U70">
        <v>250</v>
      </c>
      <c r="V70">
        <v>250</v>
      </c>
      <c r="W70">
        <v>250</v>
      </c>
      <c r="X70">
        <v>250</v>
      </c>
      <c r="Y70">
        <v>250</v>
      </c>
      <c r="Z70">
        <v>250</v>
      </c>
      <c r="AA70">
        <v>250</v>
      </c>
      <c r="AB70">
        <v>250</v>
      </c>
      <c r="AC70">
        <v>250</v>
      </c>
      <c r="AD70">
        <v>250</v>
      </c>
      <c r="AE70">
        <v>250</v>
      </c>
      <c r="AF70">
        <v>250</v>
      </c>
      <c r="AG70">
        <v>250</v>
      </c>
      <c r="AH70">
        <v>250</v>
      </c>
      <c r="AI70">
        <v>250</v>
      </c>
      <c r="AJ70">
        <v>250</v>
      </c>
      <c r="AK70">
        <v>250</v>
      </c>
      <c r="AL70">
        <v>250</v>
      </c>
      <c r="AM70">
        <v>250</v>
      </c>
      <c r="AN70">
        <v>250</v>
      </c>
      <c r="AO70">
        <v>250</v>
      </c>
      <c r="AP70">
        <v>250</v>
      </c>
      <c r="AQ70">
        <v>250</v>
      </c>
      <c r="AR70">
        <v>250</v>
      </c>
      <c r="AS70">
        <v>250</v>
      </c>
      <c r="AT70">
        <v>250</v>
      </c>
      <c r="AU70">
        <v>250</v>
      </c>
      <c r="AV70">
        <v>250</v>
      </c>
      <c r="AW70">
        <v>250</v>
      </c>
      <c r="AX70">
        <v>250</v>
      </c>
      <c r="AY70">
        <v>250</v>
      </c>
      <c r="AZ70">
        <v>250</v>
      </c>
      <c r="BA70">
        <v>250</v>
      </c>
      <c r="BB70">
        <v>250</v>
      </c>
      <c r="BC70">
        <v>250</v>
      </c>
      <c r="BD70">
        <v>250</v>
      </c>
      <c r="BE70">
        <v>250</v>
      </c>
      <c r="BF70">
        <v>250</v>
      </c>
      <c r="BG70">
        <v>250</v>
      </c>
      <c r="BH70">
        <v>250</v>
      </c>
      <c r="BI70">
        <v>250</v>
      </c>
      <c r="BJ70">
        <v>250</v>
      </c>
    </row>
    <row r="71" spans="1:62" x14ac:dyDescent="0.25">
      <c r="A71" s="2" t="s">
        <v>67</v>
      </c>
    </row>
    <row r="72" spans="1:62" x14ac:dyDescent="0.25">
      <c r="A72" s="2"/>
    </row>
    <row r="73" spans="1:62" x14ac:dyDescent="0.25">
      <c r="A73" s="2" t="s">
        <v>30</v>
      </c>
      <c r="B73">
        <v>1214</v>
      </c>
      <c r="C73">
        <v>10047</v>
      </c>
      <c r="D73">
        <v>10115</v>
      </c>
      <c r="E73" t="s">
        <v>2</v>
      </c>
      <c r="F73">
        <v>10770</v>
      </c>
      <c r="G73">
        <v>6125</v>
      </c>
      <c r="H73">
        <v>4851</v>
      </c>
      <c r="I73">
        <v>12781</v>
      </c>
      <c r="J73">
        <v>12916</v>
      </c>
      <c r="K73">
        <v>5017</v>
      </c>
      <c r="L73" t="s">
        <v>2</v>
      </c>
      <c r="M73">
        <v>8583</v>
      </c>
      <c r="N73">
        <v>6742</v>
      </c>
      <c r="O73">
        <v>9750</v>
      </c>
      <c r="P73">
        <v>9276</v>
      </c>
      <c r="Q73">
        <v>13630</v>
      </c>
      <c r="R73">
        <v>7653</v>
      </c>
      <c r="S73" t="s">
        <v>2</v>
      </c>
      <c r="T73">
        <v>1883</v>
      </c>
      <c r="U73">
        <v>4624</v>
      </c>
      <c r="V73">
        <v>6665</v>
      </c>
      <c r="W73">
        <v>9718</v>
      </c>
      <c r="X73">
        <v>11291</v>
      </c>
      <c r="Y73">
        <v>6084</v>
      </c>
      <c r="Z73" t="s">
        <v>2</v>
      </c>
      <c r="AA73">
        <v>1443</v>
      </c>
      <c r="AB73">
        <v>12138</v>
      </c>
      <c r="AC73">
        <v>6616</v>
      </c>
      <c r="AD73">
        <v>2626</v>
      </c>
      <c r="AE73">
        <v>11767</v>
      </c>
      <c r="AF73">
        <v>8787</v>
      </c>
      <c r="AG73" t="s">
        <v>2</v>
      </c>
      <c r="AH73">
        <v>8671</v>
      </c>
      <c r="AI73">
        <v>8649</v>
      </c>
      <c r="AJ73">
        <v>8530</v>
      </c>
      <c r="AK73">
        <v>13880</v>
      </c>
      <c r="AL73">
        <v>9388</v>
      </c>
      <c r="AM73">
        <v>7891</v>
      </c>
      <c r="AN73" t="s">
        <v>2</v>
      </c>
      <c r="AO73">
        <v>8608</v>
      </c>
      <c r="AP73">
        <v>9007</v>
      </c>
      <c r="AQ73">
        <v>11520</v>
      </c>
      <c r="AR73">
        <v>8001</v>
      </c>
      <c r="AS73">
        <v>8824</v>
      </c>
      <c r="AT73">
        <v>14167</v>
      </c>
      <c r="AU73" t="s">
        <v>2</v>
      </c>
      <c r="AV73">
        <v>15138</v>
      </c>
      <c r="AW73">
        <v>8950</v>
      </c>
      <c r="AX73">
        <v>14288</v>
      </c>
      <c r="AY73">
        <v>7482</v>
      </c>
      <c r="AZ73">
        <v>13179</v>
      </c>
      <c r="BB73" t="s">
        <v>2</v>
      </c>
      <c r="BI73" t="s">
        <v>2</v>
      </c>
    </row>
    <row r="74" spans="1:62" x14ac:dyDescent="0.25">
      <c r="A74" s="2" t="s">
        <v>31</v>
      </c>
      <c r="B74">
        <v>11</v>
      </c>
      <c r="C74">
        <v>56</v>
      </c>
      <c r="D74">
        <v>80</v>
      </c>
      <c r="E74" t="s">
        <v>2</v>
      </c>
      <c r="F74">
        <v>60</v>
      </c>
      <c r="G74">
        <v>48</v>
      </c>
      <c r="H74">
        <v>40</v>
      </c>
      <c r="I74">
        <v>68</v>
      </c>
      <c r="J74">
        <v>68</v>
      </c>
      <c r="K74">
        <v>40</v>
      </c>
      <c r="L74" t="s">
        <v>2</v>
      </c>
      <c r="M74">
        <v>76</v>
      </c>
      <c r="N74">
        <v>60</v>
      </c>
      <c r="O74">
        <v>56</v>
      </c>
      <c r="P74">
        <v>72</v>
      </c>
      <c r="Q74">
        <v>104</v>
      </c>
      <c r="R74">
        <v>65</v>
      </c>
      <c r="S74" t="s">
        <v>2</v>
      </c>
      <c r="T74">
        <v>17</v>
      </c>
      <c r="U74">
        <v>40</v>
      </c>
      <c r="V74">
        <v>58</v>
      </c>
      <c r="W74">
        <v>86</v>
      </c>
      <c r="X74">
        <v>100</v>
      </c>
      <c r="Y74">
        <v>68</v>
      </c>
      <c r="Z74" t="s">
        <v>2</v>
      </c>
      <c r="AA74">
        <v>19</v>
      </c>
      <c r="AB74">
        <v>70</v>
      </c>
      <c r="AC74">
        <v>84</v>
      </c>
      <c r="AD74">
        <v>44</v>
      </c>
      <c r="AE74">
        <v>56</v>
      </c>
      <c r="AF74">
        <v>79</v>
      </c>
      <c r="AG74" t="s">
        <v>2</v>
      </c>
      <c r="AH74">
        <v>71</v>
      </c>
      <c r="AI74">
        <v>67</v>
      </c>
      <c r="AJ74">
        <v>63</v>
      </c>
      <c r="AK74">
        <v>83</v>
      </c>
      <c r="AL74">
        <v>58</v>
      </c>
      <c r="AM74">
        <v>71</v>
      </c>
      <c r="AN74" t="s">
        <v>2</v>
      </c>
      <c r="AO74">
        <v>58</v>
      </c>
      <c r="AP74">
        <v>89</v>
      </c>
      <c r="AQ74">
        <v>79</v>
      </c>
      <c r="AR74">
        <v>57</v>
      </c>
      <c r="AS74">
        <v>40</v>
      </c>
      <c r="AT74">
        <v>49</v>
      </c>
      <c r="AU74" t="s">
        <v>2</v>
      </c>
      <c r="AV74">
        <v>56</v>
      </c>
      <c r="AW74">
        <v>103</v>
      </c>
      <c r="AX74">
        <v>60</v>
      </c>
      <c r="AY74">
        <v>72</v>
      </c>
      <c r="AZ74">
        <v>84</v>
      </c>
      <c r="BB74" t="s">
        <v>2</v>
      </c>
      <c r="BI74" t="s">
        <v>2</v>
      </c>
    </row>
    <row r="75" spans="1:62" x14ac:dyDescent="0.25">
      <c r="A75" s="2" t="s">
        <v>37</v>
      </c>
      <c r="B75">
        <f t="shared" ref="B75:AG75" si="15">B73/B74</f>
        <v>110.36363636363636</v>
      </c>
      <c r="C75">
        <f t="shared" si="15"/>
        <v>179.41071428571428</v>
      </c>
      <c r="D75">
        <f t="shared" si="15"/>
        <v>126.4375</v>
      </c>
      <c r="E75" t="e">
        <f t="shared" si="15"/>
        <v>#VALUE!</v>
      </c>
      <c r="F75">
        <f t="shared" si="15"/>
        <v>179.5</v>
      </c>
      <c r="G75">
        <f t="shared" si="15"/>
        <v>127.60416666666667</v>
      </c>
      <c r="H75">
        <f t="shared" si="15"/>
        <v>121.27500000000001</v>
      </c>
      <c r="I75">
        <f t="shared" si="15"/>
        <v>187.95588235294119</v>
      </c>
      <c r="J75">
        <f t="shared" si="15"/>
        <v>189.94117647058823</v>
      </c>
      <c r="K75">
        <f t="shared" si="15"/>
        <v>125.425</v>
      </c>
      <c r="L75" t="e">
        <f t="shared" si="15"/>
        <v>#VALUE!</v>
      </c>
      <c r="M75">
        <f t="shared" si="15"/>
        <v>112.93421052631579</v>
      </c>
      <c r="N75">
        <f t="shared" si="15"/>
        <v>112.36666666666666</v>
      </c>
      <c r="O75">
        <f t="shared" si="15"/>
        <v>174.10714285714286</v>
      </c>
      <c r="P75">
        <f t="shared" si="15"/>
        <v>128.83333333333334</v>
      </c>
      <c r="Q75">
        <f t="shared" si="15"/>
        <v>131.05769230769232</v>
      </c>
      <c r="R75">
        <f t="shared" si="15"/>
        <v>117.73846153846154</v>
      </c>
      <c r="S75" t="e">
        <f t="shared" si="15"/>
        <v>#VALUE!</v>
      </c>
      <c r="T75">
        <f t="shared" si="15"/>
        <v>110.76470588235294</v>
      </c>
      <c r="U75">
        <f t="shared" si="15"/>
        <v>115.6</v>
      </c>
      <c r="V75">
        <f t="shared" si="15"/>
        <v>114.91379310344827</v>
      </c>
      <c r="W75">
        <f t="shared" si="15"/>
        <v>113</v>
      </c>
      <c r="X75">
        <f t="shared" si="15"/>
        <v>112.91</v>
      </c>
      <c r="Y75">
        <f t="shared" si="15"/>
        <v>89.470588235294116</v>
      </c>
      <c r="Z75" t="e">
        <f t="shared" si="15"/>
        <v>#VALUE!</v>
      </c>
      <c r="AA75">
        <f t="shared" si="15"/>
        <v>75.94736842105263</v>
      </c>
      <c r="AB75">
        <f t="shared" si="15"/>
        <v>173.4</v>
      </c>
      <c r="AC75">
        <f t="shared" si="15"/>
        <v>78.761904761904759</v>
      </c>
      <c r="AD75">
        <f t="shared" si="15"/>
        <v>59.68181818181818</v>
      </c>
      <c r="AE75">
        <f t="shared" si="15"/>
        <v>210.125</v>
      </c>
      <c r="AF75">
        <f t="shared" si="15"/>
        <v>111.22784810126582</v>
      </c>
      <c r="AG75" t="e">
        <f t="shared" si="15"/>
        <v>#VALUE!</v>
      </c>
      <c r="AH75">
        <f t="shared" ref="AH75:BJ75" si="16">AH73/AH74</f>
        <v>122.12676056338029</v>
      </c>
      <c r="AI75">
        <f t="shared" si="16"/>
        <v>129.08955223880596</v>
      </c>
      <c r="AJ75">
        <f t="shared" si="16"/>
        <v>135.39682539682539</v>
      </c>
      <c r="AK75">
        <f t="shared" si="16"/>
        <v>167.22891566265059</v>
      </c>
      <c r="AL75">
        <f t="shared" si="16"/>
        <v>161.86206896551724</v>
      </c>
      <c r="AM75">
        <f t="shared" si="16"/>
        <v>111.14084507042253</v>
      </c>
      <c r="AN75" t="e">
        <f t="shared" si="16"/>
        <v>#VALUE!</v>
      </c>
      <c r="AO75">
        <f t="shared" si="16"/>
        <v>148.41379310344828</v>
      </c>
      <c r="AP75">
        <f t="shared" si="16"/>
        <v>101.20224719101124</v>
      </c>
      <c r="AQ75">
        <f t="shared" si="16"/>
        <v>145.82278481012659</v>
      </c>
      <c r="AR75">
        <f t="shared" si="16"/>
        <v>140.36842105263159</v>
      </c>
      <c r="AS75">
        <f t="shared" si="16"/>
        <v>220.6</v>
      </c>
      <c r="AT75">
        <f t="shared" si="16"/>
        <v>289.12244897959181</v>
      </c>
      <c r="AU75" t="e">
        <f t="shared" si="16"/>
        <v>#VALUE!</v>
      </c>
      <c r="AV75">
        <f t="shared" si="16"/>
        <v>270.32142857142856</v>
      </c>
      <c r="AW75">
        <f t="shared" si="16"/>
        <v>86.893203883495147</v>
      </c>
      <c r="AX75">
        <f t="shared" si="16"/>
        <v>238.13333333333333</v>
      </c>
      <c r="AY75">
        <f t="shared" si="16"/>
        <v>103.91666666666667</v>
      </c>
      <c r="AZ75">
        <f t="shared" si="16"/>
        <v>156.89285714285714</v>
      </c>
      <c r="BA75" t="e">
        <f t="shared" si="16"/>
        <v>#DIV/0!</v>
      </c>
      <c r="BB75" t="e">
        <f t="shared" si="16"/>
        <v>#VALUE!</v>
      </c>
      <c r="BC75" t="e">
        <f t="shared" si="16"/>
        <v>#DIV/0!</v>
      </c>
      <c r="BD75" t="e">
        <f t="shared" si="16"/>
        <v>#DIV/0!</v>
      </c>
      <c r="BE75" t="e">
        <f t="shared" si="16"/>
        <v>#DIV/0!</v>
      </c>
      <c r="BF75" t="e">
        <f t="shared" si="16"/>
        <v>#DIV/0!</v>
      </c>
      <c r="BG75" t="e">
        <f t="shared" si="16"/>
        <v>#DIV/0!</v>
      </c>
      <c r="BH75" t="e">
        <f t="shared" si="16"/>
        <v>#DIV/0!</v>
      </c>
      <c r="BI75" t="e">
        <f t="shared" si="16"/>
        <v>#VALUE!</v>
      </c>
      <c r="BJ75" t="e">
        <f t="shared" si="16"/>
        <v>#DIV/0!</v>
      </c>
    </row>
    <row r="76" spans="1:62" x14ac:dyDescent="0.25">
      <c r="A76" s="2" t="s">
        <v>68</v>
      </c>
      <c r="B76">
        <v>150</v>
      </c>
      <c r="C76">
        <v>150</v>
      </c>
      <c r="D76">
        <v>150</v>
      </c>
      <c r="E76">
        <v>150</v>
      </c>
      <c r="F76">
        <v>150</v>
      </c>
      <c r="G76">
        <v>150</v>
      </c>
      <c r="H76">
        <v>150</v>
      </c>
      <c r="I76">
        <v>150</v>
      </c>
      <c r="J76">
        <v>150</v>
      </c>
      <c r="K76">
        <v>150</v>
      </c>
      <c r="L76">
        <v>150</v>
      </c>
      <c r="M76">
        <v>150</v>
      </c>
      <c r="N76">
        <v>150</v>
      </c>
      <c r="O76">
        <v>150</v>
      </c>
      <c r="P76">
        <v>150</v>
      </c>
      <c r="Q76">
        <v>150</v>
      </c>
      <c r="R76">
        <v>150</v>
      </c>
      <c r="S76">
        <v>150</v>
      </c>
      <c r="T76">
        <v>150</v>
      </c>
      <c r="U76">
        <v>150</v>
      </c>
      <c r="V76">
        <v>150</v>
      </c>
      <c r="W76">
        <v>150</v>
      </c>
      <c r="X76">
        <v>150</v>
      </c>
      <c r="Y76">
        <v>150</v>
      </c>
      <c r="Z76">
        <v>150</v>
      </c>
      <c r="AA76">
        <v>150</v>
      </c>
      <c r="AB76">
        <v>150</v>
      </c>
      <c r="AC76">
        <v>150</v>
      </c>
      <c r="AD76">
        <v>150</v>
      </c>
      <c r="AE76">
        <v>150</v>
      </c>
      <c r="AF76">
        <v>150</v>
      </c>
      <c r="AG76">
        <v>150</v>
      </c>
      <c r="AH76">
        <v>150</v>
      </c>
      <c r="AI76">
        <v>150</v>
      </c>
      <c r="AJ76">
        <v>150</v>
      </c>
      <c r="AK76">
        <v>150</v>
      </c>
      <c r="AL76">
        <v>150</v>
      </c>
      <c r="AM76">
        <v>150</v>
      </c>
      <c r="AN76">
        <v>150</v>
      </c>
      <c r="AO76">
        <v>150</v>
      </c>
      <c r="AP76">
        <v>150</v>
      </c>
      <c r="AQ76">
        <v>150</v>
      </c>
      <c r="AR76">
        <v>150</v>
      </c>
      <c r="AS76">
        <v>150</v>
      </c>
      <c r="AT76">
        <v>150</v>
      </c>
      <c r="AU76">
        <v>150</v>
      </c>
      <c r="AV76">
        <v>150</v>
      </c>
      <c r="AW76">
        <v>150</v>
      </c>
      <c r="AX76">
        <v>150</v>
      </c>
      <c r="AY76">
        <v>150</v>
      </c>
      <c r="AZ76">
        <v>150</v>
      </c>
      <c r="BA76">
        <v>150</v>
      </c>
      <c r="BB76">
        <v>150</v>
      </c>
      <c r="BC76">
        <v>150</v>
      </c>
      <c r="BD76">
        <v>150</v>
      </c>
      <c r="BE76">
        <v>150</v>
      </c>
      <c r="BF76">
        <v>150</v>
      </c>
      <c r="BG76">
        <v>150</v>
      </c>
      <c r="BH76">
        <v>150</v>
      </c>
      <c r="BI76">
        <v>150</v>
      </c>
      <c r="BJ76">
        <v>150</v>
      </c>
    </row>
    <row r="77" spans="1:62" x14ac:dyDescent="0.25">
      <c r="A77" s="2" t="s">
        <v>69</v>
      </c>
    </row>
    <row r="78" spans="1:62" x14ac:dyDescent="0.25">
      <c r="A78" s="2"/>
    </row>
    <row r="79" spans="1:62" x14ac:dyDescent="0.25">
      <c r="A79" s="2" t="s">
        <v>30</v>
      </c>
      <c r="B79">
        <v>31674</v>
      </c>
      <c r="C79">
        <v>30938</v>
      </c>
      <c r="D79">
        <v>19609</v>
      </c>
      <c r="E79" t="s">
        <v>2</v>
      </c>
      <c r="F79">
        <v>10611</v>
      </c>
      <c r="G79">
        <v>14414</v>
      </c>
      <c r="H79">
        <v>11445</v>
      </c>
      <c r="I79">
        <v>9649</v>
      </c>
      <c r="J79">
        <v>9893</v>
      </c>
      <c r="K79">
        <v>4917</v>
      </c>
      <c r="L79" t="s">
        <v>2</v>
      </c>
      <c r="M79">
        <v>11908</v>
      </c>
      <c r="N79">
        <v>13785</v>
      </c>
      <c r="O79">
        <v>12933</v>
      </c>
      <c r="P79">
        <v>12987</v>
      </c>
      <c r="Q79">
        <v>10476</v>
      </c>
      <c r="R79">
        <v>10584</v>
      </c>
      <c r="S79" t="s">
        <v>2</v>
      </c>
      <c r="T79">
        <v>12634</v>
      </c>
      <c r="U79">
        <v>16121</v>
      </c>
      <c r="V79">
        <v>13924</v>
      </c>
      <c r="W79">
        <v>12912</v>
      </c>
      <c r="X79">
        <v>14504</v>
      </c>
      <c r="Y79">
        <v>9329</v>
      </c>
      <c r="Z79" t="s">
        <v>2</v>
      </c>
      <c r="AA79">
        <v>15700</v>
      </c>
      <c r="AB79">
        <v>20998</v>
      </c>
      <c r="AC79">
        <v>20154</v>
      </c>
      <c r="AD79">
        <v>27691</v>
      </c>
      <c r="AE79">
        <v>16675</v>
      </c>
      <c r="AF79">
        <v>18324</v>
      </c>
      <c r="AG79" t="s">
        <v>2</v>
      </c>
      <c r="AH79">
        <v>26144</v>
      </c>
      <c r="AI79">
        <v>31701</v>
      </c>
      <c r="AJ79">
        <v>24885</v>
      </c>
      <c r="AK79">
        <v>20673</v>
      </c>
      <c r="AL79">
        <v>11487</v>
      </c>
      <c r="AM79">
        <v>5497</v>
      </c>
      <c r="AN79" t="s">
        <v>2</v>
      </c>
      <c r="AO79">
        <v>11255</v>
      </c>
      <c r="AP79">
        <v>13068</v>
      </c>
      <c r="AQ79">
        <v>12275</v>
      </c>
      <c r="AR79">
        <v>12489</v>
      </c>
      <c r="AS79">
        <v>12610</v>
      </c>
      <c r="AT79">
        <v>8342</v>
      </c>
      <c r="AU79" t="s">
        <v>2</v>
      </c>
      <c r="AV79">
        <v>13736</v>
      </c>
      <c r="AW79">
        <v>17462</v>
      </c>
      <c r="AX79">
        <v>18078</v>
      </c>
      <c r="AY79">
        <v>15466</v>
      </c>
      <c r="AZ79">
        <v>11288</v>
      </c>
      <c r="BB79" t="s">
        <v>2</v>
      </c>
      <c r="BI79" t="s">
        <v>2</v>
      </c>
    </row>
    <row r="80" spans="1:62" x14ac:dyDescent="0.25">
      <c r="A80" s="2" t="s">
        <v>31</v>
      </c>
      <c r="B80">
        <v>154</v>
      </c>
      <c r="C80">
        <v>162</v>
      </c>
      <c r="D80">
        <v>108</v>
      </c>
      <c r="E80" t="s">
        <v>2</v>
      </c>
      <c r="F80">
        <v>63</v>
      </c>
      <c r="G80">
        <v>80.5</v>
      </c>
      <c r="H80">
        <v>68.8</v>
      </c>
      <c r="I80">
        <v>57</v>
      </c>
      <c r="J80">
        <v>57.5</v>
      </c>
      <c r="K80">
        <v>26.3</v>
      </c>
      <c r="L80" t="s">
        <v>2</v>
      </c>
      <c r="M80">
        <v>71.5</v>
      </c>
      <c r="N80">
        <v>84</v>
      </c>
      <c r="O80">
        <v>80.5</v>
      </c>
      <c r="P80">
        <v>77</v>
      </c>
      <c r="Q80">
        <v>61.8</v>
      </c>
      <c r="R80">
        <v>60.5</v>
      </c>
      <c r="S80" t="s">
        <v>2</v>
      </c>
      <c r="T80">
        <v>70</v>
      </c>
      <c r="U80">
        <v>87.5</v>
      </c>
      <c r="V80">
        <v>77</v>
      </c>
      <c r="W80">
        <v>70.875</v>
      </c>
      <c r="X80">
        <v>77</v>
      </c>
      <c r="Y80">
        <v>49.5</v>
      </c>
      <c r="Z80" t="s">
        <v>2</v>
      </c>
      <c r="AA80">
        <v>84</v>
      </c>
      <c r="AB80">
        <v>99</v>
      </c>
      <c r="AC80">
        <v>97.9</v>
      </c>
      <c r="AD80">
        <v>121.8</v>
      </c>
      <c r="AE80">
        <v>84.375</v>
      </c>
      <c r="AF80">
        <v>91</v>
      </c>
      <c r="AG80" t="s">
        <v>2</v>
      </c>
      <c r="AH80">
        <v>126.63500000000001</v>
      </c>
      <c r="AI80">
        <v>150.03</v>
      </c>
      <c r="AJ80">
        <v>127.5</v>
      </c>
      <c r="AK80">
        <v>97.9</v>
      </c>
      <c r="AL80">
        <v>84</v>
      </c>
      <c r="AM80">
        <v>38.5</v>
      </c>
      <c r="AN80" t="s">
        <v>2</v>
      </c>
      <c r="AO80">
        <v>70</v>
      </c>
      <c r="AP80">
        <v>67.5</v>
      </c>
      <c r="AQ80">
        <v>65</v>
      </c>
      <c r="AR80">
        <v>62.5</v>
      </c>
      <c r="AS80">
        <v>65</v>
      </c>
      <c r="AT80">
        <v>43.125</v>
      </c>
      <c r="AU80" t="s">
        <v>2</v>
      </c>
      <c r="AV80">
        <v>70</v>
      </c>
      <c r="AW80">
        <v>80.5</v>
      </c>
      <c r="AX80">
        <v>86.3</v>
      </c>
      <c r="AY80">
        <v>77</v>
      </c>
      <c r="AZ80">
        <v>62.5</v>
      </c>
      <c r="BB80" t="s">
        <v>2</v>
      </c>
      <c r="BI80" t="s">
        <v>2</v>
      </c>
    </row>
    <row r="81" spans="1:62" x14ac:dyDescent="0.25">
      <c r="A81" s="2" t="s">
        <v>38</v>
      </c>
      <c r="B81">
        <f t="shared" ref="B81:AG81" si="17">B79/B80</f>
        <v>205.67532467532467</v>
      </c>
      <c r="C81">
        <f t="shared" si="17"/>
        <v>190.97530864197532</v>
      </c>
      <c r="D81">
        <f t="shared" si="17"/>
        <v>181.56481481481481</v>
      </c>
      <c r="E81" t="e">
        <f t="shared" si="17"/>
        <v>#VALUE!</v>
      </c>
      <c r="F81">
        <f t="shared" si="17"/>
        <v>168.42857142857142</v>
      </c>
      <c r="G81">
        <f t="shared" si="17"/>
        <v>179.05590062111801</v>
      </c>
      <c r="H81">
        <f t="shared" si="17"/>
        <v>166.35174418604652</v>
      </c>
      <c r="I81">
        <f t="shared" si="17"/>
        <v>169.28070175438597</v>
      </c>
      <c r="J81">
        <f t="shared" si="17"/>
        <v>172.05217391304348</v>
      </c>
      <c r="K81">
        <f t="shared" si="17"/>
        <v>186.95817490494295</v>
      </c>
      <c r="L81" t="e">
        <f t="shared" si="17"/>
        <v>#VALUE!</v>
      </c>
      <c r="M81">
        <f t="shared" si="17"/>
        <v>166.54545454545453</v>
      </c>
      <c r="N81">
        <f t="shared" si="17"/>
        <v>164.10714285714286</v>
      </c>
      <c r="O81">
        <f t="shared" si="17"/>
        <v>160.65838509316771</v>
      </c>
      <c r="P81">
        <f t="shared" si="17"/>
        <v>168.66233766233765</v>
      </c>
      <c r="Q81">
        <f t="shared" si="17"/>
        <v>169.51456310679612</v>
      </c>
      <c r="R81">
        <f t="shared" si="17"/>
        <v>174.94214876033058</v>
      </c>
      <c r="S81" t="e">
        <f t="shared" si="17"/>
        <v>#VALUE!</v>
      </c>
      <c r="T81">
        <f t="shared" si="17"/>
        <v>180.48571428571429</v>
      </c>
      <c r="U81">
        <f t="shared" si="17"/>
        <v>184.24</v>
      </c>
      <c r="V81">
        <f t="shared" si="17"/>
        <v>180.83116883116884</v>
      </c>
      <c r="W81">
        <f t="shared" si="17"/>
        <v>182.17989417989418</v>
      </c>
      <c r="X81">
        <f t="shared" si="17"/>
        <v>188.36363636363637</v>
      </c>
      <c r="Y81">
        <f t="shared" si="17"/>
        <v>188.46464646464648</v>
      </c>
      <c r="Z81" t="e">
        <f t="shared" si="17"/>
        <v>#VALUE!</v>
      </c>
      <c r="AA81">
        <f t="shared" si="17"/>
        <v>186.9047619047619</v>
      </c>
      <c r="AB81">
        <f t="shared" si="17"/>
        <v>212.1010101010101</v>
      </c>
      <c r="AC81">
        <f t="shared" si="17"/>
        <v>205.86312563840653</v>
      </c>
      <c r="AD81">
        <f t="shared" si="17"/>
        <v>227.3481116584565</v>
      </c>
      <c r="AE81">
        <f t="shared" si="17"/>
        <v>197.62962962962962</v>
      </c>
      <c r="AF81">
        <f t="shared" si="17"/>
        <v>201.36263736263737</v>
      </c>
      <c r="AG81" t="e">
        <f t="shared" si="17"/>
        <v>#VALUE!</v>
      </c>
      <c r="AH81">
        <f t="shared" ref="AH81:BJ81" si="18">AH79/AH80</f>
        <v>206.45161290322579</v>
      </c>
      <c r="AI81">
        <f t="shared" si="18"/>
        <v>211.29774045190962</v>
      </c>
      <c r="AJ81">
        <f t="shared" si="18"/>
        <v>195.1764705882353</v>
      </c>
      <c r="AK81">
        <f t="shared" si="18"/>
        <v>211.16445352400407</v>
      </c>
      <c r="AL81">
        <f t="shared" si="18"/>
        <v>136.75</v>
      </c>
      <c r="AM81">
        <f t="shared" si="18"/>
        <v>142.77922077922079</v>
      </c>
      <c r="AN81" t="e">
        <f t="shared" si="18"/>
        <v>#VALUE!</v>
      </c>
      <c r="AO81">
        <f t="shared" si="18"/>
        <v>160.78571428571428</v>
      </c>
      <c r="AP81">
        <f t="shared" si="18"/>
        <v>193.6</v>
      </c>
      <c r="AQ81">
        <f t="shared" si="18"/>
        <v>188.84615384615384</v>
      </c>
      <c r="AR81">
        <f t="shared" si="18"/>
        <v>199.82400000000001</v>
      </c>
      <c r="AS81">
        <f t="shared" si="18"/>
        <v>194</v>
      </c>
      <c r="AT81">
        <f t="shared" si="18"/>
        <v>193.43768115942029</v>
      </c>
      <c r="AU81" t="e">
        <f t="shared" si="18"/>
        <v>#VALUE!</v>
      </c>
      <c r="AV81">
        <f t="shared" si="18"/>
        <v>196.22857142857143</v>
      </c>
      <c r="AW81">
        <f t="shared" si="18"/>
        <v>216.91925465838509</v>
      </c>
      <c r="AX81">
        <f t="shared" si="18"/>
        <v>209.47856315179607</v>
      </c>
      <c r="AY81">
        <f t="shared" si="18"/>
        <v>200.85714285714286</v>
      </c>
      <c r="AZ81">
        <f t="shared" si="18"/>
        <v>180.608</v>
      </c>
      <c r="BA81" t="e">
        <f t="shared" si="18"/>
        <v>#DIV/0!</v>
      </c>
      <c r="BB81" t="e">
        <f t="shared" si="18"/>
        <v>#VALUE!</v>
      </c>
      <c r="BC81" t="e">
        <f t="shared" si="18"/>
        <v>#DIV/0!</v>
      </c>
      <c r="BD81" t="e">
        <f t="shared" si="18"/>
        <v>#DIV/0!</v>
      </c>
      <c r="BE81" t="e">
        <f t="shared" si="18"/>
        <v>#DIV/0!</v>
      </c>
      <c r="BF81" t="e">
        <f t="shared" si="18"/>
        <v>#DIV/0!</v>
      </c>
      <c r="BG81" t="e">
        <f t="shared" si="18"/>
        <v>#DIV/0!</v>
      </c>
      <c r="BH81" t="e">
        <f t="shared" si="18"/>
        <v>#DIV/0!</v>
      </c>
      <c r="BI81" t="e">
        <f t="shared" si="18"/>
        <v>#VALUE!</v>
      </c>
      <c r="BJ81" t="e">
        <f t="shared" si="18"/>
        <v>#DIV/0!</v>
      </c>
    </row>
    <row r="82" spans="1:62" x14ac:dyDescent="0.25">
      <c r="A82" s="2" t="s">
        <v>70</v>
      </c>
      <c r="B82">
        <v>200</v>
      </c>
      <c r="C82">
        <v>200</v>
      </c>
      <c r="D82">
        <v>200</v>
      </c>
      <c r="E82">
        <v>200</v>
      </c>
      <c r="F82">
        <v>200</v>
      </c>
      <c r="G82">
        <v>200</v>
      </c>
      <c r="H82">
        <v>200</v>
      </c>
      <c r="I82">
        <v>200</v>
      </c>
      <c r="J82">
        <v>200</v>
      </c>
      <c r="K82">
        <v>200</v>
      </c>
      <c r="L82">
        <v>200</v>
      </c>
      <c r="M82">
        <v>200</v>
      </c>
      <c r="N82">
        <v>200</v>
      </c>
      <c r="O82">
        <v>200</v>
      </c>
      <c r="P82">
        <v>200</v>
      </c>
      <c r="Q82">
        <v>200</v>
      </c>
      <c r="R82">
        <v>200</v>
      </c>
      <c r="S82">
        <v>200</v>
      </c>
      <c r="T82">
        <v>200</v>
      </c>
      <c r="U82">
        <v>200</v>
      </c>
      <c r="V82">
        <v>200</v>
      </c>
      <c r="W82">
        <v>200</v>
      </c>
      <c r="X82">
        <v>200</v>
      </c>
      <c r="Y82">
        <v>200</v>
      </c>
      <c r="Z82">
        <v>200</v>
      </c>
      <c r="AA82">
        <v>200</v>
      </c>
      <c r="AB82">
        <v>200</v>
      </c>
      <c r="AC82">
        <v>200</v>
      </c>
      <c r="AD82">
        <v>200</v>
      </c>
      <c r="AE82">
        <v>200</v>
      </c>
      <c r="AF82">
        <v>200</v>
      </c>
      <c r="AG82">
        <v>200</v>
      </c>
      <c r="AH82">
        <v>200</v>
      </c>
      <c r="AI82">
        <v>200</v>
      </c>
      <c r="AJ82">
        <v>200</v>
      </c>
      <c r="AK82">
        <v>200</v>
      </c>
      <c r="AL82">
        <v>200</v>
      </c>
      <c r="AM82">
        <v>200</v>
      </c>
      <c r="AN82">
        <v>200</v>
      </c>
      <c r="AO82">
        <v>200</v>
      </c>
      <c r="AP82">
        <v>200</v>
      </c>
      <c r="AQ82">
        <v>200</v>
      </c>
      <c r="AR82">
        <v>200</v>
      </c>
      <c r="AS82">
        <v>200</v>
      </c>
      <c r="AT82">
        <v>200</v>
      </c>
      <c r="AU82">
        <v>200</v>
      </c>
      <c r="AV82">
        <v>200</v>
      </c>
      <c r="AW82">
        <v>200</v>
      </c>
      <c r="AX82">
        <v>200</v>
      </c>
      <c r="AY82">
        <v>200</v>
      </c>
      <c r="AZ82">
        <v>200</v>
      </c>
      <c r="BA82">
        <v>200</v>
      </c>
      <c r="BB82">
        <v>200</v>
      </c>
      <c r="BC82">
        <v>200</v>
      </c>
      <c r="BD82">
        <v>200</v>
      </c>
      <c r="BE82">
        <v>200</v>
      </c>
      <c r="BF82">
        <v>200</v>
      </c>
      <c r="BG82">
        <v>200</v>
      </c>
      <c r="BH82">
        <v>200</v>
      </c>
      <c r="BI82">
        <v>200</v>
      </c>
      <c r="BJ82">
        <v>200</v>
      </c>
    </row>
    <row r="83" spans="1:62" x14ac:dyDescent="0.25">
      <c r="A83" s="2" t="s">
        <v>71</v>
      </c>
    </row>
    <row r="84" spans="1:62" x14ac:dyDescent="0.25">
      <c r="A84" s="2"/>
    </row>
    <row r="85" spans="1:62" x14ac:dyDescent="0.25">
      <c r="A85" s="2" t="s">
        <v>30</v>
      </c>
      <c r="B85">
        <v>0</v>
      </c>
      <c r="C85">
        <v>0</v>
      </c>
      <c r="D85">
        <v>0</v>
      </c>
      <c r="E85" t="s">
        <v>2</v>
      </c>
      <c r="F85">
        <v>2788</v>
      </c>
      <c r="G85">
        <v>5324</v>
      </c>
      <c r="H85">
        <v>5097</v>
      </c>
      <c r="I85">
        <v>2714</v>
      </c>
      <c r="J85">
        <v>3273</v>
      </c>
      <c r="K85">
        <v>1691</v>
      </c>
      <c r="L85" t="s">
        <v>2</v>
      </c>
      <c r="M85">
        <v>872</v>
      </c>
      <c r="N85">
        <v>0</v>
      </c>
      <c r="O85">
        <v>0</v>
      </c>
      <c r="P85">
        <v>0</v>
      </c>
      <c r="Q85">
        <v>1679</v>
      </c>
      <c r="R85">
        <v>4970</v>
      </c>
      <c r="S85" t="s">
        <v>2</v>
      </c>
      <c r="T85">
        <v>4889</v>
      </c>
      <c r="U85">
        <v>2112</v>
      </c>
      <c r="V85">
        <v>5113</v>
      </c>
      <c r="W85">
        <v>2660</v>
      </c>
      <c r="X85">
        <v>1700</v>
      </c>
      <c r="Y85">
        <v>0</v>
      </c>
      <c r="Z85" t="s">
        <v>2</v>
      </c>
      <c r="AA85">
        <v>0</v>
      </c>
      <c r="AB85">
        <v>535</v>
      </c>
      <c r="AC85">
        <v>6881</v>
      </c>
      <c r="AD85">
        <v>912</v>
      </c>
      <c r="AE85">
        <v>0</v>
      </c>
      <c r="AF85">
        <v>0</v>
      </c>
      <c r="AG85" t="s">
        <v>2</v>
      </c>
      <c r="AH85">
        <v>760</v>
      </c>
      <c r="AI85">
        <v>2588</v>
      </c>
      <c r="AJ85">
        <v>765</v>
      </c>
      <c r="AK85">
        <v>654</v>
      </c>
      <c r="AL85">
        <v>0</v>
      </c>
      <c r="AM85">
        <v>0</v>
      </c>
      <c r="AN85" t="s">
        <v>2</v>
      </c>
      <c r="AO85">
        <v>3938</v>
      </c>
      <c r="AP85">
        <v>6369</v>
      </c>
      <c r="AQ85">
        <v>939</v>
      </c>
      <c r="AR85">
        <v>2534</v>
      </c>
      <c r="AS85">
        <v>501</v>
      </c>
      <c r="AT85">
        <v>893</v>
      </c>
      <c r="AU85" t="s">
        <v>2</v>
      </c>
      <c r="AV85">
        <v>2050</v>
      </c>
      <c r="AW85">
        <v>4852</v>
      </c>
      <c r="AX85">
        <v>3247</v>
      </c>
      <c r="AY85">
        <v>5856</v>
      </c>
      <c r="AZ85">
        <v>6197</v>
      </c>
      <c r="BB85" t="s">
        <v>2</v>
      </c>
      <c r="BI85" t="s">
        <v>2</v>
      </c>
    </row>
    <row r="86" spans="1:62" x14ac:dyDescent="0.25">
      <c r="A86" s="2" t="s">
        <v>31</v>
      </c>
      <c r="B86">
        <v>0</v>
      </c>
      <c r="C86">
        <v>0</v>
      </c>
      <c r="D86">
        <v>0</v>
      </c>
      <c r="E86" t="s">
        <v>2</v>
      </c>
      <c r="F86">
        <v>44.5</v>
      </c>
      <c r="G86">
        <v>82.5</v>
      </c>
      <c r="H86">
        <v>38.5</v>
      </c>
      <c r="I86">
        <v>37.5</v>
      </c>
      <c r="J86">
        <v>48.5</v>
      </c>
      <c r="K86">
        <v>25</v>
      </c>
      <c r="L86" t="s">
        <v>2</v>
      </c>
      <c r="M86">
        <v>13.1</v>
      </c>
      <c r="N86">
        <v>0</v>
      </c>
      <c r="O86">
        <v>0</v>
      </c>
      <c r="P86">
        <v>0</v>
      </c>
      <c r="Q86">
        <v>25.8</v>
      </c>
      <c r="R86">
        <v>99.4</v>
      </c>
      <c r="S86" t="s">
        <v>2</v>
      </c>
      <c r="T86">
        <v>93.8</v>
      </c>
      <c r="U86">
        <v>56.3</v>
      </c>
      <c r="V86">
        <v>69.400000000000006</v>
      </c>
      <c r="W86">
        <v>27.18</v>
      </c>
      <c r="X86">
        <v>41.3</v>
      </c>
      <c r="Y86">
        <v>0</v>
      </c>
      <c r="Z86" t="s">
        <v>2</v>
      </c>
      <c r="AA86">
        <v>0</v>
      </c>
      <c r="AB86">
        <v>18.28</v>
      </c>
      <c r="AC86">
        <v>67.03</v>
      </c>
      <c r="AD86">
        <v>16.25</v>
      </c>
      <c r="AE86">
        <v>0</v>
      </c>
      <c r="AF86">
        <v>0</v>
      </c>
      <c r="AG86" t="s">
        <v>2</v>
      </c>
      <c r="AH86">
        <v>15</v>
      </c>
      <c r="AI86">
        <v>50.75</v>
      </c>
      <c r="AJ86">
        <v>18.75</v>
      </c>
      <c r="AK86">
        <v>15</v>
      </c>
      <c r="AL86">
        <v>0</v>
      </c>
      <c r="AM86">
        <v>0</v>
      </c>
      <c r="AN86" t="s">
        <v>2</v>
      </c>
      <c r="AO86">
        <v>36.17</v>
      </c>
      <c r="AP86">
        <v>86.25</v>
      </c>
      <c r="AQ86">
        <v>12.18</v>
      </c>
      <c r="AR86">
        <v>30</v>
      </c>
      <c r="AS86">
        <v>5.63</v>
      </c>
      <c r="AT86">
        <v>9.3800000000000008</v>
      </c>
      <c r="AU86" t="s">
        <v>2</v>
      </c>
      <c r="AV86">
        <v>19.690000000000001</v>
      </c>
      <c r="AW86">
        <v>43.125</v>
      </c>
      <c r="AX86">
        <v>33.049999999999997</v>
      </c>
      <c r="AY86">
        <v>45.93</v>
      </c>
      <c r="AZ86">
        <v>63.75</v>
      </c>
      <c r="BB86" t="s">
        <v>2</v>
      </c>
      <c r="BI86" t="s">
        <v>2</v>
      </c>
    </row>
    <row r="87" spans="1:62" x14ac:dyDescent="0.25">
      <c r="A87" s="2" t="s">
        <v>39</v>
      </c>
      <c r="B87" t="e">
        <f t="shared" ref="B87:AG87" si="19">B85/B86</f>
        <v>#DIV/0!</v>
      </c>
      <c r="C87" t="e">
        <f t="shared" si="19"/>
        <v>#DIV/0!</v>
      </c>
      <c r="D87" t="e">
        <f t="shared" si="19"/>
        <v>#DIV/0!</v>
      </c>
      <c r="E87" t="e">
        <f t="shared" si="19"/>
        <v>#VALUE!</v>
      </c>
      <c r="F87">
        <f t="shared" si="19"/>
        <v>62.651685393258425</v>
      </c>
      <c r="G87">
        <f t="shared" si="19"/>
        <v>64.533333333333331</v>
      </c>
      <c r="H87">
        <f t="shared" si="19"/>
        <v>132.3896103896104</v>
      </c>
      <c r="I87">
        <f t="shared" si="19"/>
        <v>72.373333333333335</v>
      </c>
      <c r="J87">
        <f t="shared" si="19"/>
        <v>67.484536082474222</v>
      </c>
      <c r="K87">
        <f t="shared" si="19"/>
        <v>67.64</v>
      </c>
      <c r="L87" t="e">
        <f t="shared" si="19"/>
        <v>#VALUE!</v>
      </c>
      <c r="M87">
        <f t="shared" si="19"/>
        <v>66.564885496183209</v>
      </c>
      <c r="N87" t="e">
        <f t="shared" si="19"/>
        <v>#DIV/0!</v>
      </c>
      <c r="O87" t="e">
        <f t="shared" si="19"/>
        <v>#DIV/0!</v>
      </c>
      <c r="P87" t="e">
        <f t="shared" si="19"/>
        <v>#DIV/0!</v>
      </c>
      <c r="Q87">
        <f t="shared" si="19"/>
        <v>65.077519379844958</v>
      </c>
      <c r="R87">
        <f t="shared" si="19"/>
        <v>50</v>
      </c>
      <c r="S87" t="e">
        <f t="shared" si="19"/>
        <v>#VALUE!</v>
      </c>
      <c r="T87">
        <f t="shared" si="19"/>
        <v>52.121535181236673</v>
      </c>
      <c r="U87">
        <f t="shared" si="19"/>
        <v>37.513321492007108</v>
      </c>
      <c r="V87">
        <f t="shared" si="19"/>
        <v>73.674351585014406</v>
      </c>
      <c r="W87">
        <f t="shared" si="19"/>
        <v>97.866077998528326</v>
      </c>
      <c r="X87">
        <f t="shared" si="19"/>
        <v>41.162227602905574</v>
      </c>
      <c r="Y87" t="e">
        <f t="shared" si="19"/>
        <v>#DIV/0!</v>
      </c>
      <c r="Z87" t="e">
        <f t="shared" si="19"/>
        <v>#VALUE!</v>
      </c>
      <c r="AA87" t="e">
        <f t="shared" si="19"/>
        <v>#DIV/0!</v>
      </c>
      <c r="AB87">
        <f t="shared" si="19"/>
        <v>29.266958424507656</v>
      </c>
      <c r="AC87">
        <f t="shared" si="19"/>
        <v>102.65552737580188</v>
      </c>
      <c r="AD87">
        <f t="shared" si="19"/>
        <v>56.123076923076923</v>
      </c>
      <c r="AE87" t="e">
        <f t="shared" si="19"/>
        <v>#DIV/0!</v>
      </c>
      <c r="AF87" t="e">
        <f t="shared" si="19"/>
        <v>#DIV/0!</v>
      </c>
      <c r="AG87" t="e">
        <f t="shared" si="19"/>
        <v>#VALUE!</v>
      </c>
      <c r="AH87">
        <f t="shared" ref="AH87:BJ87" si="20">AH85/AH86</f>
        <v>50.666666666666664</v>
      </c>
      <c r="AI87">
        <f t="shared" si="20"/>
        <v>50.995073891625616</v>
      </c>
      <c r="AJ87">
        <f t="shared" si="20"/>
        <v>40.799999999999997</v>
      </c>
      <c r="AK87">
        <f t="shared" si="20"/>
        <v>43.6</v>
      </c>
      <c r="AL87" t="e">
        <f t="shared" si="20"/>
        <v>#DIV/0!</v>
      </c>
      <c r="AM87" t="e">
        <f t="shared" si="20"/>
        <v>#DIV/0!</v>
      </c>
      <c r="AN87" t="e">
        <f t="shared" si="20"/>
        <v>#VALUE!</v>
      </c>
      <c r="AO87">
        <f t="shared" si="20"/>
        <v>108.87475808681226</v>
      </c>
      <c r="AP87">
        <f t="shared" si="20"/>
        <v>73.84347826086956</v>
      </c>
      <c r="AQ87">
        <f t="shared" si="20"/>
        <v>77.093596059113295</v>
      </c>
      <c r="AR87">
        <f t="shared" si="20"/>
        <v>84.466666666666669</v>
      </c>
      <c r="AS87">
        <f t="shared" si="20"/>
        <v>88.987566607460039</v>
      </c>
      <c r="AT87">
        <f t="shared" si="20"/>
        <v>95.202558635394453</v>
      </c>
      <c r="AU87" t="e">
        <f t="shared" si="20"/>
        <v>#VALUE!</v>
      </c>
      <c r="AV87">
        <f t="shared" si="20"/>
        <v>104.11376333164041</v>
      </c>
      <c r="AW87">
        <f t="shared" si="20"/>
        <v>112.51014492753623</v>
      </c>
      <c r="AX87">
        <f t="shared" si="20"/>
        <v>98.245083207261729</v>
      </c>
      <c r="AY87">
        <f t="shared" si="20"/>
        <v>127.49836708033965</v>
      </c>
      <c r="AZ87">
        <f t="shared" si="20"/>
        <v>97.207843137254898</v>
      </c>
      <c r="BA87" t="e">
        <f t="shared" si="20"/>
        <v>#DIV/0!</v>
      </c>
      <c r="BB87" t="e">
        <f t="shared" si="20"/>
        <v>#VALUE!</v>
      </c>
      <c r="BC87" t="e">
        <f t="shared" si="20"/>
        <v>#DIV/0!</v>
      </c>
      <c r="BD87" t="e">
        <f t="shared" si="20"/>
        <v>#DIV/0!</v>
      </c>
      <c r="BE87" t="e">
        <f t="shared" si="20"/>
        <v>#DIV/0!</v>
      </c>
      <c r="BF87" t="e">
        <f t="shared" si="20"/>
        <v>#DIV/0!</v>
      </c>
      <c r="BG87" t="e">
        <f t="shared" si="20"/>
        <v>#DIV/0!</v>
      </c>
      <c r="BH87" t="e">
        <f t="shared" si="20"/>
        <v>#DIV/0!</v>
      </c>
      <c r="BI87" t="e">
        <f t="shared" si="20"/>
        <v>#VALUE!</v>
      </c>
      <c r="BJ87" t="e">
        <f t="shared" si="20"/>
        <v>#DIV/0!</v>
      </c>
    </row>
    <row r="88" spans="1:62" x14ac:dyDescent="0.25">
      <c r="A88" s="2" t="s">
        <v>72</v>
      </c>
      <c r="B88">
        <v>100</v>
      </c>
      <c r="C88">
        <v>100</v>
      </c>
      <c r="D88">
        <v>100</v>
      </c>
      <c r="E88">
        <v>100</v>
      </c>
      <c r="F88">
        <v>100</v>
      </c>
      <c r="G88">
        <v>100</v>
      </c>
      <c r="H88">
        <v>100</v>
      </c>
      <c r="I88">
        <v>100</v>
      </c>
      <c r="J88">
        <v>100</v>
      </c>
      <c r="K88">
        <v>100</v>
      </c>
      <c r="L88">
        <v>100</v>
      </c>
      <c r="M88">
        <v>100</v>
      </c>
      <c r="N88">
        <v>100</v>
      </c>
      <c r="O88">
        <v>100</v>
      </c>
      <c r="P88">
        <v>100</v>
      </c>
      <c r="Q88">
        <v>100</v>
      </c>
      <c r="R88">
        <v>100</v>
      </c>
      <c r="S88">
        <v>100</v>
      </c>
      <c r="T88">
        <v>100</v>
      </c>
      <c r="U88">
        <v>100</v>
      </c>
      <c r="V88">
        <v>100</v>
      </c>
      <c r="W88">
        <v>100</v>
      </c>
      <c r="X88">
        <v>100</v>
      </c>
      <c r="Y88">
        <v>100</v>
      </c>
      <c r="Z88">
        <v>100</v>
      </c>
      <c r="AA88">
        <v>100</v>
      </c>
      <c r="AB88">
        <v>100</v>
      </c>
      <c r="AC88">
        <v>100</v>
      </c>
      <c r="AD88">
        <v>100</v>
      </c>
      <c r="AE88">
        <v>100</v>
      </c>
      <c r="AF88">
        <v>100</v>
      </c>
      <c r="AG88">
        <v>100</v>
      </c>
      <c r="AH88">
        <v>100</v>
      </c>
      <c r="AI88">
        <v>100</v>
      </c>
      <c r="AJ88">
        <v>100</v>
      </c>
      <c r="AK88">
        <v>100</v>
      </c>
      <c r="AL88">
        <v>100</v>
      </c>
      <c r="AM88">
        <v>100</v>
      </c>
      <c r="AN88">
        <v>100</v>
      </c>
      <c r="AO88">
        <v>100</v>
      </c>
      <c r="AP88">
        <v>100</v>
      </c>
      <c r="AQ88">
        <v>100</v>
      </c>
      <c r="AR88">
        <v>100</v>
      </c>
      <c r="AS88">
        <v>100</v>
      </c>
      <c r="AT88">
        <v>100</v>
      </c>
      <c r="AU88">
        <v>100</v>
      </c>
      <c r="AV88">
        <v>100</v>
      </c>
      <c r="AW88">
        <v>100</v>
      </c>
      <c r="AX88">
        <v>100</v>
      </c>
      <c r="AY88">
        <v>100</v>
      </c>
      <c r="AZ88">
        <v>100</v>
      </c>
      <c r="BA88">
        <v>100</v>
      </c>
      <c r="BB88">
        <v>100</v>
      </c>
      <c r="BC88">
        <v>100</v>
      </c>
      <c r="BD88">
        <v>100</v>
      </c>
      <c r="BE88">
        <v>100</v>
      </c>
      <c r="BF88">
        <v>100</v>
      </c>
      <c r="BG88">
        <v>100</v>
      </c>
      <c r="BH88">
        <v>100</v>
      </c>
      <c r="BI88">
        <v>100</v>
      </c>
      <c r="BJ88">
        <v>100</v>
      </c>
    </row>
    <row r="89" spans="1:62" x14ac:dyDescent="0.25">
      <c r="A89" s="2" t="s">
        <v>73</v>
      </c>
      <c r="AV89" t="s">
        <v>40</v>
      </c>
      <c r="AW89" t="s">
        <v>40</v>
      </c>
      <c r="AX89" t="s">
        <v>40</v>
      </c>
      <c r="AY89" t="s">
        <v>40</v>
      </c>
      <c r="AZ89" t="s">
        <v>40</v>
      </c>
      <c r="BA89" t="s">
        <v>40</v>
      </c>
    </row>
    <row r="90" spans="1:62" x14ac:dyDescent="0.25">
      <c r="A90" s="2"/>
    </row>
    <row r="91" spans="1:62" x14ac:dyDescent="0.25">
      <c r="A91" s="2" t="s">
        <v>30</v>
      </c>
      <c r="B91">
        <v>238</v>
      </c>
      <c r="C91">
        <v>2100</v>
      </c>
      <c r="D91">
        <v>5297</v>
      </c>
      <c r="E91" t="s">
        <v>2</v>
      </c>
      <c r="F91">
        <v>5049</v>
      </c>
      <c r="G91">
        <v>5540</v>
      </c>
      <c r="H91">
        <v>3193</v>
      </c>
      <c r="I91">
        <v>4129</v>
      </c>
      <c r="J91">
        <v>4290</v>
      </c>
      <c r="K91">
        <v>6289</v>
      </c>
      <c r="L91" t="s">
        <v>2</v>
      </c>
      <c r="M91">
        <v>2746</v>
      </c>
      <c r="N91">
        <v>7122</v>
      </c>
      <c r="O91">
        <v>4642</v>
      </c>
      <c r="P91">
        <v>1114</v>
      </c>
      <c r="Q91">
        <v>3337</v>
      </c>
      <c r="R91">
        <v>4232</v>
      </c>
      <c r="S91" t="s">
        <v>2</v>
      </c>
      <c r="T91">
        <v>5593</v>
      </c>
      <c r="U91">
        <v>4085</v>
      </c>
      <c r="V91">
        <v>5777</v>
      </c>
      <c r="W91">
        <v>5931</v>
      </c>
      <c r="X91">
        <v>1255</v>
      </c>
      <c r="Y91">
        <v>4473</v>
      </c>
      <c r="Z91" t="s">
        <v>2</v>
      </c>
      <c r="AA91">
        <v>3760</v>
      </c>
      <c r="AB91">
        <v>1469</v>
      </c>
      <c r="AC91">
        <v>1883</v>
      </c>
      <c r="AD91">
        <v>1179</v>
      </c>
      <c r="AE91">
        <v>6046</v>
      </c>
      <c r="AF91">
        <v>5459</v>
      </c>
      <c r="AG91" t="s">
        <v>2</v>
      </c>
      <c r="AH91">
        <v>4471</v>
      </c>
      <c r="AI91">
        <v>1838</v>
      </c>
      <c r="AJ91">
        <v>2839</v>
      </c>
      <c r="AK91">
        <v>4717</v>
      </c>
      <c r="AL91">
        <v>4733</v>
      </c>
      <c r="AM91">
        <v>5028</v>
      </c>
      <c r="AN91" t="s">
        <v>2</v>
      </c>
      <c r="AO91">
        <v>9020</v>
      </c>
      <c r="AP91">
        <v>5368</v>
      </c>
      <c r="AQ91">
        <v>6417</v>
      </c>
      <c r="AR91">
        <v>3920</v>
      </c>
      <c r="AS91">
        <v>6843</v>
      </c>
      <c r="AT91">
        <v>4387</v>
      </c>
      <c r="AU91" t="s">
        <v>2</v>
      </c>
      <c r="AV91">
        <v>5992</v>
      </c>
      <c r="AW91">
        <v>6258</v>
      </c>
      <c r="AX91">
        <v>10026</v>
      </c>
      <c r="AY91">
        <v>14785</v>
      </c>
      <c r="AZ91">
        <v>8287</v>
      </c>
      <c r="BB91" t="s">
        <v>2</v>
      </c>
      <c r="BI91" t="s">
        <v>2</v>
      </c>
    </row>
    <row r="92" spans="1:62" x14ac:dyDescent="0.25">
      <c r="A92" s="2" t="s">
        <v>31</v>
      </c>
      <c r="B92">
        <v>1.2</v>
      </c>
      <c r="C92">
        <v>13</v>
      </c>
      <c r="D92">
        <v>37.5</v>
      </c>
      <c r="E92" t="s">
        <v>2</v>
      </c>
      <c r="F92">
        <v>34</v>
      </c>
      <c r="G92">
        <v>34</v>
      </c>
      <c r="H92">
        <v>26</v>
      </c>
      <c r="I92">
        <v>30.3</v>
      </c>
      <c r="J92">
        <v>35.5</v>
      </c>
      <c r="K92">
        <v>33.5</v>
      </c>
      <c r="L92" t="s">
        <v>2</v>
      </c>
      <c r="M92">
        <v>25.5</v>
      </c>
      <c r="N92">
        <v>66.5</v>
      </c>
      <c r="O92">
        <v>40</v>
      </c>
      <c r="P92">
        <v>6</v>
      </c>
      <c r="Q92">
        <v>24</v>
      </c>
      <c r="R92">
        <v>42</v>
      </c>
      <c r="S92" t="s">
        <v>2</v>
      </c>
      <c r="T92">
        <v>36.799999999999997</v>
      </c>
      <c r="U92">
        <v>37.5</v>
      </c>
      <c r="V92">
        <v>38.5</v>
      </c>
      <c r="W92">
        <v>31.8</v>
      </c>
      <c r="X92">
        <v>7.5</v>
      </c>
      <c r="Y92">
        <v>26</v>
      </c>
      <c r="Z92" t="s">
        <v>2</v>
      </c>
      <c r="AA92">
        <v>15</v>
      </c>
      <c r="AB92">
        <v>7.5</v>
      </c>
      <c r="AC92">
        <v>10</v>
      </c>
      <c r="AD92">
        <v>8</v>
      </c>
      <c r="AE92">
        <v>26.5</v>
      </c>
      <c r="AF92">
        <v>37.5</v>
      </c>
      <c r="AG92" t="s">
        <v>2</v>
      </c>
      <c r="AH92">
        <v>23.3</v>
      </c>
      <c r="AI92">
        <v>12</v>
      </c>
      <c r="AJ92">
        <v>18</v>
      </c>
      <c r="AK92">
        <v>28.8</v>
      </c>
      <c r="AL92">
        <v>30</v>
      </c>
      <c r="AM92">
        <v>29.3</v>
      </c>
      <c r="AN92" t="s">
        <v>2</v>
      </c>
      <c r="AO92">
        <v>40</v>
      </c>
      <c r="AP92">
        <v>35.5</v>
      </c>
      <c r="AQ92">
        <v>40.5</v>
      </c>
      <c r="AR92">
        <v>24.5</v>
      </c>
      <c r="AS92">
        <v>39.5</v>
      </c>
      <c r="AT92">
        <v>30</v>
      </c>
      <c r="AU92" t="s">
        <v>2</v>
      </c>
      <c r="AV92">
        <v>37.5</v>
      </c>
      <c r="AW92">
        <v>35.5</v>
      </c>
      <c r="AX92">
        <v>30</v>
      </c>
      <c r="AY92">
        <v>40</v>
      </c>
      <c r="AZ92">
        <v>40</v>
      </c>
      <c r="BB92" t="s">
        <v>2</v>
      </c>
      <c r="BI92" t="s">
        <v>2</v>
      </c>
    </row>
    <row r="93" spans="1:62" x14ac:dyDescent="0.25">
      <c r="A93" s="2" t="s">
        <v>41</v>
      </c>
      <c r="B93">
        <f t="shared" ref="B93:AG93" si="21">B91/B92</f>
        <v>198.33333333333334</v>
      </c>
      <c r="C93">
        <f t="shared" si="21"/>
        <v>161.53846153846155</v>
      </c>
      <c r="D93">
        <f t="shared" si="21"/>
        <v>141.25333333333333</v>
      </c>
      <c r="E93" t="e">
        <f t="shared" si="21"/>
        <v>#VALUE!</v>
      </c>
      <c r="F93">
        <f t="shared" si="21"/>
        <v>148.5</v>
      </c>
      <c r="G93">
        <f t="shared" si="21"/>
        <v>162.94117647058823</v>
      </c>
      <c r="H93">
        <f t="shared" si="21"/>
        <v>122.80769230769231</v>
      </c>
      <c r="I93">
        <f t="shared" si="21"/>
        <v>136.27062706270627</v>
      </c>
      <c r="J93">
        <f t="shared" si="21"/>
        <v>120.84507042253522</v>
      </c>
      <c r="K93">
        <f t="shared" si="21"/>
        <v>187.73134328358208</v>
      </c>
      <c r="L93" t="e">
        <f t="shared" si="21"/>
        <v>#VALUE!</v>
      </c>
      <c r="M93">
        <f t="shared" si="21"/>
        <v>107.68627450980392</v>
      </c>
      <c r="N93">
        <f t="shared" si="21"/>
        <v>107.09774436090225</v>
      </c>
      <c r="O93">
        <f t="shared" si="21"/>
        <v>116.05</v>
      </c>
      <c r="P93">
        <f t="shared" si="21"/>
        <v>185.66666666666666</v>
      </c>
      <c r="Q93">
        <f t="shared" si="21"/>
        <v>139.04166666666666</v>
      </c>
      <c r="R93">
        <f t="shared" si="21"/>
        <v>100.76190476190476</v>
      </c>
      <c r="S93" t="e">
        <f t="shared" si="21"/>
        <v>#VALUE!</v>
      </c>
      <c r="T93">
        <f t="shared" si="21"/>
        <v>151.98369565217394</v>
      </c>
      <c r="U93">
        <f t="shared" si="21"/>
        <v>108.93333333333334</v>
      </c>
      <c r="V93">
        <f t="shared" si="21"/>
        <v>150.05194805194805</v>
      </c>
      <c r="W93">
        <f t="shared" si="21"/>
        <v>186.50943396226415</v>
      </c>
      <c r="X93">
        <f t="shared" si="21"/>
        <v>167.33333333333334</v>
      </c>
      <c r="Y93">
        <f t="shared" si="21"/>
        <v>172.03846153846155</v>
      </c>
      <c r="Z93" t="e">
        <f t="shared" si="21"/>
        <v>#VALUE!</v>
      </c>
      <c r="AA93">
        <f t="shared" si="21"/>
        <v>250.66666666666666</v>
      </c>
      <c r="AB93">
        <f t="shared" si="21"/>
        <v>195.86666666666667</v>
      </c>
      <c r="AC93">
        <f t="shared" si="21"/>
        <v>188.3</v>
      </c>
      <c r="AD93">
        <f t="shared" si="21"/>
        <v>147.375</v>
      </c>
      <c r="AE93">
        <f t="shared" si="21"/>
        <v>228.15094339622641</v>
      </c>
      <c r="AF93">
        <f t="shared" si="21"/>
        <v>145.57333333333332</v>
      </c>
      <c r="AG93" t="e">
        <f t="shared" si="21"/>
        <v>#VALUE!</v>
      </c>
      <c r="AH93">
        <f t="shared" ref="AH93:BJ93" si="22">AH91/AH92</f>
        <v>191.88841201716738</v>
      </c>
      <c r="AI93">
        <f t="shared" si="22"/>
        <v>153.16666666666666</v>
      </c>
      <c r="AJ93">
        <f t="shared" si="22"/>
        <v>157.72222222222223</v>
      </c>
      <c r="AK93">
        <f t="shared" si="22"/>
        <v>163.78472222222223</v>
      </c>
      <c r="AL93">
        <f t="shared" si="22"/>
        <v>157.76666666666668</v>
      </c>
      <c r="AM93">
        <f t="shared" si="22"/>
        <v>171.60409556313994</v>
      </c>
      <c r="AN93" t="e">
        <f t="shared" si="22"/>
        <v>#VALUE!</v>
      </c>
      <c r="AO93">
        <f t="shared" si="22"/>
        <v>225.5</v>
      </c>
      <c r="AP93">
        <f t="shared" si="22"/>
        <v>151.21126760563379</v>
      </c>
      <c r="AQ93">
        <f t="shared" si="22"/>
        <v>158.44444444444446</v>
      </c>
      <c r="AR93">
        <f t="shared" si="22"/>
        <v>160</v>
      </c>
      <c r="AS93">
        <f t="shared" si="22"/>
        <v>173.24050632911391</v>
      </c>
      <c r="AT93">
        <f t="shared" si="22"/>
        <v>146.23333333333332</v>
      </c>
      <c r="AU93" t="e">
        <f t="shared" si="22"/>
        <v>#VALUE!</v>
      </c>
      <c r="AV93">
        <f t="shared" si="22"/>
        <v>159.78666666666666</v>
      </c>
      <c r="AW93">
        <f t="shared" si="22"/>
        <v>176.28169014084506</v>
      </c>
      <c r="AX93">
        <f t="shared" si="22"/>
        <v>334.2</v>
      </c>
      <c r="AY93">
        <f t="shared" si="22"/>
        <v>369.625</v>
      </c>
      <c r="AZ93">
        <f t="shared" si="22"/>
        <v>207.17500000000001</v>
      </c>
      <c r="BA93" t="e">
        <f t="shared" si="22"/>
        <v>#DIV/0!</v>
      </c>
      <c r="BB93" t="e">
        <f t="shared" si="22"/>
        <v>#VALUE!</v>
      </c>
      <c r="BC93" t="e">
        <f t="shared" si="22"/>
        <v>#DIV/0!</v>
      </c>
      <c r="BD93" t="e">
        <f t="shared" si="22"/>
        <v>#DIV/0!</v>
      </c>
      <c r="BE93" t="e">
        <f t="shared" si="22"/>
        <v>#DIV/0!</v>
      </c>
      <c r="BF93" t="e">
        <f t="shared" si="22"/>
        <v>#DIV/0!</v>
      </c>
      <c r="BG93" t="e">
        <f t="shared" si="22"/>
        <v>#DIV/0!</v>
      </c>
      <c r="BH93" t="e">
        <f t="shared" si="22"/>
        <v>#DIV/0!</v>
      </c>
      <c r="BI93" t="e">
        <f t="shared" si="22"/>
        <v>#VALUE!</v>
      </c>
      <c r="BJ93" t="e">
        <f t="shared" si="22"/>
        <v>#DIV/0!</v>
      </c>
    </row>
    <row r="94" spans="1:62" x14ac:dyDescent="0.25">
      <c r="A94" s="2" t="s">
        <v>74</v>
      </c>
      <c r="B94">
        <v>160</v>
      </c>
      <c r="C94">
        <v>160</v>
      </c>
      <c r="D94">
        <v>160</v>
      </c>
      <c r="E94">
        <v>160</v>
      </c>
      <c r="F94">
        <v>160</v>
      </c>
      <c r="G94">
        <v>160</v>
      </c>
      <c r="H94">
        <v>160</v>
      </c>
      <c r="I94">
        <v>160</v>
      </c>
      <c r="J94">
        <v>160</v>
      </c>
      <c r="K94">
        <v>160</v>
      </c>
      <c r="L94">
        <v>160</v>
      </c>
      <c r="M94">
        <v>160</v>
      </c>
      <c r="N94">
        <v>160</v>
      </c>
      <c r="O94">
        <v>160</v>
      </c>
      <c r="P94">
        <v>160</v>
      </c>
      <c r="Q94">
        <v>160</v>
      </c>
      <c r="R94">
        <v>160</v>
      </c>
      <c r="S94">
        <v>160</v>
      </c>
      <c r="T94">
        <v>160</v>
      </c>
      <c r="U94">
        <v>160</v>
      </c>
      <c r="V94">
        <v>160</v>
      </c>
      <c r="W94">
        <v>160</v>
      </c>
      <c r="X94">
        <v>160</v>
      </c>
      <c r="Y94">
        <v>160</v>
      </c>
      <c r="Z94">
        <v>160</v>
      </c>
      <c r="AA94">
        <v>160</v>
      </c>
      <c r="AB94">
        <v>160</v>
      </c>
      <c r="AC94">
        <v>160</v>
      </c>
      <c r="AD94">
        <v>160</v>
      </c>
      <c r="AE94">
        <v>160</v>
      </c>
      <c r="AF94">
        <v>160</v>
      </c>
      <c r="AG94">
        <v>160</v>
      </c>
      <c r="AH94">
        <v>160</v>
      </c>
      <c r="AI94">
        <v>160</v>
      </c>
      <c r="AJ94">
        <v>160</v>
      </c>
      <c r="AK94">
        <v>160</v>
      </c>
      <c r="AL94">
        <v>160</v>
      </c>
      <c r="AM94">
        <v>160</v>
      </c>
      <c r="AN94">
        <v>160</v>
      </c>
      <c r="AO94">
        <v>160</v>
      </c>
      <c r="AP94">
        <v>160</v>
      </c>
      <c r="AQ94">
        <v>160</v>
      </c>
      <c r="AR94">
        <v>160</v>
      </c>
      <c r="AS94">
        <v>160</v>
      </c>
      <c r="AT94">
        <v>160</v>
      </c>
      <c r="AU94">
        <v>160</v>
      </c>
      <c r="AV94">
        <v>160</v>
      </c>
      <c r="AW94">
        <v>160</v>
      </c>
      <c r="AX94">
        <v>160</v>
      </c>
      <c r="AY94">
        <v>160</v>
      </c>
      <c r="AZ94">
        <v>160</v>
      </c>
      <c r="BA94">
        <v>160</v>
      </c>
      <c r="BB94">
        <v>160</v>
      </c>
      <c r="BC94">
        <v>160</v>
      </c>
      <c r="BD94">
        <v>160</v>
      </c>
      <c r="BE94">
        <v>160</v>
      </c>
      <c r="BF94">
        <v>160</v>
      </c>
      <c r="BG94">
        <v>160</v>
      </c>
      <c r="BH94">
        <v>160</v>
      </c>
      <c r="BI94">
        <v>160</v>
      </c>
      <c r="BJ94">
        <v>160</v>
      </c>
    </row>
    <row r="95" spans="1:62" x14ac:dyDescent="0.25">
      <c r="A95" s="2" t="s">
        <v>75</v>
      </c>
    </row>
    <row r="96" spans="1:62" x14ac:dyDescent="0.25">
      <c r="A96" s="2"/>
    </row>
    <row r="97" spans="1:62" x14ac:dyDescent="0.25">
      <c r="A97" s="2" t="s">
        <v>30</v>
      </c>
      <c r="B97" t="s">
        <v>2</v>
      </c>
      <c r="C97" t="s">
        <v>2</v>
      </c>
      <c r="D97" t="s">
        <v>2</v>
      </c>
      <c r="E97" t="s">
        <v>2</v>
      </c>
      <c r="F97" t="s">
        <v>2</v>
      </c>
      <c r="G97" t="s">
        <v>2</v>
      </c>
      <c r="H97" t="s">
        <v>2</v>
      </c>
      <c r="I97" t="s">
        <v>2</v>
      </c>
      <c r="J97" t="s">
        <v>2</v>
      </c>
      <c r="K97" t="s">
        <v>2</v>
      </c>
      <c r="L97" t="s">
        <v>2</v>
      </c>
      <c r="M97" t="s">
        <v>2</v>
      </c>
      <c r="N97" t="s">
        <v>2</v>
      </c>
      <c r="O97" t="s">
        <v>2</v>
      </c>
      <c r="P97" t="s">
        <v>2</v>
      </c>
      <c r="Q97" t="s">
        <v>2</v>
      </c>
      <c r="R97" t="s">
        <v>2</v>
      </c>
      <c r="S97" t="s">
        <v>2</v>
      </c>
      <c r="T97" t="s">
        <v>2</v>
      </c>
      <c r="U97" t="s">
        <v>2</v>
      </c>
      <c r="V97" t="s">
        <v>2</v>
      </c>
      <c r="W97" t="s">
        <v>2</v>
      </c>
      <c r="X97" t="s">
        <v>2</v>
      </c>
      <c r="Y97" t="s">
        <v>2</v>
      </c>
      <c r="Z97" t="s">
        <v>2</v>
      </c>
      <c r="AA97" t="s">
        <v>2</v>
      </c>
      <c r="AB97" t="s">
        <v>2</v>
      </c>
      <c r="AC97" t="s">
        <v>2</v>
      </c>
      <c r="AD97" t="s">
        <v>2</v>
      </c>
      <c r="AE97" t="s">
        <v>2</v>
      </c>
      <c r="AF97" t="s">
        <v>2</v>
      </c>
      <c r="AG97" t="s">
        <v>2</v>
      </c>
      <c r="AH97">
        <v>1456</v>
      </c>
      <c r="AI97">
        <v>0</v>
      </c>
      <c r="AJ97">
        <v>0</v>
      </c>
      <c r="AK97">
        <v>334</v>
      </c>
      <c r="AL97">
        <v>0</v>
      </c>
      <c r="AM97">
        <v>0</v>
      </c>
      <c r="AN97" t="s">
        <v>2</v>
      </c>
      <c r="AO97">
        <v>3136</v>
      </c>
      <c r="AP97">
        <v>600</v>
      </c>
      <c r="AQ97">
        <v>0</v>
      </c>
      <c r="AR97">
        <v>0</v>
      </c>
      <c r="AS97">
        <v>680</v>
      </c>
      <c r="AT97">
        <v>0</v>
      </c>
      <c r="AU97" t="s">
        <v>2</v>
      </c>
      <c r="AV97">
        <v>705</v>
      </c>
      <c r="AW97">
        <v>25</v>
      </c>
      <c r="AX97">
        <v>1967</v>
      </c>
      <c r="AY97">
        <v>1689</v>
      </c>
      <c r="AZ97">
        <v>3795</v>
      </c>
      <c r="BB97" t="s">
        <v>2</v>
      </c>
      <c r="BI97" t="s">
        <v>2</v>
      </c>
    </row>
    <row r="98" spans="1:62" x14ac:dyDescent="0.25">
      <c r="A98" s="2" t="s">
        <v>31</v>
      </c>
      <c r="B98" t="s">
        <v>2</v>
      </c>
      <c r="C98" t="s">
        <v>2</v>
      </c>
      <c r="D98" t="s">
        <v>2</v>
      </c>
      <c r="E98" t="s">
        <v>2</v>
      </c>
      <c r="F98" t="s">
        <v>2</v>
      </c>
      <c r="G98" t="s">
        <v>2</v>
      </c>
      <c r="H98" t="s">
        <v>2</v>
      </c>
      <c r="I98" t="s">
        <v>2</v>
      </c>
      <c r="J98" t="s">
        <v>2</v>
      </c>
      <c r="K98" t="s">
        <v>2</v>
      </c>
      <c r="L98" t="s">
        <v>2</v>
      </c>
      <c r="M98" t="s">
        <v>2</v>
      </c>
      <c r="N98" t="s">
        <v>2</v>
      </c>
      <c r="O98" t="s">
        <v>2</v>
      </c>
      <c r="P98" t="s">
        <v>2</v>
      </c>
      <c r="Q98" t="s">
        <v>2</v>
      </c>
      <c r="R98" t="s">
        <v>2</v>
      </c>
      <c r="S98" t="s">
        <v>2</v>
      </c>
      <c r="T98" t="s">
        <v>2</v>
      </c>
      <c r="U98" t="s">
        <v>2</v>
      </c>
      <c r="V98" t="s">
        <v>2</v>
      </c>
      <c r="W98" t="s">
        <v>2</v>
      </c>
      <c r="X98" t="s">
        <v>2</v>
      </c>
      <c r="Y98" t="s">
        <v>2</v>
      </c>
      <c r="Z98" t="s">
        <v>2</v>
      </c>
      <c r="AA98" t="s">
        <v>2</v>
      </c>
      <c r="AB98" t="s">
        <v>2</v>
      </c>
      <c r="AC98" t="s">
        <v>2</v>
      </c>
      <c r="AD98" t="s">
        <v>2</v>
      </c>
      <c r="AE98" t="s">
        <v>2</v>
      </c>
      <c r="AF98" t="s">
        <v>2</v>
      </c>
      <c r="AG98" t="s">
        <v>2</v>
      </c>
      <c r="AH98">
        <v>1.63</v>
      </c>
      <c r="AI98">
        <v>0</v>
      </c>
      <c r="AJ98">
        <v>0</v>
      </c>
      <c r="AK98">
        <v>0.42</v>
      </c>
      <c r="AL98">
        <v>0</v>
      </c>
      <c r="AM98">
        <v>0</v>
      </c>
      <c r="AN98" t="s">
        <v>2</v>
      </c>
      <c r="AO98">
        <v>3</v>
      </c>
      <c r="AP98">
        <v>0.92</v>
      </c>
      <c r="AQ98">
        <v>0</v>
      </c>
      <c r="AR98">
        <v>0</v>
      </c>
      <c r="AS98">
        <v>0.67</v>
      </c>
      <c r="AT98">
        <v>0</v>
      </c>
      <c r="AU98" t="s">
        <v>2</v>
      </c>
      <c r="AV98">
        <v>1.3</v>
      </c>
      <c r="AW98">
        <v>0.08</v>
      </c>
      <c r="AX98">
        <v>1.42</v>
      </c>
      <c r="AY98">
        <v>2.08</v>
      </c>
      <c r="AZ98">
        <v>3.42</v>
      </c>
      <c r="BB98" t="s">
        <v>2</v>
      </c>
      <c r="BI98" t="s">
        <v>2</v>
      </c>
    </row>
    <row r="99" spans="1:62" x14ac:dyDescent="0.25">
      <c r="A99" s="2" t="s">
        <v>42</v>
      </c>
      <c r="B99" t="s">
        <v>2</v>
      </c>
      <c r="C99" t="s">
        <v>2</v>
      </c>
      <c r="D99" t="s">
        <v>2</v>
      </c>
      <c r="E99" t="s">
        <v>2</v>
      </c>
      <c r="F99" t="s">
        <v>2</v>
      </c>
      <c r="G99" t="s">
        <v>2</v>
      </c>
      <c r="H99" t="s">
        <v>2</v>
      </c>
      <c r="I99" t="s">
        <v>2</v>
      </c>
      <c r="J99" t="s">
        <v>2</v>
      </c>
      <c r="K99" t="s">
        <v>2</v>
      </c>
      <c r="L99" t="s">
        <v>2</v>
      </c>
      <c r="M99" t="s">
        <v>2</v>
      </c>
      <c r="N99" t="s">
        <v>2</v>
      </c>
      <c r="O99" t="s">
        <v>2</v>
      </c>
      <c r="P99" t="s">
        <v>2</v>
      </c>
      <c r="Q99" t="s">
        <v>2</v>
      </c>
      <c r="R99" t="s">
        <v>2</v>
      </c>
      <c r="S99" t="s">
        <v>2</v>
      </c>
      <c r="T99" t="s">
        <v>2</v>
      </c>
      <c r="U99" t="s">
        <v>2</v>
      </c>
      <c r="V99" t="s">
        <v>2</v>
      </c>
      <c r="W99" t="s">
        <v>2</v>
      </c>
      <c r="X99" t="s">
        <v>2</v>
      </c>
      <c r="Y99" t="s">
        <v>2</v>
      </c>
      <c r="Z99" t="s">
        <v>2</v>
      </c>
      <c r="AA99" t="s">
        <v>2</v>
      </c>
      <c r="AB99" t="s">
        <v>2</v>
      </c>
      <c r="AC99" t="s">
        <v>2</v>
      </c>
      <c r="AD99" t="s">
        <v>2</v>
      </c>
      <c r="AE99" t="s">
        <v>2</v>
      </c>
      <c r="AF99" t="s">
        <v>2</v>
      </c>
      <c r="AG99" t="s">
        <v>2</v>
      </c>
      <c r="AH99">
        <f t="shared" ref="AH99:BJ99" si="23">AH97/AH98</f>
        <v>893.25153374233139</v>
      </c>
      <c r="AI99" t="e">
        <f t="shared" si="23"/>
        <v>#DIV/0!</v>
      </c>
      <c r="AJ99" t="e">
        <f t="shared" si="23"/>
        <v>#DIV/0!</v>
      </c>
      <c r="AK99">
        <f t="shared" si="23"/>
        <v>795.2380952380953</v>
      </c>
      <c r="AL99" t="e">
        <f t="shared" si="23"/>
        <v>#DIV/0!</v>
      </c>
      <c r="AM99" t="e">
        <f t="shared" si="23"/>
        <v>#DIV/0!</v>
      </c>
      <c r="AN99" t="e">
        <f t="shared" si="23"/>
        <v>#VALUE!</v>
      </c>
      <c r="AO99">
        <f t="shared" si="23"/>
        <v>1045.3333333333333</v>
      </c>
      <c r="AP99">
        <f t="shared" si="23"/>
        <v>652.17391304347825</v>
      </c>
      <c r="AQ99" t="e">
        <f t="shared" si="23"/>
        <v>#DIV/0!</v>
      </c>
      <c r="AR99" t="e">
        <f t="shared" si="23"/>
        <v>#DIV/0!</v>
      </c>
      <c r="AS99">
        <f t="shared" si="23"/>
        <v>1014.9253731343283</v>
      </c>
      <c r="AT99" t="e">
        <f t="shared" si="23"/>
        <v>#DIV/0!</v>
      </c>
      <c r="AU99" t="e">
        <f t="shared" si="23"/>
        <v>#VALUE!</v>
      </c>
      <c r="AV99">
        <f t="shared" si="23"/>
        <v>542.30769230769226</v>
      </c>
      <c r="AW99">
        <f t="shared" si="23"/>
        <v>312.5</v>
      </c>
      <c r="AX99">
        <f t="shared" si="23"/>
        <v>1385.2112676056338</v>
      </c>
      <c r="AY99">
        <f t="shared" si="23"/>
        <v>812.01923076923072</v>
      </c>
      <c r="AZ99">
        <f t="shared" si="23"/>
        <v>1109.6491228070176</v>
      </c>
      <c r="BA99" t="e">
        <f t="shared" si="23"/>
        <v>#DIV/0!</v>
      </c>
      <c r="BB99" t="e">
        <f t="shared" si="23"/>
        <v>#VALUE!</v>
      </c>
      <c r="BC99" t="e">
        <f t="shared" si="23"/>
        <v>#DIV/0!</v>
      </c>
      <c r="BD99" t="e">
        <f t="shared" si="23"/>
        <v>#DIV/0!</v>
      </c>
      <c r="BE99" t="e">
        <f t="shared" si="23"/>
        <v>#DIV/0!</v>
      </c>
      <c r="BF99" t="e">
        <f t="shared" si="23"/>
        <v>#DIV/0!</v>
      </c>
      <c r="BG99" t="e">
        <f t="shared" si="23"/>
        <v>#DIV/0!</v>
      </c>
      <c r="BH99" t="e">
        <f t="shared" si="23"/>
        <v>#DIV/0!</v>
      </c>
      <c r="BI99" t="e">
        <f t="shared" si="23"/>
        <v>#VALUE!</v>
      </c>
      <c r="BJ99" t="e">
        <f t="shared" si="23"/>
        <v>#DIV/0!</v>
      </c>
    </row>
    <row r="100" spans="1:62" x14ac:dyDescent="0.25">
      <c r="A100" s="2" t="s">
        <v>76</v>
      </c>
      <c r="B100" t="s">
        <v>2</v>
      </c>
      <c r="C100" t="s">
        <v>2</v>
      </c>
      <c r="D100" t="s">
        <v>2</v>
      </c>
      <c r="E100" t="s">
        <v>2</v>
      </c>
      <c r="F100" t="s">
        <v>2</v>
      </c>
      <c r="G100" t="s">
        <v>2</v>
      </c>
      <c r="H100" t="s">
        <v>2</v>
      </c>
      <c r="I100" t="s">
        <v>2</v>
      </c>
      <c r="J100" t="s">
        <v>2</v>
      </c>
      <c r="K100" t="s">
        <v>2</v>
      </c>
      <c r="L100" t="s">
        <v>2</v>
      </c>
      <c r="M100" t="s">
        <v>2</v>
      </c>
      <c r="N100" t="s">
        <v>2</v>
      </c>
      <c r="O100" t="s">
        <v>2</v>
      </c>
      <c r="P100" t="s">
        <v>2</v>
      </c>
      <c r="Q100" t="s">
        <v>2</v>
      </c>
      <c r="R100" t="s">
        <v>2</v>
      </c>
      <c r="S100" t="s">
        <v>2</v>
      </c>
      <c r="T100" t="s">
        <v>2</v>
      </c>
      <c r="U100" t="s">
        <v>2</v>
      </c>
      <c r="V100" t="s">
        <v>2</v>
      </c>
      <c r="W100" t="s">
        <v>2</v>
      </c>
      <c r="X100" t="s">
        <v>2</v>
      </c>
      <c r="Y100" t="s">
        <v>2</v>
      </c>
      <c r="Z100" t="s">
        <v>2</v>
      </c>
      <c r="AA100" t="s">
        <v>2</v>
      </c>
      <c r="AB100" t="s">
        <v>2</v>
      </c>
      <c r="AC100" t="s">
        <v>2</v>
      </c>
      <c r="AD100" t="s">
        <v>2</v>
      </c>
      <c r="AE100" t="s">
        <v>2</v>
      </c>
      <c r="AF100" t="s">
        <v>2</v>
      </c>
      <c r="AG100" t="s">
        <v>2</v>
      </c>
    </row>
    <row r="101" spans="1:62" x14ac:dyDescent="0.25">
      <c r="A101" s="2" t="s">
        <v>77</v>
      </c>
    </row>
    <row r="102" spans="1:62" x14ac:dyDescent="0.25">
      <c r="A102" s="2"/>
    </row>
    <row r="103" spans="1:62" x14ac:dyDescent="0.25">
      <c r="A103" s="2" t="s">
        <v>30</v>
      </c>
      <c r="B103">
        <v>4</v>
      </c>
      <c r="C103">
        <v>0</v>
      </c>
      <c r="D103">
        <v>7</v>
      </c>
      <c r="E103" t="s">
        <v>2</v>
      </c>
      <c r="F103">
        <v>9</v>
      </c>
      <c r="G103">
        <v>4</v>
      </c>
      <c r="H103">
        <v>33</v>
      </c>
      <c r="I103">
        <v>63</v>
      </c>
      <c r="J103">
        <v>22</v>
      </c>
      <c r="K103">
        <v>6</v>
      </c>
      <c r="L103" t="s">
        <v>2</v>
      </c>
      <c r="M103">
        <v>40</v>
      </c>
      <c r="N103">
        <v>32</v>
      </c>
      <c r="O103">
        <v>26</v>
      </c>
      <c r="P103">
        <v>25</v>
      </c>
      <c r="Q103">
        <v>98</v>
      </c>
      <c r="R103">
        <v>77</v>
      </c>
      <c r="S103" t="s">
        <v>2</v>
      </c>
      <c r="T103">
        <v>30</v>
      </c>
      <c r="U103">
        <v>4</v>
      </c>
      <c r="V103">
        <v>55</v>
      </c>
      <c r="W103">
        <v>2</v>
      </c>
      <c r="X103">
        <v>46</v>
      </c>
      <c r="Y103">
        <v>5</v>
      </c>
      <c r="Z103" t="s">
        <v>2</v>
      </c>
      <c r="AA103">
        <v>3</v>
      </c>
      <c r="AB103">
        <v>16</v>
      </c>
      <c r="AC103">
        <v>26</v>
      </c>
      <c r="AD103">
        <v>22</v>
      </c>
      <c r="AE103">
        <v>102</v>
      </c>
      <c r="AF103">
        <v>40</v>
      </c>
      <c r="AG103" t="s">
        <v>2</v>
      </c>
      <c r="AH103">
        <v>0</v>
      </c>
      <c r="AI103">
        <v>9</v>
      </c>
      <c r="AJ103">
        <v>18</v>
      </c>
      <c r="AK103">
        <v>23</v>
      </c>
      <c r="AL103">
        <v>34</v>
      </c>
      <c r="AM103">
        <v>7</v>
      </c>
      <c r="AN103" t="s">
        <v>2</v>
      </c>
      <c r="AO103">
        <v>10</v>
      </c>
      <c r="AP103">
        <v>4</v>
      </c>
      <c r="AQ103">
        <v>32</v>
      </c>
      <c r="AR103">
        <v>12</v>
      </c>
      <c r="AS103">
        <v>62</v>
      </c>
      <c r="AT103">
        <v>26</v>
      </c>
      <c r="AU103" t="s">
        <v>2</v>
      </c>
      <c r="AV103">
        <v>30</v>
      </c>
      <c r="AW103">
        <v>31</v>
      </c>
      <c r="AX103">
        <v>88</v>
      </c>
      <c r="AY103">
        <v>12</v>
      </c>
      <c r="AZ103">
        <v>75</v>
      </c>
      <c r="BB103" t="s">
        <v>2</v>
      </c>
      <c r="BI103" t="s">
        <v>2</v>
      </c>
    </row>
    <row r="104" spans="1:62" x14ac:dyDescent="0.25">
      <c r="A104" s="2" t="s">
        <v>31</v>
      </c>
      <c r="B104">
        <v>0.08</v>
      </c>
      <c r="C104">
        <v>0</v>
      </c>
      <c r="D104">
        <v>0.33</v>
      </c>
      <c r="E104" t="s">
        <v>2</v>
      </c>
      <c r="F104">
        <v>0.2</v>
      </c>
      <c r="G104">
        <v>0.13</v>
      </c>
      <c r="H104">
        <v>1.55</v>
      </c>
      <c r="I104">
        <v>1.88</v>
      </c>
      <c r="J104">
        <v>0.68</v>
      </c>
      <c r="K104">
        <v>0.15</v>
      </c>
      <c r="L104" t="s">
        <v>2</v>
      </c>
      <c r="M104">
        <v>1</v>
      </c>
      <c r="N104">
        <v>1.35</v>
      </c>
      <c r="O104">
        <v>1.03</v>
      </c>
      <c r="P104">
        <v>1.1000000000000001</v>
      </c>
      <c r="Q104">
        <v>2.5299999999999998</v>
      </c>
      <c r="R104">
        <v>2.4300000000000002</v>
      </c>
      <c r="S104" t="s">
        <v>2</v>
      </c>
      <c r="T104">
        <v>0.88</v>
      </c>
      <c r="U104">
        <v>0.12</v>
      </c>
      <c r="V104">
        <v>2</v>
      </c>
      <c r="W104">
        <v>0.08</v>
      </c>
      <c r="X104">
        <v>1.5</v>
      </c>
      <c r="Y104">
        <v>0.22</v>
      </c>
      <c r="Z104" t="s">
        <v>2</v>
      </c>
      <c r="AA104">
        <v>0.15</v>
      </c>
      <c r="AB104">
        <v>0.72</v>
      </c>
      <c r="AC104">
        <v>1.2</v>
      </c>
      <c r="AD104">
        <v>0.67</v>
      </c>
      <c r="AE104">
        <v>5.07</v>
      </c>
      <c r="AF104">
        <v>2.2000000000000002</v>
      </c>
      <c r="AG104" t="s">
        <v>2</v>
      </c>
      <c r="AH104">
        <v>0</v>
      </c>
      <c r="AI104">
        <v>0.33</v>
      </c>
      <c r="AJ104">
        <v>0.52</v>
      </c>
      <c r="AK104">
        <v>0.83</v>
      </c>
      <c r="AL104">
        <v>1.3</v>
      </c>
      <c r="AM104">
        <v>0.2</v>
      </c>
      <c r="AN104" t="s">
        <v>2</v>
      </c>
      <c r="AO104">
        <v>0.3</v>
      </c>
      <c r="AP104">
        <v>0.17</v>
      </c>
      <c r="AQ104">
        <v>1.3</v>
      </c>
      <c r="AR104">
        <v>0.42</v>
      </c>
      <c r="AS104">
        <v>1.5</v>
      </c>
      <c r="AT104">
        <v>0.7</v>
      </c>
      <c r="AU104" t="s">
        <v>2</v>
      </c>
      <c r="AV104">
        <v>1.02</v>
      </c>
      <c r="AW104">
        <v>1.4</v>
      </c>
      <c r="AX104">
        <v>3.13</v>
      </c>
      <c r="AY104">
        <v>0.32</v>
      </c>
      <c r="AZ104">
        <v>2.35</v>
      </c>
      <c r="BB104" t="s">
        <v>2</v>
      </c>
      <c r="BI104" t="s">
        <v>2</v>
      </c>
    </row>
    <row r="105" spans="1:62" x14ac:dyDescent="0.25">
      <c r="A105" s="2" t="s">
        <v>43</v>
      </c>
      <c r="B105">
        <f t="shared" ref="B105:AG105" si="24">B103/B104</f>
        <v>50</v>
      </c>
      <c r="C105" t="e">
        <f t="shared" si="24"/>
        <v>#DIV/0!</v>
      </c>
      <c r="D105">
        <f t="shared" si="24"/>
        <v>21.212121212121211</v>
      </c>
      <c r="E105" t="e">
        <f t="shared" si="24"/>
        <v>#VALUE!</v>
      </c>
      <c r="F105">
        <f t="shared" si="24"/>
        <v>45</v>
      </c>
      <c r="G105">
        <f t="shared" si="24"/>
        <v>30.769230769230766</v>
      </c>
      <c r="H105">
        <f t="shared" si="24"/>
        <v>21.29032258064516</v>
      </c>
      <c r="I105">
        <f t="shared" si="24"/>
        <v>33.51063829787234</v>
      </c>
      <c r="J105">
        <f t="shared" si="24"/>
        <v>32.352941176470587</v>
      </c>
      <c r="K105">
        <f t="shared" si="24"/>
        <v>40</v>
      </c>
      <c r="L105" t="e">
        <f t="shared" si="24"/>
        <v>#VALUE!</v>
      </c>
      <c r="M105">
        <f t="shared" si="24"/>
        <v>40</v>
      </c>
      <c r="N105">
        <f t="shared" si="24"/>
        <v>23.703703703703702</v>
      </c>
      <c r="O105">
        <f t="shared" si="24"/>
        <v>25.242718446601941</v>
      </c>
      <c r="P105">
        <f t="shared" si="24"/>
        <v>22.727272727272727</v>
      </c>
      <c r="Q105">
        <f t="shared" si="24"/>
        <v>38.735177865612648</v>
      </c>
      <c r="R105">
        <f t="shared" si="24"/>
        <v>31.687242798353907</v>
      </c>
      <c r="S105" t="e">
        <f t="shared" si="24"/>
        <v>#VALUE!</v>
      </c>
      <c r="T105">
        <f t="shared" si="24"/>
        <v>34.090909090909093</v>
      </c>
      <c r="U105">
        <f t="shared" si="24"/>
        <v>33.333333333333336</v>
      </c>
      <c r="V105">
        <f t="shared" si="24"/>
        <v>27.5</v>
      </c>
      <c r="W105">
        <f t="shared" si="24"/>
        <v>25</v>
      </c>
      <c r="X105">
        <f t="shared" si="24"/>
        <v>30.666666666666668</v>
      </c>
      <c r="Y105">
        <f t="shared" si="24"/>
        <v>22.727272727272727</v>
      </c>
      <c r="Z105" t="e">
        <f t="shared" si="24"/>
        <v>#VALUE!</v>
      </c>
      <c r="AA105">
        <f t="shared" si="24"/>
        <v>20</v>
      </c>
      <c r="AB105">
        <f t="shared" si="24"/>
        <v>22.222222222222221</v>
      </c>
      <c r="AC105">
        <f t="shared" si="24"/>
        <v>21.666666666666668</v>
      </c>
      <c r="AD105">
        <f t="shared" si="24"/>
        <v>32.835820895522389</v>
      </c>
      <c r="AE105">
        <f t="shared" si="24"/>
        <v>20.11834319526627</v>
      </c>
      <c r="AF105">
        <f t="shared" si="24"/>
        <v>18.18181818181818</v>
      </c>
      <c r="AG105" t="e">
        <f t="shared" si="24"/>
        <v>#VALUE!</v>
      </c>
      <c r="AH105" t="e">
        <f t="shared" ref="AH105:BJ105" si="25">AH103/AH104</f>
        <v>#DIV/0!</v>
      </c>
      <c r="AI105">
        <f t="shared" si="25"/>
        <v>27.27272727272727</v>
      </c>
      <c r="AJ105">
        <f t="shared" si="25"/>
        <v>34.615384615384613</v>
      </c>
      <c r="AK105">
        <f t="shared" si="25"/>
        <v>27.710843373493976</v>
      </c>
      <c r="AL105">
        <f t="shared" si="25"/>
        <v>26.153846153846153</v>
      </c>
      <c r="AM105">
        <f t="shared" si="25"/>
        <v>35</v>
      </c>
      <c r="AN105" t="e">
        <f t="shared" si="25"/>
        <v>#VALUE!</v>
      </c>
      <c r="AO105">
        <f t="shared" si="25"/>
        <v>33.333333333333336</v>
      </c>
      <c r="AP105">
        <f t="shared" si="25"/>
        <v>23.52941176470588</v>
      </c>
      <c r="AQ105">
        <f t="shared" si="25"/>
        <v>24.615384615384613</v>
      </c>
      <c r="AR105">
        <f t="shared" si="25"/>
        <v>28.571428571428573</v>
      </c>
      <c r="AS105">
        <f t="shared" si="25"/>
        <v>41.333333333333336</v>
      </c>
      <c r="AT105">
        <f t="shared" si="25"/>
        <v>37.142857142857146</v>
      </c>
      <c r="AU105" t="e">
        <f t="shared" si="25"/>
        <v>#VALUE!</v>
      </c>
      <c r="AV105">
        <f t="shared" si="25"/>
        <v>29.411764705882351</v>
      </c>
      <c r="AW105">
        <f t="shared" si="25"/>
        <v>22.142857142857146</v>
      </c>
      <c r="AX105">
        <f t="shared" si="25"/>
        <v>28.115015974440894</v>
      </c>
      <c r="AY105">
        <f t="shared" si="25"/>
        <v>37.5</v>
      </c>
      <c r="AZ105">
        <f t="shared" si="25"/>
        <v>31.914893617021274</v>
      </c>
      <c r="BA105" t="e">
        <f t="shared" si="25"/>
        <v>#DIV/0!</v>
      </c>
      <c r="BB105" t="e">
        <f t="shared" si="25"/>
        <v>#VALUE!</v>
      </c>
      <c r="BC105" t="e">
        <f t="shared" si="25"/>
        <v>#DIV/0!</v>
      </c>
      <c r="BD105" t="e">
        <f t="shared" si="25"/>
        <v>#DIV/0!</v>
      </c>
      <c r="BE105" t="e">
        <f t="shared" si="25"/>
        <v>#DIV/0!</v>
      </c>
      <c r="BF105" t="e">
        <f t="shared" si="25"/>
        <v>#DIV/0!</v>
      </c>
      <c r="BG105" t="e">
        <f t="shared" si="25"/>
        <v>#DIV/0!</v>
      </c>
      <c r="BH105" t="e">
        <f t="shared" si="25"/>
        <v>#DIV/0!</v>
      </c>
      <c r="BI105" t="e">
        <f t="shared" si="25"/>
        <v>#VALUE!</v>
      </c>
      <c r="BJ105" t="e">
        <f t="shared" si="25"/>
        <v>#DIV/0!</v>
      </c>
    </row>
    <row r="106" spans="1:62" x14ac:dyDescent="0.25">
      <c r="A106" s="2" t="s">
        <v>78</v>
      </c>
      <c r="B106">
        <v>40</v>
      </c>
      <c r="C106">
        <v>40</v>
      </c>
      <c r="D106">
        <v>40</v>
      </c>
      <c r="E106">
        <v>40</v>
      </c>
      <c r="F106">
        <v>40</v>
      </c>
      <c r="G106">
        <v>40</v>
      </c>
      <c r="H106">
        <v>40</v>
      </c>
      <c r="I106">
        <v>40</v>
      </c>
      <c r="J106">
        <v>40</v>
      </c>
      <c r="K106">
        <v>40</v>
      </c>
      <c r="L106">
        <v>40</v>
      </c>
      <c r="M106">
        <v>40</v>
      </c>
      <c r="N106">
        <v>40</v>
      </c>
      <c r="O106">
        <v>40</v>
      </c>
      <c r="P106">
        <v>40</v>
      </c>
      <c r="Q106">
        <v>40</v>
      </c>
      <c r="R106">
        <v>40</v>
      </c>
      <c r="S106">
        <v>40</v>
      </c>
      <c r="T106">
        <v>40</v>
      </c>
      <c r="U106">
        <v>40</v>
      </c>
      <c r="V106">
        <v>40</v>
      </c>
      <c r="W106">
        <v>40</v>
      </c>
      <c r="X106">
        <v>40</v>
      </c>
      <c r="Y106">
        <v>40</v>
      </c>
      <c r="Z106">
        <v>40</v>
      </c>
      <c r="AA106">
        <v>40</v>
      </c>
      <c r="AB106">
        <v>40</v>
      </c>
      <c r="AC106">
        <v>40</v>
      </c>
      <c r="AD106">
        <v>40</v>
      </c>
      <c r="AE106">
        <v>40</v>
      </c>
      <c r="AF106">
        <v>40</v>
      </c>
      <c r="AG106">
        <v>40</v>
      </c>
      <c r="AH106">
        <v>40</v>
      </c>
      <c r="AI106">
        <v>40</v>
      </c>
      <c r="AJ106">
        <v>40</v>
      </c>
      <c r="AK106">
        <v>40</v>
      </c>
      <c r="AL106">
        <v>40</v>
      </c>
      <c r="AM106">
        <v>40</v>
      </c>
      <c r="AN106">
        <v>40</v>
      </c>
      <c r="AO106">
        <v>40</v>
      </c>
      <c r="AP106">
        <v>40</v>
      </c>
      <c r="AQ106">
        <v>40</v>
      </c>
      <c r="AR106">
        <v>40</v>
      </c>
      <c r="AS106">
        <v>40</v>
      </c>
      <c r="AT106">
        <v>40</v>
      </c>
      <c r="AU106">
        <v>40</v>
      </c>
      <c r="AV106">
        <v>40</v>
      </c>
      <c r="AW106">
        <v>40</v>
      </c>
      <c r="AX106">
        <v>40</v>
      </c>
      <c r="AY106">
        <v>40</v>
      </c>
      <c r="AZ106">
        <v>40</v>
      </c>
      <c r="BA106">
        <v>40</v>
      </c>
      <c r="BB106">
        <v>40</v>
      </c>
      <c r="BC106">
        <v>40</v>
      </c>
      <c r="BD106">
        <v>40</v>
      </c>
      <c r="BE106">
        <v>40</v>
      </c>
      <c r="BF106">
        <v>40</v>
      </c>
      <c r="BG106">
        <v>40</v>
      </c>
      <c r="BH106">
        <v>40</v>
      </c>
      <c r="BI106">
        <v>40</v>
      </c>
      <c r="BJ106">
        <v>40</v>
      </c>
    </row>
    <row r="107" spans="1:62" x14ac:dyDescent="0.25">
      <c r="A107" s="2" t="s">
        <v>79</v>
      </c>
    </row>
    <row r="108" spans="1:62" x14ac:dyDescent="0.25">
      <c r="A108" s="2"/>
    </row>
    <row r="109" spans="1:62" x14ac:dyDescent="0.25">
      <c r="A109" s="2" t="s">
        <v>30</v>
      </c>
      <c r="B109">
        <v>1055</v>
      </c>
      <c r="C109">
        <v>103</v>
      </c>
      <c r="D109">
        <v>225</v>
      </c>
      <c r="E109" t="s">
        <v>2</v>
      </c>
      <c r="F109">
        <v>18</v>
      </c>
      <c r="G109">
        <v>306</v>
      </c>
      <c r="H109">
        <v>904</v>
      </c>
      <c r="I109">
        <v>899</v>
      </c>
      <c r="J109">
        <v>1971</v>
      </c>
      <c r="K109">
        <v>903</v>
      </c>
      <c r="L109" t="s">
        <v>2</v>
      </c>
      <c r="M109">
        <v>902</v>
      </c>
      <c r="N109">
        <v>4157</v>
      </c>
      <c r="O109">
        <v>3084</v>
      </c>
      <c r="P109">
        <v>2384</v>
      </c>
      <c r="Q109">
        <v>7740</v>
      </c>
      <c r="R109">
        <v>4237</v>
      </c>
      <c r="S109" t="s">
        <v>2</v>
      </c>
      <c r="T109">
        <v>439</v>
      </c>
      <c r="U109">
        <v>1779</v>
      </c>
      <c r="V109">
        <v>2503</v>
      </c>
      <c r="W109">
        <v>1080</v>
      </c>
      <c r="X109">
        <v>3998</v>
      </c>
      <c r="Y109">
        <v>913</v>
      </c>
      <c r="Z109" t="s">
        <v>2</v>
      </c>
      <c r="AA109">
        <v>689</v>
      </c>
      <c r="AB109">
        <v>1591</v>
      </c>
      <c r="AC109">
        <v>3570</v>
      </c>
      <c r="AD109">
        <v>1984</v>
      </c>
      <c r="AE109">
        <v>6992</v>
      </c>
      <c r="AF109">
        <v>3843</v>
      </c>
      <c r="AG109" t="s">
        <v>2</v>
      </c>
      <c r="AH109">
        <v>97</v>
      </c>
      <c r="AI109">
        <v>1360</v>
      </c>
      <c r="AJ109">
        <v>758</v>
      </c>
      <c r="AK109">
        <v>1748</v>
      </c>
      <c r="AL109">
        <v>2211</v>
      </c>
      <c r="AM109">
        <v>1483</v>
      </c>
      <c r="AN109" t="s">
        <v>2</v>
      </c>
      <c r="AO109">
        <v>1470</v>
      </c>
      <c r="AP109">
        <v>2243</v>
      </c>
      <c r="AQ109">
        <v>1809</v>
      </c>
      <c r="AR109">
        <v>1466</v>
      </c>
      <c r="AS109">
        <v>2975</v>
      </c>
      <c r="AT109">
        <v>2520</v>
      </c>
      <c r="AU109" t="s">
        <v>2</v>
      </c>
      <c r="AV109">
        <v>1629</v>
      </c>
      <c r="AW109">
        <v>2677</v>
      </c>
      <c r="AX109">
        <v>8020</v>
      </c>
      <c r="AY109">
        <v>1956</v>
      </c>
      <c r="AZ109">
        <v>1504</v>
      </c>
      <c r="BB109" t="s">
        <v>2</v>
      </c>
      <c r="BI109" t="s">
        <v>2</v>
      </c>
    </row>
    <row r="110" spans="1:62" x14ac:dyDescent="0.25">
      <c r="A110" s="2" t="s">
        <v>31</v>
      </c>
      <c r="B110">
        <v>4.9000000000000004</v>
      </c>
      <c r="C110">
        <v>0.6</v>
      </c>
      <c r="D110">
        <v>1.2</v>
      </c>
      <c r="E110" t="s">
        <v>2</v>
      </c>
      <c r="F110">
        <v>0.1</v>
      </c>
      <c r="G110">
        <v>2</v>
      </c>
      <c r="H110">
        <v>5</v>
      </c>
      <c r="I110">
        <v>4.5999999999999996</v>
      </c>
      <c r="J110">
        <v>6.6</v>
      </c>
      <c r="K110">
        <v>3.3</v>
      </c>
      <c r="L110" t="s">
        <v>2</v>
      </c>
      <c r="M110">
        <v>3</v>
      </c>
      <c r="N110">
        <v>12</v>
      </c>
      <c r="O110">
        <v>11</v>
      </c>
      <c r="P110">
        <v>12</v>
      </c>
      <c r="Q110">
        <v>20</v>
      </c>
      <c r="R110">
        <v>17</v>
      </c>
      <c r="S110" t="s">
        <v>2</v>
      </c>
      <c r="T110">
        <v>2</v>
      </c>
      <c r="U110">
        <v>8</v>
      </c>
      <c r="V110">
        <v>6.1</v>
      </c>
      <c r="W110">
        <v>4.53</v>
      </c>
      <c r="X110">
        <v>10</v>
      </c>
      <c r="Y110">
        <v>3</v>
      </c>
      <c r="Z110" t="s">
        <v>2</v>
      </c>
      <c r="AA110">
        <v>3.2</v>
      </c>
      <c r="AB110">
        <v>8.52</v>
      </c>
      <c r="AC110">
        <v>12</v>
      </c>
      <c r="AD110">
        <v>7</v>
      </c>
      <c r="AE110">
        <v>22</v>
      </c>
      <c r="AF110">
        <v>12.82</v>
      </c>
      <c r="AG110" t="s">
        <v>2</v>
      </c>
      <c r="AH110">
        <v>0.4</v>
      </c>
      <c r="AI110">
        <v>6.07</v>
      </c>
      <c r="AJ110">
        <v>3.3</v>
      </c>
      <c r="AK110">
        <v>7.75</v>
      </c>
      <c r="AL110">
        <v>7.47</v>
      </c>
      <c r="AM110">
        <v>6.32</v>
      </c>
      <c r="AN110" t="s">
        <v>2</v>
      </c>
      <c r="AO110">
        <v>5.3</v>
      </c>
      <c r="AP110">
        <v>9.1199999999999992</v>
      </c>
      <c r="AQ110">
        <v>7.29</v>
      </c>
      <c r="AR110">
        <v>6.6</v>
      </c>
      <c r="AS110">
        <v>9.93</v>
      </c>
      <c r="AT110">
        <v>9.8000000000000007</v>
      </c>
      <c r="AU110" t="s">
        <v>2</v>
      </c>
      <c r="AV110">
        <v>4.58</v>
      </c>
      <c r="AW110">
        <v>12.02</v>
      </c>
      <c r="AX110">
        <v>22.28</v>
      </c>
      <c r="AY110">
        <v>8.77</v>
      </c>
      <c r="AZ110">
        <v>7.15</v>
      </c>
      <c r="BB110" t="s">
        <v>2</v>
      </c>
      <c r="BI110" t="s">
        <v>2</v>
      </c>
    </row>
    <row r="111" spans="1:62" x14ac:dyDescent="0.25">
      <c r="A111" s="2" t="s">
        <v>44</v>
      </c>
      <c r="B111">
        <f t="shared" ref="B111:AG111" si="26">B109/B110</f>
        <v>215.30612244897958</v>
      </c>
      <c r="C111">
        <f t="shared" si="26"/>
        <v>171.66666666666669</v>
      </c>
      <c r="D111">
        <f t="shared" si="26"/>
        <v>187.5</v>
      </c>
      <c r="E111" t="e">
        <f t="shared" si="26"/>
        <v>#VALUE!</v>
      </c>
      <c r="F111">
        <f t="shared" si="26"/>
        <v>180</v>
      </c>
      <c r="G111">
        <f t="shared" si="26"/>
        <v>153</v>
      </c>
      <c r="H111">
        <f t="shared" si="26"/>
        <v>180.8</v>
      </c>
      <c r="I111">
        <f t="shared" si="26"/>
        <v>195.43478260869566</v>
      </c>
      <c r="J111">
        <f t="shared" si="26"/>
        <v>298.63636363636363</v>
      </c>
      <c r="K111">
        <f t="shared" si="26"/>
        <v>273.63636363636363</v>
      </c>
      <c r="L111" t="e">
        <f t="shared" si="26"/>
        <v>#VALUE!</v>
      </c>
      <c r="M111">
        <f t="shared" si="26"/>
        <v>300.66666666666669</v>
      </c>
      <c r="N111">
        <f t="shared" si="26"/>
        <v>346.41666666666669</v>
      </c>
      <c r="O111">
        <f t="shared" si="26"/>
        <v>280.36363636363637</v>
      </c>
      <c r="P111">
        <f t="shared" si="26"/>
        <v>198.66666666666666</v>
      </c>
      <c r="Q111">
        <f t="shared" si="26"/>
        <v>387</v>
      </c>
      <c r="R111">
        <f t="shared" si="26"/>
        <v>249.23529411764707</v>
      </c>
      <c r="S111" t="e">
        <f t="shared" si="26"/>
        <v>#VALUE!</v>
      </c>
      <c r="T111">
        <f t="shared" si="26"/>
        <v>219.5</v>
      </c>
      <c r="U111">
        <f t="shared" si="26"/>
        <v>222.375</v>
      </c>
      <c r="V111">
        <f t="shared" si="26"/>
        <v>410.32786885245906</v>
      </c>
      <c r="W111">
        <f t="shared" si="26"/>
        <v>238.41059602649005</v>
      </c>
      <c r="X111">
        <f t="shared" si="26"/>
        <v>399.8</v>
      </c>
      <c r="Y111">
        <f t="shared" si="26"/>
        <v>304.33333333333331</v>
      </c>
      <c r="Z111" t="e">
        <f t="shared" si="26"/>
        <v>#VALUE!</v>
      </c>
      <c r="AA111">
        <f t="shared" si="26"/>
        <v>215.3125</v>
      </c>
      <c r="AB111">
        <f t="shared" si="26"/>
        <v>186.73708920187795</v>
      </c>
      <c r="AC111">
        <f t="shared" si="26"/>
        <v>297.5</v>
      </c>
      <c r="AD111">
        <f t="shared" si="26"/>
        <v>283.42857142857144</v>
      </c>
      <c r="AE111">
        <f t="shared" si="26"/>
        <v>317.81818181818181</v>
      </c>
      <c r="AF111">
        <f t="shared" si="26"/>
        <v>299.76599063962556</v>
      </c>
      <c r="AG111" t="e">
        <f t="shared" si="26"/>
        <v>#VALUE!</v>
      </c>
      <c r="AH111">
        <f t="shared" ref="AH111:BJ111" si="27">AH109/AH110</f>
        <v>242.5</v>
      </c>
      <c r="AI111">
        <f t="shared" si="27"/>
        <v>224.05271828665568</v>
      </c>
      <c r="AJ111">
        <f t="shared" si="27"/>
        <v>229.69696969696972</v>
      </c>
      <c r="AK111">
        <f t="shared" si="27"/>
        <v>225.54838709677421</v>
      </c>
      <c r="AL111">
        <f t="shared" si="27"/>
        <v>295.98393574297188</v>
      </c>
      <c r="AM111">
        <f t="shared" si="27"/>
        <v>234.65189873417719</v>
      </c>
      <c r="AN111" t="e">
        <f t="shared" si="27"/>
        <v>#VALUE!</v>
      </c>
      <c r="AO111">
        <f t="shared" si="27"/>
        <v>277.35849056603774</v>
      </c>
      <c r="AP111">
        <f t="shared" si="27"/>
        <v>245.94298245614038</v>
      </c>
      <c r="AQ111">
        <f t="shared" si="27"/>
        <v>248.14814814814815</v>
      </c>
      <c r="AR111">
        <f t="shared" si="27"/>
        <v>222.12121212121212</v>
      </c>
      <c r="AS111">
        <f t="shared" si="27"/>
        <v>299.59718026183282</v>
      </c>
      <c r="AT111">
        <f t="shared" si="27"/>
        <v>257.14285714285711</v>
      </c>
      <c r="AU111" t="e">
        <f t="shared" si="27"/>
        <v>#VALUE!</v>
      </c>
      <c r="AV111">
        <f t="shared" si="27"/>
        <v>355.67685589519652</v>
      </c>
      <c r="AW111">
        <f t="shared" si="27"/>
        <v>222.71214642262896</v>
      </c>
      <c r="AX111">
        <f t="shared" si="27"/>
        <v>359.96409335727105</v>
      </c>
      <c r="AY111">
        <f t="shared" si="27"/>
        <v>223.03306727480046</v>
      </c>
      <c r="AZ111">
        <f t="shared" si="27"/>
        <v>210.34965034965035</v>
      </c>
      <c r="BA111" t="e">
        <f t="shared" si="27"/>
        <v>#DIV/0!</v>
      </c>
      <c r="BB111" t="e">
        <f t="shared" si="27"/>
        <v>#VALUE!</v>
      </c>
      <c r="BC111" t="e">
        <f t="shared" si="27"/>
        <v>#DIV/0!</v>
      </c>
      <c r="BD111" t="e">
        <f t="shared" si="27"/>
        <v>#DIV/0!</v>
      </c>
      <c r="BE111" t="e">
        <f t="shared" si="27"/>
        <v>#DIV/0!</v>
      </c>
      <c r="BF111" t="e">
        <f t="shared" si="27"/>
        <v>#DIV/0!</v>
      </c>
      <c r="BG111" t="e">
        <f t="shared" si="27"/>
        <v>#DIV/0!</v>
      </c>
      <c r="BH111" t="e">
        <f t="shared" si="27"/>
        <v>#DIV/0!</v>
      </c>
      <c r="BI111" t="e">
        <f t="shared" si="27"/>
        <v>#VALUE!</v>
      </c>
      <c r="BJ111" t="e">
        <f t="shared" si="27"/>
        <v>#DIV/0!</v>
      </c>
    </row>
    <row r="112" spans="1:62" x14ac:dyDescent="0.25">
      <c r="A112" s="2" t="s">
        <v>80</v>
      </c>
      <c r="B112">
        <v>300</v>
      </c>
      <c r="C112">
        <v>300</v>
      </c>
      <c r="D112">
        <v>300</v>
      </c>
      <c r="E112">
        <v>300</v>
      </c>
      <c r="F112">
        <v>300</v>
      </c>
      <c r="G112">
        <v>300</v>
      </c>
      <c r="H112">
        <v>300</v>
      </c>
      <c r="I112">
        <v>300</v>
      </c>
      <c r="J112">
        <v>300</v>
      </c>
      <c r="K112">
        <v>300</v>
      </c>
      <c r="L112">
        <v>300</v>
      </c>
      <c r="M112">
        <v>300</v>
      </c>
      <c r="N112">
        <v>300</v>
      </c>
      <c r="O112">
        <v>300</v>
      </c>
      <c r="P112">
        <v>300</v>
      </c>
      <c r="Q112">
        <v>300</v>
      </c>
      <c r="R112">
        <v>300</v>
      </c>
      <c r="S112">
        <v>300</v>
      </c>
      <c r="T112">
        <v>300</v>
      </c>
      <c r="U112">
        <v>300</v>
      </c>
      <c r="V112">
        <v>300</v>
      </c>
      <c r="W112">
        <v>300</v>
      </c>
      <c r="X112">
        <v>300</v>
      </c>
      <c r="Y112">
        <v>300</v>
      </c>
      <c r="Z112">
        <v>300</v>
      </c>
      <c r="AA112">
        <v>300</v>
      </c>
      <c r="AB112">
        <v>300</v>
      </c>
      <c r="AC112">
        <v>300</v>
      </c>
      <c r="AD112">
        <v>300</v>
      </c>
      <c r="AE112">
        <v>300</v>
      </c>
      <c r="AF112">
        <v>300</v>
      </c>
      <c r="AG112">
        <v>300</v>
      </c>
      <c r="AH112">
        <v>300</v>
      </c>
      <c r="AI112">
        <v>300</v>
      </c>
      <c r="AJ112">
        <v>300</v>
      </c>
      <c r="AK112">
        <v>300</v>
      </c>
      <c r="AL112">
        <v>300</v>
      </c>
      <c r="AM112">
        <v>300</v>
      </c>
      <c r="AN112">
        <v>300</v>
      </c>
      <c r="AO112">
        <v>300</v>
      </c>
      <c r="AP112">
        <v>300</v>
      </c>
      <c r="AQ112">
        <v>300</v>
      </c>
      <c r="AR112">
        <v>300</v>
      </c>
      <c r="AS112">
        <v>300</v>
      </c>
      <c r="AT112">
        <v>300</v>
      </c>
      <c r="AU112">
        <v>300</v>
      </c>
      <c r="AV112">
        <v>300</v>
      </c>
      <c r="AW112">
        <v>300</v>
      </c>
      <c r="AX112">
        <v>300</v>
      </c>
      <c r="AY112">
        <v>300</v>
      </c>
      <c r="AZ112">
        <v>300</v>
      </c>
      <c r="BA112">
        <v>300</v>
      </c>
      <c r="BB112">
        <v>300</v>
      </c>
      <c r="BC112">
        <v>300</v>
      </c>
      <c r="BD112">
        <v>300</v>
      </c>
      <c r="BE112">
        <v>300</v>
      </c>
      <c r="BF112">
        <v>300</v>
      </c>
      <c r="BG112">
        <v>300</v>
      </c>
      <c r="BH112">
        <v>300</v>
      </c>
      <c r="BI112">
        <v>300</v>
      </c>
      <c r="BJ112">
        <v>300</v>
      </c>
    </row>
    <row r="113" spans="1:1" x14ac:dyDescent="0.25">
      <c r="A113" s="2" t="s">
        <v>81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Y115"/>
  <sheetViews>
    <sheetView topLeftCell="I1" zoomScale="85" zoomScaleNormal="85" workbookViewId="0">
      <selection activeCell="X1" activeCellId="1" sqref="S1:U1048576 X1:X1048576"/>
    </sheetView>
  </sheetViews>
  <sheetFormatPr defaultRowHeight="15" x14ac:dyDescent="0.2"/>
  <cols>
    <col min="1" max="1" width="8.5" style="2" customWidth="1"/>
    <col min="2" max="2" width="42.375" style="2" customWidth="1"/>
    <col min="3" max="3" width="43.25" style="2" bestFit="1" customWidth="1"/>
    <col min="4" max="6" width="8.5" style="2" customWidth="1"/>
    <col min="7" max="7" width="9" style="2" customWidth="1"/>
    <col min="8" max="8" width="59.375" style="2" customWidth="1"/>
    <col min="9" max="9" width="9" style="2"/>
    <col min="10" max="10" width="8.5" style="2" customWidth="1"/>
    <col min="11" max="11" width="45.5" style="2" bestFit="1" customWidth="1"/>
    <col min="12" max="18" width="9" style="2"/>
    <col min="19" max="19" width="9.25" style="2" customWidth="1"/>
    <col min="20" max="16384" width="9" style="2"/>
  </cols>
  <sheetData>
    <row r="1" spans="1:25" x14ac:dyDescent="0.2">
      <c r="H1" s="2" t="s">
        <v>253</v>
      </c>
    </row>
    <row r="2" spans="1:25" x14ac:dyDescent="0.2">
      <c r="H2" s="2" t="s">
        <v>0</v>
      </c>
    </row>
    <row r="3" spans="1:25" ht="15.75" x14ac:dyDescent="0.25">
      <c r="A3" s="1" t="s">
        <v>45</v>
      </c>
      <c r="B3" s="2" t="s">
        <v>0</v>
      </c>
      <c r="C3" s="2" t="str">
        <f t="array" ref="C3">IF(B3=0,"",IF(B3="Target",B2&amp;" Target",IF(B3="Comments","Comment "&amp;B1,B3)))</f>
        <v>KPIs</v>
      </c>
      <c r="D3" s="2" t="str">
        <f t="shared" ref="D3:D34" si="0">IF(B3="Target",B2&amp;" Target",B3)</f>
        <v>KPIs</v>
      </c>
      <c r="E3" s="2" t="str">
        <f t="array" ref="E3">IF(B3="Comments", "Comment "&amp;B1,B3)</f>
        <v>KPIs</v>
      </c>
      <c r="G3" s="2" t="s">
        <v>0</v>
      </c>
      <c r="H3" s="2" t="s">
        <v>1</v>
      </c>
      <c r="J3" s="2" t="s">
        <v>0</v>
      </c>
      <c r="K3" s="2" t="s">
        <v>82</v>
      </c>
      <c r="L3" s="2" t="s">
        <v>83</v>
      </c>
      <c r="Q3" s="2" t="s">
        <v>0</v>
      </c>
      <c r="S3" s="2" t="s">
        <v>0</v>
      </c>
      <c r="T3" s="3" t="s">
        <v>254</v>
      </c>
      <c r="U3" s="3"/>
      <c r="V3" s="2" t="s">
        <v>0</v>
      </c>
      <c r="W3" s="2" t="s">
        <v>0</v>
      </c>
      <c r="X3" s="2" t="s">
        <v>45</v>
      </c>
      <c r="Y3"/>
    </row>
    <row r="4" spans="1:25" ht="15.75" x14ac:dyDescent="0.25">
      <c r="A4" s="1" t="s">
        <v>0</v>
      </c>
      <c r="B4" s="2" t="s">
        <v>1</v>
      </c>
      <c r="C4" s="2" t="str">
        <f t="array" ref="C4">IF(B4=0,"",IF(B4="Target",B3&amp;" Target",IF(B4="Comments","Comment "&amp;B2,B4)))</f>
        <v>I1 Near Misses</v>
      </c>
      <c r="D4" s="2" t="str">
        <f t="shared" si="0"/>
        <v>I1 Near Misses</v>
      </c>
      <c r="E4" s="2" t="str">
        <f t="array" ref="E4">IF(B4="Comments", "Comment "&amp;B2,B4)</f>
        <v>I1 Near Misses</v>
      </c>
      <c r="G4" s="2" t="s">
        <v>1</v>
      </c>
      <c r="H4" s="2" t="s">
        <v>46</v>
      </c>
      <c r="J4" s="2" t="s">
        <v>1</v>
      </c>
      <c r="K4" s="2" t="s">
        <v>84</v>
      </c>
      <c r="L4" s="2" t="s">
        <v>85</v>
      </c>
      <c r="Q4" s="2" t="s">
        <v>1</v>
      </c>
      <c r="R4" s="2" t="s">
        <v>1</v>
      </c>
      <c r="S4" s="2" t="s">
        <v>1</v>
      </c>
      <c r="T4" s="2" t="s">
        <v>1</v>
      </c>
      <c r="U4" s="2" t="s">
        <v>1</v>
      </c>
      <c r="V4" s="2" t="s">
        <v>1</v>
      </c>
      <c r="W4" s="1" t="s">
        <v>0</v>
      </c>
      <c r="X4">
        <v>44105</v>
      </c>
      <c r="Y4" t="str">
        <f>TEXT(X4,"dd-mmm")</f>
        <v>01-Oct</v>
      </c>
    </row>
    <row r="5" spans="1:25" ht="15.75" x14ac:dyDescent="0.25">
      <c r="A5" s="1" t="s">
        <v>1</v>
      </c>
      <c r="B5" s="2" t="s">
        <v>3</v>
      </c>
      <c r="C5" s="2" t="str">
        <f t="array" ref="C5">IF(B5=0,"",IF(B5="Target",B4&amp;" Target",IF(B5="Comments","Comment "&amp;B3,B5)))</f>
        <v>I1 Near Misses Target</v>
      </c>
      <c r="D5" s="2" t="str">
        <f t="shared" si="0"/>
        <v>I1 Near Misses Target</v>
      </c>
      <c r="E5" s="2" t="str">
        <f t="array" ref="E5">IF(B5="Comments", "Comment "&amp;B3,B5)</f>
        <v>Target</v>
      </c>
      <c r="F5" s="2" t="s">
        <v>46</v>
      </c>
      <c r="G5" s="2" t="s">
        <v>46</v>
      </c>
      <c r="H5" s="2" t="s">
        <v>47</v>
      </c>
      <c r="J5" s="2" t="s">
        <v>46</v>
      </c>
      <c r="K5" s="2" t="s">
        <v>86</v>
      </c>
      <c r="L5" s="2" t="s">
        <v>87</v>
      </c>
      <c r="Q5" s="2" t="s">
        <v>46</v>
      </c>
      <c r="R5" s="2" t="s">
        <v>5</v>
      </c>
      <c r="S5" s="2" t="s">
        <v>46</v>
      </c>
      <c r="T5" s="2" t="str">
        <f>T4</f>
        <v>I1 Near Misses</v>
      </c>
      <c r="U5" s="2" t="s">
        <v>5</v>
      </c>
      <c r="V5" s="2" t="s">
        <v>46</v>
      </c>
      <c r="W5" s="1" t="s">
        <v>1</v>
      </c>
      <c r="X5">
        <v>44106</v>
      </c>
      <c r="Y5" t="str">
        <f t="shared" ref="Y5:Y68" si="1">TEXT(X5,"dd-mmm")</f>
        <v>02-Oct</v>
      </c>
    </row>
    <row r="6" spans="1:25" ht="15.75" x14ac:dyDescent="0.25">
      <c r="A6" s="1" t="s">
        <v>3</v>
      </c>
      <c r="B6" s="2" t="s">
        <v>4</v>
      </c>
      <c r="C6" s="2" t="str">
        <f t="array" ref="C6">IF(B6=0,"",IF(B6="Target",B5&amp;" Target",IF(B6="Comments","Comment "&amp;B4,B6)))</f>
        <v>Comment I1 Near Misses</v>
      </c>
      <c r="D6" s="2" t="str">
        <f t="shared" si="0"/>
        <v>Comments</v>
      </c>
      <c r="E6" s="2" t="str">
        <f>IF(B6="Comments", "Comment "&amp;B4,B6)</f>
        <v>Comment I1 Near Misses</v>
      </c>
      <c r="F6" s="2" t="s">
        <v>47</v>
      </c>
      <c r="G6" s="2" t="s">
        <v>47</v>
      </c>
      <c r="H6" s="2" t="s">
        <v>5</v>
      </c>
      <c r="J6" s="2" t="s">
        <v>47</v>
      </c>
      <c r="K6" s="2" t="s">
        <v>88</v>
      </c>
      <c r="L6" s="2" t="s">
        <v>89</v>
      </c>
      <c r="Q6" s="2" t="s">
        <v>47</v>
      </c>
      <c r="R6" s="2" t="s">
        <v>6</v>
      </c>
      <c r="S6" s="2" t="s">
        <v>47</v>
      </c>
      <c r="T6" s="2" t="str">
        <f>T5</f>
        <v>I1 Near Misses</v>
      </c>
      <c r="U6" s="2" t="s">
        <v>6</v>
      </c>
      <c r="V6" s="2" t="s">
        <v>47</v>
      </c>
      <c r="W6" s="1" t="s">
        <v>3</v>
      </c>
      <c r="X6">
        <v>44107</v>
      </c>
      <c r="Y6" t="str">
        <f t="shared" si="1"/>
        <v>03-Oct</v>
      </c>
    </row>
    <row r="7" spans="1:25" ht="15.75" x14ac:dyDescent="0.25">
      <c r="A7" s="1" t="s">
        <v>4</v>
      </c>
      <c r="C7" s="2" t="str">
        <f t="array" ref="C7">IF(B7=0,"",IF(B7="Target",B6&amp;" Target",IF(B7="Comments","Comment "&amp;B5,B7)))</f>
        <v/>
      </c>
      <c r="D7" s="2">
        <f t="shared" si="0"/>
        <v>0</v>
      </c>
      <c r="E7" s="2">
        <f t="array" ref="E7">IF(B7="Comments", "Comment "&amp;B5,B7)</f>
        <v>0</v>
      </c>
      <c r="H7" s="2" t="s">
        <v>48</v>
      </c>
      <c r="J7" s="2" t="s">
        <v>5</v>
      </c>
      <c r="K7" s="2" t="s">
        <v>90</v>
      </c>
      <c r="L7" s="2" t="s">
        <v>91</v>
      </c>
      <c r="Q7" s="2" t="s">
        <v>5</v>
      </c>
      <c r="R7" s="2" t="s">
        <v>10</v>
      </c>
      <c r="S7" s="2" t="s">
        <v>5</v>
      </c>
      <c r="T7" s="2" t="s">
        <v>5</v>
      </c>
      <c r="U7" s="2" t="s">
        <v>10</v>
      </c>
      <c r="V7" s="2" t="s">
        <v>5</v>
      </c>
      <c r="W7" s="1" t="s">
        <v>4</v>
      </c>
      <c r="X7">
        <v>44108</v>
      </c>
      <c r="Y7" t="str">
        <f t="shared" si="1"/>
        <v>04-Oct</v>
      </c>
    </row>
    <row r="8" spans="1:25" ht="15.75" x14ac:dyDescent="0.25">
      <c r="A8" s="1" t="s">
        <v>5</v>
      </c>
      <c r="B8" s="2" t="s">
        <v>5</v>
      </c>
      <c r="C8" s="2" t="str">
        <f t="array" ref="C8">IF(B8=0,"",IF(B8="Target",B7&amp;" Target",IF(B8="Comments","Comment "&amp;B6,B8)))</f>
        <v>I2 Lost Time Injury</v>
      </c>
      <c r="D8" s="2" t="str">
        <f t="shared" si="0"/>
        <v>I2 Lost Time Injury</v>
      </c>
      <c r="E8" s="2" t="str">
        <f t="array" ref="E8">IF(B8="Comments", "Comment "&amp;B6,B8)</f>
        <v>I2 Lost Time Injury</v>
      </c>
      <c r="F8" s="2" t="s">
        <v>5</v>
      </c>
      <c r="G8" s="2" t="s">
        <v>5</v>
      </c>
      <c r="H8" s="2" t="s">
        <v>49</v>
      </c>
      <c r="J8" s="2" t="s">
        <v>48</v>
      </c>
      <c r="K8" s="2" t="s">
        <v>92</v>
      </c>
      <c r="L8" s="2" t="s">
        <v>93</v>
      </c>
      <c r="Q8" s="2" t="s">
        <v>48</v>
      </c>
      <c r="R8" s="2" t="s">
        <v>13</v>
      </c>
      <c r="S8" s="2" t="s">
        <v>48</v>
      </c>
      <c r="T8" s="2" t="str">
        <f>T7</f>
        <v>I2 Lost Time Injury</v>
      </c>
      <c r="U8" s="2" t="s">
        <v>13</v>
      </c>
      <c r="V8" s="2" t="s">
        <v>48</v>
      </c>
      <c r="W8" s="1" t="s">
        <v>5</v>
      </c>
      <c r="X8">
        <v>44109</v>
      </c>
      <c r="Y8" t="str">
        <f t="shared" si="1"/>
        <v>05-Oct</v>
      </c>
    </row>
    <row r="9" spans="1:25" ht="15.75" x14ac:dyDescent="0.25">
      <c r="A9" s="1" t="s">
        <v>6</v>
      </c>
      <c r="B9" s="2" t="s">
        <v>3</v>
      </c>
      <c r="C9" s="2" t="str">
        <f t="array" ref="C9">IF(B9=0,"",IF(B9="Target",B8&amp;" Target",IF(B9="Comments","Comment "&amp;B7,B9)))</f>
        <v>I2 Lost Time Injury Target</v>
      </c>
      <c r="D9" s="2" t="str">
        <f t="shared" si="0"/>
        <v>I2 Lost Time Injury Target</v>
      </c>
      <c r="E9" s="2" t="str">
        <f t="array" ref="E9">IF(B9="Comments", "Comment "&amp;B7,B9)</f>
        <v>Target</v>
      </c>
      <c r="F9" s="2" t="s">
        <v>48</v>
      </c>
      <c r="G9" s="2" t="s">
        <v>48</v>
      </c>
      <c r="H9" s="2" t="s">
        <v>6</v>
      </c>
      <c r="J9" s="2" t="s">
        <v>49</v>
      </c>
      <c r="K9" s="2" t="s">
        <v>94</v>
      </c>
      <c r="L9" s="2" t="s">
        <v>95</v>
      </c>
      <c r="Q9" s="2" t="s">
        <v>49</v>
      </c>
      <c r="R9" s="2" t="s">
        <v>18</v>
      </c>
      <c r="S9" s="2" t="s">
        <v>49</v>
      </c>
      <c r="T9" s="2" t="str">
        <f>T8</f>
        <v>I2 Lost Time Injury</v>
      </c>
      <c r="U9" s="2" t="s">
        <v>18</v>
      </c>
      <c r="V9" s="2" t="s">
        <v>49</v>
      </c>
      <c r="W9" s="1" t="s">
        <v>6</v>
      </c>
      <c r="X9">
        <v>44110</v>
      </c>
      <c r="Y9" t="str">
        <f t="shared" si="1"/>
        <v>06-Oct</v>
      </c>
    </row>
    <row r="10" spans="1:25" ht="15.75" x14ac:dyDescent="0.25">
      <c r="A10" s="1" t="s">
        <v>7</v>
      </c>
      <c r="B10" s="2" t="s">
        <v>4</v>
      </c>
      <c r="C10" s="2" t="str">
        <f t="array" ref="C10">IF(B10=0,"",IF(B10="Target",B9&amp;" Target",IF(B10="Comments","Comment "&amp;B8,B10)))</f>
        <v>Comment I2 Lost Time Injury</v>
      </c>
      <c r="D10" s="2" t="str">
        <f t="shared" si="0"/>
        <v>Comments</v>
      </c>
      <c r="E10" s="2" t="str">
        <f t="array" ref="E10">IF(B10="Comments", "Comment "&amp;B8,B10)</f>
        <v>Comment I2 Lost Time Injury</v>
      </c>
      <c r="F10" s="2" t="s">
        <v>49</v>
      </c>
      <c r="G10" s="2" t="s">
        <v>49</v>
      </c>
      <c r="H10" s="2" t="s">
        <v>7</v>
      </c>
      <c r="J10" s="2" t="s">
        <v>6</v>
      </c>
      <c r="K10" s="2" t="s">
        <v>96</v>
      </c>
      <c r="L10" s="2" t="s">
        <v>97</v>
      </c>
      <c r="Q10" s="2" t="s">
        <v>6</v>
      </c>
      <c r="R10" s="2" t="s">
        <v>29</v>
      </c>
      <c r="S10" s="2" t="s">
        <v>6</v>
      </c>
      <c r="T10" s="2" t="s">
        <v>6</v>
      </c>
      <c r="U10" s="2" t="s">
        <v>29</v>
      </c>
      <c r="V10" s="2" t="s">
        <v>6</v>
      </c>
      <c r="W10" s="1" t="s">
        <v>7</v>
      </c>
      <c r="X10">
        <v>44111</v>
      </c>
      <c r="Y10" t="str">
        <f t="shared" si="1"/>
        <v>07-Oct</v>
      </c>
    </row>
    <row r="11" spans="1:25" ht="15.75" x14ac:dyDescent="0.25">
      <c r="A11" s="1" t="s">
        <v>8</v>
      </c>
      <c r="C11" s="2" t="str">
        <f t="array" ref="C11">IF(B11=0,"",IF(B11="Target",B10&amp;" Target",IF(B11="Comments","Comment "&amp;B9,B11)))</f>
        <v/>
      </c>
      <c r="D11" s="2">
        <f t="shared" si="0"/>
        <v>0</v>
      </c>
      <c r="E11" s="2">
        <f t="array" ref="E11">IF(B11="Comments", "Comment "&amp;B9,B11)</f>
        <v>0</v>
      </c>
      <c r="H11" s="2" t="s">
        <v>50</v>
      </c>
      <c r="J11" s="2" t="s">
        <v>7</v>
      </c>
      <c r="K11" s="2" t="s">
        <v>98</v>
      </c>
      <c r="L11" s="2" t="s">
        <v>99</v>
      </c>
      <c r="Q11" s="2" t="s">
        <v>7</v>
      </c>
      <c r="R11" s="2" t="s">
        <v>32</v>
      </c>
      <c r="S11" s="2" t="s">
        <v>7</v>
      </c>
      <c r="T11" s="2" t="str">
        <f t="shared" ref="T11:T14" si="2">T10</f>
        <v xml:space="preserve">V1 Actual Volume Dropped </v>
      </c>
      <c r="U11" s="2" t="s">
        <v>32</v>
      </c>
      <c r="V11" s="2" t="s">
        <v>7</v>
      </c>
      <c r="W11" s="1" t="s">
        <v>8</v>
      </c>
      <c r="X11">
        <v>44112</v>
      </c>
      <c r="Y11" t="str">
        <f t="shared" si="1"/>
        <v>08-Oct</v>
      </c>
    </row>
    <row r="12" spans="1:25" ht="15.75" x14ac:dyDescent="0.25">
      <c r="A12" s="1" t="s">
        <v>9</v>
      </c>
      <c r="B12" s="2" t="s">
        <v>6</v>
      </c>
      <c r="C12" s="2" t="str">
        <f t="array" ref="C12">IF(B12=0,"",IF(B12="Target",B11&amp;" Target",IF(B12="Comments","Comment "&amp;B10,B12)))</f>
        <v xml:space="preserve">V1 Actual Volume Dropped </v>
      </c>
      <c r="D12" s="2" t="str">
        <f t="shared" si="0"/>
        <v xml:space="preserve">V1 Actual Volume Dropped </v>
      </c>
      <c r="E12" s="2" t="str">
        <f t="array" ref="E12">IF(B12="Comments", "Comment "&amp;B10,B12)</f>
        <v xml:space="preserve">V1 Actual Volume Dropped </v>
      </c>
      <c r="F12" s="2" t="s">
        <v>6</v>
      </c>
      <c r="G12" s="2" t="s">
        <v>6</v>
      </c>
      <c r="H12" s="2" t="s">
        <v>8</v>
      </c>
      <c r="J12" s="2" t="s">
        <v>50</v>
      </c>
      <c r="K12" s="2" t="s">
        <v>100</v>
      </c>
      <c r="L12" s="2" t="s">
        <v>101</v>
      </c>
      <c r="Q12" s="2" t="s">
        <v>50</v>
      </c>
      <c r="R12" s="2" t="s">
        <v>33</v>
      </c>
      <c r="S12" s="2" t="s">
        <v>50</v>
      </c>
      <c r="T12" s="2" t="str">
        <f t="shared" si="2"/>
        <v xml:space="preserve">V1 Actual Volume Dropped </v>
      </c>
      <c r="U12" s="2" t="s">
        <v>33</v>
      </c>
      <c r="V12" s="2" t="s">
        <v>50</v>
      </c>
      <c r="W12" s="1" t="s">
        <v>9</v>
      </c>
      <c r="X12">
        <v>44113</v>
      </c>
      <c r="Y12" t="str">
        <f t="shared" si="1"/>
        <v>09-Oct</v>
      </c>
    </row>
    <row r="13" spans="1:25" ht="15.75" x14ac:dyDescent="0.25">
      <c r="A13" s="1" t="s">
        <v>10</v>
      </c>
      <c r="B13" s="2" t="s">
        <v>7</v>
      </c>
      <c r="C13" s="2" t="str">
        <f t="array" ref="C13">IF(B13=0,"",IF(B13="Target",B12&amp;" Target",IF(B13="Comments","Comment "&amp;B11,B13)))</f>
        <v xml:space="preserve">V2 Forecast Volumes </v>
      </c>
      <c r="D13" s="2" t="str">
        <f t="shared" si="0"/>
        <v xml:space="preserve">V2 Forecast Volumes </v>
      </c>
      <c r="E13" s="2" t="str">
        <f t="array" ref="E13">IF(B13="Comments", "Comment "&amp;B11,B13)</f>
        <v xml:space="preserve">V2 Forecast Volumes </v>
      </c>
      <c r="F13" s="2" t="s">
        <v>7</v>
      </c>
      <c r="G13" s="2" t="s">
        <v>7</v>
      </c>
      <c r="H13" s="2" t="s">
        <v>9</v>
      </c>
      <c r="J13" s="2" t="s">
        <v>8</v>
      </c>
      <c r="K13" s="2" t="s">
        <v>102</v>
      </c>
      <c r="L13" s="2" t="s">
        <v>103</v>
      </c>
      <c r="Q13" s="2" t="s">
        <v>8</v>
      </c>
      <c r="R13" s="2" t="s">
        <v>34</v>
      </c>
      <c r="S13" s="2" t="s">
        <v>8</v>
      </c>
      <c r="T13" s="2" t="str">
        <f t="shared" si="2"/>
        <v xml:space="preserve">V1 Actual Volume Dropped </v>
      </c>
      <c r="U13" s="2" t="s">
        <v>34</v>
      </c>
      <c r="V13" s="2" t="s">
        <v>8</v>
      </c>
      <c r="W13" s="1" t="s">
        <v>10</v>
      </c>
      <c r="X13">
        <v>44114</v>
      </c>
      <c r="Y13" t="str">
        <f t="shared" si="1"/>
        <v>10-Oct</v>
      </c>
    </row>
    <row r="14" spans="1:25" ht="15.75" x14ac:dyDescent="0.25">
      <c r="A14" s="1" t="s">
        <v>11</v>
      </c>
      <c r="B14" s="2" t="s">
        <v>4</v>
      </c>
      <c r="C14" s="2" t="str">
        <f t="array" ref="C14">IF(B14=0,"",IF(B14="Target",B13&amp;" Target",IF(B14="Comments","Comment "&amp;B12,B14)))</f>
        <v xml:space="preserve">Comment V1 Actual Volume Dropped </v>
      </c>
      <c r="D14" s="2" t="str">
        <f t="shared" si="0"/>
        <v>Comments</v>
      </c>
      <c r="E14" s="2" t="str">
        <f t="array" ref="E14">IF(B14="Comments", "Comment "&amp;B12,B14)</f>
        <v xml:space="preserve">Comment V1 Actual Volume Dropped </v>
      </c>
      <c r="F14" s="2" t="s">
        <v>50</v>
      </c>
      <c r="G14" s="2" t="s">
        <v>50</v>
      </c>
      <c r="H14" s="2" t="s">
        <v>10</v>
      </c>
      <c r="J14" s="2" t="s">
        <v>9</v>
      </c>
      <c r="K14" s="2" t="s">
        <v>104</v>
      </c>
      <c r="L14" s="2" t="s">
        <v>105</v>
      </c>
      <c r="Q14" s="2" t="s">
        <v>9</v>
      </c>
      <c r="R14" s="2" t="s">
        <v>35</v>
      </c>
      <c r="S14" s="2" t="s">
        <v>9</v>
      </c>
      <c r="T14" s="2" t="str">
        <f t="shared" si="2"/>
        <v xml:space="preserve">V1 Actual Volume Dropped </v>
      </c>
      <c r="U14" s="2" t="s">
        <v>35</v>
      </c>
      <c r="V14" s="2" t="s">
        <v>9</v>
      </c>
      <c r="W14" s="1" t="s">
        <v>11</v>
      </c>
      <c r="X14">
        <v>44115</v>
      </c>
      <c r="Y14" t="str">
        <f t="shared" si="1"/>
        <v>11-Oct</v>
      </c>
    </row>
    <row r="15" spans="1:25" ht="15.75" x14ac:dyDescent="0.25">
      <c r="A15" s="1" t="s">
        <v>12</v>
      </c>
      <c r="C15" s="2" t="str">
        <f t="array" ref="C15">IF(B15=0,"",IF(B15="Target",B14&amp;" Target",IF(B15="Comments","Comment "&amp;B13,B15)))</f>
        <v/>
      </c>
      <c r="D15" s="2">
        <f t="shared" si="0"/>
        <v>0</v>
      </c>
      <c r="E15" s="2">
        <f t="array" ref="E15">IF(B15="Comments", "Comment "&amp;B13,B15)</f>
        <v>0</v>
      </c>
      <c r="H15" s="2" t="s">
        <v>51</v>
      </c>
      <c r="J15" s="2" t="s">
        <v>10</v>
      </c>
      <c r="K15" s="2" t="s">
        <v>106</v>
      </c>
      <c r="L15" s="2" t="s">
        <v>107</v>
      </c>
      <c r="Q15" s="2" t="s">
        <v>10</v>
      </c>
      <c r="R15" s="2" t="s">
        <v>36</v>
      </c>
      <c r="S15" s="2" t="s">
        <v>10</v>
      </c>
      <c r="T15" s="2" t="s">
        <v>10</v>
      </c>
      <c r="U15" s="2" t="s">
        <v>36</v>
      </c>
      <c r="V15" s="2" t="s">
        <v>10</v>
      </c>
      <c r="W15" s="1" t="s">
        <v>12</v>
      </c>
      <c r="X15">
        <v>44116</v>
      </c>
      <c r="Y15" t="str">
        <f t="shared" si="1"/>
        <v>12-Oct</v>
      </c>
    </row>
    <row r="16" spans="1:25" ht="15.75" x14ac:dyDescent="0.25">
      <c r="A16" s="1" t="s">
        <v>13</v>
      </c>
      <c r="B16" s="2" t="s">
        <v>8</v>
      </c>
      <c r="C16" s="2" t="str">
        <f t="array" ref="C16">IF(B16=0,"",IF(B16="Target",B15&amp;" Target",IF(B16="Comments","Comment "&amp;B14,B16)))</f>
        <v xml:space="preserve">Q3 Number of Orders Available </v>
      </c>
      <c r="D16" s="2" t="str">
        <f t="shared" si="0"/>
        <v xml:space="preserve">Q3 Number of Orders Available </v>
      </c>
      <c r="E16" s="2" t="str">
        <f t="array" ref="E16">IF(B16="Comments", "Comment "&amp;B14,B16)</f>
        <v xml:space="preserve">Q3 Number of Orders Available </v>
      </c>
      <c r="F16" s="2" t="s">
        <v>8</v>
      </c>
      <c r="G16" s="2" t="s">
        <v>8</v>
      </c>
      <c r="H16" s="2" t="s">
        <v>52</v>
      </c>
      <c r="J16" s="2" t="s">
        <v>51</v>
      </c>
      <c r="K16" s="2" t="s">
        <v>108</v>
      </c>
      <c r="L16" s="2" t="s">
        <v>109</v>
      </c>
      <c r="Q16" s="2" t="s">
        <v>51</v>
      </c>
      <c r="R16" s="2" t="s">
        <v>37</v>
      </c>
      <c r="S16" s="2" t="s">
        <v>51</v>
      </c>
      <c r="T16" s="2" t="str">
        <f t="shared" ref="T16:T19" si="3">T15</f>
        <v>Order Fulfillment (%)</v>
      </c>
      <c r="U16" s="2" t="s">
        <v>37</v>
      </c>
      <c r="V16" s="2" t="s">
        <v>51</v>
      </c>
      <c r="W16" s="1" t="s">
        <v>13</v>
      </c>
      <c r="X16">
        <v>44117</v>
      </c>
      <c r="Y16" t="str">
        <f t="shared" si="1"/>
        <v>13-Oct</v>
      </c>
    </row>
    <row r="17" spans="1:25" ht="15.75" x14ac:dyDescent="0.25">
      <c r="A17" s="1" t="s">
        <v>14</v>
      </c>
      <c r="B17" s="2" t="s">
        <v>9</v>
      </c>
      <c r="C17" s="2" t="str">
        <f t="array" ref="C17">IF(B17=0,"",IF(B17="Target",B16&amp;" Target",IF(B17="Comments","Comment "&amp;B15,B17)))</f>
        <v>Q4 Number of Orders Required</v>
      </c>
      <c r="D17" s="2" t="str">
        <f t="shared" si="0"/>
        <v>Q4 Number of Orders Required</v>
      </c>
      <c r="E17" s="2" t="str">
        <f t="array" ref="E17">IF(B17="Comments", "Comment "&amp;B15,B17)</f>
        <v>Q4 Number of Orders Required</v>
      </c>
      <c r="F17" s="2" t="s">
        <v>9</v>
      </c>
      <c r="G17" s="2" t="s">
        <v>9</v>
      </c>
      <c r="H17" s="2" t="s">
        <v>11</v>
      </c>
      <c r="J17" s="2" t="s">
        <v>52</v>
      </c>
      <c r="K17" s="2" t="s">
        <v>110</v>
      </c>
      <c r="L17" s="2" t="s">
        <v>111</v>
      </c>
      <c r="Q17" s="2" t="s">
        <v>52</v>
      </c>
      <c r="R17" s="2" t="s">
        <v>38</v>
      </c>
      <c r="S17" s="2" t="s">
        <v>52</v>
      </c>
      <c r="T17" s="2" t="str">
        <f t="shared" si="3"/>
        <v>Order Fulfillment (%)</v>
      </c>
      <c r="U17" s="2" t="s">
        <v>38</v>
      </c>
      <c r="V17" s="2" t="s">
        <v>52</v>
      </c>
      <c r="W17" s="1" t="s">
        <v>14</v>
      </c>
      <c r="X17">
        <v>44118</v>
      </c>
      <c r="Y17" t="str">
        <f t="shared" si="1"/>
        <v>14-Oct</v>
      </c>
    </row>
    <row r="18" spans="1:25" ht="15.75" x14ac:dyDescent="0.25">
      <c r="A18" s="1" t="s">
        <v>15</v>
      </c>
      <c r="B18" s="2" t="s">
        <v>10</v>
      </c>
      <c r="C18" s="2" t="str">
        <f t="array" ref="C18">IF(B18=0,"",IF(B18="Target",B17&amp;" Target",IF(B18="Comments","Comment "&amp;B16,B18)))</f>
        <v>Order Fulfillment (%)</v>
      </c>
      <c r="D18" s="2" t="str">
        <f t="shared" si="0"/>
        <v>Order Fulfillment (%)</v>
      </c>
      <c r="E18" s="2" t="str">
        <f t="array" ref="E18">IF(B18="Comments", "Comment "&amp;B16,B18)</f>
        <v>Order Fulfillment (%)</v>
      </c>
      <c r="F18" s="2" t="s">
        <v>10</v>
      </c>
      <c r="G18" s="2" t="s">
        <v>10</v>
      </c>
      <c r="H18" s="2" t="s">
        <v>12</v>
      </c>
      <c r="J18" s="2" t="s">
        <v>11</v>
      </c>
      <c r="K18" s="2" t="s">
        <v>112</v>
      </c>
      <c r="L18" s="2" t="s">
        <v>113</v>
      </c>
      <c r="Q18" s="2" t="s">
        <v>11</v>
      </c>
      <c r="R18" s="2" t="s">
        <v>39</v>
      </c>
      <c r="S18" s="2" t="s">
        <v>11</v>
      </c>
      <c r="T18" s="2" t="str">
        <f t="shared" si="3"/>
        <v>Order Fulfillment (%)</v>
      </c>
      <c r="U18" s="2" t="s">
        <v>39</v>
      </c>
      <c r="V18" s="2" t="s">
        <v>11</v>
      </c>
      <c r="W18" s="1" t="s">
        <v>15</v>
      </c>
      <c r="X18">
        <v>44119</v>
      </c>
      <c r="Y18" t="str">
        <f t="shared" si="1"/>
        <v>15-Oct</v>
      </c>
    </row>
    <row r="19" spans="1:25" ht="15.75" x14ac:dyDescent="0.25">
      <c r="A19" s="1" t="s">
        <v>16</v>
      </c>
      <c r="B19" s="2" t="s">
        <v>3</v>
      </c>
      <c r="C19" s="2" t="str">
        <f t="array" ref="C19">IF(B19=0,"",IF(B19="Target",B18&amp;" Target",IF(B19="Comments","Comment "&amp;B17,B19)))</f>
        <v>Order Fulfillment (%) Target</v>
      </c>
      <c r="D19" s="2" t="str">
        <f t="shared" si="0"/>
        <v>Order Fulfillment (%) Target</v>
      </c>
      <c r="E19" s="2" t="str">
        <f t="array" ref="E19">IF(B19="Comments", "Comment "&amp;B17,B19)</f>
        <v>Target</v>
      </c>
      <c r="F19" s="2" t="s">
        <v>51</v>
      </c>
      <c r="G19" s="2" t="s">
        <v>51</v>
      </c>
      <c r="H19" s="2" t="s">
        <v>13</v>
      </c>
      <c r="J19" s="2" t="s">
        <v>12</v>
      </c>
      <c r="K19" s="2" t="s">
        <v>114</v>
      </c>
      <c r="L19" s="2" t="s">
        <v>115</v>
      </c>
      <c r="Q19" s="2" t="s">
        <v>12</v>
      </c>
      <c r="R19" s="2" t="s">
        <v>41</v>
      </c>
      <c r="S19" s="2" t="s">
        <v>12</v>
      </c>
      <c r="T19" s="2" t="str">
        <f t="shared" si="3"/>
        <v>Order Fulfillment (%)</v>
      </c>
      <c r="U19" s="2" t="s">
        <v>41</v>
      </c>
      <c r="V19" s="2" t="s">
        <v>12</v>
      </c>
      <c r="W19" s="1" t="s">
        <v>16</v>
      </c>
      <c r="X19">
        <v>44120</v>
      </c>
      <c r="Y19" t="str">
        <f t="shared" si="1"/>
        <v>16-Oct</v>
      </c>
    </row>
    <row r="20" spans="1:25" ht="15.75" x14ac:dyDescent="0.25">
      <c r="A20" s="1" t="s">
        <v>17</v>
      </c>
      <c r="B20" s="2" t="s">
        <v>4</v>
      </c>
      <c r="C20" s="2" t="str">
        <f t="array" ref="C20">IF(B20=0,"",IF(B20="Target",B19&amp;" Target",IF(B20="Comments","Comment "&amp;B18,B20)))</f>
        <v>Comment Order Fulfillment (%)</v>
      </c>
      <c r="D20" s="2" t="str">
        <f t="shared" si="0"/>
        <v>Comments</v>
      </c>
      <c r="E20" s="2" t="str">
        <f t="array" ref="E20">IF(B20="Comments", "Comment "&amp;B18,B20)</f>
        <v>Comment Order Fulfillment (%)</v>
      </c>
      <c r="F20" s="2" t="s">
        <v>52</v>
      </c>
      <c r="G20" s="2" t="s">
        <v>52</v>
      </c>
      <c r="H20" s="2" t="s">
        <v>53</v>
      </c>
      <c r="J20" s="2" t="s">
        <v>13</v>
      </c>
      <c r="K20" s="2" t="s">
        <v>116</v>
      </c>
      <c r="L20" s="2" t="s">
        <v>117</v>
      </c>
      <c r="Q20" s="2" t="s">
        <v>13</v>
      </c>
      <c r="R20" s="2" t="s">
        <v>42</v>
      </c>
      <c r="S20" s="2" t="s">
        <v>13</v>
      </c>
      <c r="T20" s="2" t="s">
        <v>13</v>
      </c>
      <c r="U20" s="2" t="s">
        <v>42</v>
      </c>
      <c r="V20" s="2" t="s">
        <v>13</v>
      </c>
      <c r="W20" s="1" t="s">
        <v>17</v>
      </c>
      <c r="X20">
        <v>44121</v>
      </c>
      <c r="Y20" t="str">
        <f t="shared" si="1"/>
        <v>17-Oct</v>
      </c>
    </row>
    <row r="21" spans="1:25" ht="15.75" x14ac:dyDescent="0.25">
      <c r="A21" s="1" t="s">
        <v>18</v>
      </c>
      <c r="C21" s="2" t="str">
        <f t="array" ref="C21">IF(B21=0,"",IF(B21="Target",B20&amp;" Target",IF(B21="Comments","Comment "&amp;B19,B21)))</f>
        <v/>
      </c>
      <c r="D21" s="2">
        <f t="shared" si="0"/>
        <v>0</v>
      </c>
      <c r="E21" s="2">
        <f t="array" ref="E21">IF(B21="Comments", "Comment "&amp;B19,B21)</f>
        <v>0</v>
      </c>
      <c r="H21" s="2" t="s">
        <v>54</v>
      </c>
      <c r="J21" s="2" t="s">
        <v>53</v>
      </c>
      <c r="K21" s="2" t="s">
        <v>118</v>
      </c>
      <c r="L21" s="2" t="s">
        <v>119</v>
      </c>
      <c r="Q21" s="2" t="s">
        <v>53</v>
      </c>
      <c r="R21" s="2" t="s">
        <v>43</v>
      </c>
      <c r="S21" s="2" t="s">
        <v>53</v>
      </c>
      <c r="T21" s="2" t="str">
        <f t="shared" ref="T21:T25" si="4">T20</f>
        <v>Inventory Location Accuracy</v>
      </c>
      <c r="U21" s="2" t="s">
        <v>43</v>
      </c>
      <c r="V21" s="2" t="s">
        <v>53</v>
      </c>
      <c r="W21" s="1" t="s">
        <v>18</v>
      </c>
      <c r="X21">
        <v>44122</v>
      </c>
      <c r="Y21" t="str">
        <f t="shared" si="1"/>
        <v>18-Oct</v>
      </c>
    </row>
    <row r="22" spans="1:25" ht="15.75" x14ac:dyDescent="0.25">
      <c r="A22" s="1" t="s">
        <v>19</v>
      </c>
      <c r="B22" s="2" t="s">
        <v>11</v>
      </c>
      <c r="C22" s="2" t="str">
        <f t="array" ref="C22">IF(B22=0,"",IF(B22="Target",B21&amp;" Target",IF(B22="Comments","Comment "&amp;B20,B22)))</f>
        <v>Q1 Number of Accurate Locations</v>
      </c>
      <c r="D22" s="2" t="str">
        <f t="shared" si="0"/>
        <v>Q1 Number of Accurate Locations</v>
      </c>
      <c r="E22" s="2" t="str">
        <f t="array" ref="E22">IF(B22="Comments", "Comment "&amp;B20,B22)</f>
        <v>Q1 Number of Accurate Locations</v>
      </c>
      <c r="F22" s="2" t="s">
        <v>11</v>
      </c>
      <c r="G22" s="2" t="s">
        <v>11</v>
      </c>
      <c r="H22" s="2" t="s">
        <v>14</v>
      </c>
      <c r="J22" s="2" t="s">
        <v>54</v>
      </c>
      <c r="K22" s="2" t="s">
        <v>120</v>
      </c>
      <c r="L22" s="2" t="s">
        <v>121</v>
      </c>
      <c r="Q22" s="2" t="s">
        <v>54</v>
      </c>
      <c r="R22" s="2" t="s">
        <v>44</v>
      </c>
      <c r="S22" s="2" t="s">
        <v>54</v>
      </c>
      <c r="T22" s="2" t="str">
        <f t="shared" si="4"/>
        <v>Inventory Location Accuracy</v>
      </c>
      <c r="U22" s="2" t="s">
        <v>44</v>
      </c>
      <c r="V22" s="2" t="s">
        <v>54</v>
      </c>
      <c r="W22" s="1" t="s">
        <v>19</v>
      </c>
      <c r="X22">
        <v>44123</v>
      </c>
      <c r="Y22" t="str">
        <f t="shared" si="1"/>
        <v>19-Oct</v>
      </c>
    </row>
    <row r="23" spans="1:25" ht="15.75" x14ac:dyDescent="0.25">
      <c r="A23" s="1" t="s">
        <v>20</v>
      </c>
      <c r="B23" s="2" t="s">
        <v>12</v>
      </c>
      <c r="C23" s="2" t="str">
        <f t="array" ref="C23">IF(B23=0,"",IF(B23="Target",B22&amp;" Target",IF(B23="Comments","Comment "&amp;B21,B23)))</f>
        <v xml:space="preserve">Q2 Total Number of Locations Counted </v>
      </c>
      <c r="D23" s="2" t="str">
        <f t="shared" si="0"/>
        <v xml:space="preserve">Q2 Total Number of Locations Counted </v>
      </c>
      <c r="E23" s="2" t="str">
        <f t="array" ref="E23">IF(B23="Comments", "Comment "&amp;B21,B23)</f>
        <v xml:space="preserve">Q2 Total Number of Locations Counted </v>
      </c>
      <c r="F23" s="2" t="s">
        <v>12</v>
      </c>
      <c r="G23" s="2" t="s">
        <v>12</v>
      </c>
      <c r="H23" s="2" t="s">
        <v>15</v>
      </c>
      <c r="J23" s="2" t="s">
        <v>14</v>
      </c>
      <c r="K23" s="2" t="s">
        <v>45</v>
      </c>
      <c r="L23" s="2" t="s">
        <v>122</v>
      </c>
      <c r="Q23" s="2" t="s">
        <v>14</v>
      </c>
      <c r="S23" s="2" t="s">
        <v>14</v>
      </c>
      <c r="T23" s="2" t="str">
        <f t="shared" si="4"/>
        <v>Inventory Location Accuracy</v>
      </c>
      <c r="V23" s="2" t="s">
        <v>14</v>
      </c>
      <c r="W23" s="1" t="s">
        <v>20</v>
      </c>
      <c r="X23">
        <v>44124</v>
      </c>
      <c r="Y23" t="str">
        <f t="shared" si="1"/>
        <v>20-Oct</v>
      </c>
    </row>
    <row r="24" spans="1:25" ht="15.75" x14ac:dyDescent="0.25">
      <c r="A24" s="1" t="s">
        <v>24</v>
      </c>
      <c r="B24" s="2" t="s">
        <v>13</v>
      </c>
      <c r="C24" s="2" t="str">
        <f t="array" ref="C24">IF(B24=0,"",IF(B24="Target",B23&amp;" Target",IF(B24="Comments","Comment "&amp;B22,B24)))</f>
        <v>Inventory Location Accuracy</v>
      </c>
      <c r="D24" s="2" t="str">
        <f t="shared" si="0"/>
        <v>Inventory Location Accuracy</v>
      </c>
      <c r="E24" s="2" t="str">
        <f t="array" ref="E24">IF(B24="Comments", "Comment "&amp;B22,B24)</f>
        <v>Inventory Location Accuracy</v>
      </c>
      <c r="F24" s="2" t="s">
        <v>13</v>
      </c>
      <c r="G24" s="2" t="s">
        <v>13</v>
      </c>
      <c r="H24" s="2" t="s">
        <v>16</v>
      </c>
      <c r="J24" s="2" t="s">
        <v>15</v>
      </c>
      <c r="K24" s="2" t="s">
        <v>123</v>
      </c>
      <c r="L24" s="2" t="s">
        <v>124</v>
      </c>
      <c r="Q24" s="2" t="s">
        <v>15</v>
      </c>
      <c r="S24" s="2" t="s">
        <v>15</v>
      </c>
      <c r="T24" s="2" t="str">
        <f t="shared" si="4"/>
        <v>Inventory Location Accuracy</v>
      </c>
      <c r="V24" s="2" t="s">
        <v>15</v>
      </c>
      <c r="W24" s="1" t="s">
        <v>24</v>
      </c>
      <c r="X24">
        <v>44125</v>
      </c>
      <c r="Y24" t="str">
        <f t="shared" si="1"/>
        <v>21-Oct</v>
      </c>
    </row>
    <row r="25" spans="1:25" ht="15.75" x14ac:dyDescent="0.25">
      <c r="A25" s="1" t="s">
        <v>25</v>
      </c>
      <c r="B25" s="2" t="s">
        <v>3</v>
      </c>
      <c r="C25" s="2" t="str">
        <f t="array" ref="C25">IF(B25=0,"",IF(B25="Target",B24&amp;" Target",IF(B25="Comments","Comment "&amp;B23,B25)))</f>
        <v>Inventory Location Accuracy Target</v>
      </c>
      <c r="D25" s="2" t="str">
        <f t="shared" si="0"/>
        <v>Inventory Location Accuracy Target</v>
      </c>
      <c r="E25" s="2" t="str">
        <f t="array" ref="E25">IF(B25="Comments", "Comment "&amp;B23,B25)</f>
        <v>Target</v>
      </c>
      <c r="F25" s="2" t="s">
        <v>53</v>
      </c>
      <c r="G25" s="2" t="s">
        <v>53</v>
      </c>
      <c r="H25" s="2" t="s">
        <v>17</v>
      </c>
      <c r="J25" s="2" t="s">
        <v>16</v>
      </c>
      <c r="K25" s="2" t="s">
        <v>125</v>
      </c>
      <c r="L25" s="2" t="s">
        <v>126</v>
      </c>
      <c r="Q25" s="2" t="s">
        <v>16</v>
      </c>
      <c r="S25" s="2" t="s">
        <v>16</v>
      </c>
      <c r="T25" s="2" t="str">
        <f t="shared" si="4"/>
        <v>Inventory Location Accuracy</v>
      </c>
      <c r="V25" s="2" t="s">
        <v>16</v>
      </c>
      <c r="W25" s="1" t="s">
        <v>25</v>
      </c>
      <c r="X25">
        <v>44126</v>
      </c>
      <c r="Y25" t="str">
        <f t="shared" si="1"/>
        <v>22-Oct</v>
      </c>
    </row>
    <row r="26" spans="1:25" ht="15.75" x14ac:dyDescent="0.25">
      <c r="A26" s="1" t="s">
        <v>26</v>
      </c>
      <c r="B26" s="2" t="s">
        <v>4</v>
      </c>
      <c r="C26" s="2" t="str">
        <f t="array" ref="C26">IF(B26=0,"",IF(B26="Target",B25&amp;" Target",IF(B26="Comments","Comment "&amp;B24,B26)))</f>
        <v>Comment Inventory Location Accuracy</v>
      </c>
      <c r="D26" s="2" t="str">
        <f t="shared" si="0"/>
        <v>Comments</v>
      </c>
      <c r="E26" s="2" t="str">
        <f t="array" ref="E26">IF(B26="Comments", "Comment "&amp;B24,B26)</f>
        <v>Comment Inventory Location Accuracy</v>
      </c>
      <c r="F26" s="2" t="s">
        <v>54</v>
      </c>
      <c r="G26" s="2" t="s">
        <v>54</v>
      </c>
      <c r="H26" s="2" t="s">
        <v>18</v>
      </c>
      <c r="J26" s="2" t="s">
        <v>17</v>
      </c>
      <c r="K26" s="2" t="s">
        <v>127</v>
      </c>
      <c r="L26" s="2" t="s">
        <v>128</v>
      </c>
      <c r="Q26" s="2" t="s">
        <v>17</v>
      </c>
      <c r="S26" s="2" t="s">
        <v>17</v>
      </c>
      <c r="T26" s="2" t="str">
        <f>T25</f>
        <v>Inventory Location Accuracy</v>
      </c>
      <c r="V26" s="2" t="s">
        <v>17</v>
      </c>
      <c r="W26" s="1" t="s">
        <v>26</v>
      </c>
      <c r="X26">
        <v>44127</v>
      </c>
      <c r="Y26" t="str">
        <f t="shared" si="1"/>
        <v>23-Oct</v>
      </c>
    </row>
    <row r="27" spans="1:25" ht="15.75" x14ac:dyDescent="0.25">
      <c r="A27" s="1" t="s">
        <v>27</v>
      </c>
      <c r="C27" s="2" t="str">
        <f t="array" ref="C27">IF(B27=0,"",IF(B27="Target",B26&amp;" Target",IF(B27="Comments","Comment "&amp;B25,B27)))</f>
        <v/>
      </c>
      <c r="D27" s="2">
        <f t="shared" si="0"/>
        <v>0</v>
      </c>
      <c r="E27" s="2">
        <f t="array" ref="E27">IF(B27="Comments", "Comment "&amp;B25,B27)</f>
        <v>0</v>
      </c>
      <c r="H27" s="2" t="s">
        <v>19</v>
      </c>
      <c r="J27" s="2" t="s">
        <v>18</v>
      </c>
      <c r="K27" s="2" t="s">
        <v>129</v>
      </c>
      <c r="L27" s="2" t="s">
        <v>130</v>
      </c>
      <c r="Q27" s="2" t="s">
        <v>18</v>
      </c>
      <c r="S27" s="2" t="s">
        <v>18</v>
      </c>
      <c r="T27" s="2" t="s">
        <v>18</v>
      </c>
      <c r="V27" s="2" t="s">
        <v>18</v>
      </c>
      <c r="W27" s="1" t="s">
        <v>27</v>
      </c>
      <c r="X27">
        <v>44128</v>
      </c>
      <c r="Y27" t="str">
        <f t="shared" si="1"/>
        <v>24-Oct</v>
      </c>
    </row>
    <row r="28" spans="1:25" ht="15.75" x14ac:dyDescent="0.25">
      <c r="A28" s="1" t="s">
        <v>28</v>
      </c>
      <c r="B28" s="2" t="s">
        <v>14</v>
      </c>
      <c r="C28" s="2" t="str">
        <f t="array" ref="C28">IF(B28=0,"",IF(B28="Target",B27&amp;" Target",IF(B28="Comments","Comment "&amp;B26,B28)))</f>
        <v xml:space="preserve">Total Temporary Direct Labor Ordinary Hours </v>
      </c>
      <c r="D28" s="2" t="str">
        <f t="shared" si="0"/>
        <v xml:space="preserve">Total Temporary Direct Labor Ordinary Hours </v>
      </c>
      <c r="E28" s="2" t="str">
        <f t="array" ref="E28">IF(B28="Comments", "Comment "&amp;B26,B28)</f>
        <v xml:space="preserve">Total Temporary Direct Labor Ordinary Hours </v>
      </c>
      <c r="F28" s="2" t="s">
        <v>14</v>
      </c>
      <c r="G28" s="2" t="s">
        <v>14</v>
      </c>
      <c r="H28" s="2" t="s">
        <v>20</v>
      </c>
      <c r="J28" s="2" t="s">
        <v>19</v>
      </c>
      <c r="K28" s="2" t="s">
        <v>131</v>
      </c>
      <c r="L28" s="2" t="s">
        <v>132</v>
      </c>
      <c r="Q28" s="2" t="s">
        <v>19</v>
      </c>
      <c r="S28" s="2" t="s">
        <v>19</v>
      </c>
      <c r="T28" s="2" t="str">
        <f t="shared" ref="T28:T35" si="5">T27</f>
        <v>OVERTIME (%)</v>
      </c>
      <c r="V28" s="2" t="s">
        <v>19</v>
      </c>
      <c r="W28" s="1" t="s">
        <v>28</v>
      </c>
      <c r="X28">
        <v>44129</v>
      </c>
      <c r="Y28" t="str">
        <f t="shared" si="1"/>
        <v>25-Oct</v>
      </c>
    </row>
    <row r="29" spans="1:25" ht="15.75" x14ac:dyDescent="0.25">
      <c r="A29" s="1" t="s">
        <v>29</v>
      </c>
      <c r="B29" s="2" t="s">
        <v>15</v>
      </c>
      <c r="C29" s="2" t="str">
        <f t="array" ref="C29">IF(B29=0,"",IF(B29="Target",B28&amp;" Target",IF(B29="Comments","Comment "&amp;B27,B29)))</f>
        <v xml:space="preserve">Total Permanent Direct Labor Ordinary Hours </v>
      </c>
      <c r="D29" s="2" t="str">
        <f t="shared" si="0"/>
        <v xml:space="preserve">Total Permanent Direct Labor Ordinary Hours </v>
      </c>
      <c r="E29" s="2" t="str">
        <f t="array" ref="E29">IF(B29="Comments", "Comment "&amp;B27,B29)</f>
        <v xml:space="preserve">Total Permanent Direct Labor Ordinary Hours </v>
      </c>
      <c r="F29" s="2" t="s">
        <v>15</v>
      </c>
      <c r="G29" s="2" t="s">
        <v>15</v>
      </c>
      <c r="H29" s="2" t="s">
        <v>55</v>
      </c>
      <c r="J29" s="2" t="s">
        <v>20</v>
      </c>
      <c r="K29" s="2" t="s">
        <v>133</v>
      </c>
      <c r="L29" s="2" t="s">
        <v>134</v>
      </c>
      <c r="Q29" s="2" t="s">
        <v>20</v>
      </c>
      <c r="S29" s="2" t="s">
        <v>20</v>
      </c>
      <c r="T29" s="2" t="str">
        <f t="shared" si="5"/>
        <v>OVERTIME (%)</v>
      </c>
      <c r="V29" s="2" t="s">
        <v>20</v>
      </c>
      <c r="W29" s="1" t="s">
        <v>29</v>
      </c>
      <c r="X29">
        <v>44130</v>
      </c>
      <c r="Y29" t="str">
        <f t="shared" si="1"/>
        <v>26-Oct</v>
      </c>
    </row>
    <row r="30" spans="1:25" ht="15.75" x14ac:dyDescent="0.25">
      <c r="A30" s="1" t="s">
        <v>30</v>
      </c>
      <c r="B30" s="2" t="s">
        <v>16</v>
      </c>
      <c r="C30" s="2" t="str">
        <f t="array" ref="C30">IF(B30=0,"",IF(B30="Target",B29&amp;" Target",IF(B30="Comments","Comment "&amp;B28,B30)))</f>
        <v>Total Permanent Direct Labor Overtime Hours</v>
      </c>
      <c r="D30" s="2" t="str">
        <f t="shared" si="0"/>
        <v>Total Permanent Direct Labor Overtime Hours</v>
      </c>
      <c r="E30" s="2" t="str">
        <f t="array" ref="E30">IF(B30="Comments", "Comment "&amp;B28,B30)</f>
        <v>Total Permanent Direct Labor Overtime Hours</v>
      </c>
      <c r="F30" s="2" t="s">
        <v>16</v>
      </c>
      <c r="G30" s="2" t="s">
        <v>16</v>
      </c>
      <c r="H30" s="2" t="s">
        <v>24</v>
      </c>
      <c r="J30" s="2" t="s">
        <v>55</v>
      </c>
      <c r="K30" s="2" t="s">
        <v>135</v>
      </c>
      <c r="L30" s="2" t="s">
        <v>136</v>
      </c>
      <c r="Q30" s="2" t="s">
        <v>55</v>
      </c>
      <c r="S30" s="2" t="s">
        <v>55</v>
      </c>
      <c r="T30" s="2" t="str">
        <f t="shared" si="5"/>
        <v>OVERTIME (%)</v>
      </c>
      <c r="V30" s="2" t="s">
        <v>55</v>
      </c>
      <c r="W30" s="1" t="s">
        <v>30</v>
      </c>
      <c r="X30">
        <v>44131</v>
      </c>
      <c r="Y30" t="str">
        <f t="shared" si="1"/>
        <v>27-Oct</v>
      </c>
    </row>
    <row r="31" spans="1:25" ht="15.75" x14ac:dyDescent="0.25">
      <c r="A31" s="1" t="s">
        <v>31</v>
      </c>
      <c r="B31" s="2" t="s">
        <v>17</v>
      </c>
      <c r="C31" s="2" t="str">
        <f t="array" ref="C31">IF(B31=0,"",IF(B31="Target",B30&amp;" Target",IF(B31="Comments","Comment "&amp;B29,B31)))</f>
        <v>Total Temporary Direct Labor Overtime Hours</v>
      </c>
      <c r="D31" s="2" t="str">
        <f t="shared" si="0"/>
        <v>Total Temporary Direct Labor Overtime Hours</v>
      </c>
      <c r="E31" s="2" t="str">
        <f t="array" ref="E31">IF(B31="Comments", "Comment "&amp;B29,B31)</f>
        <v>Total Temporary Direct Labor Overtime Hours</v>
      </c>
      <c r="F31" s="2" t="s">
        <v>17</v>
      </c>
      <c r="G31" s="2" t="s">
        <v>17</v>
      </c>
      <c r="H31" s="2" t="s">
        <v>25</v>
      </c>
      <c r="J31" s="2" t="s">
        <v>24</v>
      </c>
      <c r="K31" s="2" t="s">
        <v>137</v>
      </c>
      <c r="L31" s="2" t="s">
        <v>138</v>
      </c>
      <c r="Q31" s="2" t="s">
        <v>24</v>
      </c>
      <c r="S31" s="2" t="s">
        <v>24</v>
      </c>
      <c r="T31" s="2" t="str">
        <f t="shared" si="5"/>
        <v>OVERTIME (%)</v>
      </c>
      <c r="V31" s="2" t="s">
        <v>24</v>
      </c>
      <c r="W31" s="1" t="s">
        <v>31</v>
      </c>
      <c r="X31">
        <v>44132</v>
      </c>
      <c r="Y31" t="str">
        <f t="shared" si="1"/>
        <v>28-Oct</v>
      </c>
    </row>
    <row r="32" spans="1:25" ht="15.75" x14ac:dyDescent="0.25">
      <c r="A32" s="1" t="s">
        <v>32</v>
      </c>
      <c r="B32" s="2" t="s">
        <v>18</v>
      </c>
      <c r="C32" s="2" t="str">
        <f t="array" ref="C32">IF(B32=0,"",IF(B32="Target",B31&amp;" Target",IF(B32="Comments","Comment "&amp;B30,B32)))</f>
        <v>OVERTIME (%)</v>
      </c>
      <c r="D32" s="2" t="str">
        <f t="shared" si="0"/>
        <v>OVERTIME (%)</v>
      </c>
      <c r="E32" s="2" t="str">
        <f t="array" ref="E32">IF(B32="Comments", "Comment "&amp;B30,B32)</f>
        <v>OVERTIME (%)</v>
      </c>
      <c r="F32" s="2" t="s">
        <v>18</v>
      </c>
      <c r="G32" s="2" t="s">
        <v>18</v>
      </c>
      <c r="H32" s="2" t="s">
        <v>26</v>
      </c>
      <c r="J32" s="2" t="s">
        <v>25</v>
      </c>
      <c r="K32" s="2" t="s">
        <v>139</v>
      </c>
      <c r="L32" s="2" t="s">
        <v>140</v>
      </c>
      <c r="Q32" s="2" t="s">
        <v>25</v>
      </c>
      <c r="S32" s="2" t="s">
        <v>25</v>
      </c>
      <c r="T32" s="2" t="str">
        <f t="shared" si="5"/>
        <v>OVERTIME (%)</v>
      </c>
      <c r="V32" s="2" t="s">
        <v>25</v>
      </c>
      <c r="W32" s="1" t="s">
        <v>32</v>
      </c>
      <c r="X32">
        <v>44133</v>
      </c>
      <c r="Y32" t="str">
        <f t="shared" si="1"/>
        <v>29-Oct</v>
      </c>
    </row>
    <row r="33" spans="1:25" ht="15.75" x14ac:dyDescent="0.25">
      <c r="A33" s="1" t="s">
        <v>33</v>
      </c>
      <c r="B33" s="2" t="s">
        <v>19</v>
      </c>
      <c r="C33" s="2" t="str">
        <f t="array" ref="C33">IF(B33=0,"",IF(B33="Target",B32&amp;" Target",IF(B33="Comments","Comment "&amp;B31,B33)))</f>
        <v>Target_1 (%)</v>
      </c>
      <c r="D33" s="2" t="str">
        <f t="shared" si="0"/>
        <v>Target_1 (%)</v>
      </c>
      <c r="E33" s="2" t="str">
        <f t="array" ref="E33">IF(B33="Comments", "Comment "&amp;B31,B33)</f>
        <v>Target_1 (%)</v>
      </c>
      <c r="F33" s="2" t="s">
        <v>19</v>
      </c>
      <c r="G33" s="2" t="s">
        <v>19</v>
      </c>
      <c r="H33" s="2" t="s">
        <v>27</v>
      </c>
      <c r="J33" s="2" t="s">
        <v>26</v>
      </c>
      <c r="K33" s="2" t="s">
        <v>141</v>
      </c>
      <c r="L33" s="2" t="s">
        <v>142</v>
      </c>
      <c r="Q33" s="2" t="s">
        <v>26</v>
      </c>
      <c r="S33" s="2" t="s">
        <v>26</v>
      </c>
      <c r="T33" s="2" t="str">
        <f t="shared" si="5"/>
        <v>OVERTIME (%)</v>
      </c>
      <c r="V33" s="2" t="s">
        <v>26</v>
      </c>
      <c r="W33" s="1" t="s">
        <v>33</v>
      </c>
      <c r="X33">
        <v>44134</v>
      </c>
      <c r="Y33" t="str">
        <f t="shared" si="1"/>
        <v>30-Oct</v>
      </c>
    </row>
    <row r="34" spans="1:25" ht="15.75" x14ac:dyDescent="0.25">
      <c r="A34" s="1" t="s">
        <v>34</v>
      </c>
      <c r="B34" s="2" t="s">
        <v>20</v>
      </c>
      <c r="C34" s="2" t="str">
        <f t="array" ref="C34">IF(B34=0,"",IF(B34="Target",B33&amp;" Target",IF(B34="Comments","Comment "&amp;B32,B34)))</f>
        <v>Target_2 (%)</v>
      </c>
      <c r="D34" s="2" t="str">
        <f t="shared" si="0"/>
        <v>Target_2 (%)</v>
      </c>
      <c r="E34" s="2" t="str">
        <f t="array" ref="E34">IF(B34="Comments", "Comment "&amp;B32,B34)</f>
        <v>Target_2 (%)</v>
      </c>
      <c r="F34" s="2" t="s">
        <v>20</v>
      </c>
      <c r="G34" s="2" t="s">
        <v>20</v>
      </c>
      <c r="H34" s="2" t="s">
        <v>28</v>
      </c>
      <c r="J34" s="2" t="s">
        <v>27</v>
      </c>
      <c r="K34" s="2" t="s">
        <v>143</v>
      </c>
      <c r="L34" s="2" t="s">
        <v>144</v>
      </c>
      <c r="Q34" s="2" t="s">
        <v>27</v>
      </c>
      <c r="S34" s="2" t="s">
        <v>27</v>
      </c>
      <c r="T34" s="2" t="str">
        <f t="shared" si="5"/>
        <v>OVERTIME (%)</v>
      </c>
      <c r="V34" s="2" t="s">
        <v>27</v>
      </c>
      <c r="W34" s="1" t="s">
        <v>34</v>
      </c>
      <c r="X34">
        <v>44135</v>
      </c>
      <c r="Y34" t="str">
        <f t="shared" si="1"/>
        <v>31-Oct</v>
      </c>
    </row>
    <row r="35" spans="1:25" ht="15.75" x14ac:dyDescent="0.25">
      <c r="A35" s="1" t="s">
        <v>35</v>
      </c>
      <c r="B35" s="2" t="s">
        <v>4</v>
      </c>
      <c r="C35" s="2" t="str">
        <f t="array" ref="C35">IF(B35=0,"",IF(B35="Target",B34&amp;" Target",IF(B35="Comments","Comment "&amp;B33,B35)))</f>
        <v>Comment Target_1 (%)</v>
      </c>
      <c r="D35" s="2" t="str">
        <f t="shared" ref="D35:D66" si="6">IF(B35="Target",B34&amp;" Target",B35)</f>
        <v>Comments</v>
      </c>
      <c r="E35" s="2" t="str">
        <f t="array" ref="E35">IF(B35="Comments", "Comment "&amp;B33,B35)</f>
        <v>Comment Target_1 (%)</v>
      </c>
      <c r="F35" s="2" t="s">
        <v>55</v>
      </c>
      <c r="G35" s="2" t="s">
        <v>55</v>
      </c>
      <c r="H35" s="2" t="s">
        <v>29</v>
      </c>
      <c r="J35" s="2" t="s">
        <v>28</v>
      </c>
      <c r="K35" s="2" t="s">
        <v>145</v>
      </c>
      <c r="L35" s="2" t="s">
        <v>146</v>
      </c>
      <c r="Q35" s="2" t="s">
        <v>28</v>
      </c>
      <c r="S35" s="2" t="s">
        <v>28</v>
      </c>
      <c r="T35" s="2" t="str">
        <f t="shared" si="5"/>
        <v>OVERTIME (%)</v>
      </c>
      <c r="V35" s="2" t="s">
        <v>28</v>
      </c>
      <c r="W35" s="1" t="s">
        <v>35</v>
      </c>
      <c r="X35">
        <v>44136</v>
      </c>
      <c r="Y35" t="str">
        <f t="shared" si="1"/>
        <v>01-Nov</v>
      </c>
    </row>
    <row r="36" spans="1:25" ht="15.75" x14ac:dyDescent="0.25">
      <c r="A36" s="1" t="s">
        <v>36</v>
      </c>
      <c r="C36" s="2" t="str">
        <f t="array" ref="C36">IF(B36=0,"",IF(B36="Target",B35&amp;" Target",IF(B36="Comments","Comment "&amp;B34,B36)))</f>
        <v/>
      </c>
      <c r="D36" s="2">
        <f t="shared" si="6"/>
        <v>0</v>
      </c>
      <c r="E36" s="2">
        <f t="array" ref="E36">IF(B36="Comments", "Comment "&amp;B34,B36)</f>
        <v>0</v>
      </c>
      <c r="H36" s="2" t="s">
        <v>56</v>
      </c>
      <c r="J36" s="2" t="s">
        <v>29</v>
      </c>
      <c r="K36" s="2" t="s">
        <v>147</v>
      </c>
      <c r="L36" s="2" t="s">
        <v>148</v>
      </c>
      <c r="Q36" s="2" t="s">
        <v>29</v>
      </c>
      <c r="S36" s="2" t="s">
        <v>29</v>
      </c>
      <c r="T36" s="2" t="s">
        <v>29</v>
      </c>
      <c r="V36" s="2" t="s">
        <v>29</v>
      </c>
      <c r="W36" s="1" t="s">
        <v>36</v>
      </c>
      <c r="X36">
        <v>44137</v>
      </c>
      <c r="Y36" t="str">
        <f t="shared" si="1"/>
        <v>02-Nov</v>
      </c>
    </row>
    <row r="37" spans="1:25" ht="15.75" x14ac:dyDescent="0.25">
      <c r="A37" s="1" t="s">
        <v>37</v>
      </c>
      <c r="B37" s="2" t="s">
        <v>24</v>
      </c>
      <c r="C37" s="2" t="str">
        <f t="array" ref="C37">IF(B37=0,"",IF(B37="Target",B36&amp;" Target",IF(B37="Comments","Comment "&amp;B35,B37)))</f>
        <v>S1 Permanent Direct Labor Cost</v>
      </c>
      <c r="D37" s="2" t="str">
        <f t="shared" si="6"/>
        <v>S1 Permanent Direct Labor Cost</v>
      </c>
      <c r="E37" s="2" t="str">
        <f t="array" ref="E37">IF(B37="Comments", "Comment "&amp;B35,B37)</f>
        <v>S1 Permanent Direct Labor Cost</v>
      </c>
      <c r="F37" s="2" t="s">
        <v>24</v>
      </c>
      <c r="G37" s="2" t="s">
        <v>24</v>
      </c>
      <c r="H37" s="2" t="s">
        <v>57</v>
      </c>
      <c r="J37" s="2" t="s">
        <v>56</v>
      </c>
      <c r="K37" s="2" t="s">
        <v>149</v>
      </c>
      <c r="L37" s="2" t="s">
        <v>150</v>
      </c>
      <c r="Q37" s="2" t="s">
        <v>56</v>
      </c>
      <c r="S37" s="2" t="s">
        <v>56</v>
      </c>
      <c r="T37" s="2" t="str">
        <f t="shared" ref="T37:T40" si="7">T36</f>
        <v>Labor Cost Per Unit Shipped</v>
      </c>
      <c r="V37" s="2" t="s">
        <v>56</v>
      </c>
      <c r="W37" s="1" t="s">
        <v>37</v>
      </c>
      <c r="X37">
        <v>44138</v>
      </c>
      <c r="Y37" t="str">
        <f t="shared" si="1"/>
        <v>03-Nov</v>
      </c>
    </row>
    <row r="38" spans="1:25" ht="15.75" x14ac:dyDescent="0.25">
      <c r="A38" s="1" t="s">
        <v>38</v>
      </c>
      <c r="B38" s="2" t="s">
        <v>25</v>
      </c>
      <c r="C38" s="2" t="str">
        <f t="array" ref="C38">IF(B38=0,"",IF(B38="Target",B37&amp;" Target",IF(B38="Comments","Comment "&amp;B36,B38)))</f>
        <v xml:space="preserve">S2 Permanent Indirect Labor Cost </v>
      </c>
      <c r="D38" s="2" t="str">
        <f t="shared" si="6"/>
        <v xml:space="preserve">S2 Permanent Indirect Labor Cost </v>
      </c>
      <c r="E38" s="2" t="str">
        <f t="array" ref="E38">IF(B38="Comments", "Comment "&amp;B36,B38)</f>
        <v xml:space="preserve">S2 Permanent Indirect Labor Cost </v>
      </c>
      <c r="F38" s="2" t="s">
        <v>25</v>
      </c>
      <c r="G38" s="2" t="s">
        <v>25</v>
      </c>
      <c r="H38" s="2" t="s">
        <v>229</v>
      </c>
      <c r="J38" s="2" t="s">
        <v>57</v>
      </c>
      <c r="K38" s="2" t="s">
        <v>151</v>
      </c>
      <c r="L38" s="2" t="s">
        <v>152</v>
      </c>
      <c r="Q38" s="2" t="s">
        <v>57</v>
      </c>
      <c r="S38" s="2" t="s">
        <v>57</v>
      </c>
      <c r="T38" s="2" t="str">
        <f t="shared" si="7"/>
        <v>Labor Cost Per Unit Shipped</v>
      </c>
      <c r="V38" s="2" t="s">
        <v>57</v>
      </c>
      <c r="W38" s="1" t="s">
        <v>38</v>
      </c>
      <c r="X38">
        <v>44139</v>
      </c>
      <c r="Y38" t="str">
        <f t="shared" si="1"/>
        <v>04-Nov</v>
      </c>
    </row>
    <row r="39" spans="1:25" ht="15.75" x14ac:dyDescent="0.25">
      <c r="A39" s="1" t="s">
        <v>39</v>
      </c>
      <c r="B39" s="2" t="s">
        <v>26</v>
      </c>
      <c r="C39" s="2" t="str">
        <f t="array" ref="C39">IF(B39=0,"",IF(B39="Target",B38&amp;" Target",IF(B39="Comments","Comment "&amp;B37,B39)))</f>
        <v xml:space="preserve">S3 Temporary Direct Labor Cost </v>
      </c>
      <c r="D39" s="2" t="str">
        <f t="shared" si="6"/>
        <v xml:space="preserve">S3 Temporary Direct Labor Cost </v>
      </c>
      <c r="E39" s="2" t="str">
        <f t="array" ref="E39">IF(B39="Comments", "Comment "&amp;B37,B39)</f>
        <v xml:space="preserve">S3 Temporary Direct Labor Cost </v>
      </c>
      <c r="F39" s="2" t="s">
        <v>26</v>
      </c>
      <c r="G39" s="2" t="s">
        <v>26</v>
      </c>
      <c r="H39" s="2" t="s">
        <v>231</v>
      </c>
      <c r="J39" s="2" t="s">
        <v>30</v>
      </c>
      <c r="K39" s="2" t="s">
        <v>153</v>
      </c>
      <c r="L39" s="2" t="s">
        <v>154</v>
      </c>
      <c r="Q39" s="2" t="s">
        <v>229</v>
      </c>
      <c r="S39" s="2" t="s">
        <v>229</v>
      </c>
      <c r="T39" s="2" t="str">
        <f t="shared" si="7"/>
        <v>Labor Cost Per Unit Shipped</v>
      </c>
      <c r="V39" s="2" t="s">
        <v>229</v>
      </c>
      <c r="W39" s="1" t="s">
        <v>39</v>
      </c>
      <c r="X39">
        <v>44140</v>
      </c>
      <c r="Y39" t="str">
        <f t="shared" si="1"/>
        <v>05-Nov</v>
      </c>
    </row>
    <row r="40" spans="1:25" ht="15.75" x14ac:dyDescent="0.25">
      <c r="A40" s="1" t="s">
        <v>41</v>
      </c>
      <c r="B40" s="2" t="s">
        <v>27</v>
      </c>
      <c r="C40" s="2" t="str">
        <f t="array" ref="C40">IF(B40=0,"",IF(B40="Target",B39&amp;" Target",IF(B40="Comments","Comment "&amp;B38,B40)))</f>
        <v>S4 Temporary Indirect Labor Cost</v>
      </c>
      <c r="D40" s="2" t="str">
        <f t="shared" si="6"/>
        <v>S4 Temporary Indirect Labor Cost</v>
      </c>
      <c r="E40" s="2" t="str">
        <f t="array" ref="E40">IF(B40="Comments", "Comment "&amp;B38,B40)</f>
        <v>S4 Temporary Indirect Labor Cost</v>
      </c>
      <c r="F40" s="2" t="s">
        <v>27</v>
      </c>
      <c r="G40" s="2" t="s">
        <v>27</v>
      </c>
      <c r="H40" s="2" t="s">
        <v>32</v>
      </c>
      <c r="J40" s="2" t="s">
        <v>31</v>
      </c>
      <c r="K40" s="2" t="s">
        <v>155</v>
      </c>
      <c r="L40" s="2" t="s">
        <v>156</v>
      </c>
      <c r="Q40" s="2" t="s">
        <v>231</v>
      </c>
      <c r="S40" s="2" t="s">
        <v>231</v>
      </c>
      <c r="T40" s="2" t="str">
        <f t="shared" si="7"/>
        <v>Labor Cost Per Unit Shipped</v>
      </c>
      <c r="V40" s="2" t="s">
        <v>231</v>
      </c>
      <c r="W40" s="1" t="s">
        <v>41</v>
      </c>
      <c r="X40">
        <v>44141</v>
      </c>
      <c r="Y40" t="str">
        <f t="shared" si="1"/>
        <v>06-Nov</v>
      </c>
    </row>
    <row r="41" spans="1:25" ht="15.75" x14ac:dyDescent="0.25">
      <c r="A41" s="1" t="s">
        <v>42</v>
      </c>
      <c r="B41" s="2" t="s">
        <v>28</v>
      </c>
      <c r="C41" s="2" t="str">
        <f t="array" ref="C41">IF(B41=0,"",IF(B41="Target",B40&amp;" Target",IF(B41="Comments","Comment "&amp;B39,B41)))</f>
        <v>P6 Units Shipped</v>
      </c>
      <c r="D41" s="2" t="str">
        <f t="shared" si="6"/>
        <v>P6 Units Shipped</v>
      </c>
      <c r="E41" s="2" t="str">
        <f t="array" ref="E41">IF(B41="Comments", "Comment "&amp;B39,B41)</f>
        <v>P6 Units Shipped</v>
      </c>
      <c r="F41" s="2" t="s">
        <v>28</v>
      </c>
      <c r="G41" s="2" t="s">
        <v>28</v>
      </c>
      <c r="H41" s="2" t="s">
        <v>58</v>
      </c>
      <c r="J41" s="2" t="s">
        <v>32</v>
      </c>
      <c r="K41" s="2" t="s">
        <v>157</v>
      </c>
      <c r="L41" s="2" t="s">
        <v>158</v>
      </c>
      <c r="Q41" s="2" t="s">
        <v>32</v>
      </c>
      <c r="S41" s="2" t="s">
        <v>32</v>
      </c>
      <c r="T41" s="2" t="s">
        <v>32</v>
      </c>
      <c r="V41" s="2" t="s">
        <v>32</v>
      </c>
      <c r="W41" s="1" t="s">
        <v>42</v>
      </c>
      <c r="X41">
        <v>44142</v>
      </c>
      <c r="Y41" t="str">
        <f t="shared" si="1"/>
        <v>07-Nov</v>
      </c>
    </row>
    <row r="42" spans="1:25" ht="15.75" x14ac:dyDescent="0.25">
      <c r="A42" s="1" t="s">
        <v>43</v>
      </c>
      <c r="B42" s="2" t="s">
        <v>29</v>
      </c>
      <c r="C42" s="2" t="str">
        <f t="array" ref="C42">IF(B42=0,"",IF(B42="Target",B41&amp;" Target",IF(B42="Comments","Comment "&amp;B40,B42)))</f>
        <v>Labor Cost Per Unit Shipped</v>
      </c>
      <c r="D42" s="2" t="str">
        <f t="shared" si="6"/>
        <v>Labor Cost Per Unit Shipped</v>
      </c>
      <c r="E42" s="2" t="str">
        <f t="array" ref="E42">IF(B42="Comments", "Comment "&amp;B40,B42)</f>
        <v>Labor Cost Per Unit Shipped</v>
      </c>
      <c r="F42" s="2" t="s">
        <v>29</v>
      </c>
      <c r="G42" s="2" t="s">
        <v>29</v>
      </c>
      <c r="H42" s="2" t="s">
        <v>59</v>
      </c>
      <c r="J42" s="2" t="s">
        <v>58</v>
      </c>
      <c r="K42" s="2" t="s">
        <v>159</v>
      </c>
      <c r="L42" s="2" t="s">
        <v>160</v>
      </c>
      <c r="Q42" s="2" t="s">
        <v>58</v>
      </c>
      <c r="S42" s="2" t="s">
        <v>58</v>
      </c>
      <c r="T42" s="2" t="str">
        <f t="shared" ref="T42:T45" si="8">T41</f>
        <v>PRODUCTIVITY 1</v>
      </c>
      <c r="V42" s="2" t="s">
        <v>58</v>
      </c>
      <c r="W42" s="1" t="s">
        <v>43</v>
      </c>
      <c r="X42">
        <v>44143</v>
      </c>
      <c r="Y42" t="str">
        <f t="shared" si="1"/>
        <v>08-Nov</v>
      </c>
    </row>
    <row r="43" spans="1:25" ht="15.75" x14ac:dyDescent="0.25">
      <c r="A43" s="1" t="s">
        <v>44</v>
      </c>
      <c r="B43" s="2" t="s">
        <v>3</v>
      </c>
      <c r="C43" s="2" t="str">
        <f t="array" ref="C43">IF(B43=0,"",IF(B43="Target",B42&amp;" Target",IF(B43="Comments","Comment "&amp;B41,B43)))</f>
        <v>Labor Cost Per Unit Shipped Target</v>
      </c>
      <c r="D43" s="2" t="str">
        <f t="shared" si="6"/>
        <v>Labor Cost Per Unit Shipped Target</v>
      </c>
      <c r="E43" s="2" t="str">
        <f t="array" ref="E43">IF(B43="Comments", "Comment "&amp;B41,B43)</f>
        <v>Target</v>
      </c>
      <c r="F43" s="2" t="s">
        <v>56</v>
      </c>
      <c r="G43" s="2" t="s">
        <v>56</v>
      </c>
      <c r="H43" s="2" t="s">
        <v>232</v>
      </c>
      <c r="J43" s="2" t="s">
        <v>59</v>
      </c>
      <c r="K43" s="2" t="s">
        <v>161</v>
      </c>
      <c r="L43" s="2" t="s">
        <v>162</v>
      </c>
      <c r="Q43" s="2" t="s">
        <v>59</v>
      </c>
      <c r="S43" s="2" t="s">
        <v>59</v>
      </c>
      <c r="T43" s="2" t="str">
        <f t="shared" si="8"/>
        <v>PRODUCTIVITY 1</v>
      </c>
      <c r="V43" s="2" t="s">
        <v>59</v>
      </c>
      <c r="W43" s="1" t="s">
        <v>44</v>
      </c>
      <c r="X43">
        <v>44144</v>
      </c>
      <c r="Y43" t="str">
        <f t="shared" si="1"/>
        <v>09-Nov</v>
      </c>
    </row>
    <row r="44" spans="1:25" ht="15.75" x14ac:dyDescent="0.25">
      <c r="A44" s="1" t="s">
        <v>44</v>
      </c>
      <c r="B44" s="2" t="s">
        <v>4</v>
      </c>
      <c r="C44" s="2" t="str">
        <f t="array" ref="C44">IF(B44=0,"",IF(B44="Target",B43&amp;" Target",IF(B44="Comments","Comment "&amp;B42,B44)))</f>
        <v>Comment Labor Cost Per Unit Shipped</v>
      </c>
      <c r="D44" s="2" t="str">
        <f t="shared" si="6"/>
        <v>Comments</v>
      </c>
      <c r="E44" s="2" t="str">
        <f t="array" ref="E44">IF(B44="Comments", "Comment "&amp;B42,B44)</f>
        <v>Comment Labor Cost Per Unit Shipped</v>
      </c>
      <c r="F44" s="2" t="s">
        <v>57</v>
      </c>
      <c r="G44" s="2" t="s">
        <v>57</v>
      </c>
      <c r="H44" s="2" t="s">
        <v>230</v>
      </c>
      <c r="J44" s="2" t="s">
        <v>33</v>
      </c>
      <c r="K44" s="2" t="s">
        <v>163</v>
      </c>
      <c r="L44" s="2" t="s">
        <v>164</v>
      </c>
      <c r="Q44" s="2" t="s">
        <v>232</v>
      </c>
      <c r="S44" s="2" t="s">
        <v>232</v>
      </c>
      <c r="T44" s="2" t="str">
        <f t="shared" si="8"/>
        <v>PRODUCTIVITY 1</v>
      </c>
      <c r="V44" s="2" t="s">
        <v>232</v>
      </c>
      <c r="W44" s="1" t="s">
        <v>44</v>
      </c>
      <c r="X44">
        <v>44145</v>
      </c>
      <c r="Y44" t="str">
        <f t="shared" si="1"/>
        <v>10-Nov</v>
      </c>
    </row>
    <row r="45" spans="1:25" ht="15.75" x14ac:dyDescent="0.25">
      <c r="C45" s="2" t="str">
        <f t="array" ref="C45">IF(B45=0,"",IF(B45="Target",B44&amp;" Target",IF(B45="Comments","Comment "&amp;B43,B45)))</f>
        <v/>
      </c>
      <c r="D45" s="2">
        <f t="shared" si="6"/>
        <v>0</v>
      </c>
      <c r="E45" s="2">
        <f t="array" ref="E45">IF(B45="Comments", "Comment "&amp;B43,B45)</f>
        <v>0</v>
      </c>
      <c r="H45" s="2" t="s">
        <v>33</v>
      </c>
      <c r="J45" s="2" t="s">
        <v>60</v>
      </c>
      <c r="K45" s="2" t="s">
        <v>165</v>
      </c>
      <c r="L45" s="2" t="s">
        <v>166</v>
      </c>
      <c r="Q45" s="2" t="s">
        <v>230</v>
      </c>
      <c r="S45" s="2" t="s">
        <v>230</v>
      </c>
      <c r="T45" s="2" t="str">
        <f t="shared" si="8"/>
        <v>PRODUCTIVITY 1</v>
      </c>
      <c r="V45" s="2" t="s">
        <v>230</v>
      </c>
      <c r="W45"/>
      <c r="X45">
        <v>44146</v>
      </c>
      <c r="Y45" t="str">
        <f t="shared" si="1"/>
        <v>11-Nov</v>
      </c>
    </row>
    <row r="46" spans="1:25" ht="15.75" x14ac:dyDescent="0.25">
      <c r="B46" s="2" t="s">
        <v>229</v>
      </c>
      <c r="C46" s="2" t="str">
        <f t="array" ref="C46">IF(B46=0,"",IF(B46="Target",B45&amp;" Target",IF(B46="Comments","Comment "&amp;B44,B46)))</f>
        <v>Actual Volume Processed 1</v>
      </c>
      <c r="D46" s="2" t="str">
        <f t="shared" si="6"/>
        <v>Actual Volume Processed 1</v>
      </c>
      <c r="E46" s="2" t="str">
        <f t="array" ref="E46">IF(B46="Comments", "Comment "&amp;B44,B46)</f>
        <v>Actual Volume Processed 1</v>
      </c>
      <c r="F46" s="2" t="s">
        <v>229</v>
      </c>
      <c r="G46" s="2" t="s">
        <v>229</v>
      </c>
      <c r="H46" s="2" t="s">
        <v>60</v>
      </c>
      <c r="J46" s="2" t="s">
        <v>61</v>
      </c>
      <c r="K46" s="2" t="s">
        <v>167</v>
      </c>
      <c r="L46" s="2" t="s">
        <v>168</v>
      </c>
      <c r="Q46" s="2" t="s">
        <v>33</v>
      </c>
      <c r="S46" s="2" t="s">
        <v>33</v>
      </c>
      <c r="T46" s="2" t="s">
        <v>33</v>
      </c>
      <c r="V46" s="2" t="s">
        <v>33</v>
      </c>
      <c r="W46"/>
      <c r="X46">
        <v>44147</v>
      </c>
      <c r="Y46" t="str">
        <f t="shared" si="1"/>
        <v>12-Nov</v>
      </c>
    </row>
    <row r="47" spans="1:25" ht="15.75" x14ac:dyDescent="0.25">
      <c r="B47" s="2" t="s">
        <v>231</v>
      </c>
      <c r="C47" s="2" t="str">
        <f t="array" ref="C47">IF(B47=0,"",IF(B47="Target",B46&amp;" Target",IF(B47="Comments","Comment "&amp;B45,B47)))</f>
        <v>Direct Labor Hours 1</v>
      </c>
      <c r="D47" s="2" t="str">
        <f t="shared" si="6"/>
        <v>Direct Labor Hours 1</v>
      </c>
      <c r="E47" s="2" t="str">
        <f t="array" ref="E47">IF(B47="Comments", "Comment "&amp;B45,B47)</f>
        <v>Direct Labor Hours 1</v>
      </c>
      <c r="F47" s="2" t="s">
        <v>231</v>
      </c>
      <c r="G47" s="2" t="s">
        <v>231</v>
      </c>
      <c r="H47" s="2" t="s">
        <v>61</v>
      </c>
      <c r="J47" s="2" t="s">
        <v>34</v>
      </c>
      <c r="K47" s="2" t="s">
        <v>169</v>
      </c>
      <c r="L47" s="2" t="s">
        <v>170</v>
      </c>
      <c r="Q47" s="2" t="s">
        <v>60</v>
      </c>
      <c r="S47" s="2" t="s">
        <v>60</v>
      </c>
      <c r="T47" s="2" t="str">
        <f t="shared" ref="T47:T50" si="9">T46</f>
        <v>PRODUCTIVITY 2</v>
      </c>
      <c r="V47" s="2" t="s">
        <v>60</v>
      </c>
      <c r="W47"/>
      <c r="X47">
        <v>44148</v>
      </c>
      <c r="Y47" t="str">
        <f t="shared" si="1"/>
        <v>13-Nov</v>
      </c>
    </row>
    <row r="48" spans="1:25" ht="15.75" x14ac:dyDescent="0.25">
      <c r="B48" s="2" t="s">
        <v>32</v>
      </c>
      <c r="C48" s="2" t="str">
        <f t="array" ref="C48">IF(B48=0,"",IF(B48="Target",B47&amp;" Target",IF(B48="Comments","Comment "&amp;B46,B48)))</f>
        <v>PRODUCTIVITY 1</v>
      </c>
      <c r="D48" s="2" t="str">
        <f t="shared" si="6"/>
        <v>PRODUCTIVITY 1</v>
      </c>
      <c r="E48" s="2" t="str">
        <f t="array" ref="E48">IF(B48="Comments", "Comment "&amp;B46,B48)</f>
        <v>PRODUCTIVITY 1</v>
      </c>
      <c r="F48" s="2" t="s">
        <v>32</v>
      </c>
      <c r="G48" s="2" t="s">
        <v>32</v>
      </c>
      <c r="H48" s="2" t="s">
        <v>233</v>
      </c>
      <c r="J48" s="2" t="s">
        <v>62</v>
      </c>
      <c r="K48" s="2" t="s">
        <v>171</v>
      </c>
      <c r="L48" s="2" t="s">
        <v>172</v>
      </c>
      <c r="Q48" s="2" t="s">
        <v>61</v>
      </c>
      <c r="S48" s="2" t="s">
        <v>61</v>
      </c>
      <c r="T48" s="2" t="str">
        <f t="shared" si="9"/>
        <v>PRODUCTIVITY 2</v>
      </c>
      <c r="V48" s="2" t="s">
        <v>61</v>
      </c>
      <c r="W48"/>
      <c r="X48">
        <v>44149</v>
      </c>
      <c r="Y48" t="str">
        <f t="shared" si="1"/>
        <v>14-Nov</v>
      </c>
    </row>
    <row r="49" spans="2:25" ht="15.75" x14ac:dyDescent="0.25">
      <c r="B49" s="2" t="s">
        <v>3</v>
      </c>
      <c r="C49" s="2" t="str">
        <f t="array" ref="C49">IF(B49=0,"",IF(B49="Target",B48&amp;" Target",IF(B49="Comments","Comment "&amp;B47,B49)))</f>
        <v>PRODUCTIVITY 1 Target</v>
      </c>
      <c r="D49" s="2" t="str">
        <f t="shared" si="6"/>
        <v>PRODUCTIVITY 1 Target</v>
      </c>
      <c r="E49" s="2" t="str">
        <f t="array" ref="E49">IF(B49="Comments", "Comment "&amp;B47,B49)</f>
        <v>Target</v>
      </c>
      <c r="F49" s="2" t="s">
        <v>58</v>
      </c>
      <c r="G49" s="2" t="s">
        <v>58</v>
      </c>
      <c r="H49" s="2" t="s">
        <v>234</v>
      </c>
      <c r="J49" s="2" t="s">
        <v>63</v>
      </c>
      <c r="K49" s="2" t="s">
        <v>173</v>
      </c>
      <c r="L49" s="2" t="s">
        <v>174</v>
      </c>
      <c r="Q49" s="2" t="s">
        <v>233</v>
      </c>
      <c r="S49" s="2" t="s">
        <v>233</v>
      </c>
      <c r="T49" s="2" t="str">
        <f t="shared" si="9"/>
        <v>PRODUCTIVITY 2</v>
      </c>
      <c r="V49" s="2" t="s">
        <v>233</v>
      </c>
      <c r="W49"/>
      <c r="X49">
        <v>44150</v>
      </c>
      <c r="Y49" t="str">
        <f t="shared" si="1"/>
        <v>15-Nov</v>
      </c>
    </row>
    <row r="50" spans="2:25" ht="15.75" x14ac:dyDescent="0.25">
      <c r="B50" s="2" t="s">
        <v>4</v>
      </c>
      <c r="C50" s="2" t="str">
        <f t="array" ref="C50">IF(B50=0,"",IF(B50="Target",B49&amp;" Target",IF(B50="Comments","Comment "&amp;B48,B50)))</f>
        <v>Comment PRODUCTIVITY 1</v>
      </c>
      <c r="D50" s="2" t="str">
        <f t="shared" si="6"/>
        <v>Comments</v>
      </c>
      <c r="E50" s="2" t="str">
        <f t="array" ref="E50">IF(B50="Comments", "Comment "&amp;B48,B50)</f>
        <v>Comment PRODUCTIVITY 1</v>
      </c>
      <c r="F50" s="2" t="s">
        <v>59</v>
      </c>
      <c r="G50" s="2" t="s">
        <v>59</v>
      </c>
      <c r="H50" s="2" t="s">
        <v>34</v>
      </c>
      <c r="J50" s="2" t="s">
        <v>35</v>
      </c>
      <c r="K50" s="2" t="s">
        <v>175</v>
      </c>
      <c r="L50" s="2" t="s">
        <v>176</v>
      </c>
      <c r="Q50" s="2" t="s">
        <v>234</v>
      </c>
      <c r="S50" s="2" t="s">
        <v>234</v>
      </c>
      <c r="T50" s="2" t="str">
        <f t="shared" si="9"/>
        <v>PRODUCTIVITY 2</v>
      </c>
      <c r="V50" s="2" t="s">
        <v>234</v>
      </c>
      <c r="W50"/>
      <c r="X50">
        <v>44151</v>
      </c>
      <c r="Y50" t="str">
        <f t="shared" si="1"/>
        <v>16-Nov</v>
      </c>
    </row>
    <row r="51" spans="2:25" ht="15.75" x14ac:dyDescent="0.25">
      <c r="B51" s="2" t="s">
        <v>232</v>
      </c>
      <c r="C51" s="2" t="str">
        <f t="array" ref="C51">IF(B51=0,"",IF(B51="Target",B50&amp;" Target",IF(B51="Comments","Comment "&amp;B49,B51)))</f>
        <v>Actual Volume Processed 2</v>
      </c>
      <c r="D51" s="2" t="str">
        <f t="shared" si="6"/>
        <v>Actual Volume Processed 2</v>
      </c>
      <c r="E51" s="2" t="str">
        <f t="array" ref="E51">IF(B51="Comments", "Comment "&amp;B49,B51)</f>
        <v>Actual Volume Processed 2</v>
      </c>
      <c r="F51" s="2" t="s">
        <v>30</v>
      </c>
      <c r="G51" s="2" t="s">
        <v>232</v>
      </c>
      <c r="H51" s="2" t="s">
        <v>62</v>
      </c>
      <c r="J51" s="2" t="s">
        <v>64</v>
      </c>
      <c r="K51" s="2" t="s">
        <v>177</v>
      </c>
      <c r="L51" s="2" t="s">
        <v>178</v>
      </c>
      <c r="Q51" s="2" t="s">
        <v>34</v>
      </c>
      <c r="S51" s="2" t="s">
        <v>34</v>
      </c>
      <c r="T51" s="2" t="s">
        <v>34</v>
      </c>
      <c r="V51" s="2" t="s">
        <v>34</v>
      </c>
      <c r="W51"/>
      <c r="X51">
        <v>44152</v>
      </c>
      <c r="Y51" t="str">
        <f t="shared" si="1"/>
        <v>17-Nov</v>
      </c>
    </row>
    <row r="52" spans="2:25" ht="15.75" x14ac:dyDescent="0.25">
      <c r="B52" s="2" t="s">
        <v>230</v>
      </c>
      <c r="C52" s="2" t="str">
        <f t="array" ref="C52">IF(B52=0,"",IF(B52="Target",B51&amp;" Target",IF(B52="Comments","Comment "&amp;B50,B52)))</f>
        <v>Direct Labor Hours 2</v>
      </c>
      <c r="D52" s="2" t="str">
        <f t="shared" si="6"/>
        <v>Direct Labor Hours 2</v>
      </c>
      <c r="E52" s="2" t="str">
        <f t="array" ref="E52">IF(B52="Comments", "Comment "&amp;B50,B52)</f>
        <v>Direct Labor Hours 2</v>
      </c>
      <c r="F52" s="2" t="s">
        <v>31</v>
      </c>
      <c r="G52" s="2" t="s">
        <v>230</v>
      </c>
      <c r="H52" s="2" t="s">
        <v>63</v>
      </c>
      <c r="J52" s="2" t="s">
        <v>65</v>
      </c>
      <c r="K52" s="2" t="s">
        <v>179</v>
      </c>
      <c r="L52" s="2" t="s">
        <v>180</v>
      </c>
      <c r="Q52" s="2" t="s">
        <v>62</v>
      </c>
      <c r="S52" s="2" t="s">
        <v>62</v>
      </c>
      <c r="T52" s="2" t="str">
        <f t="shared" ref="T52:T55" si="10">T51</f>
        <v>PRODUCTIVITY 3</v>
      </c>
      <c r="V52" s="2" t="s">
        <v>62</v>
      </c>
      <c r="W52"/>
      <c r="X52">
        <v>44153</v>
      </c>
      <c r="Y52" t="str">
        <f t="shared" si="1"/>
        <v>18-Nov</v>
      </c>
    </row>
    <row r="53" spans="2:25" ht="15.75" x14ac:dyDescent="0.25">
      <c r="B53" s="2" t="s">
        <v>33</v>
      </c>
      <c r="C53" s="2" t="str">
        <f t="array" ref="C53">IF(B53=0,"",IF(B53="Target",B52&amp;" Target",IF(B53="Comments","Comment "&amp;B51,B53)))</f>
        <v>PRODUCTIVITY 2</v>
      </c>
      <c r="D53" s="2" t="str">
        <f t="shared" si="6"/>
        <v>PRODUCTIVITY 2</v>
      </c>
      <c r="E53" s="2" t="str">
        <f t="array" ref="E53">IF(B53="Comments", "Comment "&amp;B51,B53)</f>
        <v>PRODUCTIVITY 2</v>
      </c>
      <c r="F53" s="2" t="s">
        <v>33</v>
      </c>
      <c r="G53" s="2" t="s">
        <v>33</v>
      </c>
      <c r="H53" s="2" t="s">
        <v>235</v>
      </c>
      <c r="J53" s="2" t="s">
        <v>36</v>
      </c>
      <c r="K53" s="2" t="s">
        <v>181</v>
      </c>
      <c r="L53" s="2" t="s">
        <v>182</v>
      </c>
      <c r="Q53" s="2" t="s">
        <v>63</v>
      </c>
      <c r="S53" s="2" t="s">
        <v>63</v>
      </c>
      <c r="T53" s="2" t="str">
        <f t="shared" si="10"/>
        <v>PRODUCTIVITY 3</v>
      </c>
      <c r="V53" s="2" t="s">
        <v>63</v>
      </c>
      <c r="W53"/>
      <c r="X53">
        <v>44154</v>
      </c>
      <c r="Y53" t="str">
        <f t="shared" si="1"/>
        <v>19-Nov</v>
      </c>
    </row>
    <row r="54" spans="2:25" ht="15.75" x14ac:dyDescent="0.25">
      <c r="B54" s="2" t="s">
        <v>3</v>
      </c>
      <c r="C54" s="2" t="str">
        <f t="array" ref="C54">IF(B54=0,"",IF(B54="Target",B53&amp;" Target",IF(B54="Comments","Comment "&amp;B52,B54)))</f>
        <v>PRODUCTIVITY 2 Target</v>
      </c>
      <c r="D54" s="2" t="str">
        <f t="shared" si="6"/>
        <v>PRODUCTIVITY 2 Target</v>
      </c>
      <c r="E54" s="2" t="str">
        <f t="array" ref="E54">IF(B54="Comments", "Comment "&amp;B52,B54)</f>
        <v>Target</v>
      </c>
      <c r="F54" s="2" t="s">
        <v>60</v>
      </c>
      <c r="G54" s="2" t="s">
        <v>60</v>
      </c>
      <c r="H54" s="2" t="s">
        <v>251</v>
      </c>
      <c r="J54" s="2" t="s">
        <v>66</v>
      </c>
      <c r="K54" s="2" t="s">
        <v>183</v>
      </c>
      <c r="L54" s="2" t="s">
        <v>184</v>
      </c>
      <c r="Q54" s="2" t="s">
        <v>235</v>
      </c>
      <c r="S54" s="2" t="s">
        <v>235</v>
      </c>
      <c r="T54" s="2" t="str">
        <f t="shared" si="10"/>
        <v>PRODUCTIVITY 3</v>
      </c>
      <c r="V54" s="2" t="s">
        <v>235</v>
      </c>
      <c r="W54"/>
      <c r="X54">
        <v>44155</v>
      </c>
      <c r="Y54" t="str">
        <f t="shared" si="1"/>
        <v>20-Nov</v>
      </c>
    </row>
    <row r="55" spans="2:25" ht="15.75" x14ac:dyDescent="0.25">
      <c r="B55" s="2" t="s">
        <v>4</v>
      </c>
      <c r="C55" s="2" t="str">
        <f t="array" ref="C55">IF(B55=0,"",IF(B55="Target",B54&amp;" Target",IF(B55="Comments","Comment "&amp;B53,B55)))</f>
        <v>Comment PRODUCTIVITY 2</v>
      </c>
      <c r="D55" s="2" t="str">
        <f t="shared" si="6"/>
        <v>Comments</v>
      </c>
      <c r="E55" s="2" t="str">
        <f t="array" ref="E55">IF(B55="Comments", "Comment "&amp;B53,B55)</f>
        <v>Comment PRODUCTIVITY 2</v>
      </c>
      <c r="F55" s="2" t="s">
        <v>61</v>
      </c>
      <c r="G55" s="2" t="s">
        <v>61</v>
      </c>
      <c r="H55" s="2" t="s">
        <v>35</v>
      </c>
      <c r="J55" s="2" t="s">
        <v>67</v>
      </c>
      <c r="K55" s="2" t="s">
        <v>185</v>
      </c>
      <c r="L55" s="2" t="s">
        <v>186</v>
      </c>
      <c r="Q55" s="2" t="s">
        <v>251</v>
      </c>
      <c r="S55" s="2" t="s">
        <v>251</v>
      </c>
      <c r="T55" s="2" t="str">
        <f t="shared" si="10"/>
        <v>PRODUCTIVITY 3</v>
      </c>
      <c r="V55" s="2" t="s">
        <v>251</v>
      </c>
      <c r="W55"/>
      <c r="X55">
        <v>44156</v>
      </c>
      <c r="Y55" t="str">
        <f t="shared" si="1"/>
        <v>21-Nov</v>
      </c>
    </row>
    <row r="56" spans="2:25" ht="15.75" x14ac:dyDescent="0.25">
      <c r="C56" s="2" t="str">
        <f t="array" ref="C56">IF(B56=0,"",IF(B56="Target",B55&amp;" Target",IF(B56="Comments","Comment "&amp;B54,B56)))</f>
        <v/>
      </c>
      <c r="D56" s="2">
        <f t="shared" si="6"/>
        <v>0</v>
      </c>
      <c r="E56" s="2">
        <f t="array" ref="E56">IF(B56="Comments", "Comment "&amp;B54,B56)</f>
        <v>0</v>
      </c>
      <c r="H56" s="2" t="s">
        <v>64</v>
      </c>
      <c r="J56" s="2" t="s">
        <v>37</v>
      </c>
      <c r="K56" s="2" t="s">
        <v>187</v>
      </c>
      <c r="L56" s="2" t="s">
        <v>188</v>
      </c>
      <c r="Q56" s="2" t="s">
        <v>35</v>
      </c>
      <c r="S56" s="2" t="s">
        <v>35</v>
      </c>
      <c r="T56" s="2" t="s">
        <v>35</v>
      </c>
      <c r="V56" s="2" t="s">
        <v>35</v>
      </c>
      <c r="W56"/>
      <c r="X56">
        <v>44157</v>
      </c>
      <c r="Y56" t="str">
        <f t="shared" si="1"/>
        <v>22-Nov</v>
      </c>
    </row>
    <row r="57" spans="2:25" ht="15.75" x14ac:dyDescent="0.25">
      <c r="B57" s="2" t="s">
        <v>233</v>
      </c>
      <c r="C57" s="2" t="str">
        <f t="array" ref="C57">IF(B57=0,"",IF(B57="Target",B56&amp;" Target",IF(B57="Comments","Comment "&amp;B55,B57)))</f>
        <v>Actual Volume Processed 3</v>
      </c>
      <c r="D57" s="2" t="str">
        <f t="shared" si="6"/>
        <v>Actual Volume Processed 3</v>
      </c>
      <c r="E57" s="2" t="str">
        <f t="array" ref="E57">IF(B57="Comments", "Comment "&amp;B55,B57)</f>
        <v>Actual Volume Processed 3</v>
      </c>
      <c r="F57" s="2" t="s">
        <v>30</v>
      </c>
      <c r="G57" s="2" t="s">
        <v>233</v>
      </c>
      <c r="H57" s="2" t="s">
        <v>65</v>
      </c>
      <c r="J57" s="2" t="s">
        <v>68</v>
      </c>
      <c r="K57" s="2" t="s">
        <v>189</v>
      </c>
      <c r="L57" s="2" t="s">
        <v>190</v>
      </c>
      <c r="Q57" s="2" t="s">
        <v>64</v>
      </c>
      <c r="S57" s="2" t="s">
        <v>64</v>
      </c>
      <c r="T57" s="2" t="str">
        <f t="shared" ref="T57:T60" si="11">T56</f>
        <v>PRODUCTIVITY 4</v>
      </c>
      <c r="V57" s="2" t="s">
        <v>64</v>
      </c>
      <c r="W57"/>
      <c r="X57">
        <v>44158</v>
      </c>
      <c r="Y57" t="str">
        <f t="shared" si="1"/>
        <v>23-Nov</v>
      </c>
    </row>
    <row r="58" spans="2:25" ht="15.75" x14ac:dyDescent="0.25">
      <c r="B58" s="2" t="s">
        <v>234</v>
      </c>
      <c r="C58" s="2" t="str">
        <f t="array" ref="C58">IF(B58=0,"",IF(B58="Target",B57&amp;" Target",IF(B58="Comments","Comment "&amp;B56,B58)))</f>
        <v>Direct Labor Hours 3</v>
      </c>
      <c r="D58" s="2" t="str">
        <f t="shared" si="6"/>
        <v>Direct Labor Hours 3</v>
      </c>
      <c r="E58" s="2" t="str">
        <f t="array" ref="E58">IF(B58="Comments", "Comment "&amp;B56,B58)</f>
        <v>Direct Labor Hours 3</v>
      </c>
      <c r="F58" s="2" t="s">
        <v>31</v>
      </c>
      <c r="G58" s="2" t="s">
        <v>234</v>
      </c>
      <c r="H58" s="2" t="s">
        <v>252</v>
      </c>
      <c r="J58" s="2" t="s">
        <v>69</v>
      </c>
      <c r="K58" s="2" t="s">
        <v>191</v>
      </c>
      <c r="L58" s="2" t="s">
        <v>192</v>
      </c>
      <c r="Q58" s="2" t="s">
        <v>65</v>
      </c>
      <c r="S58" s="2" t="s">
        <v>65</v>
      </c>
      <c r="T58" s="2" t="str">
        <f t="shared" si="11"/>
        <v>PRODUCTIVITY 4</v>
      </c>
      <c r="V58" s="2" t="s">
        <v>65</v>
      </c>
      <c r="W58"/>
      <c r="X58">
        <v>44159</v>
      </c>
      <c r="Y58" t="str">
        <f t="shared" si="1"/>
        <v>24-Nov</v>
      </c>
    </row>
    <row r="59" spans="2:25" ht="15.75" x14ac:dyDescent="0.25">
      <c r="B59" s="2" t="s">
        <v>34</v>
      </c>
      <c r="C59" s="2" t="str">
        <f t="array" ref="C59">IF(B59=0,"",IF(B59="Target",B58&amp;" Target",IF(B59="Comments","Comment "&amp;B57,B59)))</f>
        <v>PRODUCTIVITY 3</v>
      </c>
      <c r="D59" s="2" t="str">
        <f t="shared" si="6"/>
        <v>PRODUCTIVITY 3</v>
      </c>
      <c r="E59" s="2" t="str">
        <f t="array" ref="E59">IF(B59="Comments", "Comment "&amp;B57,B59)</f>
        <v>PRODUCTIVITY 3</v>
      </c>
      <c r="F59" s="2" t="s">
        <v>34</v>
      </c>
      <c r="G59" s="2" t="s">
        <v>34</v>
      </c>
      <c r="H59" s="2" t="s">
        <v>236</v>
      </c>
      <c r="J59" s="2" t="s">
        <v>38</v>
      </c>
      <c r="K59" s="2" t="s">
        <v>193</v>
      </c>
      <c r="L59" s="2" t="s">
        <v>194</v>
      </c>
      <c r="Q59" s="2" t="s">
        <v>252</v>
      </c>
      <c r="S59" s="2" t="s">
        <v>252</v>
      </c>
      <c r="T59" s="2" t="str">
        <f t="shared" si="11"/>
        <v>PRODUCTIVITY 4</v>
      </c>
      <c r="V59" s="2" t="s">
        <v>252</v>
      </c>
      <c r="W59"/>
      <c r="X59">
        <v>44160</v>
      </c>
      <c r="Y59" t="str">
        <f t="shared" si="1"/>
        <v>25-Nov</v>
      </c>
    </row>
    <row r="60" spans="2:25" ht="15.75" x14ac:dyDescent="0.25">
      <c r="B60" s="2" t="s">
        <v>3</v>
      </c>
      <c r="C60" s="2" t="str">
        <f t="array" ref="C60">IF(B60=0,"",IF(B60="Target",B59&amp;" Target",IF(B60="Comments","Comment "&amp;B58,B60)))</f>
        <v>PRODUCTIVITY 3 Target</v>
      </c>
      <c r="D60" s="2" t="str">
        <f t="shared" si="6"/>
        <v>PRODUCTIVITY 3 Target</v>
      </c>
      <c r="E60" s="2" t="str">
        <f t="array" ref="E60">IF(B60="Comments", "Comment "&amp;B58,B60)</f>
        <v>Target</v>
      </c>
      <c r="F60" s="2" t="s">
        <v>62</v>
      </c>
      <c r="G60" s="2" t="s">
        <v>62</v>
      </c>
      <c r="H60" s="2" t="s">
        <v>36</v>
      </c>
      <c r="J60" s="2" t="s">
        <v>70</v>
      </c>
      <c r="K60" s="2" t="s">
        <v>195</v>
      </c>
      <c r="L60" s="2" t="s">
        <v>196</v>
      </c>
      <c r="Q60" s="2" t="s">
        <v>236</v>
      </c>
      <c r="S60" s="2" t="s">
        <v>236</v>
      </c>
      <c r="T60" s="2" t="str">
        <f t="shared" si="11"/>
        <v>PRODUCTIVITY 4</v>
      </c>
      <c r="V60" s="2" t="s">
        <v>236</v>
      </c>
      <c r="W60"/>
      <c r="X60">
        <v>44161</v>
      </c>
      <c r="Y60" t="str">
        <f t="shared" si="1"/>
        <v>26-Nov</v>
      </c>
    </row>
    <row r="61" spans="2:25" ht="15.75" x14ac:dyDescent="0.25">
      <c r="B61" s="2" t="s">
        <v>4</v>
      </c>
      <c r="C61" s="2" t="str">
        <f t="array" ref="C61">IF(B61=0,"",IF(B61="Target",B60&amp;" Target",IF(B61="Comments","Comment "&amp;B59,B61)))</f>
        <v>Comment PRODUCTIVITY 3</v>
      </c>
      <c r="D61" s="2" t="str">
        <f t="shared" si="6"/>
        <v>Comments</v>
      </c>
      <c r="E61" s="2" t="str">
        <f t="array" ref="E61">IF(B61="Comments", "Comment "&amp;B59,B61)</f>
        <v>Comment PRODUCTIVITY 3</v>
      </c>
      <c r="F61" s="2" t="s">
        <v>63</v>
      </c>
      <c r="G61" s="2" t="s">
        <v>63</v>
      </c>
      <c r="H61" s="2" t="s">
        <v>66</v>
      </c>
      <c r="J61" s="2" t="s">
        <v>71</v>
      </c>
      <c r="K61" s="2" t="s">
        <v>197</v>
      </c>
      <c r="L61" s="2" t="s">
        <v>198</v>
      </c>
      <c r="Q61" s="2" t="s">
        <v>36</v>
      </c>
      <c r="S61" s="2" t="s">
        <v>36</v>
      </c>
      <c r="T61" s="2" t="s">
        <v>36</v>
      </c>
      <c r="V61" s="2" t="s">
        <v>36</v>
      </c>
      <c r="W61"/>
      <c r="X61">
        <v>44162</v>
      </c>
      <c r="Y61" t="str">
        <f t="shared" si="1"/>
        <v>27-Nov</v>
      </c>
    </row>
    <row r="62" spans="2:25" ht="15.75" x14ac:dyDescent="0.25">
      <c r="C62" s="2" t="str">
        <f t="array" ref="C62">IF(B62=0,"",IF(B62="Target",B61&amp;" Target",IF(B62="Comments","Comment "&amp;B60,B62)))</f>
        <v/>
      </c>
      <c r="D62" s="2">
        <f t="shared" si="6"/>
        <v>0</v>
      </c>
      <c r="E62" s="2">
        <f t="array" ref="E62">IF(B62="Comments", "Comment "&amp;B60,B62)</f>
        <v>0</v>
      </c>
      <c r="H62" s="2" t="s">
        <v>67</v>
      </c>
      <c r="J62" s="2" t="s">
        <v>39</v>
      </c>
      <c r="K62" s="2" t="s">
        <v>199</v>
      </c>
      <c r="L62" s="2" t="s">
        <v>200</v>
      </c>
      <c r="Q62" s="2" t="s">
        <v>66</v>
      </c>
      <c r="S62" s="2" t="s">
        <v>66</v>
      </c>
      <c r="T62" s="2" t="str">
        <f t="shared" ref="T62:T65" si="12">T61</f>
        <v>PRODUCTIVITY 5</v>
      </c>
      <c r="V62" s="2" t="s">
        <v>66</v>
      </c>
      <c r="W62"/>
      <c r="X62">
        <v>44163</v>
      </c>
      <c r="Y62" t="str">
        <f t="shared" si="1"/>
        <v>28-Nov</v>
      </c>
    </row>
    <row r="63" spans="2:25" ht="15.75" x14ac:dyDescent="0.25">
      <c r="B63" s="2" t="s">
        <v>235</v>
      </c>
      <c r="C63" s="2" t="str">
        <f t="array" ref="C63">IF(B63=0,"",IF(B63="Target",B62&amp;" Target",IF(B63="Comments","Comment "&amp;B61,B63)))</f>
        <v>Actual Volume Processed 4</v>
      </c>
      <c r="D63" s="2" t="str">
        <f t="shared" si="6"/>
        <v>Actual Volume Processed 4</v>
      </c>
      <c r="E63" s="2" t="str">
        <f t="array" ref="E63">IF(B63="Comments", "Comment "&amp;B61,B63)</f>
        <v>Actual Volume Processed 4</v>
      </c>
      <c r="F63" s="2" t="s">
        <v>30</v>
      </c>
      <c r="G63" s="2" t="s">
        <v>235</v>
      </c>
      <c r="H63" s="2" t="s">
        <v>237</v>
      </c>
      <c r="J63" s="2" t="s">
        <v>72</v>
      </c>
      <c r="K63" s="2" t="s">
        <v>201</v>
      </c>
      <c r="L63" s="2" t="s">
        <v>202</v>
      </c>
      <c r="Q63" s="2" t="s">
        <v>67</v>
      </c>
      <c r="S63" s="2" t="s">
        <v>67</v>
      </c>
      <c r="T63" s="2" t="str">
        <f t="shared" si="12"/>
        <v>PRODUCTIVITY 5</v>
      </c>
      <c r="V63" s="2" t="s">
        <v>67</v>
      </c>
      <c r="W63"/>
      <c r="X63">
        <v>44164</v>
      </c>
      <c r="Y63" t="str">
        <f t="shared" si="1"/>
        <v>29-Nov</v>
      </c>
    </row>
    <row r="64" spans="2:25" ht="15.75" x14ac:dyDescent="0.25">
      <c r="B64" s="2" t="s">
        <v>251</v>
      </c>
      <c r="C64" s="2" t="str">
        <f t="array" ref="C64">IF(B64=0,"",IF(B64="Target",B63&amp;" Target",IF(B64="Comments","Comment "&amp;B62,B64)))</f>
        <v>Direct Labor Hours 4</v>
      </c>
      <c r="D64" s="2" t="str">
        <f t="shared" si="6"/>
        <v>Direct Labor Hours 4</v>
      </c>
      <c r="E64" s="2" t="str">
        <f t="array" ref="E64">IF(B64="Comments", "Comment "&amp;B62,B64)</f>
        <v>Direct Labor Hours 4</v>
      </c>
      <c r="F64" s="2" t="s">
        <v>31</v>
      </c>
      <c r="G64" s="2" t="s">
        <v>251</v>
      </c>
      <c r="H64" s="2" t="s">
        <v>238</v>
      </c>
      <c r="J64" s="2" t="s">
        <v>73</v>
      </c>
      <c r="K64" s="2" t="s">
        <v>203</v>
      </c>
      <c r="L64" s="2" t="s">
        <v>204</v>
      </c>
      <c r="Q64" s="2" t="s">
        <v>237</v>
      </c>
      <c r="S64" s="2" t="s">
        <v>237</v>
      </c>
      <c r="T64" s="2" t="str">
        <f t="shared" si="12"/>
        <v>PRODUCTIVITY 5</v>
      </c>
      <c r="V64" s="2" t="s">
        <v>237</v>
      </c>
      <c r="W64"/>
      <c r="X64">
        <v>44165</v>
      </c>
      <c r="Y64" t="str">
        <f t="shared" si="1"/>
        <v>30-Nov</v>
      </c>
    </row>
    <row r="65" spans="2:25" ht="15.75" x14ac:dyDescent="0.25">
      <c r="B65" s="2" t="s">
        <v>35</v>
      </c>
      <c r="C65" s="2" t="str">
        <f t="array" ref="C65">IF(B65=0,"",IF(B65="Target",B64&amp;" Target",IF(B65="Comments","Comment "&amp;B63,B65)))</f>
        <v>PRODUCTIVITY 4</v>
      </c>
      <c r="D65" s="2" t="str">
        <f t="shared" si="6"/>
        <v>PRODUCTIVITY 4</v>
      </c>
      <c r="E65" s="2" t="str">
        <f t="array" ref="E65">IF(B65="Comments", "Comment "&amp;B63,B65)</f>
        <v>PRODUCTIVITY 4</v>
      </c>
      <c r="F65" s="2" t="s">
        <v>35</v>
      </c>
      <c r="G65" s="2" t="s">
        <v>35</v>
      </c>
      <c r="H65" s="2" t="s">
        <v>37</v>
      </c>
      <c r="J65" s="2" t="s">
        <v>41</v>
      </c>
      <c r="K65" s="2" t="s">
        <v>205</v>
      </c>
      <c r="L65" s="2" t="s">
        <v>206</v>
      </c>
      <c r="Q65" s="2" t="s">
        <v>238</v>
      </c>
      <c r="S65" s="2" t="s">
        <v>238</v>
      </c>
      <c r="T65" s="2" t="str">
        <f t="shared" si="12"/>
        <v>PRODUCTIVITY 5</v>
      </c>
      <c r="V65" s="2" t="s">
        <v>238</v>
      </c>
      <c r="W65"/>
      <c r="X65">
        <v>44166</v>
      </c>
      <c r="Y65" t="str">
        <f t="shared" si="1"/>
        <v>01-Dec</v>
      </c>
    </row>
    <row r="66" spans="2:25" ht="15.75" x14ac:dyDescent="0.25">
      <c r="B66" s="2" t="s">
        <v>3</v>
      </c>
      <c r="C66" s="2" t="str">
        <f t="array" ref="C66">IF(B66=0,"",IF(B66="Target",B65&amp;" Target",IF(B66="Comments","Comment "&amp;B64,B66)))</f>
        <v>PRODUCTIVITY 4 Target</v>
      </c>
      <c r="D66" s="2" t="str">
        <f t="shared" si="6"/>
        <v>PRODUCTIVITY 4 Target</v>
      </c>
      <c r="E66" s="2" t="str">
        <f t="array" ref="E66">IF(B66="Comments", "Comment "&amp;B64,B66)</f>
        <v>Target</v>
      </c>
      <c r="F66" s="2" t="s">
        <v>64</v>
      </c>
      <c r="G66" s="2" t="s">
        <v>64</v>
      </c>
      <c r="H66" s="2" t="s">
        <v>68</v>
      </c>
      <c r="J66" s="2" t="s">
        <v>74</v>
      </c>
      <c r="K66" s="2" t="s">
        <v>207</v>
      </c>
      <c r="L66" s="2" t="s">
        <v>208</v>
      </c>
      <c r="Q66" s="2" t="s">
        <v>37</v>
      </c>
      <c r="S66" s="2" t="s">
        <v>37</v>
      </c>
      <c r="T66" s="2" t="s">
        <v>37</v>
      </c>
      <c r="V66" s="2" t="s">
        <v>37</v>
      </c>
      <c r="W66"/>
      <c r="X66">
        <v>44167</v>
      </c>
      <c r="Y66" t="str">
        <f t="shared" si="1"/>
        <v>02-Dec</v>
      </c>
    </row>
    <row r="67" spans="2:25" ht="15.75" x14ac:dyDescent="0.25">
      <c r="B67" s="2" t="s">
        <v>4</v>
      </c>
      <c r="C67" s="2" t="str">
        <f t="array" ref="C67">IF(B67=0,"",IF(B67="Target",B66&amp;" Target",IF(B67="Comments","Comment "&amp;B65,B67)))</f>
        <v>Comment PRODUCTIVITY 4</v>
      </c>
      <c r="D67" s="2" t="str">
        <f t="shared" ref="D67:D98" si="13">IF(B67="Target",B66&amp;" Target",B67)</f>
        <v>Comments</v>
      </c>
      <c r="E67" s="2" t="str">
        <f t="array" ref="E67">IF(B67="Comments", "Comment "&amp;B65,B67)</f>
        <v>Comment PRODUCTIVITY 4</v>
      </c>
      <c r="F67" s="2" t="s">
        <v>65</v>
      </c>
      <c r="G67" s="2" t="s">
        <v>65</v>
      </c>
      <c r="H67" s="2" t="s">
        <v>69</v>
      </c>
      <c r="J67" s="2" t="s">
        <v>75</v>
      </c>
      <c r="K67" s="2" t="s">
        <v>209</v>
      </c>
      <c r="L67" s="2" t="s">
        <v>210</v>
      </c>
      <c r="Q67" s="2" t="s">
        <v>68</v>
      </c>
      <c r="S67" s="2" t="s">
        <v>68</v>
      </c>
      <c r="T67" s="2" t="str">
        <f t="shared" ref="T67:T70" si="14">T66</f>
        <v>PRODUCTIVITY 6</v>
      </c>
      <c r="V67" s="2" t="s">
        <v>68</v>
      </c>
      <c r="W67"/>
      <c r="X67">
        <v>44168</v>
      </c>
      <c r="Y67" t="str">
        <f t="shared" si="1"/>
        <v>03-Dec</v>
      </c>
    </row>
    <row r="68" spans="2:25" ht="15.75" x14ac:dyDescent="0.25">
      <c r="C68" s="2" t="str">
        <f t="array" ref="C68">IF(B68=0,"",IF(B68="Target",B67&amp;" Target",IF(B68="Comments","Comment "&amp;B66,B68)))</f>
        <v/>
      </c>
      <c r="D68" s="2">
        <f t="shared" si="13"/>
        <v>0</v>
      </c>
      <c r="E68" s="2">
        <f t="array" ref="E68">IF(B68="Comments", "Comment "&amp;B66,B68)</f>
        <v>0</v>
      </c>
      <c r="H68" s="2" t="s">
        <v>239</v>
      </c>
      <c r="J68" s="2" t="s">
        <v>42</v>
      </c>
      <c r="K68" s="2" t="s">
        <v>211</v>
      </c>
      <c r="L68" s="2" t="s">
        <v>212</v>
      </c>
      <c r="Q68" s="2" t="s">
        <v>69</v>
      </c>
      <c r="S68" s="2" t="s">
        <v>69</v>
      </c>
      <c r="T68" s="2" t="str">
        <f t="shared" si="14"/>
        <v>PRODUCTIVITY 6</v>
      </c>
      <c r="V68" s="2" t="s">
        <v>69</v>
      </c>
      <c r="W68"/>
      <c r="X68">
        <v>44169</v>
      </c>
      <c r="Y68" t="str">
        <f t="shared" si="1"/>
        <v>04-Dec</v>
      </c>
    </row>
    <row r="69" spans="2:25" ht="15.75" x14ac:dyDescent="0.25">
      <c r="B69" s="2" t="s">
        <v>252</v>
      </c>
      <c r="C69" s="2" t="str">
        <f t="array" ref="C69">IF(B69=0,"",IF(B69="Target",B68&amp;" Target",IF(B69="Comments","Comment "&amp;B67,B69)))</f>
        <v>Actual Volume Processed 5</v>
      </c>
      <c r="D69" s="2" t="str">
        <f t="shared" si="13"/>
        <v>Actual Volume Processed 5</v>
      </c>
      <c r="E69" s="2" t="str">
        <f t="array" ref="E69">IF(B69="Comments", "Comment "&amp;B67,B69)</f>
        <v>Actual Volume Processed 5</v>
      </c>
      <c r="F69" s="2" t="s">
        <v>30</v>
      </c>
      <c r="G69" s="2" t="s">
        <v>252</v>
      </c>
      <c r="H69" s="2" t="s">
        <v>240</v>
      </c>
      <c r="J69" s="2" t="s">
        <v>76</v>
      </c>
      <c r="K69" s="2" t="s">
        <v>213</v>
      </c>
      <c r="L69" s="2" t="s">
        <v>214</v>
      </c>
      <c r="Q69" s="2" t="s">
        <v>239</v>
      </c>
      <c r="S69" s="2" t="s">
        <v>239</v>
      </c>
      <c r="T69" s="2" t="str">
        <f t="shared" si="14"/>
        <v>PRODUCTIVITY 6</v>
      </c>
      <c r="V69" s="2" t="s">
        <v>239</v>
      </c>
      <c r="W69"/>
      <c r="X69">
        <v>44170</v>
      </c>
      <c r="Y69" t="str">
        <f t="shared" ref="Y69:Y95" si="15">TEXT(X69,"dd-mmm")</f>
        <v>05-Dec</v>
      </c>
    </row>
    <row r="70" spans="2:25" ht="15.75" x14ac:dyDescent="0.25">
      <c r="B70" s="2" t="s">
        <v>236</v>
      </c>
      <c r="C70" s="2" t="str">
        <f t="array" ref="C70">IF(B70=0,"",IF(B70="Target",B69&amp;" Target",IF(B70="Comments","Comment "&amp;B68,B70)))</f>
        <v>Direct Labor Hours 5</v>
      </c>
      <c r="D70" s="2" t="str">
        <f t="shared" si="13"/>
        <v>Direct Labor Hours 5</v>
      </c>
      <c r="E70" s="2" t="str">
        <f t="array" ref="E70">IF(B70="Comments", "Comment "&amp;B68,B70)</f>
        <v>Direct Labor Hours 5</v>
      </c>
      <c r="F70" s="2" t="s">
        <v>31</v>
      </c>
      <c r="G70" s="2" t="s">
        <v>236</v>
      </c>
      <c r="H70" s="2" t="s">
        <v>38</v>
      </c>
      <c r="J70" s="2" t="s">
        <v>77</v>
      </c>
      <c r="K70" s="2" t="s">
        <v>215</v>
      </c>
      <c r="L70" s="2" t="s">
        <v>216</v>
      </c>
      <c r="Q70" s="2" t="s">
        <v>240</v>
      </c>
      <c r="S70" s="2" t="s">
        <v>240</v>
      </c>
      <c r="T70" s="2" t="str">
        <f t="shared" si="14"/>
        <v>PRODUCTIVITY 6</v>
      </c>
      <c r="V70" s="2" t="s">
        <v>240</v>
      </c>
      <c r="W70"/>
      <c r="X70">
        <v>44171</v>
      </c>
      <c r="Y70" t="str">
        <f t="shared" si="15"/>
        <v>06-Dec</v>
      </c>
    </row>
    <row r="71" spans="2:25" ht="15.75" x14ac:dyDescent="0.25">
      <c r="B71" s="2" t="s">
        <v>36</v>
      </c>
      <c r="C71" s="2" t="str">
        <f t="array" ref="C71">IF(B71=0,"",IF(B71="Target",B70&amp;" Target",IF(B71="Comments","Comment "&amp;B69,B71)))</f>
        <v>PRODUCTIVITY 5</v>
      </c>
      <c r="D71" s="2" t="str">
        <f t="shared" si="13"/>
        <v>PRODUCTIVITY 5</v>
      </c>
      <c r="E71" s="2" t="str">
        <f t="array" ref="E71">IF(B71="Comments", "Comment "&amp;B69,B71)</f>
        <v>PRODUCTIVITY 5</v>
      </c>
      <c r="F71" s="2" t="s">
        <v>36</v>
      </c>
      <c r="G71" s="2" t="s">
        <v>36</v>
      </c>
      <c r="H71" s="2" t="s">
        <v>70</v>
      </c>
      <c r="J71" s="2" t="s">
        <v>43</v>
      </c>
      <c r="K71" s="2" t="s">
        <v>217</v>
      </c>
      <c r="L71" s="2" t="s">
        <v>218</v>
      </c>
      <c r="Q71" s="2" t="s">
        <v>38</v>
      </c>
      <c r="S71" s="2" t="s">
        <v>38</v>
      </c>
      <c r="T71" s="2" t="s">
        <v>38</v>
      </c>
      <c r="V71" s="2" t="s">
        <v>38</v>
      </c>
      <c r="W71"/>
      <c r="X71">
        <v>44172</v>
      </c>
      <c r="Y71" t="str">
        <f t="shared" si="15"/>
        <v>07-Dec</v>
      </c>
    </row>
    <row r="72" spans="2:25" ht="15.75" x14ac:dyDescent="0.25">
      <c r="B72" s="2" t="s">
        <v>3</v>
      </c>
      <c r="C72" s="2" t="str">
        <f t="array" ref="C72">IF(B72=0,"",IF(B72="Target",B71&amp;" Target",IF(B72="Comments","Comment "&amp;B70,B72)))</f>
        <v>PRODUCTIVITY 5 Target</v>
      </c>
      <c r="D72" s="2" t="str">
        <f t="shared" si="13"/>
        <v>PRODUCTIVITY 5 Target</v>
      </c>
      <c r="E72" s="2" t="str">
        <f t="array" ref="E72">IF(B72="Comments", "Comment "&amp;B70,B72)</f>
        <v>Target</v>
      </c>
      <c r="F72" s="2" t="s">
        <v>66</v>
      </c>
      <c r="G72" s="2" t="s">
        <v>66</v>
      </c>
      <c r="H72" s="2" t="s">
        <v>71</v>
      </c>
      <c r="J72" s="2" t="s">
        <v>78</v>
      </c>
      <c r="K72" s="2" t="s">
        <v>219</v>
      </c>
      <c r="L72" s="2" t="s">
        <v>220</v>
      </c>
      <c r="Q72" s="2" t="s">
        <v>70</v>
      </c>
      <c r="S72" s="2" t="s">
        <v>70</v>
      </c>
      <c r="T72" s="2" t="str">
        <f t="shared" ref="T72:T75" si="16">T71</f>
        <v>PRODUCTIVITY 7</v>
      </c>
      <c r="V72" s="2" t="s">
        <v>70</v>
      </c>
      <c r="W72"/>
      <c r="X72">
        <v>44173</v>
      </c>
      <c r="Y72" t="str">
        <f t="shared" si="15"/>
        <v>08-Dec</v>
      </c>
    </row>
    <row r="73" spans="2:25" ht="15.75" x14ac:dyDescent="0.25">
      <c r="B73" s="2" t="s">
        <v>4</v>
      </c>
      <c r="C73" s="2" t="str">
        <f t="array" ref="C73">IF(B73=0,"",IF(B73="Target",B72&amp;" Target",IF(B73="Comments","Comment "&amp;B71,B73)))</f>
        <v>Comment PRODUCTIVITY 5</v>
      </c>
      <c r="D73" s="2" t="str">
        <f t="shared" si="13"/>
        <v>Comments</v>
      </c>
      <c r="E73" s="2" t="str">
        <f t="array" ref="E73">IF(B73="Comments", "Comment "&amp;B71,B73)</f>
        <v>Comment PRODUCTIVITY 5</v>
      </c>
      <c r="F73" s="2" t="s">
        <v>67</v>
      </c>
      <c r="G73" s="2" t="s">
        <v>67</v>
      </c>
      <c r="H73" s="2" t="s">
        <v>241</v>
      </c>
      <c r="J73" s="2" t="s">
        <v>79</v>
      </c>
      <c r="K73" s="2" t="s">
        <v>221</v>
      </c>
      <c r="L73" s="2" t="s">
        <v>222</v>
      </c>
      <c r="Q73" s="2" t="s">
        <v>71</v>
      </c>
      <c r="S73" s="2" t="s">
        <v>71</v>
      </c>
      <c r="T73" s="2" t="str">
        <f t="shared" si="16"/>
        <v>PRODUCTIVITY 7</v>
      </c>
      <c r="V73" s="2" t="s">
        <v>71</v>
      </c>
      <c r="W73"/>
      <c r="X73">
        <v>44174</v>
      </c>
      <c r="Y73" t="str">
        <f t="shared" si="15"/>
        <v>09-Dec</v>
      </c>
    </row>
    <row r="74" spans="2:25" ht="15.75" x14ac:dyDescent="0.25">
      <c r="C74" s="2" t="str">
        <f t="array" ref="C74">IF(B74=0,"",IF(B74="Target",B73&amp;" Target",IF(B74="Comments","Comment "&amp;B72,B74)))</f>
        <v/>
      </c>
      <c r="D74" s="2">
        <f t="shared" si="13"/>
        <v>0</v>
      </c>
      <c r="E74" s="2">
        <f t="array" ref="E74">IF(B74="Comments", "Comment "&amp;B72,B74)</f>
        <v>0</v>
      </c>
      <c r="H74" s="2" t="s">
        <v>242</v>
      </c>
      <c r="J74" s="2" t="s">
        <v>44</v>
      </c>
      <c r="K74" s="2" t="s">
        <v>223</v>
      </c>
      <c r="L74" s="2" t="s">
        <v>224</v>
      </c>
      <c r="Q74" s="2" t="s">
        <v>241</v>
      </c>
      <c r="S74" s="2" t="s">
        <v>241</v>
      </c>
      <c r="T74" s="2" t="str">
        <f t="shared" si="16"/>
        <v>PRODUCTIVITY 7</v>
      </c>
      <c r="V74" s="2" t="s">
        <v>241</v>
      </c>
      <c r="W74"/>
      <c r="X74">
        <v>44175</v>
      </c>
      <c r="Y74" t="str">
        <f t="shared" si="15"/>
        <v>10-Dec</v>
      </c>
    </row>
    <row r="75" spans="2:25" ht="15.75" x14ac:dyDescent="0.25">
      <c r="B75" s="2" t="s">
        <v>237</v>
      </c>
      <c r="C75" s="2" t="str">
        <f t="array" ref="C75">IF(B75=0,"",IF(B75="Target",B74&amp;" Target",IF(B75="Comments","Comment "&amp;B73,B75)))</f>
        <v>Actual Volume Processed 6</v>
      </c>
      <c r="D75" s="2" t="str">
        <f t="shared" si="13"/>
        <v>Actual Volume Processed 6</v>
      </c>
      <c r="E75" s="2" t="str">
        <f t="array" ref="E75">IF(B75="Comments", "Comment "&amp;B73,B75)</f>
        <v>Actual Volume Processed 6</v>
      </c>
      <c r="F75" s="2" t="s">
        <v>30</v>
      </c>
      <c r="G75" s="2" t="s">
        <v>237</v>
      </c>
      <c r="H75" s="2" t="s">
        <v>39</v>
      </c>
      <c r="J75" s="2" t="s">
        <v>80</v>
      </c>
      <c r="K75" s="2" t="s">
        <v>225</v>
      </c>
      <c r="L75" s="2" t="s">
        <v>226</v>
      </c>
      <c r="Q75" s="2" t="s">
        <v>242</v>
      </c>
      <c r="S75" s="2" t="s">
        <v>242</v>
      </c>
      <c r="T75" s="2" t="str">
        <f t="shared" si="16"/>
        <v>PRODUCTIVITY 7</v>
      </c>
      <c r="V75" s="2" t="s">
        <v>242</v>
      </c>
      <c r="W75"/>
      <c r="X75">
        <v>44176</v>
      </c>
      <c r="Y75" t="str">
        <f t="shared" si="15"/>
        <v>11-Dec</v>
      </c>
    </row>
    <row r="76" spans="2:25" ht="15.75" x14ac:dyDescent="0.25">
      <c r="B76" s="2" t="s">
        <v>238</v>
      </c>
      <c r="C76" s="2" t="str">
        <f t="array" ref="C76">IF(B76=0,"",IF(B76="Target",B75&amp;" Target",IF(B76="Comments","Comment "&amp;B74,B76)))</f>
        <v>Direct Labor Hours 6</v>
      </c>
      <c r="D76" s="2" t="str">
        <f t="shared" si="13"/>
        <v>Direct Labor Hours 6</v>
      </c>
      <c r="E76" s="2" t="str">
        <f t="array" ref="E76">IF(B76="Comments", "Comment "&amp;B74,B76)</f>
        <v>Direct Labor Hours 6</v>
      </c>
      <c r="F76" s="2" t="s">
        <v>31</v>
      </c>
      <c r="G76" s="2" t="s">
        <v>238</v>
      </c>
      <c r="H76" s="2" t="s">
        <v>72</v>
      </c>
      <c r="J76" s="2" t="s">
        <v>81</v>
      </c>
      <c r="K76" s="2" t="s">
        <v>227</v>
      </c>
      <c r="L76" s="2" t="s">
        <v>228</v>
      </c>
      <c r="Q76" s="2" t="s">
        <v>39</v>
      </c>
      <c r="S76" s="2" t="s">
        <v>39</v>
      </c>
      <c r="T76" s="2" t="s">
        <v>39</v>
      </c>
      <c r="V76" s="2" t="s">
        <v>39</v>
      </c>
      <c r="W76"/>
      <c r="X76">
        <v>44177</v>
      </c>
      <c r="Y76" t="str">
        <f t="shared" si="15"/>
        <v>12-Dec</v>
      </c>
    </row>
    <row r="77" spans="2:25" ht="15.75" x14ac:dyDescent="0.25">
      <c r="B77" s="2" t="s">
        <v>37</v>
      </c>
      <c r="C77" s="2" t="str">
        <f t="array" ref="C77">IF(B77=0,"",IF(B77="Target",B76&amp;" Target",IF(B77="Comments","Comment "&amp;B75,B77)))</f>
        <v>PRODUCTIVITY 6</v>
      </c>
      <c r="D77" s="2" t="str">
        <f t="shared" si="13"/>
        <v>PRODUCTIVITY 6</v>
      </c>
      <c r="E77" s="2" t="str">
        <f t="array" ref="E77">IF(B77="Comments", "Comment "&amp;B75,B77)</f>
        <v>PRODUCTIVITY 6</v>
      </c>
      <c r="F77" s="2" t="s">
        <v>37</v>
      </c>
      <c r="G77" s="2" t="s">
        <v>37</v>
      </c>
      <c r="H77" s="2" t="s">
        <v>73</v>
      </c>
      <c r="J77"/>
      <c r="Q77" s="2" t="s">
        <v>72</v>
      </c>
      <c r="S77" s="2" t="s">
        <v>72</v>
      </c>
      <c r="T77" s="2" t="str">
        <f t="shared" ref="T77:T79" si="17">T76</f>
        <v>PRODUCTIVITY 8</v>
      </c>
      <c r="V77" s="2" t="s">
        <v>72</v>
      </c>
      <c r="W77"/>
      <c r="X77">
        <v>44178</v>
      </c>
      <c r="Y77" t="str">
        <f t="shared" si="15"/>
        <v>13-Dec</v>
      </c>
    </row>
    <row r="78" spans="2:25" ht="15.75" x14ac:dyDescent="0.25">
      <c r="B78" s="2" t="s">
        <v>3</v>
      </c>
      <c r="C78" s="2" t="str">
        <f t="array" ref="C78">IF(B78=0,"",IF(B78="Target",B77&amp;" Target",IF(B78="Comments","Comment "&amp;B76,B78)))</f>
        <v>PRODUCTIVITY 6 Target</v>
      </c>
      <c r="D78" s="2" t="str">
        <f t="shared" si="13"/>
        <v>PRODUCTIVITY 6 Target</v>
      </c>
      <c r="E78" s="2" t="str">
        <f t="array" ref="E78">IF(B78="Comments", "Comment "&amp;B76,B78)</f>
        <v>Target</v>
      </c>
      <c r="F78" s="2" t="s">
        <v>68</v>
      </c>
      <c r="G78" s="2" t="s">
        <v>68</v>
      </c>
      <c r="H78" s="2" t="s">
        <v>243</v>
      </c>
      <c r="J78"/>
      <c r="Q78" s="2" t="s">
        <v>73</v>
      </c>
      <c r="S78" s="2" t="s">
        <v>73</v>
      </c>
      <c r="T78" s="2" t="str">
        <f t="shared" si="17"/>
        <v>PRODUCTIVITY 8</v>
      </c>
      <c r="V78" s="2" t="s">
        <v>73</v>
      </c>
      <c r="W78"/>
      <c r="X78">
        <v>44179</v>
      </c>
      <c r="Y78" t="str">
        <f t="shared" si="15"/>
        <v>14-Dec</v>
      </c>
    </row>
    <row r="79" spans="2:25" ht="15.75" x14ac:dyDescent="0.25">
      <c r="B79" s="2" t="s">
        <v>4</v>
      </c>
      <c r="C79" s="2" t="str">
        <f t="array" ref="C79">IF(B79=0,"",IF(B79="Target",B78&amp;" Target",IF(B79="Comments","Comment "&amp;B77,B79)))</f>
        <v>Comment PRODUCTIVITY 6</v>
      </c>
      <c r="D79" s="2" t="str">
        <f t="shared" si="13"/>
        <v>Comments</v>
      </c>
      <c r="E79" s="2" t="str">
        <f t="array" ref="E79">IF(B79="Comments", "Comment "&amp;B77,B79)</f>
        <v>Comment PRODUCTIVITY 6</v>
      </c>
      <c r="F79" s="2" t="s">
        <v>69</v>
      </c>
      <c r="G79" s="2" t="s">
        <v>69</v>
      </c>
      <c r="H79" s="2" t="s">
        <v>244</v>
      </c>
      <c r="J79"/>
      <c r="Q79" s="2" t="s">
        <v>243</v>
      </c>
      <c r="S79" s="2" t="s">
        <v>243</v>
      </c>
      <c r="T79" s="2" t="str">
        <f t="shared" si="17"/>
        <v>PRODUCTIVITY 8</v>
      </c>
      <c r="V79" s="2" t="s">
        <v>243</v>
      </c>
      <c r="W79"/>
      <c r="X79">
        <v>44180</v>
      </c>
      <c r="Y79" t="str">
        <f t="shared" si="15"/>
        <v>15-Dec</v>
      </c>
    </row>
    <row r="80" spans="2:25" ht="15.75" x14ac:dyDescent="0.25">
      <c r="C80" s="2" t="str">
        <f t="array" ref="C80">IF(B80=0,"",IF(B80="Target",B79&amp;" Target",IF(B80="Comments","Comment "&amp;B78,B80)))</f>
        <v/>
      </c>
      <c r="D80" s="2">
        <f t="shared" si="13"/>
        <v>0</v>
      </c>
      <c r="E80" s="2">
        <f t="array" ref="E80">IF(B80="Comments", "Comment "&amp;B78,B80)</f>
        <v>0</v>
      </c>
      <c r="H80" s="2" t="s">
        <v>41</v>
      </c>
      <c r="J80"/>
      <c r="Q80" s="2" t="s">
        <v>244</v>
      </c>
      <c r="S80" s="2" t="s">
        <v>244</v>
      </c>
      <c r="T80" s="2" t="str">
        <f>T79</f>
        <v>PRODUCTIVITY 8</v>
      </c>
      <c r="V80" s="2" t="s">
        <v>244</v>
      </c>
      <c r="W80"/>
      <c r="X80">
        <v>44181</v>
      </c>
      <c r="Y80" t="str">
        <f t="shared" si="15"/>
        <v>16-Dec</v>
      </c>
    </row>
    <row r="81" spans="2:25" ht="15.75" x14ac:dyDescent="0.25">
      <c r="B81" s="2" t="s">
        <v>239</v>
      </c>
      <c r="C81" s="2" t="str">
        <f t="array" ref="C81">IF(B81=0,"",IF(B81="Target",B80&amp;" Target",IF(B81="Comments","Comment "&amp;B79,B81)))</f>
        <v>Actual Volume Processed 7</v>
      </c>
      <c r="D81" s="2" t="str">
        <f t="shared" si="13"/>
        <v>Actual Volume Processed 7</v>
      </c>
      <c r="E81" s="2" t="str">
        <f t="array" ref="E81">IF(B81="Comments", "Comment "&amp;B79,B81)</f>
        <v>Actual Volume Processed 7</v>
      </c>
      <c r="F81" s="2" t="s">
        <v>30</v>
      </c>
      <c r="G81" s="2" t="s">
        <v>239</v>
      </c>
      <c r="H81" s="2" t="s">
        <v>74</v>
      </c>
      <c r="J81"/>
      <c r="Q81" s="2" t="s">
        <v>41</v>
      </c>
      <c r="S81" s="2" t="s">
        <v>41</v>
      </c>
      <c r="T81" s="2" t="s">
        <v>41</v>
      </c>
      <c r="V81" s="2" t="s">
        <v>41</v>
      </c>
      <c r="W81"/>
      <c r="X81">
        <v>44182</v>
      </c>
      <c r="Y81" t="str">
        <f t="shared" si="15"/>
        <v>17-Dec</v>
      </c>
    </row>
    <row r="82" spans="2:25" ht="15.75" x14ac:dyDescent="0.25">
      <c r="B82" s="2" t="s">
        <v>240</v>
      </c>
      <c r="C82" s="2" t="str">
        <f t="array" ref="C82">IF(B82=0,"",IF(B82="Target",B81&amp;" Target",IF(B82="Comments","Comment "&amp;B80,B82)))</f>
        <v>Direct Labor Hours 7</v>
      </c>
      <c r="D82" s="2" t="str">
        <f t="shared" si="13"/>
        <v>Direct Labor Hours 7</v>
      </c>
      <c r="E82" s="2" t="str">
        <f t="array" ref="E82">IF(B82="Comments", "Comment "&amp;B80,B82)</f>
        <v>Direct Labor Hours 7</v>
      </c>
      <c r="F82" s="2" t="s">
        <v>31</v>
      </c>
      <c r="G82" s="2" t="s">
        <v>240</v>
      </c>
      <c r="H82" t="s">
        <v>75</v>
      </c>
      <c r="J82"/>
      <c r="Q82" s="2" t="s">
        <v>74</v>
      </c>
      <c r="S82" s="2" t="s">
        <v>74</v>
      </c>
      <c r="T82" s="2" t="str">
        <f t="shared" ref="T82:T85" si="18">T81</f>
        <v>PRODUCTIVITY 9</v>
      </c>
      <c r="V82" s="2" t="s">
        <v>74</v>
      </c>
      <c r="W82"/>
      <c r="X82">
        <v>44183</v>
      </c>
      <c r="Y82" t="str">
        <f t="shared" si="15"/>
        <v>18-Dec</v>
      </c>
    </row>
    <row r="83" spans="2:25" ht="15.75" x14ac:dyDescent="0.25">
      <c r="B83" s="2" t="s">
        <v>38</v>
      </c>
      <c r="C83" s="2" t="str">
        <f t="array" ref="C83">IF(B83=0,"",IF(B83="Target",B82&amp;" Target",IF(B83="Comments","Comment "&amp;B81,B83)))</f>
        <v>PRODUCTIVITY 7</v>
      </c>
      <c r="D83" s="2" t="str">
        <f t="shared" si="13"/>
        <v>PRODUCTIVITY 7</v>
      </c>
      <c r="E83" s="2" t="str">
        <f t="array" ref="E83">IF(B83="Comments", "Comment "&amp;B81,B83)</f>
        <v>PRODUCTIVITY 7</v>
      </c>
      <c r="F83" s="2" t="s">
        <v>38</v>
      </c>
      <c r="G83" s="2" t="s">
        <v>38</v>
      </c>
      <c r="H83" t="s">
        <v>245</v>
      </c>
      <c r="J83"/>
      <c r="Q83" t="s">
        <v>75</v>
      </c>
      <c r="R83"/>
      <c r="S83" t="s">
        <v>75</v>
      </c>
      <c r="T83" t="str">
        <f t="shared" si="18"/>
        <v>PRODUCTIVITY 9</v>
      </c>
      <c r="U83"/>
      <c r="V83" t="s">
        <v>75</v>
      </c>
      <c r="W83"/>
      <c r="X83">
        <v>44184</v>
      </c>
      <c r="Y83" t="str">
        <f t="shared" si="15"/>
        <v>19-Dec</v>
      </c>
    </row>
    <row r="84" spans="2:25" ht="15.75" x14ac:dyDescent="0.25">
      <c r="B84" s="2" t="s">
        <v>3</v>
      </c>
      <c r="C84" s="2" t="str">
        <f t="array" ref="C84">IF(B84=0,"",IF(B84="Target",B83&amp;" Target",IF(B84="Comments","Comment "&amp;B82,B84)))</f>
        <v>PRODUCTIVITY 7 Target</v>
      </c>
      <c r="D84" s="2" t="str">
        <f t="shared" si="13"/>
        <v>PRODUCTIVITY 7 Target</v>
      </c>
      <c r="E84" s="2" t="str">
        <f t="array" ref="E84">IF(B84="Comments", "Comment "&amp;B82,B84)</f>
        <v>Target</v>
      </c>
      <c r="F84" s="2" t="s">
        <v>70</v>
      </c>
      <c r="G84" s="2" t="s">
        <v>70</v>
      </c>
      <c r="H84" t="s">
        <v>246</v>
      </c>
      <c r="J84"/>
      <c r="Q84" t="s">
        <v>245</v>
      </c>
      <c r="R84"/>
      <c r="S84" t="s">
        <v>245</v>
      </c>
      <c r="T84" t="str">
        <f t="shared" si="18"/>
        <v>PRODUCTIVITY 9</v>
      </c>
      <c r="U84"/>
      <c r="V84" t="s">
        <v>245</v>
      </c>
      <c r="W84"/>
      <c r="X84">
        <v>44185</v>
      </c>
      <c r="Y84" t="str">
        <f t="shared" si="15"/>
        <v>20-Dec</v>
      </c>
    </row>
    <row r="85" spans="2:25" ht="15.75" x14ac:dyDescent="0.25">
      <c r="B85" s="2" t="s">
        <v>4</v>
      </c>
      <c r="C85" s="2" t="str">
        <f t="array" ref="C85">IF(B85=0,"",IF(B85="Target",B84&amp;" Target",IF(B85="Comments","Comment "&amp;B83,B85)))</f>
        <v>Comment PRODUCTIVITY 7</v>
      </c>
      <c r="D85" s="2" t="str">
        <f t="shared" si="13"/>
        <v>Comments</v>
      </c>
      <c r="E85" s="2" t="str">
        <f t="array" ref="E85">IF(B85="Comments", "Comment "&amp;B83,B85)</f>
        <v>Comment PRODUCTIVITY 7</v>
      </c>
      <c r="F85" s="2" t="s">
        <v>71</v>
      </c>
      <c r="G85" s="2" t="s">
        <v>71</v>
      </c>
      <c r="H85" t="s">
        <v>42</v>
      </c>
      <c r="J85"/>
      <c r="Q85" t="s">
        <v>246</v>
      </c>
      <c r="R85"/>
      <c r="S85" t="s">
        <v>246</v>
      </c>
      <c r="T85" t="str">
        <f t="shared" si="18"/>
        <v>PRODUCTIVITY 9</v>
      </c>
      <c r="U85"/>
      <c r="V85" t="s">
        <v>246</v>
      </c>
      <c r="W85"/>
      <c r="X85">
        <v>44186</v>
      </c>
      <c r="Y85" t="str">
        <f t="shared" si="15"/>
        <v>21-Dec</v>
      </c>
    </row>
    <row r="86" spans="2:25" ht="15.75" x14ac:dyDescent="0.25">
      <c r="C86" s="2" t="str">
        <f t="array" ref="C86">IF(B86=0,"",IF(B86="Target",B85&amp;" Target",IF(B86="Comments","Comment "&amp;B84,B86)))</f>
        <v/>
      </c>
      <c r="D86" s="2">
        <f t="shared" si="13"/>
        <v>0</v>
      </c>
      <c r="E86" s="2">
        <f t="array" ref="E86">IF(B86="Comments", "Comment "&amp;B84,B86)</f>
        <v>0</v>
      </c>
      <c r="H86" t="s">
        <v>76</v>
      </c>
      <c r="J86"/>
      <c r="Q86" t="s">
        <v>42</v>
      </c>
      <c r="R86"/>
      <c r="S86" t="s">
        <v>42</v>
      </c>
      <c r="T86" t="s">
        <v>42</v>
      </c>
      <c r="U86"/>
      <c r="V86" t="s">
        <v>42</v>
      </c>
      <c r="W86"/>
      <c r="X86">
        <v>44187</v>
      </c>
      <c r="Y86" t="str">
        <f t="shared" si="15"/>
        <v>22-Dec</v>
      </c>
    </row>
    <row r="87" spans="2:25" ht="15.75" x14ac:dyDescent="0.25">
      <c r="B87" s="2" t="s">
        <v>241</v>
      </c>
      <c r="C87" s="2" t="str">
        <f t="array" ref="C87">IF(B87=0,"",IF(B87="Target",B86&amp;" Target",IF(B87="Comments","Comment "&amp;B85,B87)))</f>
        <v>Actual Volume Processed 8</v>
      </c>
      <c r="D87" s="2" t="str">
        <f t="shared" si="13"/>
        <v>Actual Volume Processed 8</v>
      </c>
      <c r="E87" s="2" t="str">
        <f t="array" ref="E87">IF(B87="Comments", "Comment "&amp;B85,B87)</f>
        <v>Actual Volume Processed 8</v>
      </c>
      <c r="F87" s="2" t="s">
        <v>30</v>
      </c>
      <c r="G87" s="2" t="s">
        <v>241</v>
      </c>
      <c r="H87" t="s">
        <v>77</v>
      </c>
      <c r="J87"/>
      <c r="Q87" t="s">
        <v>76</v>
      </c>
      <c r="R87"/>
      <c r="S87" t="s">
        <v>76</v>
      </c>
      <c r="T87" t="str">
        <f t="shared" ref="T87:T90" si="19">T86</f>
        <v>PRODUCTIVITY 10</v>
      </c>
      <c r="U87"/>
      <c r="V87" t="s">
        <v>76</v>
      </c>
      <c r="W87"/>
      <c r="X87">
        <v>44188</v>
      </c>
      <c r="Y87" t="str">
        <f t="shared" si="15"/>
        <v>23-Dec</v>
      </c>
    </row>
    <row r="88" spans="2:25" ht="15.75" x14ac:dyDescent="0.25">
      <c r="B88" s="2" t="s">
        <v>242</v>
      </c>
      <c r="C88" s="2" t="str">
        <f t="array" ref="C88">IF(B88=0,"",IF(B88="Target",B87&amp;" Target",IF(B88="Comments","Comment "&amp;B86,B88)))</f>
        <v>Direct Labor Hours 8</v>
      </c>
      <c r="D88" s="2" t="str">
        <f t="shared" si="13"/>
        <v>Direct Labor Hours 8</v>
      </c>
      <c r="E88" s="2" t="str">
        <f t="array" ref="E88">IF(B88="Comments", "Comment "&amp;B86,B88)</f>
        <v>Direct Labor Hours 8</v>
      </c>
      <c r="F88" s="2" t="s">
        <v>31</v>
      </c>
      <c r="G88" s="2" t="s">
        <v>242</v>
      </c>
      <c r="H88" t="s">
        <v>247</v>
      </c>
      <c r="J88"/>
      <c r="Q88" t="s">
        <v>77</v>
      </c>
      <c r="R88"/>
      <c r="S88" t="s">
        <v>77</v>
      </c>
      <c r="T88" t="str">
        <f t="shared" si="19"/>
        <v>PRODUCTIVITY 10</v>
      </c>
      <c r="U88"/>
      <c r="V88" t="s">
        <v>77</v>
      </c>
      <c r="W88"/>
      <c r="X88">
        <v>44189</v>
      </c>
      <c r="Y88" t="str">
        <f t="shared" si="15"/>
        <v>24-Dec</v>
      </c>
    </row>
    <row r="89" spans="2:25" ht="15.75" x14ac:dyDescent="0.25">
      <c r="B89" s="2" t="s">
        <v>39</v>
      </c>
      <c r="C89" s="2" t="str">
        <f t="array" ref="C89">IF(B89=0,"",IF(B89="Target",B88&amp;" Target",IF(B89="Comments","Comment "&amp;B87,B89)))</f>
        <v>PRODUCTIVITY 8</v>
      </c>
      <c r="D89" s="2" t="str">
        <f t="shared" si="13"/>
        <v>PRODUCTIVITY 8</v>
      </c>
      <c r="E89" s="2" t="str">
        <f t="array" ref="E89">IF(B89="Comments", "Comment "&amp;B87,B89)</f>
        <v>PRODUCTIVITY 8</v>
      </c>
      <c r="F89" s="2" t="s">
        <v>39</v>
      </c>
      <c r="G89" s="2" t="s">
        <v>39</v>
      </c>
      <c r="H89" t="s">
        <v>248</v>
      </c>
      <c r="J89"/>
      <c r="Q89" t="s">
        <v>247</v>
      </c>
      <c r="R89"/>
      <c r="S89" t="s">
        <v>247</v>
      </c>
      <c r="T89" t="str">
        <f t="shared" si="19"/>
        <v>PRODUCTIVITY 10</v>
      </c>
      <c r="U89"/>
      <c r="V89" t="s">
        <v>247</v>
      </c>
      <c r="W89"/>
      <c r="X89">
        <v>44190</v>
      </c>
      <c r="Y89" t="str">
        <f t="shared" si="15"/>
        <v>25-Dec</v>
      </c>
    </row>
    <row r="90" spans="2:25" ht="15.75" x14ac:dyDescent="0.25">
      <c r="B90" s="2" t="s">
        <v>3</v>
      </c>
      <c r="C90" s="2" t="str">
        <f t="array" ref="C90">IF(B90=0,"",IF(B90="Target",B89&amp;" Target",IF(B90="Comments","Comment "&amp;B88,B90)))</f>
        <v>PRODUCTIVITY 8 Target</v>
      </c>
      <c r="D90" s="2" t="str">
        <f t="shared" si="13"/>
        <v>PRODUCTIVITY 8 Target</v>
      </c>
      <c r="E90" s="2" t="str">
        <f t="array" ref="E90">IF(B90="Comments", "Comment "&amp;B88,B90)</f>
        <v>Target</v>
      </c>
      <c r="F90" s="2" t="s">
        <v>72</v>
      </c>
      <c r="G90" s="2" t="s">
        <v>72</v>
      </c>
      <c r="H90" t="s">
        <v>43</v>
      </c>
      <c r="J90"/>
      <c r="Q90" t="s">
        <v>248</v>
      </c>
      <c r="R90"/>
      <c r="S90" t="s">
        <v>248</v>
      </c>
      <c r="T90" t="str">
        <f t="shared" si="19"/>
        <v>PRODUCTIVITY 10</v>
      </c>
      <c r="U90"/>
      <c r="V90" t="s">
        <v>248</v>
      </c>
      <c r="W90"/>
      <c r="X90">
        <v>44191</v>
      </c>
      <c r="Y90" t="str">
        <f t="shared" si="15"/>
        <v>26-Dec</v>
      </c>
    </row>
    <row r="91" spans="2:25" ht="15.75" x14ac:dyDescent="0.25">
      <c r="B91" s="2" t="s">
        <v>4</v>
      </c>
      <c r="C91" s="2" t="str">
        <f t="array" ref="C91">IF(B91=0,"",IF(B91="Target",B90&amp;" Target",IF(B91="Comments","Comment "&amp;B89,B91)))</f>
        <v>Comment PRODUCTIVITY 8</v>
      </c>
      <c r="D91" s="2" t="str">
        <f t="shared" si="13"/>
        <v>Comments</v>
      </c>
      <c r="E91" s="2" t="str">
        <f t="array" ref="E91">IF(B91="Comments", "Comment "&amp;B89,B91)</f>
        <v>Comment PRODUCTIVITY 8</v>
      </c>
      <c r="F91" s="2" t="s">
        <v>73</v>
      </c>
      <c r="G91" s="2" t="s">
        <v>73</v>
      </c>
      <c r="H91" t="s">
        <v>78</v>
      </c>
      <c r="J91"/>
      <c r="Q91" t="s">
        <v>43</v>
      </c>
      <c r="R91"/>
      <c r="S91" t="s">
        <v>43</v>
      </c>
      <c r="T91" t="s">
        <v>43</v>
      </c>
      <c r="U91"/>
      <c r="V91" t="s">
        <v>43</v>
      </c>
      <c r="W91"/>
      <c r="X91">
        <v>44192</v>
      </c>
      <c r="Y91" t="str">
        <f t="shared" si="15"/>
        <v>27-Dec</v>
      </c>
    </row>
    <row r="92" spans="2:25" ht="15.75" x14ac:dyDescent="0.25">
      <c r="C92" s="2" t="str">
        <f t="array" ref="C92">IF(B92=0,"",IF(B92="Target",B91&amp;" Target",IF(B92="Comments","Comment "&amp;B90,B92)))</f>
        <v/>
      </c>
      <c r="D92" s="2">
        <f t="shared" si="13"/>
        <v>0</v>
      </c>
      <c r="E92" s="2">
        <f t="array" ref="E92">IF(B92="Comments", "Comment "&amp;B90,B92)</f>
        <v>0</v>
      </c>
      <c r="H92" t="s">
        <v>79</v>
      </c>
      <c r="J92"/>
      <c r="Q92" t="s">
        <v>78</v>
      </c>
      <c r="R92"/>
      <c r="S92" t="s">
        <v>78</v>
      </c>
      <c r="T92" t="str">
        <f t="shared" ref="T92:T94" si="20">T91</f>
        <v>PRODUCTIVITY 11</v>
      </c>
      <c r="U92"/>
      <c r="V92" t="s">
        <v>78</v>
      </c>
      <c r="W92"/>
      <c r="X92">
        <v>44193</v>
      </c>
      <c r="Y92" t="str">
        <f t="shared" si="15"/>
        <v>28-Dec</v>
      </c>
    </row>
    <row r="93" spans="2:25" ht="15.75" x14ac:dyDescent="0.25">
      <c r="B93" s="2" t="s">
        <v>243</v>
      </c>
      <c r="C93" s="2" t="str">
        <f t="array" ref="C93">IF(B93=0,"",IF(B93="Target",B92&amp;" Target",IF(B93="Comments","Comment "&amp;B91,B93)))</f>
        <v>Actual Volume Processed 9</v>
      </c>
      <c r="D93" s="2" t="str">
        <f t="shared" si="13"/>
        <v>Actual Volume Processed 9</v>
      </c>
      <c r="E93" s="2" t="str">
        <f t="array" ref="E93">IF(B93="Comments", "Comment "&amp;B91,B93)</f>
        <v>Actual Volume Processed 9</v>
      </c>
      <c r="F93" s="2" t="s">
        <v>30</v>
      </c>
      <c r="G93" s="2" t="s">
        <v>243</v>
      </c>
      <c r="H93" t="s">
        <v>249</v>
      </c>
      <c r="J93"/>
      <c r="Q93" t="s">
        <v>79</v>
      </c>
      <c r="R93"/>
      <c r="S93" t="s">
        <v>79</v>
      </c>
      <c r="T93" t="str">
        <f t="shared" si="20"/>
        <v>PRODUCTIVITY 11</v>
      </c>
      <c r="U93"/>
      <c r="V93" t="s">
        <v>79</v>
      </c>
      <c r="W93"/>
      <c r="X93">
        <v>44194</v>
      </c>
      <c r="Y93" t="str">
        <f t="shared" si="15"/>
        <v>29-Dec</v>
      </c>
    </row>
    <row r="94" spans="2:25" ht="15.75" x14ac:dyDescent="0.25">
      <c r="B94" s="2" t="s">
        <v>244</v>
      </c>
      <c r="C94" s="2" t="str">
        <f t="array" ref="C94">IF(B94=0,"",IF(B94="Target",B93&amp;" Target",IF(B94="Comments","Comment "&amp;B92,B94)))</f>
        <v>Direct Labor Hours 9</v>
      </c>
      <c r="D94" s="2" t="str">
        <f t="shared" si="13"/>
        <v>Direct Labor Hours 9</v>
      </c>
      <c r="E94" s="2" t="str">
        <f t="array" ref="E94">IF(B94="Comments", "Comment "&amp;B92,B94)</f>
        <v>Direct Labor Hours 9</v>
      </c>
      <c r="F94" s="2" t="s">
        <v>31</v>
      </c>
      <c r="G94" s="2" t="s">
        <v>244</v>
      </c>
      <c r="H94" t="s">
        <v>250</v>
      </c>
      <c r="J94"/>
      <c r="Q94" t="s">
        <v>249</v>
      </c>
      <c r="R94"/>
      <c r="S94" t="s">
        <v>249</v>
      </c>
      <c r="T94" t="str">
        <f t="shared" si="20"/>
        <v>PRODUCTIVITY 11</v>
      </c>
      <c r="U94"/>
      <c r="V94" t="s">
        <v>249</v>
      </c>
      <c r="W94"/>
      <c r="X94">
        <v>44195</v>
      </c>
      <c r="Y94" t="str">
        <f t="shared" si="15"/>
        <v>30-Dec</v>
      </c>
    </row>
    <row r="95" spans="2:25" ht="15.75" x14ac:dyDescent="0.25">
      <c r="B95" s="2" t="s">
        <v>41</v>
      </c>
      <c r="C95" s="2" t="str">
        <f t="array" ref="C95">IF(B95=0,"",IF(B95="Target",B94&amp;" Target",IF(B95="Comments","Comment "&amp;B93,B95)))</f>
        <v>PRODUCTIVITY 9</v>
      </c>
      <c r="D95" s="2" t="str">
        <f t="shared" si="13"/>
        <v>PRODUCTIVITY 9</v>
      </c>
      <c r="E95" s="2" t="str">
        <f t="array" ref="E95">IF(B95="Comments", "Comment "&amp;B93,B95)</f>
        <v>PRODUCTIVITY 9</v>
      </c>
      <c r="F95" s="2" t="s">
        <v>41</v>
      </c>
      <c r="G95" s="2" t="s">
        <v>41</v>
      </c>
      <c r="H95" t="s">
        <v>44</v>
      </c>
      <c r="J95"/>
      <c r="Q95" t="s">
        <v>250</v>
      </c>
      <c r="R95"/>
      <c r="S95" t="s">
        <v>250</v>
      </c>
      <c r="T95" t="str">
        <f>T94</f>
        <v>PRODUCTIVITY 11</v>
      </c>
      <c r="U95"/>
      <c r="V95" t="s">
        <v>250</v>
      </c>
      <c r="W95"/>
      <c r="X95">
        <v>44196</v>
      </c>
      <c r="Y95" t="str">
        <f t="shared" si="15"/>
        <v>31-Dec</v>
      </c>
    </row>
    <row r="96" spans="2:25" ht="15.75" x14ac:dyDescent="0.25">
      <c r="B96" s="2" t="s">
        <v>3</v>
      </c>
      <c r="C96" s="2" t="str">
        <f t="array" ref="C96">IF(B96=0,"",IF(B96="Target",B95&amp;" Target",IF(B96="Comments","Comment "&amp;B94,B96)))</f>
        <v>PRODUCTIVITY 9 Target</v>
      </c>
      <c r="D96" s="2" t="str">
        <f t="shared" si="13"/>
        <v>PRODUCTIVITY 9 Target</v>
      </c>
      <c r="E96" s="2" t="str">
        <f t="array" ref="E96">IF(B96="Comments", "Comment "&amp;B94,B96)</f>
        <v>Target</v>
      </c>
      <c r="F96" s="2" t="s">
        <v>74</v>
      </c>
      <c r="G96" s="2" t="s">
        <v>74</v>
      </c>
      <c r="H96" t="s">
        <v>80</v>
      </c>
      <c r="J96"/>
      <c r="Q96" t="s">
        <v>44</v>
      </c>
      <c r="R96"/>
      <c r="S96" t="s">
        <v>44</v>
      </c>
      <c r="T96" t="s">
        <v>44</v>
      </c>
      <c r="U96"/>
      <c r="V96" t="s">
        <v>44</v>
      </c>
      <c r="W96"/>
      <c r="X96"/>
      <c r="Y96"/>
    </row>
    <row r="97" spans="2:25" ht="15.75" x14ac:dyDescent="0.25">
      <c r="B97" s="2" t="s">
        <v>4</v>
      </c>
      <c r="C97" s="2" t="str">
        <f t="array" ref="C97">IF(B97=0,"",IF(B97="Target",B96&amp;" Target",IF(B97="Comments","Comment "&amp;B95,B97)))</f>
        <v>Comment PRODUCTIVITY 9</v>
      </c>
      <c r="D97" s="2" t="str">
        <f t="shared" si="13"/>
        <v>Comments</v>
      </c>
      <c r="E97" s="2" t="str">
        <f t="array" ref="E97">IF(B97="Comments", "Comment "&amp;B95,B97)</f>
        <v>Comment PRODUCTIVITY 9</v>
      </c>
      <c r="F97" s="2" t="s">
        <v>75</v>
      </c>
      <c r="G97" t="s">
        <v>75</v>
      </c>
      <c r="H97" t="s">
        <v>81</v>
      </c>
      <c r="J97"/>
      <c r="Q97" t="s">
        <v>80</v>
      </c>
      <c r="R97"/>
      <c r="S97" t="s">
        <v>80</v>
      </c>
      <c r="T97" t="str">
        <f t="shared" ref="T97:T98" si="21">T96</f>
        <v>PRODUCTIVITY 12</v>
      </c>
      <c r="U97"/>
      <c r="V97" t="s">
        <v>80</v>
      </c>
      <c r="W97"/>
      <c r="X97"/>
      <c r="Y97"/>
    </row>
    <row r="98" spans="2:25" ht="15.75" x14ac:dyDescent="0.25">
      <c r="C98" s="2" t="str">
        <f t="array" ref="C98">IF(B98=0,"",IF(B98="Target",B97&amp;" Target",IF(B98="Comments","Comment "&amp;B96,B98)))</f>
        <v/>
      </c>
      <c r="D98" s="2">
        <f t="shared" si="13"/>
        <v>0</v>
      </c>
      <c r="E98" s="2">
        <f t="array" ref="E98">IF(B98="Comments", "Comment "&amp;B96,B98)</f>
        <v>0</v>
      </c>
      <c r="G98"/>
      <c r="H98"/>
      <c r="J98"/>
      <c r="Q98" t="s">
        <v>81</v>
      </c>
      <c r="R98"/>
      <c r="S98" t="s">
        <v>81</v>
      </c>
      <c r="T98" t="str">
        <f t="shared" si="21"/>
        <v>PRODUCTIVITY 12</v>
      </c>
      <c r="U98"/>
      <c r="V98" t="s">
        <v>81</v>
      </c>
      <c r="W98"/>
      <c r="X98"/>
      <c r="Y98"/>
    </row>
    <row r="99" spans="2:25" ht="15.75" x14ac:dyDescent="0.25">
      <c r="B99" s="2" t="s">
        <v>245</v>
      </c>
      <c r="C99" s="2" t="str">
        <f t="array" ref="C99">IF(B99=0,"",IF(B99="Target",B98&amp;" Target",IF(B99="Comments","Comment "&amp;B97,B99)))</f>
        <v>Actual Volume Processed 10</v>
      </c>
      <c r="D99" s="2" t="str">
        <f t="shared" ref="D99:D115" si="22">IF(B99="Target",B98&amp;" Target",B99)</f>
        <v>Actual Volume Processed 10</v>
      </c>
      <c r="E99" s="2" t="str">
        <f t="array" ref="E99">IF(B99="Comments", "Comment "&amp;B97,B99)</f>
        <v>Actual Volume Processed 10</v>
      </c>
      <c r="F99" s="2" t="s">
        <v>30</v>
      </c>
      <c r="G99" t="s">
        <v>245</v>
      </c>
      <c r="H99"/>
      <c r="J99"/>
    </row>
    <row r="100" spans="2:25" ht="15.75" x14ac:dyDescent="0.25">
      <c r="B100" s="2" t="s">
        <v>246</v>
      </c>
      <c r="C100" s="2" t="str">
        <f t="array" ref="C100">IF(B100=0,"",IF(B100="Target",B99&amp;" Target",IF(B100="Comments","Comment "&amp;B98,B100)))</f>
        <v>Direct Labor Hours 10</v>
      </c>
      <c r="D100" s="2" t="str">
        <f t="shared" si="22"/>
        <v>Direct Labor Hours 10</v>
      </c>
      <c r="E100" s="2" t="str">
        <f t="array" ref="E100">IF(B100="Comments", "Comment "&amp;B98,B100)</f>
        <v>Direct Labor Hours 10</v>
      </c>
      <c r="F100" s="2" t="s">
        <v>31</v>
      </c>
      <c r="G100" t="s">
        <v>246</v>
      </c>
      <c r="H100"/>
      <c r="J100"/>
    </row>
    <row r="101" spans="2:25" ht="15.75" x14ac:dyDescent="0.25">
      <c r="B101" s="2" t="s">
        <v>42</v>
      </c>
      <c r="C101" s="2" t="str">
        <f t="array" ref="C101">IF(B101=0,"",IF(B101="Target",B100&amp;" Target",IF(B101="Comments","Comment "&amp;B99,B101)))</f>
        <v>PRODUCTIVITY 10</v>
      </c>
      <c r="D101" s="2" t="str">
        <f t="shared" si="22"/>
        <v>PRODUCTIVITY 10</v>
      </c>
      <c r="E101" s="2" t="str">
        <f t="array" ref="E101">IF(B101="Comments", "Comment "&amp;B99,B101)</f>
        <v>PRODUCTIVITY 10</v>
      </c>
      <c r="F101" s="2" t="s">
        <v>42</v>
      </c>
      <c r="G101" t="s">
        <v>42</v>
      </c>
      <c r="H101"/>
      <c r="J101"/>
    </row>
    <row r="102" spans="2:25" ht="15.75" x14ac:dyDescent="0.25">
      <c r="B102" s="2" t="s">
        <v>3</v>
      </c>
      <c r="C102" s="2" t="str">
        <f t="array" ref="C102">IF(B102=0,"",IF(B102="Target",B101&amp;" Target",IF(B102="Comments","Comment "&amp;B100,B102)))</f>
        <v>PRODUCTIVITY 10 Target</v>
      </c>
      <c r="D102" s="2" t="str">
        <f t="shared" si="22"/>
        <v>PRODUCTIVITY 10 Target</v>
      </c>
      <c r="E102" s="2" t="str">
        <f t="array" ref="E102">IF(B102="Comments", "Comment "&amp;B100,B102)</f>
        <v>Target</v>
      </c>
      <c r="F102" s="2" t="s">
        <v>76</v>
      </c>
      <c r="G102" t="s">
        <v>76</v>
      </c>
      <c r="H102"/>
      <c r="J102"/>
    </row>
    <row r="103" spans="2:25" ht="15.75" x14ac:dyDescent="0.25">
      <c r="B103" s="2" t="s">
        <v>4</v>
      </c>
      <c r="C103" s="2" t="str">
        <f t="array" ref="C103">IF(B103=0,"",IF(B103="Target",B102&amp;" Target",IF(B103="Comments","Comment "&amp;B101,B103)))</f>
        <v>Comment PRODUCTIVITY 10</v>
      </c>
      <c r="D103" s="2" t="str">
        <f t="shared" si="22"/>
        <v>Comments</v>
      </c>
      <c r="E103" s="2" t="str">
        <f t="array" ref="E103">IF(B103="Comments", "Comment "&amp;B101,B103)</f>
        <v>Comment PRODUCTIVITY 10</v>
      </c>
      <c r="F103" s="2" t="s">
        <v>77</v>
      </c>
      <c r="G103" t="s">
        <v>77</v>
      </c>
      <c r="H103"/>
      <c r="J103"/>
    </row>
    <row r="104" spans="2:25" ht="15.75" x14ac:dyDescent="0.25">
      <c r="C104" s="2" t="str">
        <f t="array" ref="C104">IF(B104=0,"",IF(B104="Target",B103&amp;" Target",IF(B104="Comments","Comment "&amp;B102,B104)))</f>
        <v/>
      </c>
      <c r="D104" s="2">
        <f t="shared" si="22"/>
        <v>0</v>
      </c>
      <c r="E104" s="2">
        <f t="array" ref="E104">IF(B104="Comments", "Comment "&amp;B102,B104)</f>
        <v>0</v>
      </c>
      <c r="G104"/>
      <c r="H104"/>
      <c r="J104"/>
    </row>
    <row r="105" spans="2:25" ht="15.75" x14ac:dyDescent="0.25">
      <c r="B105" s="2" t="s">
        <v>247</v>
      </c>
      <c r="C105" s="2" t="str">
        <f t="array" ref="C105">IF(B105=0,"",IF(B105="Target",B104&amp;" Target",IF(B105="Comments","Comment "&amp;B103,B105)))</f>
        <v>Actual Volume Processed 11</v>
      </c>
      <c r="D105" s="2" t="str">
        <f t="shared" si="22"/>
        <v>Actual Volume Processed 11</v>
      </c>
      <c r="E105" s="2" t="str">
        <f t="array" ref="E105">IF(B105="Comments", "Comment "&amp;B103,B105)</f>
        <v>Actual Volume Processed 11</v>
      </c>
      <c r="F105" s="2" t="s">
        <v>30</v>
      </c>
      <c r="G105" t="s">
        <v>247</v>
      </c>
      <c r="H105"/>
      <c r="J105"/>
    </row>
    <row r="106" spans="2:25" ht="15.75" x14ac:dyDescent="0.25">
      <c r="B106" s="2" t="s">
        <v>248</v>
      </c>
      <c r="C106" s="2" t="str">
        <f t="array" ref="C106">IF(B106=0,"",IF(B106="Target",B105&amp;" Target",IF(B106="Comments","Comment "&amp;B104,B106)))</f>
        <v>Direct Labor Hours 11</v>
      </c>
      <c r="D106" s="2" t="str">
        <f t="shared" si="22"/>
        <v>Direct Labor Hours 11</v>
      </c>
      <c r="E106" s="2" t="str">
        <f t="array" ref="E106">IF(B106="Comments", "Comment "&amp;B104,B106)</f>
        <v>Direct Labor Hours 11</v>
      </c>
      <c r="F106" s="2" t="s">
        <v>31</v>
      </c>
      <c r="G106" t="s">
        <v>248</v>
      </c>
      <c r="H106"/>
      <c r="J106"/>
    </row>
    <row r="107" spans="2:25" ht="15.75" x14ac:dyDescent="0.25">
      <c r="B107" s="2" t="s">
        <v>43</v>
      </c>
      <c r="C107" s="2" t="str">
        <f t="array" ref="C107">IF(B107=0,"",IF(B107="Target",B106&amp;" Target",IF(B107="Comments","Comment "&amp;B105,B107)))</f>
        <v>PRODUCTIVITY 11</v>
      </c>
      <c r="D107" s="2" t="str">
        <f t="shared" si="22"/>
        <v>PRODUCTIVITY 11</v>
      </c>
      <c r="E107" s="2" t="str">
        <f t="array" ref="E107">IF(B107="Comments", "Comment "&amp;B105,B107)</f>
        <v>PRODUCTIVITY 11</v>
      </c>
      <c r="F107" s="2" t="s">
        <v>43</v>
      </c>
      <c r="G107" t="s">
        <v>43</v>
      </c>
      <c r="H107"/>
      <c r="J107"/>
    </row>
    <row r="108" spans="2:25" ht="15.75" x14ac:dyDescent="0.25">
      <c r="B108" s="2" t="s">
        <v>3</v>
      </c>
      <c r="C108" s="2" t="str">
        <f t="array" ref="C108">IF(B108=0,"",IF(B108="Target",B107&amp;" Target",IF(B108="Comments","Comment "&amp;B106,B108)))</f>
        <v>PRODUCTIVITY 11 Target</v>
      </c>
      <c r="D108" s="2" t="str">
        <f t="shared" si="22"/>
        <v>PRODUCTIVITY 11 Target</v>
      </c>
      <c r="E108" s="2" t="str">
        <f t="array" ref="E108">IF(B108="Comments", "Comment "&amp;B106,B108)</f>
        <v>Target</v>
      </c>
      <c r="F108" s="2" t="s">
        <v>78</v>
      </c>
      <c r="G108" t="s">
        <v>78</v>
      </c>
      <c r="H108"/>
      <c r="J108"/>
    </row>
    <row r="109" spans="2:25" ht="15.75" x14ac:dyDescent="0.25">
      <c r="B109" s="2" t="s">
        <v>4</v>
      </c>
      <c r="C109" s="2" t="str">
        <f t="array" ref="C109">IF(B109=0,"",IF(B109="Target",B108&amp;" Target",IF(B109="Comments","Comment "&amp;B107,B109)))</f>
        <v>Comment PRODUCTIVITY 11</v>
      </c>
      <c r="D109" s="2" t="str">
        <f t="shared" si="22"/>
        <v>Comments</v>
      </c>
      <c r="E109" s="2" t="str">
        <f t="array" ref="E109">IF(B109="Comments", "Comment "&amp;B107,B109)</f>
        <v>Comment PRODUCTIVITY 11</v>
      </c>
      <c r="F109" s="2" t="s">
        <v>79</v>
      </c>
      <c r="G109" t="s">
        <v>79</v>
      </c>
      <c r="H109"/>
      <c r="J109"/>
    </row>
    <row r="110" spans="2:25" ht="15.75" x14ac:dyDescent="0.25">
      <c r="C110" s="2" t="str">
        <f t="array" ref="C110">IF(B110=0,"",IF(B110="Target",B109&amp;" Target",IF(B110="Comments","Comment "&amp;B108,B110)))</f>
        <v/>
      </c>
      <c r="D110" s="2">
        <f t="shared" si="22"/>
        <v>0</v>
      </c>
      <c r="E110" s="2">
        <f t="array" ref="E110">IF(B110="Comments", "Comment "&amp;B108,B110)</f>
        <v>0</v>
      </c>
      <c r="G110"/>
      <c r="H110"/>
      <c r="J110"/>
    </row>
    <row r="111" spans="2:25" ht="15.75" x14ac:dyDescent="0.25">
      <c r="B111" s="2" t="s">
        <v>249</v>
      </c>
      <c r="C111" s="2" t="str">
        <f t="array" ref="C111">IF(B111=0,"",IF(B111="Target",B110&amp;" Target",IF(B111="Comments","Comment "&amp;B109,B111)))</f>
        <v>Actual Volume Processed 12</v>
      </c>
      <c r="D111" s="2" t="str">
        <f t="shared" si="22"/>
        <v>Actual Volume Processed 12</v>
      </c>
      <c r="E111" s="2" t="str">
        <f t="array" ref="E111">IF(B111="Comments", "Comment "&amp;B109,B111)</f>
        <v>Actual Volume Processed 12</v>
      </c>
      <c r="F111" s="2" t="s">
        <v>30</v>
      </c>
      <c r="G111" t="s">
        <v>249</v>
      </c>
      <c r="H111"/>
      <c r="J111"/>
    </row>
    <row r="112" spans="2:25" ht="15.75" x14ac:dyDescent="0.25">
      <c r="B112" s="2" t="s">
        <v>250</v>
      </c>
      <c r="C112" s="2" t="str">
        <f t="array" ref="C112">IF(B112=0,"",IF(B112="Target",B111&amp;" Target",IF(B112="Comments","Comment "&amp;B110,B112)))</f>
        <v>Direct Labor Hours 12</v>
      </c>
      <c r="D112" s="2" t="str">
        <f t="shared" si="22"/>
        <v>Direct Labor Hours 12</v>
      </c>
      <c r="E112" s="2" t="str">
        <f t="array" ref="E112">IF(B112="Comments", "Comment "&amp;B110,B112)</f>
        <v>Direct Labor Hours 12</v>
      </c>
      <c r="F112" s="2" t="s">
        <v>31</v>
      </c>
      <c r="G112" t="s">
        <v>250</v>
      </c>
      <c r="H112"/>
      <c r="J112"/>
    </row>
    <row r="113" spans="2:10" ht="15.75" x14ac:dyDescent="0.25">
      <c r="B113" s="2" t="s">
        <v>44</v>
      </c>
      <c r="C113" s="2" t="str">
        <f t="array" ref="C113">IF(B113=0,"",IF(B113="Target",B112&amp;" Target",IF(B113="Comments","Comment "&amp;B111,B113)))</f>
        <v>PRODUCTIVITY 12</v>
      </c>
      <c r="D113" s="2" t="str">
        <f t="shared" si="22"/>
        <v>PRODUCTIVITY 12</v>
      </c>
      <c r="E113" s="2" t="str">
        <f t="array" ref="E113">IF(B113="Comments", "Comment "&amp;B111,B113)</f>
        <v>PRODUCTIVITY 12</v>
      </c>
      <c r="F113" s="2" t="s">
        <v>44</v>
      </c>
      <c r="G113" t="s">
        <v>44</v>
      </c>
      <c r="H113"/>
      <c r="J113"/>
    </row>
    <row r="114" spans="2:10" ht="15.75" x14ac:dyDescent="0.25">
      <c r="B114" s="2" t="s">
        <v>3</v>
      </c>
      <c r="C114" s="2" t="str">
        <f t="array" ref="C114">IF(B114=0,"",IF(B114="Target",B113&amp;" Target",IF(B114="Comments","Comment "&amp;B112,B114)))</f>
        <v>PRODUCTIVITY 12 Target</v>
      </c>
      <c r="D114" s="2" t="str">
        <f t="shared" si="22"/>
        <v>PRODUCTIVITY 12 Target</v>
      </c>
      <c r="E114" s="2" t="str">
        <f t="array" ref="E114">IF(B114="Comments", "Comment "&amp;B112,B114)</f>
        <v>Target</v>
      </c>
      <c r="F114" s="2" t="s">
        <v>80</v>
      </c>
      <c r="G114" t="s">
        <v>80</v>
      </c>
      <c r="H114"/>
      <c r="J114"/>
    </row>
    <row r="115" spans="2:10" ht="15.75" x14ac:dyDescent="0.25">
      <c r="B115" s="2" t="s">
        <v>4</v>
      </c>
      <c r="C115" s="2" t="str">
        <f t="array" ref="C115">IF(B115=0,"",IF(B115="Target",B114&amp;" Target",IF(B115="Comments","Comment "&amp;B113,B115)))</f>
        <v>Comment PRODUCTIVITY 12</v>
      </c>
      <c r="D115" s="2" t="str">
        <f t="shared" si="22"/>
        <v>Comments</v>
      </c>
      <c r="E115" s="2" t="str">
        <f t="array" ref="E115">IF(B115="Comments", "Comment "&amp;B113,B115)</f>
        <v>Comment PRODUCTIVITY 12</v>
      </c>
      <c r="F115" s="2" t="s">
        <v>81</v>
      </c>
      <c r="G115" t="s">
        <v>81</v>
      </c>
      <c r="H115"/>
      <c r="J115"/>
    </row>
  </sheetData>
  <conditionalFormatting sqref="C1:C1048576">
    <cfRule type="duplicateValues" dxfId="11" priority="11"/>
    <cfRule type="duplicateValues" dxfId="10" priority="12"/>
  </conditionalFormatting>
  <conditionalFormatting sqref="G4:G96">
    <cfRule type="duplicateValues" dxfId="9" priority="9"/>
    <cfRule type="duplicateValues" dxfId="8" priority="10"/>
  </conditionalFormatting>
  <conditionalFormatting sqref="H4:H96">
    <cfRule type="duplicateValues" dxfId="7" priority="5"/>
    <cfRule type="duplicateValues" dxfId="6" priority="6"/>
  </conditionalFormatting>
  <conditionalFormatting sqref="V3:V98">
    <cfRule type="duplicateValues" dxfId="5" priority="4"/>
  </conditionalFormatting>
  <conditionalFormatting sqref="S3:S98">
    <cfRule type="duplicateValues" dxfId="4" priority="3"/>
  </conditionalFormatting>
  <conditionalFormatting sqref="Q3:R98">
    <cfRule type="duplicateValues" dxfId="3" priority="2"/>
  </conditionalFormatting>
  <conditionalFormatting sqref="U4:U22">
    <cfRule type="duplicateValues" dxfId="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3:D98"/>
  <sheetViews>
    <sheetView zoomScaleNormal="100" workbookViewId="0">
      <selection activeCell="A39" sqref="A39"/>
    </sheetView>
  </sheetViews>
  <sheetFormatPr defaultRowHeight="15.75" x14ac:dyDescent="0.25"/>
  <cols>
    <col min="1" max="3" width="30.25" style="2" customWidth="1"/>
    <col min="4" max="4" width="9" style="2"/>
  </cols>
  <sheetData>
    <row r="3" spans="1:4" x14ac:dyDescent="0.25">
      <c r="A3" s="2" t="s">
        <v>0</v>
      </c>
      <c r="B3" s="3" t="s">
        <v>254</v>
      </c>
      <c r="C3" s="3"/>
      <c r="D3" s="2" t="s">
        <v>45</v>
      </c>
    </row>
    <row r="4" spans="1:4" x14ac:dyDescent="0.25">
      <c r="A4" s="2" t="s">
        <v>1</v>
      </c>
      <c r="B4" s="2" t="s">
        <v>1</v>
      </c>
      <c r="C4" s="2" t="s">
        <v>1</v>
      </c>
      <c r="D4">
        <v>44105</v>
      </c>
    </row>
    <row r="5" spans="1:4" x14ac:dyDescent="0.25">
      <c r="A5" s="2" t="s">
        <v>46</v>
      </c>
      <c r="B5" s="2" t="s">
        <v>1</v>
      </c>
      <c r="C5" s="2" t="s">
        <v>5</v>
      </c>
      <c r="D5">
        <v>44106</v>
      </c>
    </row>
    <row r="6" spans="1:4" x14ac:dyDescent="0.25">
      <c r="A6" s="2" t="s">
        <v>47</v>
      </c>
      <c r="B6" s="2" t="s">
        <v>1</v>
      </c>
      <c r="C6" s="2" t="s">
        <v>6</v>
      </c>
      <c r="D6">
        <v>44107</v>
      </c>
    </row>
    <row r="7" spans="1:4" x14ac:dyDescent="0.25">
      <c r="A7" s="2" t="s">
        <v>5</v>
      </c>
      <c r="B7" s="2" t="s">
        <v>5</v>
      </c>
      <c r="C7" s="2" t="s">
        <v>10</v>
      </c>
      <c r="D7">
        <v>44108</v>
      </c>
    </row>
    <row r="8" spans="1:4" x14ac:dyDescent="0.25">
      <c r="A8" s="2" t="s">
        <v>48</v>
      </c>
      <c r="B8" s="2" t="s">
        <v>5</v>
      </c>
      <c r="C8" s="2" t="s">
        <v>13</v>
      </c>
      <c r="D8">
        <v>44109</v>
      </c>
    </row>
    <row r="9" spans="1:4" x14ac:dyDescent="0.25">
      <c r="A9" s="2" t="s">
        <v>49</v>
      </c>
      <c r="B9" s="2" t="s">
        <v>5</v>
      </c>
      <c r="C9" s="2" t="s">
        <v>18</v>
      </c>
      <c r="D9">
        <v>44110</v>
      </c>
    </row>
    <row r="10" spans="1:4" x14ac:dyDescent="0.25">
      <c r="A10" s="2" t="s">
        <v>6</v>
      </c>
      <c r="B10" s="2" t="s">
        <v>6</v>
      </c>
      <c r="C10" s="2" t="s">
        <v>29</v>
      </c>
      <c r="D10">
        <v>44111</v>
      </c>
    </row>
    <row r="11" spans="1:4" x14ac:dyDescent="0.25">
      <c r="A11" s="2" t="s">
        <v>7</v>
      </c>
      <c r="B11" s="2" t="s">
        <v>6</v>
      </c>
      <c r="C11" s="2" t="s">
        <v>32</v>
      </c>
      <c r="D11">
        <v>44112</v>
      </c>
    </row>
    <row r="12" spans="1:4" x14ac:dyDescent="0.25">
      <c r="A12" s="2" t="s">
        <v>50</v>
      </c>
      <c r="B12" s="2" t="s">
        <v>6</v>
      </c>
      <c r="C12" s="2" t="s">
        <v>33</v>
      </c>
      <c r="D12">
        <v>44113</v>
      </c>
    </row>
    <row r="13" spans="1:4" x14ac:dyDescent="0.25">
      <c r="A13" s="2" t="s">
        <v>8</v>
      </c>
      <c r="B13" s="2" t="s">
        <v>6</v>
      </c>
      <c r="C13" s="2" t="s">
        <v>34</v>
      </c>
      <c r="D13">
        <v>44114</v>
      </c>
    </row>
    <row r="14" spans="1:4" x14ac:dyDescent="0.25">
      <c r="A14" s="2" t="s">
        <v>9</v>
      </c>
      <c r="B14" s="2" t="s">
        <v>6</v>
      </c>
      <c r="C14" s="2" t="s">
        <v>35</v>
      </c>
      <c r="D14">
        <v>44115</v>
      </c>
    </row>
    <row r="15" spans="1:4" x14ac:dyDescent="0.25">
      <c r="A15" s="2" t="s">
        <v>10</v>
      </c>
      <c r="B15" s="2" t="s">
        <v>10</v>
      </c>
      <c r="C15" s="2" t="s">
        <v>36</v>
      </c>
      <c r="D15">
        <v>44116</v>
      </c>
    </row>
    <row r="16" spans="1:4" x14ac:dyDescent="0.25">
      <c r="A16" s="2" t="s">
        <v>51</v>
      </c>
      <c r="B16" s="2" t="s">
        <v>10</v>
      </c>
      <c r="C16" s="2" t="s">
        <v>37</v>
      </c>
      <c r="D16">
        <v>44117</v>
      </c>
    </row>
    <row r="17" spans="1:4" x14ac:dyDescent="0.25">
      <c r="A17" s="2" t="s">
        <v>52</v>
      </c>
      <c r="B17" s="2" t="s">
        <v>10</v>
      </c>
      <c r="C17" s="2" t="s">
        <v>38</v>
      </c>
      <c r="D17">
        <v>44118</v>
      </c>
    </row>
    <row r="18" spans="1:4" x14ac:dyDescent="0.25">
      <c r="A18" s="2" t="s">
        <v>11</v>
      </c>
      <c r="B18" s="2" t="s">
        <v>10</v>
      </c>
      <c r="C18" s="2" t="s">
        <v>39</v>
      </c>
      <c r="D18">
        <v>44119</v>
      </c>
    </row>
    <row r="19" spans="1:4" x14ac:dyDescent="0.25">
      <c r="A19" s="2" t="s">
        <v>12</v>
      </c>
      <c r="B19" s="2" t="s">
        <v>10</v>
      </c>
      <c r="C19" s="2" t="s">
        <v>41</v>
      </c>
      <c r="D19">
        <v>44120</v>
      </c>
    </row>
    <row r="20" spans="1:4" x14ac:dyDescent="0.25">
      <c r="A20" s="2" t="s">
        <v>13</v>
      </c>
      <c r="B20" s="2" t="s">
        <v>13</v>
      </c>
      <c r="C20" s="2" t="s">
        <v>42</v>
      </c>
      <c r="D20">
        <v>44121</v>
      </c>
    </row>
    <row r="21" spans="1:4" x14ac:dyDescent="0.25">
      <c r="A21" s="2" t="s">
        <v>53</v>
      </c>
      <c r="B21" s="2" t="s">
        <v>13</v>
      </c>
      <c r="C21" s="2" t="s">
        <v>43</v>
      </c>
      <c r="D21">
        <v>44122</v>
      </c>
    </row>
    <row r="22" spans="1:4" x14ac:dyDescent="0.25">
      <c r="A22" s="2" t="s">
        <v>54</v>
      </c>
      <c r="B22" s="2" t="s">
        <v>13</v>
      </c>
      <c r="C22" s="2" t="s">
        <v>44</v>
      </c>
      <c r="D22">
        <v>44123</v>
      </c>
    </row>
    <row r="23" spans="1:4" x14ac:dyDescent="0.25">
      <c r="A23" s="2" t="s">
        <v>14</v>
      </c>
      <c r="B23" s="2" t="s">
        <v>13</v>
      </c>
      <c r="D23">
        <v>44124</v>
      </c>
    </row>
    <row r="24" spans="1:4" x14ac:dyDescent="0.25">
      <c r="A24" s="2" t="s">
        <v>15</v>
      </c>
      <c r="B24" s="2" t="s">
        <v>13</v>
      </c>
      <c r="D24">
        <v>44125</v>
      </c>
    </row>
    <row r="25" spans="1:4" x14ac:dyDescent="0.25">
      <c r="A25" s="2" t="s">
        <v>16</v>
      </c>
      <c r="B25" s="2" t="s">
        <v>13</v>
      </c>
      <c r="D25">
        <v>44126</v>
      </c>
    </row>
    <row r="26" spans="1:4" x14ac:dyDescent="0.25">
      <c r="A26" s="2" t="s">
        <v>17</v>
      </c>
      <c r="B26" s="2" t="s">
        <v>13</v>
      </c>
      <c r="D26">
        <v>44127</v>
      </c>
    </row>
    <row r="27" spans="1:4" x14ac:dyDescent="0.25">
      <c r="A27" s="2" t="s">
        <v>18</v>
      </c>
      <c r="B27" s="2" t="s">
        <v>18</v>
      </c>
      <c r="D27">
        <v>44128</v>
      </c>
    </row>
    <row r="28" spans="1:4" x14ac:dyDescent="0.25">
      <c r="A28" s="2" t="s">
        <v>19</v>
      </c>
      <c r="B28" s="2" t="s">
        <v>18</v>
      </c>
      <c r="D28">
        <v>44129</v>
      </c>
    </row>
    <row r="29" spans="1:4" x14ac:dyDescent="0.25">
      <c r="A29" s="2" t="s">
        <v>20</v>
      </c>
      <c r="B29" s="2" t="s">
        <v>18</v>
      </c>
      <c r="D29">
        <v>44130</v>
      </c>
    </row>
    <row r="30" spans="1:4" x14ac:dyDescent="0.25">
      <c r="A30" s="2" t="s">
        <v>55</v>
      </c>
      <c r="B30" s="2" t="s">
        <v>18</v>
      </c>
      <c r="D30">
        <v>44131</v>
      </c>
    </row>
    <row r="31" spans="1:4" x14ac:dyDescent="0.25">
      <c r="A31" s="2" t="s">
        <v>24</v>
      </c>
      <c r="B31" s="2" t="s">
        <v>18</v>
      </c>
      <c r="D31">
        <v>44132</v>
      </c>
    </row>
    <row r="32" spans="1:4" x14ac:dyDescent="0.25">
      <c r="A32" s="2" t="s">
        <v>25</v>
      </c>
      <c r="B32" s="2" t="s">
        <v>18</v>
      </c>
      <c r="D32">
        <v>44133</v>
      </c>
    </row>
    <row r="33" spans="1:4" x14ac:dyDescent="0.25">
      <c r="A33" s="2" t="s">
        <v>26</v>
      </c>
      <c r="B33" s="2" t="s">
        <v>18</v>
      </c>
      <c r="D33">
        <v>44134</v>
      </c>
    </row>
    <row r="34" spans="1:4" x14ac:dyDescent="0.25">
      <c r="A34" s="2" t="s">
        <v>27</v>
      </c>
      <c r="B34" s="2" t="s">
        <v>18</v>
      </c>
      <c r="D34">
        <v>44135</v>
      </c>
    </row>
    <row r="35" spans="1:4" x14ac:dyDescent="0.25">
      <c r="A35" s="2" t="s">
        <v>28</v>
      </c>
      <c r="B35" s="2" t="s">
        <v>18</v>
      </c>
      <c r="D35">
        <v>44136</v>
      </c>
    </row>
    <row r="36" spans="1:4" x14ac:dyDescent="0.25">
      <c r="A36" s="2" t="s">
        <v>29</v>
      </c>
      <c r="B36" s="2" t="s">
        <v>29</v>
      </c>
      <c r="D36">
        <v>44137</v>
      </c>
    </row>
    <row r="37" spans="1:4" x14ac:dyDescent="0.25">
      <c r="A37" s="2" t="s">
        <v>56</v>
      </c>
      <c r="B37" s="2" t="s">
        <v>29</v>
      </c>
      <c r="D37">
        <v>44138</v>
      </c>
    </row>
    <row r="38" spans="1:4" x14ac:dyDescent="0.25">
      <c r="A38" s="2" t="s">
        <v>57</v>
      </c>
      <c r="B38" s="2" t="s">
        <v>29</v>
      </c>
      <c r="D38">
        <v>44139</v>
      </c>
    </row>
    <row r="39" spans="1:4" x14ac:dyDescent="0.25">
      <c r="A39" s="2" t="s">
        <v>229</v>
      </c>
      <c r="B39" s="2" t="s">
        <v>29</v>
      </c>
      <c r="D39">
        <v>44140</v>
      </c>
    </row>
    <row r="40" spans="1:4" x14ac:dyDescent="0.25">
      <c r="A40" s="2" t="s">
        <v>231</v>
      </c>
      <c r="B40" s="2" t="s">
        <v>29</v>
      </c>
      <c r="D40">
        <v>44141</v>
      </c>
    </row>
    <row r="41" spans="1:4" x14ac:dyDescent="0.25">
      <c r="A41" s="2" t="s">
        <v>32</v>
      </c>
      <c r="B41" s="2" t="s">
        <v>32</v>
      </c>
      <c r="D41">
        <v>44142</v>
      </c>
    </row>
    <row r="42" spans="1:4" x14ac:dyDescent="0.25">
      <c r="A42" s="2" t="s">
        <v>58</v>
      </c>
      <c r="B42" s="2" t="s">
        <v>32</v>
      </c>
      <c r="D42">
        <v>44143</v>
      </c>
    </row>
    <row r="43" spans="1:4" x14ac:dyDescent="0.25">
      <c r="A43" s="2" t="s">
        <v>59</v>
      </c>
      <c r="B43" s="2" t="s">
        <v>32</v>
      </c>
      <c r="D43">
        <v>44144</v>
      </c>
    </row>
    <row r="44" spans="1:4" x14ac:dyDescent="0.25">
      <c r="A44" s="2" t="s">
        <v>232</v>
      </c>
      <c r="B44" s="2" t="s">
        <v>32</v>
      </c>
      <c r="D44">
        <v>44145</v>
      </c>
    </row>
    <row r="45" spans="1:4" x14ac:dyDescent="0.25">
      <c r="A45" s="2" t="s">
        <v>230</v>
      </c>
      <c r="B45" s="2" t="s">
        <v>32</v>
      </c>
      <c r="D45">
        <v>44146</v>
      </c>
    </row>
    <row r="46" spans="1:4" x14ac:dyDescent="0.25">
      <c r="A46" s="2" t="s">
        <v>33</v>
      </c>
      <c r="B46" s="2" t="s">
        <v>33</v>
      </c>
      <c r="D46">
        <v>44147</v>
      </c>
    </row>
    <row r="47" spans="1:4" x14ac:dyDescent="0.25">
      <c r="A47" s="2" t="s">
        <v>60</v>
      </c>
      <c r="B47" s="2" t="s">
        <v>33</v>
      </c>
      <c r="D47">
        <v>44148</v>
      </c>
    </row>
    <row r="48" spans="1:4" x14ac:dyDescent="0.25">
      <c r="A48" s="2" t="s">
        <v>61</v>
      </c>
      <c r="B48" s="2" t="s">
        <v>33</v>
      </c>
      <c r="D48">
        <v>44149</v>
      </c>
    </row>
    <row r="49" spans="1:4" x14ac:dyDescent="0.25">
      <c r="A49" s="2" t="s">
        <v>233</v>
      </c>
      <c r="B49" s="2" t="s">
        <v>33</v>
      </c>
      <c r="D49">
        <v>44150</v>
      </c>
    </row>
    <row r="50" spans="1:4" x14ac:dyDescent="0.25">
      <c r="A50" s="2" t="s">
        <v>234</v>
      </c>
      <c r="B50" s="2" t="s">
        <v>33</v>
      </c>
      <c r="D50">
        <v>44151</v>
      </c>
    </row>
    <row r="51" spans="1:4" x14ac:dyDescent="0.25">
      <c r="A51" s="2" t="s">
        <v>34</v>
      </c>
      <c r="B51" s="2" t="s">
        <v>34</v>
      </c>
      <c r="D51">
        <v>44152</v>
      </c>
    </row>
    <row r="52" spans="1:4" x14ac:dyDescent="0.25">
      <c r="A52" s="2" t="s">
        <v>62</v>
      </c>
      <c r="B52" s="2" t="s">
        <v>34</v>
      </c>
      <c r="D52">
        <v>44153</v>
      </c>
    </row>
    <row r="53" spans="1:4" x14ac:dyDescent="0.25">
      <c r="A53" s="2" t="s">
        <v>63</v>
      </c>
      <c r="B53" s="2" t="s">
        <v>34</v>
      </c>
      <c r="D53">
        <v>44154</v>
      </c>
    </row>
    <row r="54" spans="1:4" x14ac:dyDescent="0.25">
      <c r="A54" s="2" t="s">
        <v>235</v>
      </c>
      <c r="B54" s="2" t="s">
        <v>34</v>
      </c>
      <c r="D54">
        <v>44155</v>
      </c>
    </row>
    <row r="55" spans="1:4" x14ac:dyDescent="0.25">
      <c r="A55" s="2" t="s">
        <v>251</v>
      </c>
      <c r="B55" s="2" t="s">
        <v>34</v>
      </c>
      <c r="D55">
        <v>44156</v>
      </c>
    </row>
    <row r="56" spans="1:4" x14ac:dyDescent="0.25">
      <c r="A56" s="2" t="s">
        <v>35</v>
      </c>
      <c r="B56" s="2" t="s">
        <v>35</v>
      </c>
      <c r="D56">
        <v>44157</v>
      </c>
    </row>
    <row r="57" spans="1:4" x14ac:dyDescent="0.25">
      <c r="A57" s="2" t="s">
        <v>64</v>
      </c>
      <c r="B57" s="2" t="s">
        <v>35</v>
      </c>
      <c r="D57">
        <v>44158</v>
      </c>
    </row>
    <row r="58" spans="1:4" x14ac:dyDescent="0.25">
      <c r="A58" s="2" t="s">
        <v>65</v>
      </c>
      <c r="B58" s="2" t="s">
        <v>35</v>
      </c>
      <c r="D58">
        <v>44159</v>
      </c>
    </row>
    <row r="59" spans="1:4" x14ac:dyDescent="0.25">
      <c r="A59" s="2" t="s">
        <v>252</v>
      </c>
      <c r="B59" s="2" t="s">
        <v>35</v>
      </c>
      <c r="D59">
        <v>44160</v>
      </c>
    </row>
    <row r="60" spans="1:4" x14ac:dyDescent="0.25">
      <c r="A60" s="2" t="s">
        <v>236</v>
      </c>
      <c r="B60" s="2" t="s">
        <v>35</v>
      </c>
      <c r="D60">
        <v>44161</v>
      </c>
    </row>
    <row r="61" spans="1:4" x14ac:dyDescent="0.25">
      <c r="A61" s="2" t="s">
        <v>36</v>
      </c>
      <c r="B61" s="2" t="s">
        <v>36</v>
      </c>
      <c r="D61">
        <v>44162</v>
      </c>
    </row>
    <row r="62" spans="1:4" x14ac:dyDescent="0.25">
      <c r="A62" s="2" t="s">
        <v>66</v>
      </c>
      <c r="B62" s="2" t="s">
        <v>36</v>
      </c>
      <c r="D62">
        <v>44163</v>
      </c>
    </row>
    <row r="63" spans="1:4" x14ac:dyDescent="0.25">
      <c r="A63" s="2" t="s">
        <v>67</v>
      </c>
      <c r="B63" s="2" t="s">
        <v>36</v>
      </c>
      <c r="D63">
        <v>44164</v>
      </c>
    </row>
    <row r="64" spans="1:4" x14ac:dyDescent="0.25">
      <c r="A64" s="2" t="s">
        <v>237</v>
      </c>
      <c r="B64" s="2" t="s">
        <v>36</v>
      </c>
      <c r="D64">
        <v>44165</v>
      </c>
    </row>
    <row r="65" spans="1:4" x14ac:dyDescent="0.25">
      <c r="A65" s="2" t="s">
        <v>238</v>
      </c>
      <c r="B65" s="2" t="s">
        <v>36</v>
      </c>
      <c r="D65">
        <v>44166</v>
      </c>
    </row>
    <row r="66" spans="1:4" x14ac:dyDescent="0.25">
      <c r="A66" s="2" t="s">
        <v>37</v>
      </c>
      <c r="B66" s="2" t="s">
        <v>37</v>
      </c>
      <c r="D66">
        <v>44167</v>
      </c>
    </row>
    <row r="67" spans="1:4" x14ac:dyDescent="0.25">
      <c r="A67" s="2" t="s">
        <v>68</v>
      </c>
      <c r="B67" s="2" t="s">
        <v>37</v>
      </c>
      <c r="D67">
        <v>44168</v>
      </c>
    </row>
    <row r="68" spans="1:4" x14ac:dyDescent="0.25">
      <c r="A68" s="2" t="s">
        <v>69</v>
      </c>
      <c r="B68" s="2" t="s">
        <v>37</v>
      </c>
      <c r="D68">
        <v>44169</v>
      </c>
    </row>
    <row r="69" spans="1:4" x14ac:dyDescent="0.25">
      <c r="A69" s="2" t="s">
        <v>239</v>
      </c>
      <c r="B69" s="2" t="s">
        <v>37</v>
      </c>
      <c r="D69">
        <v>44170</v>
      </c>
    </row>
    <row r="70" spans="1:4" x14ac:dyDescent="0.25">
      <c r="A70" s="2" t="s">
        <v>240</v>
      </c>
      <c r="B70" s="2" t="s">
        <v>37</v>
      </c>
      <c r="D70">
        <v>44171</v>
      </c>
    </row>
    <row r="71" spans="1:4" x14ac:dyDescent="0.25">
      <c r="A71" s="2" t="s">
        <v>38</v>
      </c>
      <c r="B71" s="2" t="s">
        <v>38</v>
      </c>
      <c r="D71">
        <v>44172</v>
      </c>
    </row>
    <row r="72" spans="1:4" x14ac:dyDescent="0.25">
      <c r="A72" s="2" t="s">
        <v>70</v>
      </c>
      <c r="B72" s="2" t="s">
        <v>38</v>
      </c>
      <c r="D72">
        <v>44173</v>
      </c>
    </row>
    <row r="73" spans="1:4" x14ac:dyDescent="0.25">
      <c r="A73" s="2" t="s">
        <v>71</v>
      </c>
      <c r="B73" s="2" t="s">
        <v>38</v>
      </c>
      <c r="D73">
        <v>44174</v>
      </c>
    </row>
    <row r="74" spans="1:4" x14ac:dyDescent="0.25">
      <c r="A74" s="2" t="s">
        <v>241</v>
      </c>
      <c r="B74" s="2" t="s">
        <v>38</v>
      </c>
      <c r="D74">
        <v>44175</v>
      </c>
    </row>
    <row r="75" spans="1:4" x14ac:dyDescent="0.25">
      <c r="A75" s="2" t="s">
        <v>242</v>
      </c>
      <c r="B75" s="2" t="s">
        <v>38</v>
      </c>
      <c r="D75">
        <v>44176</v>
      </c>
    </row>
    <row r="76" spans="1:4" x14ac:dyDescent="0.25">
      <c r="A76" s="2" t="s">
        <v>39</v>
      </c>
      <c r="B76" s="2" t="s">
        <v>39</v>
      </c>
      <c r="D76">
        <v>44177</v>
      </c>
    </row>
    <row r="77" spans="1:4" x14ac:dyDescent="0.25">
      <c r="A77" s="2" t="s">
        <v>72</v>
      </c>
      <c r="B77" s="2" t="s">
        <v>39</v>
      </c>
      <c r="D77">
        <v>44178</v>
      </c>
    </row>
    <row r="78" spans="1:4" x14ac:dyDescent="0.25">
      <c r="A78" s="2" t="s">
        <v>73</v>
      </c>
      <c r="B78" s="2" t="s">
        <v>39</v>
      </c>
      <c r="D78">
        <v>44179</v>
      </c>
    </row>
    <row r="79" spans="1:4" x14ac:dyDescent="0.25">
      <c r="A79" s="2" t="s">
        <v>243</v>
      </c>
      <c r="B79" s="2" t="s">
        <v>39</v>
      </c>
      <c r="D79">
        <v>44180</v>
      </c>
    </row>
    <row r="80" spans="1:4" x14ac:dyDescent="0.25">
      <c r="A80" s="2" t="s">
        <v>244</v>
      </c>
      <c r="B80" s="2" t="s">
        <v>39</v>
      </c>
      <c r="D80">
        <v>44181</v>
      </c>
    </row>
    <row r="81" spans="1:4" x14ac:dyDescent="0.25">
      <c r="A81" s="2" t="s">
        <v>41</v>
      </c>
      <c r="B81" s="2" t="s">
        <v>41</v>
      </c>
      <c r="D81">
        <v>44182</v>
      </c>
    </row>
    <row r="82" spans="1:4" x14ac:dyDescent="0.25">
      <c r="A82" s="2" t="s">
        <v>74</v>
      </c>
      <c r="B82" s="2" t="s">
        <v>41</v>
      </c>
      <c r="D82">
        <v>44183</v>
      </c>
    </row>
    <row r="83" spans="1:4" x14ac:dyDescent="0.25">
      <c r="A83" t="s">
        <v>75</v>
      </c>
      <c r="B83" t="s">
        <v>41</v>
      </c>
      <c r="C83"/>
      <c r="D83">
        <v>44184</v>
      </c>
    </row>
    <row r="84" spans="1:4" x14ac:dyDescent="0.25">
      <c r="A84" t="s">
        <v>245</v>
      </c>
      <c r="B84" t="s">
        <v>41</v>
      </c>
      <c r="C84"/>
      <c r="D84">
        <v>44185</v>
      </c>
    </row>
    <row r="85" spans="1:4" x14ac:dyDescent="0.25">
      <c r="A85" t="s">
        <v>246</v>
      </c>
      <c r="B85" t="s">
        <v>41</v>
      </c>
      <c r="C85"/>
      <c r="D85">
        <v>44186</v>
      </c>
    </row>
    <row r="86" spans="1:4" x14ac:dyDescent="0.25">
      <c r="A86" t="s">
        <v>42</v>
      </c>
      <c r="B86" t="s">
        <v>42</v>
      </c>
      <c r="C86"/>
      <c r="D86">
        <v>44187</v>
      </c>
    </row>
    <row r="87" spans="1:4" x14ac:dyDescent="0.25">
      <c r="A87" t="s">
        <v>76</v>
      </c>
      <c r="B87" t="s">
        <v>42</v>
      </c>
      <c r="C87"/>
      <c r="D87">
        <v>44188</v>
      </c>
    </row>
    <row r="88" spans="1:4" x14ac:dyDescent="0.25">
      <c r="A88" t="s">
        <v>77</v>
      </c>
      <c r="B88" t="s">
        <v>42</v>
      </c>
      <c r="C88"/>
      <c r="D88">
        <v>44189</v>
      </c>
    </row>
    <row r="89" spans="1:4" x14ac:dyDescent="0.25">
      <c r="A89" t="s">
        <v>247</v>
      </c>
      <c r="B89" t="s">
        <v>42</v>
      </c>
      <c r="C89"/>
      <c r="D89">
        <v>44190</v>
      </c>
    </row>
    <row r="90" spans="1:4" x14ac:dyDescent="0.25">
      <c r="A90" t="s">
        <v>248</v>
      </c>
      <c r="B90" t="s">
        <v>42</v>
      </c>
      <c r="C90"/>
      <c r="D90">
        <v>44191</v>
      </c>
    </row>
    <row r="91" spans="1:4" x14ac:dyDescent="0.25">
      <c r="A91" t="s">
        <v>43</v>
      </c>
      <c r="B91" t="s">
        <v>43</v>
      </c>
      <c r="C91"/>
      <c r="D91">
        <v>44192</v>
      </c>
    </row>
    <row r="92" spans="1:4" x14ac:dyDescent="0.25">
      <c r="A92" t="s">
        <v>78</v>
      </c>
      <c r="B92" t="s">
        <v>43</v>
      </c>
      <c r="C92"/>
      <c r="D92">
        <v>44193</v>
      </c>
    </row>
    <row r="93" spans="1:4" x14ac:dyDescent="0.25">
      <c r="A93" t="s">
        <v>79</v>
      </c>
      <c r="B93" t="s">
        <v>43</v>
      </c>
      <c r="C93"/>
      <c r="D93">
        <v>44194</v>
      </c>
    </row>
    <row r="94" spans="1:4" x14ac:dyDescent="0.25">
      <c r="A94" t="s">
        <v>249</v>
      </c>
      <c r="B94" t="s">
        <v>43</v>
      </c>
      <c r="C94"/>
      <c r="D94">
        <v>44195</v>
      </c>
    </row>
    <row r="95" spans="1:4" x14ac:dyDescent="0.25">
      <c r="A95" t="s">
        <v>250</v>
      </c>
      <c r="B95" t="s">
        <v>43</v>
      </c>
      <c r="C95"/>
      <c r="D95">
        <v>44196</v>
      </c>
    </row>
    <row r="96" spans="1:4" x14ac:dyDescent="0.25">
      <c r="A96" t="s">
        <v>44</v>
      </c>
      <c r="B96" t="s">
        <v>44</v>
      </c>
      <c r="C96"/>
      <c r="D96"/>
    </row>
    <row r="97" spans="1:4" x14ac:dyDescent="0.25">
      <c r="A97" t="s">
        <v>80</v>
      </c>
      <c r="B97" t="s">
        <v>44</v>
      </c>
      <c r="C97"/>
      <c r="D97"/>
    </row>
    <row r="98" spans="1:4" x14ac:dyDescent="0.25">
      <c r="A98" t="s">
        <v>81</v>
      </c>
      <c r="B98" t="s">
        <v>44</v>
      </c>
      <c r="C98"/>
      <c r="D98"/>
    </row>
  </sheetData>
  <conditionalFormatting sqref="A3:A98">
    <cfRule type="duplicateValues" dxfId="1" priority="2"/>
  </conditionalFormatting>
  <conditionalFormatting sqref="C4:C22">
    <cfRule type="duplicateValues" dxfId="0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C2"/>
  <sheetViews>
    <sheetView workbookViewId="0">
      <selection activeCell="F6" sqref="F6"/>
    </sheetView>
  </sheetViews>
  <sheetFormatPr defaultRowHeight="15.75" x14ac:dyDescent="0.25"/>
  <sheetData>
    <row r="2" spans="3:3" x14ac:dyDescent="0.25">
      <c r="C2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97</vt:i4>
      </vt:variant>
    </vt:vector>
  </HeadingPairs>
  <TitlesOfParts>
    <vt:vector size="102" baseType="lpstr">
      <vt:lpstr>DataBase</vt:lpstr>
      <vt:lpstr>ICD ST</vt:lpstr>
      <vt:lpstr>Draft</vt:lpstr>
      <vt:lpstr>Tittle_list</vt:lpstr>
      <vt:lpstr>Query</vt:lpstr>
      <vt:lpstr>Actual_Volume_Processed_1</vt:lpstr>
      <vt:lpstr>Actual_Volume_Processed_10</vt:lpstr>
      <vt:lpstr>Actual_Volume_Processed_11</vt:lpstr>
      <vt:lpstr>Actual_Volume_Processed_12</vt:lpstr>
      <vt:lpstr>Actual_Volume_Processed_2</vt:lpstr>
      <vt:lpstr>Actual_Volume_Processed_3</vt:lpstr>
      <vt:lpstr>Actual_Volume_Processed_4</vt:lpstr>
      <vt:lpstr>Actual_Volume_Processed_5</vt:lpstr>
      <vt:lpstr>Actual_Volume_Processed_6</vt:lpstr>
      <vt:lpstr>Actual_Volume_Processed_7</vt:lpstr>
      <vt:lpstr>Actual_Volume_Processed_8</vt:lpstr>
      <vt:lpstr>Actual_Volume_Processed_9</vt:lpstr>
      <vt:lpstr>Comment_I1_Near_Misses</vt:lpstr>
      <vt:lpstr>Comment_I2_Lost_Time_Injury</vt:lpstr>
      <vt:lpstr>Comment_Inventory_Location_Accuracy</vt:lpstr>
      <vt:lpstr>Comment_Labor_Cost_Per_Unit_Shipped</vt:lpstr>
      <vt:lpstr>Comment_Order_Fulfillment</vt:lpstr>
      <vt:lpstr>Comment_PRODUCTIVITY_1</vt:lpstr>
      <vt:lpstr>Comment_PRODUCTIVITY_10</vt:lpstr>
      <vt:lpstr>Comment_PRODUCTIVITY_11</vt:lpstr>
      <vt:lpstr>Comment_PRODUCTIVITY_12</vt:lpstr>
      <vt:lpstr>Comment_PRODUCTIVITY_2</vt:lpstr>
      <vt:lpstr>Comment_PRODUCTIVITY_3</vt:lpstr>
      <vt:lpstr>Comment_PRODUCTIVITY_4</vt:lpstr>
      <vt:lpstr>Comment_PRODUCTIVITY_5</vt:lpstr>
      <vt:lpstr>Comment_PRODUCTIVITY_6</vt:lpstr>
      <vt:lpstr>Comment_PRODUCTIVITY_7</vt:lpstr>
      <vt:lpstr>Comment_PRODUCTIVITY_8</vt:lpstr>
      <vt:lpstr>Comment_PRODUCTIVITY_9</vt:lpstr>
      <vt:lpstr>Comment_Target_1</vt:lpstr>
      <vt:lpstr>Comment_V1_Actual_Volume_Dropped</vt:lpstr>
      <vt:lpstr>Date</vt:lpstr>
      <vt:lpstr>Direct_Labor_Hours_1</vt:lpstr>
      <vt:lpstr>Direct_Labor_Hours_10</vt:lpstr>
      <vt:lpstr>Direct_Labor_Hours_11</vt:lpstr>
      <vt:lpstr>Direct_Labor_Hours_12</vt:lpstr>
      <vt:lpstr>Direct_Labor_Hours_2</vt:lpstr>
      <vt:lpstr>Direct_Labor_Hours_3</vt:lpstr>
      <vt:lpstr>Direct_Labor_Hours_4</vt:lpstr>
      <vt:lpstr>Direct_Labor_Hours_5</vt:lpstr>
      <vt:lpstr>Direct_Labor_Hours_6</vt:lpstr>
      <vt:lpstr>Direct_Labor_Hours_7</vt:lpstr>
      <vt:lpstr>Direct_Labor_Hours_8</vt:lpstr>
      <vt:lpstr>Direct_Labor_Hours_9</vt:lpstr>
      <vt:lpstr>I1_Near_Misses</vt:lpstr>
      <vt:lpstr>I1_Near_Misses_Target</vt:lpstr>
      <vt:lpstr>I2_Lost_Time_Injury</vt:lpstr>
      <vt:lpstr>I2_Lost_Time_Injury_Target</vt:lpstr>
      <vt:lpstr>Inventory_Location_Accuracy</vt:lpstr>
      <vt:lpstr>Inventory_Location_Accuracy_Target</vt:lpstr>
      <vt:lpstr>Labor_Cost_Per_Unit_Shipped</vt:lpstr>
      <vt:lpstr>Labor_Cost_Per_Unit_Shipped_Target</vt:lpstr>
      <vt:lpstr>Order_Fulfillment</vt:lpstr>
      <vt:lpstr>Order_Fulfillment_____Target</vt:lpstr>
      <vt:lpstr>OVERTIME</vt:lpstr>
      <vt:lpstr>P6_Units_Shipped</vt:lpstr>
      <vt:lpstr>PRODUCTIVITY_1</vt:lpstr>
      <vt:lpstr>PRODUCTIVITY_1_Target</vt:lpstr>
      <vt:lpstr>PRODUCTIVITY_10</vt:lpstr>
      <vt:lpstr>PRODUCTIVITY_10_Target</vt:lpstr>
      <vt:lpstr>PRODUCTIVITY_11</vt:lpstr>
      <vt:lpstr>PRODUCTIVITY_11_Target</vt:lpstr>
      <vt:lpstr>PRODUCTIVITY_12</vt:lpstr>
      <vt:lpstr>PRODUCTIVITY_12_Target</vt:lpstr>
      <vt:lpstr>PRODUCTIVITY_2</vt:lpstr>
      <vt:lpstr>PRODUCTIVITY_2_Target</vt:lpstr>
      <vt:lpstr>PRODUCTIVITY_3</vt:lpstr>
      <vt:lpstr>PRODUCTIVITY_3_Target</vt:lpstr>
      <vt:lpstr>PRODUCTIVITY_4</vt:lpstr>
      <vt:lpstr>PRODUCTIVITY_4_Target</vt:lpstr>
      <vt:lpstr>PRODUCTIVITY_5</vt:lpstr>
      <vt:lpstr>PRODUCTIVITY_5_Target</vt:lpstr>
      <vt:lpstr>PRODUCTIVITY_6</vt:lpstr>
      <vt:lpstr>PRODUCTIVITY_6_Target</vt:lpstr>
      <vt:lpstr>PRODUCTIVITY_7</vt:lpstr>
      <vt:lpstr>PRODUCTIVITY_7_Target</vt:lpstr>
      <vt:lpstr>PRODUCTIVITY_8</vt:lpstr>
      <vt:lpstr>PRODUCTIVITY_8_Target</vt:lpstr>
      <vt:lpstr>PRODUCTIVITY_9</vt:lpstr>
      <vt:lpstr>PRODUCTIVITY_9_Target</vt:lpstr>
      <vt:lpstr>Q1_Number_of_Accurate_Locations</vt:lpstr>
      <vt:lpstr>Q2_Total_Number_of_Locations_Counted</vt:lpstr>
      <vt:lpstr>Q3_Number_of_Orders_Available</vt:lpstr>
      <vt:lpstr>Q4_Number_of_Orders_Required</vt:lpstr>
      <vt:lpstr>S1_Permanent_Direct_Labor_Cost</vt:lpstr>
      <vt:lpstr>S2_Permanent_Indirect_Labor_Cost</vt:lpstr>
      <vt:lpstr>S3_Temporary_Direct_Labor_Cost</vt:lpstr>
      <vt:lpstr>S4_Temporary_Indirect_Labor_Cost</vt:lpstr>
      <vt:lpstr>Target_1</vt:lpstr>
      <vt:lpstr>Target_2</vt:lpstr>
      <vt:lpstr>Tittles</vt:lpstr>
      <vt:lpstr>Total_Permanent_Direct_Labor_Ordinary_Hours</vt:lpstr>
      <vt:lpstr>Total_Permanent_Direct_Labor_Overtime_Hours</vt:lpstr>
      <vt:lpstr>Total_Temporary_Direct_Labor_Ordinary_Hours</vt:lpstr>
      <vt:lpstr>Total_Temporary_Direct_Labor_Overtime_Hours</vt:lpstr>
      <vt:lpstr>V1_Actual_Volume_Dropped</vt:lpstr>
      <vt:lpstr>V2_Forecast_Volumes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DucAnh</cp:lastModifiedBy>
  <dcterms:created xsi:type="dcterms:W3CDTF">2020-11-27T06:19:55Z</dcterms:created>
  <dcterms:modified xsi:type="dcterms:W3CDTF">2020-11-30T05:03:56Z</dcterms:modified>
</cp:coreProperties>
</file>