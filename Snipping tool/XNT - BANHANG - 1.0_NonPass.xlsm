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S:\VBA\Snipping tool\"/>
    </mc:Choice>
  </mc:AlternateContent>
  <xr:revisionPtr revIDLastSave="0" documentId="13_ncr:1_{EA6F2CF3-D52A-48B4-B00D-BB5852CFA55A}" xr6:coauthVersionLast="47" xr6:coauthVersionMax="47" xr10:uidLastSave="{00000000-0000-0000-0000-000000000000}"/>
  <bookViews>
    <workbookView xWindow="1073" yWindow="1073" windowWidth="16875" windowHeight="10522" tabRatio="836" firstSheet="10" activeTab="16" xr2:uid="{00000000-000D-0000-FFFF-FFFF00000000}"/>
  </bookViews>
  <sheets>
    <sheet name="KhaiBaoThongTinDN" sheetId="1" r:id="rId1"/>
    <sheet name="DM_HangHoa" sheetId="2" r:id="rId2"/>
    <sheet name="DM_KhachHang" sheetId="5" r:id="rId3"/>
    <sheet name="DM_KhoHang" sheetId="10" r:id="rId4"/>
    <sheet name="DM_NhaCungCap" sheetId="6" r:id="rId5"/>
    <sheet name="SETTING" sheetId="7" r:id="rId6"/>
    <sheet name="DATA_NX" sheetId="8" r:id="rId7"/>
    <sheet name="PHIEU_X_N" sheetId="9" r:id="rId8"/>
    <sheet name="XuatNhapTon" sheetId="11" r:id="rId9"/>
    <sheet name="THEKHO_CHITIET" sheetId="14" r:id="rId10"/>
    <sheet name="BC_Chitiet_CongNo_KH_NCC" sheetId="15" r:id="rId11"/>
    <sheet name="BC_TongHopCongNo" sheetId="17" r:id="rId12"/>
    <sheet name="BC_NX_NGAY" sheetId="19" r:id="rId13"/>
    <sheet name="PHIEUTHU" sheetId="20" r:id="rId14"/>
    <sheet name="CHART" sheetId="21" r:id="rId15"/>
    <sheet name="SHEET1" sheetId="3" r:id="rId16"/>
    <sheet name="DATAA" sheetId="22" r:id="rId17"/>
  </sheets>
  <functionGroups builtInGroupCount="19"/>
  <definedNames>
    <definedName name="_xlnm._FilterDatabase" localSheetId="6" hidden="1">DATA_NX!$A$2:$O$177</definedName>
    <definedName name="_xlnm._FilterDatabase" localSheetId="8" hidden="1">XuatNhapTon!$A$7:$J$436</definedName>
    <definedName name="_xlnm.Print_Area" localSheetId="10">BC_Chitiet_CongNo_KH_NCC!$A$1:$L$2004</definedName>
    <definedName name="_xlnm.Print_Area" localSheetId="12">BC_NX_NGAY!$A:$J</definedName>
    <definedName name="_xlnm.Print_Area" localSheetId="11">BC_TongHopCongNo!$A:$G</definedName>
    <definedName name="_xlnm.Print_Area" localSheetId="7">PHIEU_X_N!$A:$J</definedName>
    <definedName name="_xlnm.Print_Area" localSheetId="13">PHIEUTHU!$A:$L</definedName>
    <definedName name="_xlnm.Print_Area" localSheetId="9">THEKHO_CHITIET!$A:$I</definedName>
    <definedName name="_xlnm.Print_Area" localSheetId="8">XuatNhapTon!$A$1:$H$2003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3" i="9" l="1"/>
  <c r="A213" i="1"/>
  <c r="I213" i="9"/>
  <c r="G213" i="9"/>
  <c r="A7" i="21" l="1"/>
  <c r="B7" i="21" s="1"/>
  <c r="B8" i="21" l="1"/>
  <c r="A10" i="21" s="1"/>
  <c r="B10" i="21" s="1"/>
  <c r="B3" i="21"/>
  <c r="B2" i="21"/>
  <c r="B1" i="21"/>
  <c r="A11" i="21" l="1"/>
  <c r="B11" i="21" s="1"/>
  <c r="M2" i="19"/>
  <c r="A12" i="21" l="1"/>
  <c r="B12" i="21" s="1"/>
  <c r="C14" i="20"/>
  <c r="C11" i="20"/>
  <c r="C12" i="20" s="1"/>
  <c r="C13" i="20"/>
  <c r="A13" i="21" l="1"/>
  <c r="B13" i="21" s="1"/>
  <c r="E11" i="20"/>
  <c r="D9" i="20"/>
  <c r="C5" i="20"/>
  <c r="C4" i="20"/>
  <c r="C3" i="20"/>
  <c r="C2" i="20"/>
  <c r="C15" i="20"/>
  <c r="L19" i="7"/>
  <c r="A14" i="21" l="1"/>
  <c r="B14" i="21" s="1"/>
  <c r="P2" i="7"/>
  <c r="B6" i="21" s="1"/>
  <c r="A15" i="21" l="1"/>
  <c r="B15" i="21" s="1"/>
  <c r="J201" i="9"/>
  <c r="C203" i="9"/>
  <c r="A16" i="21" l="1"/>
  <c r="B16" i="21" s="1"/>
  <c r="M3" i="19"/>
  <c r="L2001" i="15"/>
  <c r="A17" i="21" l="1"/>
  <c r="B17" i="21" s="1"/>
  <c r="K2001" i="15"/>
  <c r="J2001" i="15"/>
  <c r="A18" i="21" l="1"/>
  <c r="B18" i="21" s="1"/>
  <c r="E2001" i="17"/>
  <c r="F2001" i="17"/>
  <c r="G2001" i="17"/>
  <c r="D2001" i="17"/>
  <c r="H5" i="17"/>
  <c r="H2" i="17"/>
  <c r="H4" i="17" s="1"/>
  <c r="A19" i="21" l="1"/>
  <c r="B19" i="21" s="1"/>
  <c r="H3" i="17"/>
  <c r="M5" i="15"/>
  <c r="M2" i="15"/>
  <c r="M4" i="15" s="1"/>
  <c r="A20" i="21" l="1"/>
  <c r="B20" i="21" s="1"/>
  <c r="M3" i="15"/>
  <c r="A8" i="14"/>
  <c r="A21" i="21" l="1"/>
  <c r="B21" i="21" s="1"/>
  <c r="E5" i="14"/>
  <c r="E4" i="14"/>
  <c r="A22" i="21" l="1"/>
  <c r="B22" i="21" s="1"/>
  <c r="C1" i="10"/>
  <c r="A23" i="21" l="1"/>
  <c r="B23" i="21" s="1"/>
  <c r="D1" i="5"/>
  <c r="A24" i="21" l="1"/>
  <c r="B24" i="21" s="1"/>
  <c r="L2" i="14"/>
  <c r="L4" i="14" s="1"/>
  <c r="A25" i="21" l="1"/>
  <c r="B25" i="21" s="1"/>
  <c r="L3" i="14"/>
  <c r="A26" i="21" l="1"/>
  <c r="B26" i="21" s="1"/>
  <c r="M2" i="11"/>
  <c r="M3" i="11" s="1"/>
  <c r="A27" i="21" l="1"/>
  <c r="B27" i="21" s="1"/>
  <c r="M4" i="11"/>
  <c r="O2" i="7"/>
  <c r="B5" i="21" s="1"/>
  <c r="N2" i="7"/>
  <c r="B4" i="21" s="1"/>
  <c r="A28" i="21" l="1"/>
  <c r="B28" i="21" s="1"/>
  <c r="A29" i="21" l="1"/>
  <c r="B29" i="21" s="1"/>
  <c r="C5" i="9"/>
  <c r="C4" i="9"/>
  <c r="C3" i="9"/>
  <c r="C2" i="9"/>
  <c r="A30" i="21" l="1"/>
  <c r="B30" i="21" s="1"/>
  <c r="J7" i="9"/>
  <c r="A31" i="21" l="1"/>
  <c r="B31" i="21" s="1"/>
  <c r="C15" i="9"/>
  <c r="E12" i="9"/>
  <c r="C13" i="9"/>
  <c r="E14" i="9"/>
  <c r="R4" i="9"/>
  <c r="D12" i="9" s="1"/>
  <c r="R5" i="9"/>
  <c r="B14" i="9" s="1"/>
  <c r="R2" i="9"/>
  <c r="R3" i="9"/>
  <c r="B12" i="9" s="1"/>
  <c r="R6" i="9"/>
  <c r="H18" i="9" s="1"/>
  <c r="A32" i="21" l="1"/>
  <c r="B32" i="21" s="1"/>
  <c r="D1" i="6"/>
  <c r="A33" i="21" l="1"/>
  <c r="B33" i="21" s="1"/>
  <c r="A34" i="21" l="1"/>
  <c r="B34" i="21" s="1"/>
  <c r="A35" i="21" l="1"/>
  <c r="B35" i="21" s="1"/>
  <c r="A36" i="21" l="1"/>
  <c r="B36" i="21" s="1"/>
  <c r="A37" i="21" l="1"/>
  <c r="B37" i="21" s="1"/>
  <c r="A38" i="21" l="1"/>
  <c r="B38" i="21" s="1"/>
  <c r="B138" i="3"/>
  <c r="B188" i="3"/>
  <c r="B168" i="3"/>
  <c r="B240" i="3"/>
  <c r="B225" i="3"/>
  <c r="B209" i="3"/>
  <c r="B114" i="3"/>
  <c r="B152" i="3"/>
  <c r="B174" i="3"/>
  <c r="B149" i="3"/>
  <c r="B56" i="3"/>
  <c r="B160" i="3"/>
  <c r="B196" i="3"/>
  <c r="B73" i="3"/>
  <c r="B100" i="3"/>
  <c r="B221" i="3"/>
  <c r="B113" i="3"/>
  <c r="B69" i="3"/>
  <c r="B246" i="3"/>
  <c r="B55" i="3"/>
  <c r="B233" i="3"/>
  <c r="B43" i="3"/>
  <c r="B245" i="3"/>
  <c r="B208" i="3"/>
  <c r="B213" i="3"/>
  <c r="B107" i="3"/>
  <c r="B50" i="3"/>
  <c r="B179" i="3"/>
  <c r="B128" i="3"/>
  <c r="B115" i="3"/>
  <c r="B147" i="3"/>
  <c r="B194" i="3"/>
  <c r="B207" i="3"/>
  <c r="B66" i="3"/>
  <c r="B106" i="3"/>
  <c r="B153" i="3"/>
  <c r="B122" i="3"/>
  <c r="B88" i="3"/>
  <c r="B77" i="3"/>
  <c r="B237" i="3"/>
  <c r="B101" i="3"/>
  <c r="B86" i="3"/>
  <c r="B217" i="3"/>
  <c r="B58" i="3"/>
  <c r="B183" i="3"/>
  <c r="B141" i="3"/>
  <c r="B135" i="3"/>
  <c r="B195" i="3"/>
  <c r="B108" i="3"/>
  <c r="B161" i="3"/>
  <c r="B218" i="3"/>
  <c r="B187" i="3"/>
  <c r="B60" i="3"/>
  <c r="B97" i="3"/>
  <c r="B134" i="3"/>
  <c r="B184" i="3"/>
  <c r="B142" i="3"/>
  <c r="B104" i="3"/>
  <c r="B156" i="3"/>
  <c r="B232" i="3"/>
  <c r="B80" i="3"/>
  <c r="B63" i="3"/>
  <c r="B32" i="3"/>
  <c r="B185" i="3"/>
  <c r="B91" i="3"/>
  <c r="B82" i="3"/>
  <c r="B159" i="3"/>
  <c r="B145" i="3"/>
  <c r="B45" i="3"/>
  <c r="B199" i="3"/>
  <c r="B112" i="3"/>
  <c r="B41" i="3"/>
  <c r="B172" i="3"/>
  <c r="B81" i="3"/>
  <c r="B198" i="3"/>
  <c r="B70" i="3"/>
  <c r="B48" i="3"/>
  <c r="B121" i="3"/>
  <c r="B201" i="3"/>
  <c r="B136" i="3"/>
  <c r="B116" i="3"/>
  <c r="B49" i="3"/>
  <c r="B182" i="3"/>
  <c r="B47" i="3"/>
  <c r="B51" i="3"/>
  <c r="B164" i="3"/>
  <c r="B224" i="3"/>
  <c r="B72" i="3"/>
  <c r="B219" i="3"/>
  <c r="B109" i="3"/>
  <c r="B61" i="3"/>
  <c r="B67" i="3"/>
  <c r="B203" i="3"/>
  <c r="B163" i="3"/>
  <c r="B242" i="3"/>
  <c r="B137" i="3"/>
  <c r="B44" i="3"/>
  <c r="B235" i="3"/>
  <c r="B24" i="3"/>
  <c r="B175" i="3"/>
  <c r="B169" i="3"/>
  <c r="B89" i="3"/>
  <c r="B165" i="3"/>
  <c r="B178" i="3"/>
  <c r="B157" i="3"/>
  <c r="B65" i="3"/>
  <c r="B186" i="3"/>
  <c r="B238" i="3"/>
  <c r="B190" i="3"/>
  <c r="B78" i="3"/>
  <c r="B130" i="3"/>
  <c r="B234" i="3"/>
  <c r="B99" i="3"/>
  <c r="B215" i="3"/>
  <c r="B64" i="3"/>
  <c r="B228" i="3"/>
  <c r="B133" i="3"/>
  <c r="B206" i="3"/>
  <c r="B68" i="3"/>
  <c r="B150" i="3"/>
  <c r="B119" i="3"/>
  <c r="B205" i="3"/>
  <c r="B214" i="3"/>
  <c r="B158" i="3"/>
  <c r="B200" i="3"/>
  <c r="B210" i="3"/>
  <c r="B171" i="3"/>
  <c r="B180" i="3"/>
  <c r="B127" i="3"/>
  <c r="B243" i="3"/>
  <c r="B94" i="3"/>
  <c r="B131" i="3"/>
  <c r="B151" i="3"/>
  <c r="B148" i="3"/>
  <c r="B197" i="3"/>
  <c r="B123" i="3"/>
  <c r="B75" i="3"/>
  <c r="B216" i="3"/>
  <c r="B189" i="3"/>
  <c r="B52" i="3"/>
  <c r="B177" i="3"/>
  <c r="B204" i="3"/>
  <c r="B212" i="3"/>
  <c r="B92" i="3"/>
  <c r="B102" i="3"/>
  <c r="B222" i="3"/>
  <c r="B57" i="3"/>
  <c r="B124" i="3"/>
  <c r="B191" i="3"/>
  <c r="B79" i="3"/>
  <c r="B166" i="3"/>
  <c r="B230" i="3"/>
  <c r="B84" i="3"/>
  <c r="B227" i="3"/>
  <c r="B193" i="3"/>
  <c r="B154" i="3"/>
  <c r="B239" i="3"/>
  <c r="B126" i="3"/>
  <c r="B111" i="3"/>
  <c r="B247" i="3"/>
  <c r="B125" i="3"/>
  <c r="B140" i="3"/>
  <c r="B95" i="3"/>
  <c r="B129" i="3"/>
  <c r="B211" i="3"/>
  <c r="B54" i="3"/>
  <c r="B98" i="3"/>
  <c r="B144" i="3"/>
  <c r="B59" i="3"/>
  <c r="B241" i="3"/>
  <c r="B34" i="3"/>
  <c r="B62" i="3"/>
  <c r="B192" i="3"/>
  <c r="B155" i="3"/>
  <c r="B103" i="3"/>
  <c r="B170" i="3"/>
  <c r="B53" i="3"/>
  <c r="B42" i="3"/>
  <c r="B162" i="3"/>
  <c r="B223" i="3"/>
  <c r="B93" i="3"/>
  <c r="B220" i="3"/>
  <c r="B226" i="3"/>
  <c r="B139" i="3"/>
  <c r="B87" i="3"/>
  <c r="B39" i="3"/>
  <c r="B229" i="3"/>
  <c r="B244" i="3"/>
  <c r="B176" i="3"/>
  <c r="B40" i="3"/>
  <c r="B173" i="3"/>
  <c r="B110" i="3"/>
  <c r="B143" i="3"/>
  <c r="B4" i="3"/>
  <c r="B118" i="3"/>
  <c r="B83" i="3"/>
  <c r="B181" i="3"/>
  <c r="B105" i="3"/>
  <c r="B85" i="3"/>
  <c r="B236" i="3"/>
  <c r="B132" i="3"/>
  <c r="B117" i="3"/>
  <c r="B167" i="3"/>
  <c r="B146" i="3"/>
  <c r="B71" i="3"/>
  <c r="B76" i="3"/>
  <c r="B120" i="3"/>
  <c r="B96" i="3"/>
  <c r="B90" i="3"/>
  <c r="B202" i="3"/>
  <c r="B46" i="3"/>
  <c r="B231" i="3"/>
  <c r="B74" i="3"/>
  <c r="A39" i="21" l="1"/>
  <c r="B39" i="21" s="1"/>
  <c r="A40" i="21" l="1"/>
  <c r="B40" i="21" s="1"/>
</calcChain>
</file>

<file path=xl/sharedStrings.xml><?xml version="1.0" encoding="utf-8"?>
<sst xmlns="http://schemas.openxmlformats.org/spreadsheetml/2006/main" count="402" uniqueCount="302">
  <si>
    <t>THÔNG TIN DOANH NGHIỆP</t>
  </si>
  <si>
    <t>Tên công ty :</t>
  </si>
  <si>
    <t>Địa chỉ :</t>
  </si>
  <si>
    <t>Số điện thoai :</t>
  </si>
  <si>
    <t>0773447837</t>
  </si>
  <si>
    <t>Fax :</t>
  </si>
  <si>
    <t>Mã số thuế :</t>
  </si>
  <si>
    <t>5645645645645</t>
  </si>
  <si>
    <t>Emaill :</t>
  </si>
  <si>
    <t>phonghjx1993@gmail.com</t>
  </si>
  <si>
    <t>Giám Đốc :</t>
  </si>
  <si>
    <t>Nguyễn Văn A</t>
  </si>
  <si>
    <t>Kế Toán Trưởng :</t>
  </si>
  <si>
    <t>Nguyễn Văn B</t>
  </si>
  <si>
    <t>Kế Toán Kho :</t>
  </si>
  <si>
    <t>Thủ Kho :</t>
  </si>
  <si>
    <t>Nguyễn Văn D</t>
  </si>
  <si>
    <t>Năm công ty :</t>
  </si>
  <si>
    <t>2020</t>
  </si>
  <si>
    <t xml:space="preserve">Nguyễn Văn </t>
  </si>
  <si>
    <t>CÔNG TY CỔ PHẦN BÓNG ĐÈN ĐIỆN QUANG</t>
  </si>
  <si>
    <t>32 Linh trung , Thủ Đức , TP HCM</t>
  </si>
  <si>
    <t>09858757</t>
  </si>
  <si>
    <t>STT</t>
  </si>
  <si>
    <t>Mã Hàng Hóa</t>
  </si>
  <si>
    <t>Nhóm HH</t>
  </si>
  <si>
    <t>Tên Hàng Hóa</t>
  </si>
  <si>
    <t>Đơn Vị Tính</t>
  </si>
  <si>
    <t>QR Code SP</t>
  </si>
  <si>
    <t>QR Code Thùng</t>
  </si>
  <si>
    <t>Giá Nhập</t>
  </si>
  <si>
    <t>Giá Xuất</t>
  </si>
  <si>
    <t>Bạn chưa nhập mã  [ SẢN PHẨM ] , mã sản phẩm không được để trống ..!</t>
  </si>
  <si>
    <t>"B" &amp; ChrW(7841) &amp; "n ch" &amp; ChrW(432) &amp; "a nh" &amp; ChrW(7853) &amp; "p mã  [ S" &amp; ChrW(7842) &amp; "N PH" &amp; ChrW(7848) &amp; "M ] , mã s" &amp; ChrW(7843) &amp; "n ph" &amp; ChrW(7849) &amp; "m không " &amp; ChrW(273) &amp; ChrW(432) &amp; ChrW(7907) &amp; "c " &amp; ChrW(273) &amp; ChrW(7875) &amp; " tr" &amp; ChrW(7889) &amp; "ng ..!"</t>
  </si>
  <si>
    <t>[MÃ SẢN PHẨM ] này đã tồn tại xin nhập mã sản phẩm khác …!</t>
  </si>
  <si>
    <t>"[MÃ S" &amp; ChrW(7842) &amp; "N PH" &amp; ChrW(7848) &amp; "M ] này " &amp; ChrW(273) &amp; "ã t" &amp; ChrW(7891) &amp; "n t" &amp; ChrW(7841) &amp; "i xin nh" &amp; ChrW(7853) &amp; "p mã s" &amp; ChrW(7843) &amp; "n ph" &amp; ChrW(7849) &amp; "m khác " &amp; ChrW(8230) &amp; "!"</t>
  </si>
  <si>
    <t>[ GÍA NHẬP ] không được để trống và có [ ĐƠN GIÁ ] lớn hơn 0</t>
  </si>
  <si>
    <t>"[ GÍA NH" &amp; ChrW(7852) &amp; "P ] không " &amp; ChrW(273) &amp; ChrW(432) &amp; ChrW(7907) &amp; "c " &amp; ChrW(273) &amp; ChrW(7875) &amp; " tr" &amp; ChrW(7889) &amp; "ng và có [ " &amp; ChrW(272) &amp; ChrW(416) &amp; "N GIÁ ] l" &amp; ChrW(7899) &amp; "n h" &amp; ChrW(417) &amp; "n 0"</t>
  </si>
  <si>
    <t>[ GIÁ BÁN ] không được để trống và có [ ĐƠN BÁN ] lớn hơn 0</t>
  </si>
  <si>
    <t>[ GIÁ BÁN ] không được bé hơn [ GIÁ NHẬP ]</t>
  </si>
  <si>
    <t>"[ GIÁ BÁN ] không " &amp; ChrW(273) &amp; ChrW(432) &amp; ChrW(7907) &amp; "c bé h" &amp; ChrW(417) &amp; "n [ GIÁ NH" &amp; ChrW(7852) &amp; "P ]"</t>
  </si>
  <si>
    <t>[ GIÁ BÁN , GIÁ NHẬP ]  không được để trống</t>
  </si>
  <si>
    <t xml:space="preserve">Bạn chưa nhập [ MÃ SẢN PHẨM ] </t>
  </si>
  <si>
    <t>Không dễ để xóa vậy đâu nha  . MÃ SẢN PHẨM này là của [ 543759348 ] ………… Bạn đang cố tình nhập sai phải không ???</t>
  </si>
  <si>
    <t>"Không d" &amp; ChrW(7877) &amp; " " &amp; ChrW(273) &amp; ChrW(7875) &amp; " xóa v" &amp; ChrW(7853) &amp; "y " &amp; ChrW(273) &amp; "âu nha  . MÃ S" &amp; ChrW(7842) &amp; "N PH" &amp; ChrW(7848) &amp; "M này là c" &amp; ChrW(7911) &amp; "a [ 543759348 ] " &amp; ChrW(8230) &amp; ChrW(8230) &amp; ChrW(8230) &amp; ChrW(8230) &amp; " B" &amp; ChrW(7841) &amp; "n " &amp; ChrW(273) &amp; "ang c" &amp; ChrW(7889) &amp; " tình nh" &amp; ChrW(7853) &amp; "p sai ph" &amp; ChrW(7843) &amp; "i không ???"</t>
  </si>
  <si>
    <t>Cái</t>
  </si>
  <si>
    <t>LED BULB</t>
  </si>
  <si>
    <t> Đèn Compact Điện Quang ĐQ CFL4UF14 45DE27AW (45W daylight E27)</t>
  </si>
  <si>
    <t>Driver Đèn bắt muỗi EML02 BL (LJ-3W011)</t>
  </si>
  <si>
    <t>Mã KH</t>
  </si>
  <si>
    <t>Nhóm KH</t>
  </si>
  <si>
    <t>Tên KH</t>
  </si>
  <si>
    <t>Địa Chỉ</t>
  </si>
  <si>
    <t>SĐT KH</t>
  </si>
  <si>
    <t>TK Ngân Hàng</t>
  </si>
  <si>
    <t>Loại TK</t>
  </si>
  <si>
    <t>Ghi Chú</t>
  </si>
  <si>
    <t>Sử Duy Tín</t>
  </si>
  <si>
    <t>Nguyễn Hưu Duy</t>
  </si>
  <si>
    <t>Lê Thị Thúy Nga</t>
  </si>
  <si>
    <t>Đặng Quang Vũ</t>
  </si>
  <si>
    <t>Lô 11 - KCN Tân tạo - Phường Tân Tạo - Quận Bình Tân - TP. Hồ Chí Minh</t>
  </si>
  <si>
    <t>Số 108 Đặng Thái Thân - Tp Vinh - Nghệ An</t>
  </si>
  <si>
    <t>Lô CN 8 - đường CN 5 - KCN Sóng Thần 3 - Phường Phú Tân - TP. Thủ Dầu Một - tỉnh Bình Dương</t>
  </si>
  <si>
    <t>22 Nguyễn Cảnh Quế, Thu Thủy, Cửa Lò</t>
  </si>
  <si>
    <t>0981115341</t>
  </si>
  <si>
    <t>0984186592</t>
  </si>
  <si>
    <t>0981226868</t>
  </si>
  <si>
    <t>0987345412</t>
  </si>
  <si>
    <t>SaComBank</t>
  </si>
  <si>
    <t>015800005546</t>
  </si>
  <si>
    <t>[ MÃ KHÁCH HÀNG ] - Không được để trống …!</t>
  </si>
  <si>
    <t>"[ MÃ KHÁCH HÀNG ] - Không " &amp; ChrW(273) &amp; ChrW(432) &amp; ChrW(7907) &amp; "c " &amp; ChrW(273) &amp; ChrW(7875) &amp; " tr" &amp; ChrW(7889) &amp; "ng " &amp; ChrW(8230) &amp; "!"</t>
  </si>
  <si>
    <t>[ MÃ KHÁCH HÀNG ] -  Này đã tồn tại ..</t>
  </si>
  <si>
    <t>"[ MÃ KHÁCH HÀNG ] -  Này " &amp; ChrW(273) &amp; "ã t" &amp; ChrW(7891) &amp; "n t" &amp; ChrW(7841) &amp; "i .."</t>
  </si>
  <si>
    <t>[ TÊN KHÁCH HÀNG ] - Không được để trống…!</t>
  </si>
  <si>
    <t>"[ TÊN KHÁCH HÀNG ] - Không " &amp; ChrW(273) &amp; ChrW(432) &amp; ChrW(7907) &amp; "c " &amp; ChrW(273) &amp; ChrW(7875) &amp; " tr" &amp; ChrW(7889) &amp; "ng" &amp; ChrW(8230) &amp; "!"</t>
  </si>
  <si>
    <t>[ ĐỊA CHỈ KHÁCH HÀNG ] - Không được để trống…!</t>
  </si>
  <si>
    <t>"[ " &amp; ChrW(272) &amp; ChrW(7882) &amp; "A CH" &amp; ChrW(7880) &amp; " KHÁCH HÀNG ] - Không " &amp; ChrW(273) &amp; ChrW(432) &amp; ChrW(7907) &amp; "c " &amp; ChrW(273) &amp; ChrW(7875) &amp; " tr" &amp; ChrW(7889) &amp; "ng" &amp; ChrW(8230) &amp; "!"</t>
  </si>
  <si>
    <t>[ SỐ ĐIỆN THOẠI KHÁCH HÀNG ] - Không được để trống…!</t>
  </si>
  <si>
    <t>"[ S" &amp; ChrW(7888) &amp; " " &amp; ChrW(272) &amp; "I" &amp; ChrW(7878) &amp; "N THO" &amp; ChrW(7840) &amp; "I KHÁCH HÀNG ] - Không " &amp; ChrW(273) &amp; ChrW(432) &amp; ChrW(7907) &amp; "c " &amp; ChrW(273) &amp; ChrW(7875) &amp; " tr" &amp; ChrW(7889) &amp; "ng" &amp; ChrW(8230) &amp; "!"</t>
  </si>
  <si>
    <t>[ THÊM THÀNH CÔNG ]  thông tin [ KHÁCH HÀNG ]</t>
  </si>
  <si>
    <t>"[ THÊM THÀNH CÔNG ]  thông tin [ KHÁCH HÀNG ]"</t>
  </si>
  <si>
    <t>KHO XUẤT</t>
  </si>
  <si>
    <t>[ KHO ] - Nhập không được để trống...!</t>
  </si>
  <si>
    <t>"[ KHO ] - Nh" &amp; ChrW(7853) &amp; "p không " &amp; ChrW(273) &amp; ChrW(432) &amp; ChrW(7907) &amp; "c " &amp; ChrW(273) &amp; ChrW(7875) &amp; " tr" &amp; ChrW(7889) &amp; "ng...!"</t>
  </si>
  <si>
    <t>"Không d" &amp; ChrW(7877) &amp; " " &amp; ChrW(273) &amp; ChrW(7875) &amp; " xóa v" &amp; ChrW(7853) &amp; "y " &amp; ChrW(273) &amp; "âu nha  .[  MÃ KHÁCH HÀNG ] này là c" &amp; ChrW(7911) &amp; "a [ 543759348 ] " &amp; ChrW(8230) &amp; ChrW(8230) &amp; ChrW(8230) &amp; ChrW(8230) &amp; " B" &amp; ChrW(7841) &amp; "n " &amp; ChrW(273) &amp; "ang c" &amp; ChrW(7889) &amp; " tình nh" &amp; ChrW(7853) &amp; "p sai ph" &amp; ChrW(7843) &amp; "i không ??? [ 34534534534 ]"</t>
  </si>
  <si>
    <t>Mã NCC</t>
  </si>
  <si>
    <t>Nhóm NCC</t>
  </si>
  <si>
    <t>Tên NCC</t>
  </si>
  <si>
    <t>Địa Chỉ NCC</t>
  </si>
  <si>
    <t>SĐT NCC</t>
  </si>
  <si>
    <t>MÃ SỐ THUẾ</t>
  </si>
  <si>
    <t>EMAIL NCC</t>
  </si>
  <si>
    <t>NCC0003</t>
  </si>
  <si>
    <t>NCC0004</t>
  </si>
  <si>
    <t>[ MÃ NHÀ CUNG CẤP ] - Không được để trống...!</t>
  </si>
  <si>
    <t>"[ MÃ NHÀ CUNG C" &amp; ChrW(7844) &amp; "P ] - Không " &amp; ChrW(273) &amp; ChrW(432) &amp; ChrW(7907) &amp; "c " &amp; ChrW(273) &amp; ChrW(7875) &amp; " tr" &amp; ChrW(7889) &amp; "ng...!"</t>
  </si>
  <si>
    <t>[ MÃ NHÀ CUNG CẤP ] -  Này đã tồn tại</t>
  </si>
  <si>
    <t>"[ MÃ NHÀ CUNG C" &amp; ChrW(7844) &amp; "P ] -  Này " &amp; ChrW(273) &amp; "ã t" &amp; ChrW(7891) &amp; "n t" &amp; ChrW(7841) &amp; "i"</t>
  </si>
  <si>
    <t>[ ĐỊA CHỈ NHÀ CUNG CẤP ] - Không được để trống...!</t>
  </si>
  <si>
    <t>"[ " &amp; ChrW(272) &amp; ChrW(7882) &amp; "A CH" &amp; ChrW(7880) &amp; " NHÀ CUNG C" &amp; ChrW(7844) &amp; "P ] - Không " &amp; ChrW(273) &amp; ChrW(432) &amp; ChrW(7907) &amp; "c " &amp; ChrW(273) &amp; ChrW(7875) &amp; " tr" &amp; ChrW(7889) &amp; "ng...!"</t>
  </si>
  <si>
    <t>[ SỐ ĐIỆN THOẠI NHÀ CUNG CẤP ] - Không được để trống…!</t>
  </si>
  <si>
    <t>"[ S" &amp; ChrW(7888) &amp; " " &amp; ChrW(272) &amp; "I" &amp; ChrW(7878) &amp; "N THO" &amp; ChrW(7840) &amp; "I NHÀ CUNG C" &amp; ChrW(7844) &amp; "P ] - Không " &amp; ChrW(273) &amp; ChrW(432) &amp; ChrW(7907) &amp; "c " &amp; ChrW(273) &amp; ChrW(7875) &amp; " tr" &amp; ChrW(7889) &amp; "ng" &amp; ChrW(8230) &amp; "!"</t>
  </si>
  <si>
    <t>Không dễ để xóa vậy đâu nha  .[  MÃ NHÀ CUNG CẤP ] này là của [ 543759348 ] ………… Bạn đang cố tình nhập sai phải không ??? [ 34534534534 ]</t>
  </si>
  <si>
    <t>"Không d" &amp; ChrW(7877) &amp; " " &amp; ChrW(273) &amp; ChrW(7875) &amp; " xóa v" &amp; ChrW(7853) &amp; "y " &amp; ChrW(273) &amp; "âu nha  .[  MÃ NHÀ CUNG C" &amp; ChrW(7844) &amp; "P ] này là c" &amp; ChrW(7911) &amp; "a [ 543759348 ] " &amp; ChrW(8230) &amp; ChrW(8230) &amp; ChrW(8230) &amp; ChrW(8230) &amp; " B" &amp; ChrW(7841) &amp; "n " &amp; ChrW(273) &amp; "ang c" &amp; ChrW(7889) &amp; " tình nh" &amp; ChrW(7853) &amp; "p sai ph" &amp; ChrW(7843) &amp; "i không ??? [ 34534534534 ]"</t>
  </si>
  <si>
    <t>Xóa thành công thông tin [ NHÀ CUNG CẤP ]</t>
  </si>
  <si>
    <t>"Xóa thành công thông tin [ NHÀ CUNG C" &amp; ChrW(7844) &amp; "P ]"</t>
  </si>
  <si>
    <t>NHÓM SP</t>
  </si>
  <si>
    <t>ĐƠN VỊ TÍNH</t>
  </si>
  <si>
    <t>NHÓM KH</t>
  </si>
  <si>
    <t>NHÓM NCC</t>
  </si>
  <si>
    <t>LOẠI TK NGÂN HÀNG</t>
  </si>
  <si>
    <t>[ THÊM NHÓM HÀNG HÓA ] không được để trống</t>
  </si>
  <si>
    <t>"[ THÊM NHÓM HÀNG HÓA ] không " &amp; ChrW(273) &amp; ChrW(432) &amp; ChrW(7907) &amp; "c " &amp; ChrW(273) &amp; ChrW(7875) &amp; " tr" &amp; ChrW(7889) &amp; "ng"</t>
  </si>
  <si>
    <t>[ ĐƠN VỊ TÍNH ] không được để trống</t>
  </si>
  <si>
    <t xml:space="preserve">[ NHÓM KHÁCH HÀNG ] đã tồn tại </t>
  </si>
  <si>
    <t>"[ NHÓM KHÁCH HÀNG ] " &amp; ChrW(273) &amp; "ã t" &amp; ChrW(7891) &amp; "n t" &amp; ChrW(7841) &amp; "i "</t>
  </si>
  <si>
    <t>THÊM THÀNH CÔNG</t>
  </si>
  <si>
    <t>"THÊM THÀNH CÔNG"</t>
  </si>
  <si>
    <t>DATE</t>
  </si>
  <si>
    <t>Mã Hàng</t>
  </si>
  <si>
    <t>ĐVT</t>
  </si>
  <si>
    <t>Số Lượng</t>
  </si>
  <si>
    <t>Đơn Giá</t>
  </si>
  <si>
    <t>Thành Tiền</t>
  </si>
  <si>
    <t>Thanh Toán</t>
  </si>
  <si>
    <t>CÓ VÀ NỢ</t>
  </si>
  <si>
    <t>KH0001</t>
  </si>
  <si>
    <t>KH0002</t>
  </si>
  <si>
    <t>Kho</t>
  </si>
  <si>
    <t>Mã KH NCC</t>
  </si>
  <si>
    <t>SỐ PHIẾU</t>
  </si>
  <si>
    <t>Chú Ý Khách Hàng</t>
  </si>
  <si>
    <t>Số Phiếu :</t>
  </si>
  <si>
    <t xml:space="preserve">Nợ :  </t>
  </si>
  <si>
    <t xml:space="preserve">Có : </t>
  </si>
  <si>
    <t>Số ĐT :</t>
  </si>
  <si>
    <t>Ghi chú :</t>
  </si>
  <si>
    <t>Số TT</t>
  </si>
  <si>
    <t>Mã SP</t>
  </si>
  <si>
    <t>Tên Sản Phẩm</t>
  </si>
  <si>
    <t>Yêu Cầu</t>
  </si>
  <si>
    <t>A</t>
  </si>
  <si>
    <t>B</t>
  </si>
  <si>
    <t>C</t>
  </si>
  <si>
    <t>D</t>
  </si>
  <si>
    <t>NGƯỜI GIAO HÀNG</t>
  </si>
  <si>
    <t>THỦ KHO</t>
  </si>
  <si>
    <t>GIÁM ĐỐC</t>
  </si>
  <si>
    <t>MÃ KHO</t>
  </si>
  <si>
    <t>TÊN KHO</t>
  </si>
  <si>
    <t>MÔ TẢ KHO</t>
  </si>
  <si>
    <t>KHO104</t>
  </si>
  <si>
    <t>KHO105</t>
  </si>
  <si>
    <t>[ MÃ KHO NÀY ] - đã tồn tại</t>
  </si>
  <si>
    <t>"[ MÃ KHO NÀY ] - " &amp; ChrW(273) &amp; "ã t" &amp; ChrW(7891) &amp; "n t" &amp; ChrW(7841) &amp; "i"</t>
  </si>
  <si>
    <t>Kho chưa toàn bộ hàng công trình xây dựng 1</t>
  </si>
  <si>
    <t>PHIẾU</t>
  </si>
  <si>
    <t>PXK - PHIẾU XUẤT</t>
  </si>
  <si>
    <t>PNK - PHIẾU NHẬP</t>
  </si>
  <si>
    <t>Bạn phải chọn [ KHO XUÂT TRƯỚC ] ...!</t>
  </si>
  <si>
    <t>"B" &amp; ChrW(7841) &amp; "n ph" &amp; ChrW(7843) &amp; "i ch" &amp; ChrW(7885) &amp; "n [ KHO XUÂT TR" &amp; ChrW(431) &amp; ChrW(7898) &amp; "C ] ...!"</t>
  </si>
  <si>
    <t>Bạn chưa [ CHỌN KHO XUẤT ]</t>
  </si>
  <si>
    <t>"B" &amp; ChrW(7841) &amp; "n ch" &amp; ChrW(432) &amp; "a [ CH" &amp; ChrW(7884) &amp; "N KHO XU" &amp; ChrW(7844) &amp; "T ]"</t>
  </si>
  <si>
    <t>Bạn chưa [ CHỌN LOẠI PHIẾU ]</t>
  </si>
  <si>
    <t>"B" &amp; ChrW(7841) &amp; "n ch" &amp; ChrW(432) &amp; "a [ CH" &amp; ChrW(7884) &amp; "N LO" &amp; ChrW(7840) &amp; "I PHI" &amp; ChrW(7870) &amp; "U ]"</t>
  </si>
  <si>
    <t>MÃ SP</t>
  </si>
  <si>
    <t>TÊN SP</t>
  </si>
  <si>
    <t>GIÁ XUẤT</t>
  </si>
  <si>
    <t>XUẤT</t>
  </si>
  <si>
    <t>NHẬP</t>
  </si>
  <si>
    <t>TỒN</t>
  </si>
  <si>
    <t>Now</t>
  </si>
  <si>
    <t>Đầu Tháng</t>
  </si>
  <si>
    <t>Cuối Tháng</t>
  </si>
  <si>
    <t>Từ Ngày :</t>
  </si>
  <si>
    <t>Đến Ngày :</t>
  </si>
  <si>
    <t>KHO :</t>
  </si>
  <si>
    <t>GIÁ BÁN</t>
  </si>
  <si>
    <t>TỒN ĐẦU</t>
  </si>
  <si>
    <t>[ MÃ SẢN PHẨM ] này đã có trong list của bạn</t>
  </si>
  <si>
    <t>"[ MÃ S" &amp; ChrW(7842) &amp; "N PH" &amp; ChrW(7848) &amp; "M ] này " &amp; ChrW(273) &amp; "ã có trong list c" &amp; ChrW(7911) &amp; "a b" &amp; ChrW(7841) &amp; "n"</t>
  </si>
  <si>
    <t>[ SỐ LƯỢNG XUẤT ] không thể nhìu hơn [ SỐ LƯỢNG TỒN KHO ]...!</t>
  </si>
  <si>
    <t>Tổng Hóa Đơn</t>
  </si>
  <si>
    <t>Bạn chưa chọn [ KHÁCH HÀNG HOẶC NHÀ CUNG CẤP ] ….</t>
  </si>
  <si>
    <t>"B" &amp; ChrW(7841) &amp; "n ch" &amp; ChrW(432) &amp; "a ch" &amp; ChrW(7885) &amp; "n [ KHÁCH HÀNG HO" &amp; ChrW(7862) &amp; "C NHÀ CUNG C" &amp; ChrW(7844) &amp; "P ] " &amp; ChrW(8230) &amp; "."</t>
  </si>
  <si>
    <t>[ XUẤT PHIẾU THÀNH CÔNG ] …</t>
  </si>
  <si>
    <t>Mã SP :</t>
  </si>
  <si>
    <t>Nhập</t>
  </si>
  <si>
    <t>Xuất</t>
  </si>
  <si>
    <t>Tồn</t>
  </si>
  <si>
    <t>Tên SP :</t>
  </si>
  <si>
    <t>P.Nhập</t>
  </si>
  <si>
    <t>P.Xuất</t>
  </si>
  <si>
    <t>[ MÃ SẢN PHẨM NỲ KHÔNG TỒN TẠI ]</t>
  </si>
  <si>
    <t>"[ MÃ S" &amp; ChrW(7842) &amp; "N PH" &amp; ChrW(7848) &amp; "M N" &amp; ChrW(7922) &amp; " KHÔNG T" &amp; ChrW(7890) &amp; "N T" &amp; ChrW(7840) &amp; "I ]"</t>
  </si>
  <si>
    <t>Mã KH Or NCC</t>
  </si>
  <si>
    <t>Agribank</t>
  </si>
  <si>
    <t>Vietcombank</t>
  </si>
  <si>
    <t>Techcombank</t>
  </si>
  <si>
    <t>BIDV</t>
  </si>
  <si>
    <t>MB</t>
  </si>
  <si>
    <t>Sacombank</t>
  </si>
  <si>
    <t>DongABank</t>
  </si>
  <si>
    <t>VIB</t>
  </si>
  <si>
    <t>ACB</t>
  </si>
  <si>
    <t>TPBank</t>
  </si>
  <si>
    <t>VietinBank</t>
  </si>
  <si>
    <t>VPBank</t>
  </si>
  <si>
    <t>VIP1</t>
  </si>
  <si>
    <t>VIP2</t>
  </si>
  <si>
    <t>VIP3</t>
  </si>
  <si>
    <t>VIP4</t>
  </si>
  <si>
    <t>VIP5</t>
  </si>
  <si>
    <t>VIP6</t>
  </si>
  <si>
    <t>VIP7</t>
  </si>
  <si>
    <t>VIP8</t>
  </si>
  <si>
    <t>VIP9</t>
  </si>
  <si>
    <t>VIP10</t>
  </si>
  <si>
    <t>CÁI</t>
  </si>
  <si>
    <t>THÙNG</t>
  </si>
  <si>
    <t>NCC-VIP1</t>
  </si>
  <si>
    <t>NCC-VIP2</t>
  </si>
  <si>
    <t>NCC-VIP3</t>
  </si>
  <si>
    <t>NCC-VIP4</t>
  </si>
  <si>
    <t>NCC-VIP5</t>
  </si>
  <si>
    <t>NCC-VIP6</t>
  </si>
  <si>
    <t>NCC-VIP7</t>
  </si>
  <si>
    <t>NCC-VIP8</t>
  </si>
  <si>
    <t>NCC-VIP9</t>
  </si>
  <si>
    <t>NCC-VIP10</t>
  </si>
  <si>
    <t xml:space="preserve">Kho Công Trình </t>
  </si>
  <si>
    <t>ĐVT :</t>
  </si>
  <si>
    <t xml:space="preserve"> </t>
  </si>
  <si>
    <t/>
  </si>
  <si>
    <t>KHO:</t>
  </si>
  <si>
    <t>TÊN SẢN PHẨM</t>
  </si>
  <si>
    <t>SỐ L</t>
  </si>
  <si>
    <t>ĐƠN GIÁ</t>
  </si>
  <si>
    <t>THÀNH TIỀN</t>
  </si>
  <si>
    <t>THANH TOÁN</t>
  </si>
  <si>
    <t>Mã KH:</t>
  </si>
  <si>
    <t>ĐẾN NGÀY:</t>
  </si>
  <si>
    <t>PHÁT SINH TRONG KỲ :</t>
  </si>
  <si>
    <t>TỔNG HD</t>
  </si>
  <si>
    <t>NỢ &amp; CÓ</t>
  </si>
  <si>
    <t>TÊN KHÁCH HÀNG</t>
  </si>
  <si>
    <t>NỢ ĐẦU KỲ</t>
  </si>
  <si>
    <t>PHÁT SINH TRONG KỲ</t>
  </si>
  <si>
    <t>LOẠI BC :</t>
  </si>
  <si>
    <t>TỔNG CHI PHÍ :</t>
  </si>
  <si>
    <t>TH.TOÁN TRONG KỲ</t>
  </si>
  <si>
    <t>NỢ ĐẦU KỲ :</t>
  </si>
  <si>
    <t>6647337285765</t>
  </si>
  <si>
    <t>8995835030015</t>
  </si>
  <si>
    <t>6466737743565</t>
  </si>
  <si>
    <t>8946940333475</t>
  </si>
  <si>
    <t>YES</t>
  </si>
  <si>
    <t>[ Không để trống mã hàng ]</t>
  </si>
  <si>
    <t>"[ Không " &amp; ChrW(273) &amp; ChrW(7875) &amp; " tr" &amp; ChrW(7889) &amp; "ng mã hàng ]"</t>
  </si>
  <si>
    <t>x</t>
  </si>
  <si>
    <t xml:space="preserve">TỔNG THÀNH TIỀN : </t>
  </si>
  <si>
    <t>NCC</t>
  </si>
  <si>
    <t>PX</t>
  </si>
  <si>
    <t>PN</t>
  </si>
  <si>
    <t>SL</t>
  </si>
  <si>
    <t>THÀNH  TIỀN</t>
  </si>
  <si>
    <t>Mã KH-NCC</t>
  </si>
  <si>
    <t>Số Phiếu:</t>
  </si>
  <si>
    <t>MÃ :</t>
  </si>
  <si>
    <t>HỌ VÀ TÊN :</t>
  </si>
  <si>
    <t>Địa chỉ:</t>
  </si>
  <si>
    <t>Lý do nộp:</t>
  </si>
  <si>
    <t>Số tiền:</t>
  </si>
  <si>
    <t>Viết bằng chứ:</t>
  </si>
  <si>
    <t>Kèm theo</t>
  </si>
  <si>
    <t xml:space="preserve">  Chứng từ gốc : </t>
  </si>
  <si>
    <t>Số tiền bằng chữ :</t>
  </si>
  <si>
    <t>PT - PHIẾU THU</t>
  </si>
  <si>
    <t>KH</t>
  </si>
  <si>
    <t>CHỌN</t>
  </si>
  <si>
    <t>Đọc tiền</t>
  </si>
  <si>
    <t>LOẠI PHIẾU , MÃ KH HOĂC NCC , VÀ GIÁ TIỀN KHÔNG ĐƯỢC RỖNG</t>
  </si>
  <si>
    <t>"LO" &amp; ChrW(7840) &amp; "I PHI" &amp; ChrW(7870) &amp; "U , MÃ KH HO" &amp; ChrW(258) &amp; "C NCC , VÀ GIÁ TI" &amp; ChrW(7872) &amp; "N KHÔNG " &amp; ChrW(272) &amp; ChrW(431) &amp; ChrW(7906) &amp; "C R" &amp; ChrW(7894) &amp; "NG"</t>
  </si>
  <si>
    <t>LƯU THÀNH CÔNG</t>
  </si>
  <si>
    <t>"L" &amp; ChrW(431) &amp; "U THÀNH CÔNG"</t>
  </si>
  <si>
    <t>PC - PHIẾU THU</t>
  </si>
  <si>
    <t>1,578,947</t>
  </si>
  <si>
    <t>PT0007</t>
  </si>
  <si>
    <t>TỔNG SP</t>
  </si>
  <si>
    <t>TỔNG KH</t>
  </si>
  <si>
    <t>TỔNG NCC</t>
  </si>
  <si>
    <t>TỔNG PX</t>
  </si>
  <si>
    <t>TÔNG PN</t>
  </si>
  <si>
    <t>TÔNG PT</t>
  </si>
  <si>
    <t>Label42</t>
  </si>
  <si>
    <t>THÁNG</t>
  </si>
  <si>
    <t>Lệnh N-X</t>
  </si>
  <si>
    <t>HELLO ! ……..</t>
  </si>
  <si>
    <t>KẾ TOÀN TRƯỞNG</t>
  </si>
  <si>
    <t>PN0001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</si>
</sst>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&quot;Ngày &quot;dd&quot; tháng &quot;mm&quot; năm &quot;yyyy"/>
    <numFmt numFmtId="166" formatCode="&quot;Ngày&quot;\ dd\ &quot; Tháng&quot;\ mm\ &quot;Năm&quot;\ yyyy\ \-\ hh\ &quot;Giờ&quot;\ mm\ &quot;Phút&quot;"/>
    <numFmt numFmtId="167" formatCode="######"/>
    <numFmt numFmtId="168" formatCode="&quot;Ngày&quot;\ dd\ &quot;Tháng&quot;\ mm\ &quot;Năm&quot;\ yyyy"/>
    <numFmt numFmtId="169" formatCode="dd"/>
  </numFmts>
  <fonts count="79">
    <font>
      <sz val="11"/>
      <color theme="1"/>
      <name val="Calibri"/>
      <family val="2"/>
      <scheme val="minor"/>
    </font>
    <font>
      <sz val="18"/>
      <color theme="0"/>
      <name val="Arial"/>
      <family val="2"/>
    </font>
    <font>
      <b/>
      <sz val="11"/>
      <color rgb="FF00206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  <charset val="163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Arial Black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6"/>
      <name val="Times New Roman"/>
      <family val="1"/>
    </font>
    <font>
      <b/>
      <i/>
      <sz val="9"/>
      <name val="Times New Roman"/>
      <family val="1"/>
    </font>
    <font>
      <b/>
      <sz val="30"/>
      <name val="Arial"/>
      <family val="2"/>
    </font>
    <font>
      <b/>
      <sz val="8"/>
      <name val="Courier New"/>
      <family val="3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Times New Roman"/>
      <family val="1"/>
      <charset val="163"/>
    </font>
    <font>
      <i/>
      <sz val="10"/>
      <name val="Times New Roman"/>
      <family val="1"/>
    </font>
    <font>
      <i/>
      <sz val="9"/>
      <name val="Times New Roman"/>
      <family val="1"/>
    </font>
    <font>
      <sz val="13"/>
      <color rgb="FFFF0000"/>
      <name val="Calibri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4"/>
      <color rgb="FFFF0000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i/>
      <sz val="10"/>
      <color theme="1" tint="0.249977111117893"/>
      <name val="Courier New"/>
      <family val="3"/>
    </font>
    <font>
      <sz val="9"/>
      <color indexed="8"/>
      <name val="Arial"/>
      <family val="2"/>
    </font>
    <font>
      <i/>
      <sz val="10"/>
      <color theme="1" tint="0.14999847407452621"/>
      <name val="Courier New"/>
      <family val="3"/>
    </font>
    <font>
      <sz val="10"/>
      <color theme="1" tint="0.14999847407452621"/>
      <name val="Courier New"/>
      <family val="3"/>
    </font>
    <font>
      <sz val="10"/>
      <name val="Courier New"/>
      <family val="3"/>
    </font>
    <font>
      <sz val="14"/>
      <name val="DaunPenh"/>
    </font>
    <font>
      <sz val="12"/>
      <name val="Arial"/>
      <family val="2"/>
    </font>
    <font>
      <b/>
      <sz val="10"/>
      <name val="Calibri"/>
      <family val="2"/>
    </font>
    <font>
      <sz val="10"/>
      <color theme="1"/>
      <name val="Calibri"/>
      <family val="2"/>
      <scheme val="minor"/>
    </font>
    <font>
      <sz val="11"/>
      <name val="Times New Roman"/>
      <family val="1"/>
    </font>
    <font>
      <b/>
      <sz val="10"/>
      <name val="Times New Roman"/>
      <family val="1"/>
      <charset val="163"/>
    </font>
    <font>
      <b/>
      <sz val="10"/>
      <name val="Arial"/>
      <family val="2"/>
      <charset val="163"/>
    </font>
    <font>
      <sz val="11"/>
      <name val="VNbook-Antiqua"/>
    </font>
    <font>
      <sz val="10"/>
      <name val="VNI-Times"/>
    </font>
    <font>
      <b/>
      <sz val="9"/>
      <color indexed="12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12"/>
      <name val="Times New Roman"/>
      <family val="1"/>
    </font>
    <font>
      <sz val="10"/>
      <name val=".VnArial"/>
      <family val="2"/>
    </font>
    <font>
      <sz val="11"/>
      <color indexed="12"/>
      <name val="Times New Roman"/>
      <family val="1"/>
    </font>
    <font>
      <i/>
      <sz val="9"/>
      <color theme="1" tint="0.249977111117893"/>
      <name val="Courier New"/>
      <family val="3"/>
    </font>
    <font>
      <sz val="12"/>
      <color theme="1"/>
      <name val="Calibri"/>
      <family val="2"/>
      <scheme val="minor"/>
    </font>
    <font>
      <b/>
      <sz val="14"/>
      <color theme="1"/>
      <name val="Courier New"/>
      <family val="3"/>
    </font>
    <font>
      <b/>
      <sz val="14"/>
      <color rgb="FFFF000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Times New Roman"/>
      <family val="1"/>
    </font>
    <font>
      <sz val="11"/>
      <color indexed="8"/>
      <name val="Times New Roman"/>
      <family val="1"/>
      <charset val="163"/>
    </font>
    <font>
      <sz val="12"/>
      <color rgb="FF000000"/>
      <name val="Times New Roman"/>
      <family val="1"/>
    </font>
    <font>
      <sz val="12"/>
      <color rgb="FF000000"/>
      <name val="Calibri"/>
      <family val="2"/>
      <charset val="163"/>
    </font>
    <font>
      <sz val="11"/>
      <color theme="1"/>
      <name val="Times New Roman"/>
      <family val="1"/>
    </font>
    <font>
      <sz val="12"/>
      <color rgb="FF000000"/>
      <name val="Calibri"/>
      <family val="2"/>
    </font>
    <font>
      <sz val="10"/>
      <color rgb="FF000000"/>
      <name val="Times New Roman"/>
      <family val="1"/>
      <charset val="163"/>
    </font>
    <font>
      <sz val="9"/>
      <color rgb="FF000000"/>
      <name val="Times New Roman"/>
      <family val="1"/>
      <charset val="163"/>
    </font>
    <font>
      <b/>
      <sz val="12"/>
      <color theme="3"/>
      <name val="Courier New"/>
      <family val="3"/>
    </font>
    <font>
      <b/>
      <sz val="12"/>
      <color rgb="FFFF0000"/>
      <name val="Courier New"/>
      <family val="3"/>
    </font>
    <font>
      <b/>
      <sz val="12"/>
      <color rgb="FF00B050"/>
      <name val="Courier New"/>
      <family val="3"/>
    </font>
    <font>
      <b/>
      <sz val="16"/>
      <color theme="7" tint="-0.499984740745262"/>
      <name val="Courier New"/>
      <family val="3"/>
    </font>
    <font>
      <b/>
      <sz val="12"/>
      <color theme="9" tint="-0.499984740745262"/>
      <name val="Courier New"/>
      <family val="3"/>
    </font>
    <font>
      <b/>
      <sz val="12"/>
      <color theme="9" tint="-0.249977111117893"/>
      <name val="Courier New"/>
      <family val="3"/>
    </font>
    <font>
      <b/>
      <sz val="12"/>
      <color rgb="FF0070C0"/>
      <name val="Courier New"/>
      <family val="3"/>
    </font>
    <font>
      <b/>
      <sz val="12"/>
      <color rgb="FF7030A0"/>
      <name val="Courier New"/>
      <family val="3"/>
    </font>
    <font>
      <b/>
      <sz val="12"/>
      <name val="Courier New"/>
      <family val="3"/>
    </font>
    <font>
      <b/>
      <sz val="9"/>
      <name val="Courier New"/>
      <family val="3"/>
    </font>
    <font>
      <b/>
      <sz val="9"/>
      <color theme="1"/>
      <name val="Courier New"/>
      <family val="3"/>
    </font>
    <font>
      <b/>
      <sz val="10"/>
      <color theme="1"/>
      <name val="Courier New"/>
      <family val="3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</fills>
  <borders count="3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/>
    <xf numFmtId="4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46" fillId="0" borderId="0"/>
    <xf numFmtId="0" fontId="47" fillId="0" borderId="0"/>
    <xf numFmtId="0" fontId="52" fillId="0" borderId="0"/>
  </cellStyleXfs>
  <cellXfs count="370">
    <xf numFmtId="0" fontId="0" fillId="0" borderId="0" xfId="0"/>
    <xf numFmtId="0" fontId="0" fillId="2" borderId="0" xfId="0" applyFont="1" applyFill="1"/>
    <xf numFmtId="0" fontId="0" fillId="2" borderId="0" xfId="0" applyFill="1"/>
    <xf numFmtId="0" fontId="1" fillId="3" borderId="1" xfId="0" applyFont="1" applyFill="1" applyBorder="1" applyAlignment="1">
      <alignment horizontal="centerContinuous" vertical="center"/>
    </xf>
    <xf numFmtId="0" fontId="2" fillId="0" borderId="1" xfId="0" applyFont="1" applyFill="1" applyBorder="1" applyAlignment="1">
      <alignment horizontal="right" vertical="center" indent="1"/>
    </xf>
    <xf numFmtId="49" fontId="3" fillId="0" borderId="1" xfId="0" applyNumberFormat="1" applyFont="1" applyFill="1" applyBorder="1" applyAlignment="1">
      <alignment horizontal="left" vertical="center" wrapText="1" indent="1"/>
    </xf>
    <xf numFmtId="49" fontId="5" fillId="3" borderId="1" xfId="0" applyNumberFormat="1" applyFont="1" applyFill="1" applyBorder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/>
    </xf>
    <xf numFmtId="164" fontId="0" fillId="0" borderId="1" xfId="1" applyNumberFormat="1" applyFont="1" applyFill="1" applyBorder="1" applyAlignment="1">
      <alignment horizontal="right" vertical="center"/>
    </xf>
    <xf numFmtId="164" fontId="5" fillId="5" borderId="1" xfId="1" applyNumberFormat="1" applyFont="1" applyFill="1" applyBorder="1" applyAlignment="1">
      <alignment horizontal="center" vertical="center"/>
    </xf>
    <xf numFmtId="164" fontId="5" fillId="4" borderId="1" xfId="1" applyNumberFormat="1" applyFont="1" applyFill="1" applyBorder="1" applyAlignment="1">
      <alignment horizontal="center" vertical="center"/>
    </xf>
    <xf numFmtId="164" fontId="0" fillId="0" borderId="1" xfId="1" applyNumberFormat="1" applyFont="1" applyFill="1" applyBorder="1" applyAlignment="1">
      <alignment horizontal="center" vertical="center"/>
    </xf>
    <xf numFmtId="164" fontId="0" fillId="2" borderId="0" xfId="1" applyNumberFormat="1" applyFont="1" applyFill="1"/>
    <xf numFmtId="0" fontId="0" fillId="2" borderId="0" xfId="0" applyNumberFormat="1" applyFont="1" applyFill="1"/>
    <xf numFmtId="49" fontId="0" fillId="0" borderId="2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49" fontId="0" fillId="2" borderId="0" xfId="0" applyNumberFormat="1" applyFont="1" applyFill="1" applyAlignment="1">
      <alignment horizontal="center" vertical="center"/>
    </xf>
    <xf numFmtId="164" fontId="5" fillId="10" borderId="1" xfId="1" applyNumberFormat="1" applyFont="1" applyFill="1" applyBorder="1" applyAlignment="1">
      <alignment horizontal="center" vertical="center"/>
    </xf>
    <xf numFmtId="1" fontId="0" fillId="2" borderId="0" xfId="1" applyNumberFormat="1" applyFont="1" applyFill="1"/>
    <xf numFmtId="1" fontId="0" fillId="2" borderId="0" xfId="0" applyNumberFormat="1" applyFont="1" applyFill="1"/>
    <xf numFmtId="1" fontId="5" fillId="3" borderId="1" xfId="1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0" fillId="0" borderId="1" xfId="1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0" fontId="5" fillId="3" borderId="1" xfId="0" applyNumberFormat="1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1" xfId="0" applyNumberFormat="1" applyFont="1" applyBorder="1" applyAlignment="1">
      <alignment horizontal="lef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left"/>
    </xf>
    <xf numFmtId="0" fontId="0" fillId="2" borderId="0" xfId="0" applyNumberFormat="1" applyFill="1" applyAlignment="1">
      <alignment horizontal="center"/>
    </xf>
    <xf numFmtId="0" fontId="5" fillId="3" borderId="1" xfId="0" applyNumberFormat="1" applyFont="1" applyFill="1" applyBorder="1" applyAlignment="1">
      <alignment horizontal="center" vertical="center"/>
    </xf>
    <xf numFmtId="0" fontId="9" fillId="2" borderId="0" xfId="0" applyNumberFormat="1" applyFont="1" applyFill="1" applyAlignment="1">
      <alignment horizontal="right"/>
    </xf>
    <xf numFmtId="49" fontId="5" fillId="3" borderId="1" xfId="1" applyNumberFormat="1" applyFont="1" applyFill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left" vertical="center"/>
    </xf>
    <xf numFmtId="49" fontId="0" fillId="0" borderId="3" xfId="0" applyNumberFormat="1" applyFill="1" applyBorder="1" applyAlignment="1">
      <alignment horizontal="left" vertical="center"/>
    </xf>
    <xf numFmtId="49" fontId="0" fillId="0" borderId="1" xfId="1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right" vertical="center"/>
    </xf>
    <xf numFmtId="49" fontId="0" fillId="2" borderId="0" xfId="0" applyNumberFormat="1" applyFill="1" applyAlignment="1">
      <alignment horizontal="center" vertical="center"/>
    </xf>
    <xf numFmtId="49" fontId="6" fillId="0" borderId="1" xfId="0" applyNumberFormat="1" applyFont="1" applyBorder="1" applyAlignment="1">
      <alignment horizontal="left"/>
    </xf>
    <xf numFmtId="0" fontId="10" fillId="3" borderId="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0" fontId="9" fillId="2" borderId="0" xfId="0" applyFont="1" applyFill="1" applyProtection="1">
      <protection locked="0"/>
    </xf>
    <xf numFmtId="0" fontId="11" fillId="2" borderId="0" xfId="0" applyFont="1" applyFill="1" applyProtection="1">
      <protection locked="0"/>
    </xf>
    <xf numFmtId="0" fontId="12" fillId="0" borderId="0" xfId="0" applyFont="1"/>
    <xf numFmtId="0" fontId="13" fillId="0" borderId="0" xfId="0" applyNumberFormat="1" applyFont="1" applyAlignment="1">
      <alignment vertical="center"/>
    </xf>
    <xf numFmtId="49" fontId="13" fillId="0" borderId="0" xfId="0" applyNumberFormat="1" applyFont="1" applyAlignment="1">
      <alignment vertical="center"/>
    </xf>
    <xf numFmtId="0" fontId="0" fillId="0" borderId="0" xfId="0" applyFill="1" applyAlignment="1" applyProtection="1">
      <alignment vertical="center"/>
      <protection locked="0"/>
    </xf>
    <xf numFmtId="0" fontId="9" fillId="2" borderId="0" xfId="0" applyFont="1" applyFill="1" applyProtection="1"/>
    <xf numFmtId="0" fontId="13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Alignment="1" applyProtection="1">
      <alignment horizontal="left" vertical="center"/>
      <protection locked="0"/>
    </xf>
    <xf numFmtId="0" fontId="13" fillId="0" borderId="0" xfId="0" applyFont="1" applyFill="1" applyAlignment="1" applyProtection="1">
      <alignment horizontal="centerContinuous" vertical="center" wrapText="1"/>
      <protection locked="0"/>
    </xf>
    <xf numFmtId="0" fontId="13" fillId="0" borderId="0" xfId="0" applyFont="1" applyAlignment="1">
      <alignment vertical="center"/>
    </xf>
    <xf numFmtId="0" fontId="16" fillId="0" borderId="0" xfId="0" applyNumberFormat="1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 applyProtection="1">
      <protection locked="0"/>
    </xf>
    <xf numFmtId="0" fontId="18" fillId="0" borderId="0" xfId="0" applyFont="1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20" fillId="0" borderId="0" xfId="0" applyNumberFormat="1" applyFont="1" applyFill="1" applyBorder="1" applyAlignment="1" applyProtection="1">
      <alignment vertical="center"/>
      <protection locked="0"/>
    </xf>
    <xf numFmtId="0" fontId="21" fillId="0" borderId="0" xfId="0" applyNumberFormat="1" applyFont="1" applyFill="1" applyBorder="1" applyAlignment="1" applyProtection="1">
      <alignment horizontal="right"/>
      <protection locked="0"/>
    </xf>
    <xf numFmtId="0" fontId="22" fillId="0" borderId="0" xfId="0" applyNumberFormat="1" applyFont="1" applyFill="1" applyBorder="1" applyAlignment="1" applyProtection="1"/>
    <xf numFmtId="0" fontId="21" fillId="0" borderId="0" xfId="0" applyFont="1" applyFill="1" applyBorder="1" applyAlignment="1" applyProtection="1">
      <alignment horizontal="right" wrapText="1"/>
      <protection locked="0"/>
    </xf>
    <xf numFmtId="164" fontId="23" fillId="0" borderId="15" xfId="1" applyNumberFormat="1" applyFont="1" applyFill="1" applyBorder="1" applyAlignment="1" applyProtection="1">
      <alignment horizontal="left"/>
    </xf>
    <xf numFmtId="0" fontId="24" fillId="0" borderId="0" xfId="0" applyNumberFormat="1" applyFont="1" applyFill="1" applyBorder="1" applyAlignment="1" applyProtection="1">
      <alignment horizontal="left"/>
      <protection locked="0"/>
    </xf>
    <xf numFmtId="165" fontId="25" fillId="0" borderId="0" xfId="0" applyNumberFormat="1" applyFont="1" applyFill="1" applyBorder="1" applyAlignment="1" applyProtection="1">
      <protection locked="0"/>
    </xf>
    <xf numFmtId="166" fontId="26" fillId="0" borderId="0" xfId="0" applyNumberFormat="1" applyFont="1" applyFill="1" applyBorder="1" applyAlignment="1" applyProtection="1">
      <alignment horizontal="centerContinuous"/>
    </xf>
    <xf numFmtId="165" fontId="25" fillId="0" borderId="0" xfId="0" applyNumberFormat="1" applyFont="1" applyFill="1" applyBorder="1" applyAlignment="1" applyProtection="1">
      <alignment horizontal="centerContinuous"/>
      <protection locked="0"/>
    </xf>
    <xf numFmtId="0" fontId="27" fillId="2" borderId="0" xfId="0" applyFont="1" applyFill="1" applyBorder="1" applyAlignment="1">
      <alignment vertical="center"/>
    </xf>
    <xf numFmtId="0" fontId="28" fillId="0" borderId="0" xfId="0" applyFont="1" applyFill="1" applyBorder="1" applyAlignment="1" applyProtection="1">
      <protection locked="0"/>
    </xf>
    <xf numFmtId="0" fontId="29" fillId="0" borderId="0" xfId="0" applyNumberFormat="1" applyFont="1" applyFill="1" applyBorder="1" applyAlignment="1" applyProtection="1">
      <alignment horizontal="left"/>
      <protection locked="0"/>
    </xf>
    <xf numFmtId="0" fontId="30" fillId="0" borderId="0" xfId="0" applyFont="1" applyFill="1" applyBorder="1" applyAlignment="1" applyProtection="1">
      <protection locked="0"/>
    </xf>
    <xf numFmtId="0" fontId="31" fillId="2" borderId="0" xfId="0" applyFont="1" applyFill="1" applyBorder="1" applyAlignment="1">
      <alignment vertical="center"/>
    </xf>
    <xf numFmtId="0" fontId="32" fillId="0" borderId="0" xfId="0" applyFont="1" applyFill="1" applyBorder="1" applyAlignment="1" applyProtection="1">
      <alignment horizontal="center"/>
      <protection locked="0"/>
    </xf>
    <xf numFmtId="0" fontId="33" fillId="0" borderId="0" xfId="0" applyFont="1" applyFill="1" applyBorder="1" applyAlignment="1" applyProtection="1">
      <alignment horizontal="right" vertical="center"/>
    </xf>
    <xf numFmtId="0" fontId="34" fillId="0" borderId="16" xfId="0" applyNumberFormat="1" applyFont="1" applyFill="1" applyBorder="1" applyAlignment="1" applyProtection="1"/>
    <xf numFmtId="49" fontId="33" fillId="0" borderId="16" xfId="0" applyNumberFormat="1" applyFont="1" applyFill="1" applyBorder="1" applyAlignment="1" applyProtection="1">
      <protection locked="0"/>
    </xf>
    <xf numFmtId="0" fontId="0" fillId="2" borderId="0" xfId="0" applyFont="1" applyFill="1" applyBorder="1" applyAlignment="1">
      <alignment vertical="center"/>
    </xf>
    <xf numFmtId="0" fontId="33" fillId="0" borderId="0" xfId="0" applyFont="1" applyFill="1" applyBorder="1" applyAlignment="1" applyProtection="1">
      <alignment horizontal="right" vertical="center"/>
      <protection locked="0"/>
    </xf>
    <xf numFmtId="14" fontId="35" fillId="0" borderId="16" xfId="0" applyNumberFormat="1" applyFont="1" applyFill="1" applyBorder="1" applyAlignment="1" applyProtection="1">
      <alignment horizontal="right"/>
      <protection locked="0"/>
    </xf>
    <xf numFmtId="49" fontId="35" fillId="0" borderId="16" xfId="0" applyNumberFormat="1" applyFont="1" applyFill="1" applyBorder="1" applyAlignment="1" applyProtection="1">
      <protection locked="0"/>
    </xf>
    <xf numFmtId="49" fontId="32" fillId="0" borderId="16" xfId="0" applyNumberFormat="1" applyFont="1" applyFill="1" applyBorder="1" applyAlignment="1" applyProtection="1">
      <protection locked="0"/>
    </xf>
    <xf numFmtId="0" fontId="0" fillId="2" borderId="0" xfId="0" applyFill="1" applyBorder="1" applyProtection="1">
      <protection locked="0"/>
    </xf>
    <xf numFmtId="0" fontId="36" fillId="0" borderId="17" xfId="0" applyNumberFormat="1" applyFont="1" applyFill="1" applyBorder="1" applyAlignment="1" applyProtection="1"/>
    <xf numFmtId="0" fontId="33" fillId="0" borderId="0" xfId="0" applyFont="1" applyFill="1" applyBorder="1" applyAlignment="1" applyProtection="1">
      <alignment horizontal="right"/>
    </xf>
    <xf numFmtId="0" fontId="34" fillId="0" borderId="17" xfId="0" applyNumberFormat="1" applyFont="1" applyFill="1" applyBorder="1" applyAlignment="1" applyProtection="1"/>
    <xf numFmtId="49" fontId="35" fillId="0" borderId="17" xfId="0" applyNumberFormat="1" applyFont="1" applyFill="1" applyBorder="1" applyAlignment="1" applyProtection="1">
      <protection locked="0"/>
    </xf>
    <xf numFmtId="49" fontId="32" fillId="0" borderId="17" xfId="0" applyNumberFormat="1" applyFont="1" applyFill="1" applyBorder="1" applyAlignment="1" applyProtection="1">
      <protection locked="0"/>
    </xf>
    <xf numFmtId="0" fontId="37" fillId="0" borderId="16" xfId="0" applyNumberFormat="1" applyFont="1" applyFill="1" applyBorder="1" applyAlignment="1" applyProtection="1"/>
    <xf numFmtId="49" fontId="38" fillId="0" borderId="16" xfId="0" applyNumberFormat="1" applyFont="1" applyFill="1" applyBorder="1" applyAlignment="1" applyProtection="1">
      <alignment vertical="center"/>
      <protection locked="0"/>
    </xf>
    <xf numFmtId="49" fontId="39" fillId="0" borderId="16" xfId="0" applyNumberFormat="1" applyFont="1" applyFill="1" applyBorder="1" applyAlignment="1" applyProtection="1">
      <alignment vertical="center"/>
      <protection locked="0"/>
    </xf>
    <xf numFmtId="0" fontId="40" fillId="0" borderId="0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41" fillId="0" borderId="18" xfId="0" applyFont="1" applyFill="1" applyBorder="1" applyAlignment="1" applyProtection="1">
      <alignment horizontal="centerContinuous" vertical="center"/>
      <protection locked="0"/>
    </xf>
    <xf numFmtId="0" fontId="16" fillId="0" borderId="18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>
      <alignment horizontal="center" vertical="center"/>
    </xf>
    <xf numFmtId="164" fontId="42" fillId="0" borderId="18" xfId="1" applyNumberFormat="1" applyFont="1" applyBorder="1" applyAlignment="1">
      <alignment vertical="center"/>
    </xf>
    <xf numFmtId="164" fontId="42" fillId="0" borderId="18" xfId="1" applyNumberFormat="1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9" fillId="2" borderId="0" xfId="0" applyFont="1" applyFill="1"/>
    <xf numFmtId="0" fontId="44" fillId="0" borderId="0" xfId="0" applyFont="1" applyFill="1" applyBorder="1" applyAlignment="1" applyProtection="1">
      <protection locked="0"/>
    </xf>
    <xf numFmtId="0" fontId="45" fillId="0" borderId="0" xfId="0" applyFont="1" applyFill="1" applyBorder="1" applyAlignment="1" applyProtection="1">
      <alignment horizontal="left"/>
      <protection locked="0"/>
    </xf>
    <xf numFmtId="0" fontId="45" fillId="0" borderId="0" xfId="0" applyFont="1" applyFill="1" applyBorder="1" applyProtection="1">
      <protection locked="0"/>
    </xf>
    <xf numFmtId="164" fontId="43" fillId="2" borderId="0" xfId="3" applyNumberFormat="1" applyFont="1" applyFill="1" applyBorder="1" applyProtection="1">
      <protection locked="0"/>
    </xf>
    <xf numFmtId="0" fontId="48" fillId="2" borderId="0" xfId="4" applyFont="1" applyFill="1" applyAlignment="1" applyProtection="1">
      <alignment horizontal="center" vertical="center"/>
      <protection locked="0"/>
    </xf>
    <xf numFmtId="0" fontId="49" fillId="2" borderId="0" xfId="4" applyFont="1" applyFill="1" applyAlignment="1" applyProtection="1">
      <alignment horizontal="center" vertical="center"/>
      <protection locked="0"/>
    </xf>
    <xf numFmtId="0" fontId="43" fillId="2" borderId="0" xfId="3" applyFont="1" applyFill="1" applyBorder="1" applyProtection="1">
      <protection locked="0"/>
    </xf>
    <xf numFmtId="0" fontId="50" fillId="2" borderId="0" xfId="4" applyFont="1" applyFill="1" applyAlignment="1" applyProtection="1">
      <alignment vertical="center"/>
      <protection locked="0"/>
    </xf>
    <xf numFmtId="0" fontId="51" fillId="2" borderId="0" xfId="4" applyFont="1" applyFill="1" applyAlignment="1" applyProtection="1">
      <alignment vertical="center"/>
      <protection locked="0"/>
    </xf>
    <xf numFmtId="0" fontId="43" fillId="2" borderId="0" xfId="4" applyFont="1" applyFill="1" applyAlignment="1" applyProtection="1">
      <alignment vertical="center"/>
      <protection locked="0"/>
    </xf>
    <xf numFmtId="0" fontId="53" fillId="2" borderId="0" xfId="5" applyFont="1" applyFill="1" applyAlignment="1" applyProtection="1">
      <alignment horizontal="center" vertical="center"/>
      <protection locked="0"/>
    </xf>
    <xf numFmtId="0" fontId="53" fillId="2" borderId="0" xfId="4" applyFont="1" applyFill="1" applyAlignment="1" applyProtection="1">
      <alignment horizontal="center" vertical="center"/>
      <protection locked="0"/>
    </xf>
    <xf numFmtId="0" fontId="53" fillId="2" borderId="0" xfId="4" applyFont="1" applyFill="1" applyAlignment="1" applyProtection="1">
      <alignment vertical="center"/>
      <protection locked="0"/>
    </xf>
    <xf numFmtId="0" fontId="54" fillId="0" borderId="16" xfId="0" applyNumberFormat="1" applyFont="1" applyFill="1" applyBorder="1" applyAlignment="1" applyProtection="1"/>
    <xf numFmtId="49" fontId="0" fillId="0" borderId="22" xfId="0" applyNumberFormat="1" applyFont="1" applyFill="1" applyBorder="1" applyAlignment="1">
      <alignment horizontal="center" vertical="center"/>
    </xf>
    <xf numFmtId="49" fontId="0" fillId="2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>
      <alignment horizontal="left" vertical="center"/>
    </xf>
    <xf numFmtId="0" fontId="5" fillId="3" borderId="23" xfId="0" applyNumberFormat="1" applyFont="1" applyFill="1" applyBorder="1" applyAlignment="1">
      <alignment horizontal="center" vertical="center"/>
    </xf>
    <xf numFmtId="164" fontId="5" fillId="3" borderId="23" xfId="1" applyNumberFormat="1" applyFont="1" applyFill="1" applyBorder="1" applyAlignment="1">
      <alignment horizontal="center" vertical="center"/>
    </xf>
    <xf numFmtId="164" fontId="5" fillId="4" borderId="23" xfId="1" applyNumberFormat="1" applyFont="1" applyFill="1" applyBorder="1" applyAlignment="1">
      <alignment horizontal="center" vertical="center"/>
    </xf>
    <xf numFmtId="0" fontId="0" fillId="2" borderId="0" xfId="0" applyFill="1" applyBorder="1"/>
    <xf numFmtId="49" fontId="9" fillId="2" borderId="0" xfId="0" applyNumberFormat="1" applyFont="1" applyFill="1" applyAlignment="1">
      <alignment horizontal="right"/>
    </xf>
    <xf numFmtId="164" fontId="5" fillId="3" borderId="1" xfId="1" applyNumberFormat="1" applyFont="1" applyFill="1" applyBorder="1" applyAlignment="1">
      <alignment horizontal="center" vertical="center"/>
    </xf>
    <xf numFmtId="0" fontId="0" fillId="6" borderId="0" xfId="0" applyFill="1" applyBorder="1" applyAlignment="1"/>
    <xf numFmtId="14" fontId="0" fillId="6" borderId="16" xfId="0" applyNumberFormat="1" applyFill="1" applyBorder="1" applyAlignment="1">
      <alignment horizontal="left"/>
    </xf>
    <xf numFmtId="49" fontId="0" fillId="6" borderId="16" xfId="0" applyNumberFormat="1" applyFill="1" applyBorder="1" applyAlignment="1">
      <alignment horizontal="left"/>
    </xf>
    <xf numFmtId="0" fontId="0" fillId="6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Border="1" applyAlignment="1">
      <alignment horizontal="center"/>
    </xf>
    <xf numFmtId="164" fontId="0" fillId="6" borderId="0" xfId="1" applyNumberFormat="1" applyFont="1" applyFill="1"/>
    <xf numFmtId="164" fontId="0" fillId="6" borderId="0" xfId="1" applyNumberFormat="1" applyFont="1" applyFill="1" applyBorder="1"/>
    <xf numFmtId="0" fontId="13" fillId="0" borderId="1" xfId="0" applyNumberFormat="1" applyFont="1" applyFill="1" applyBorder="1" applyAlignment="1">
      <alignment horizontal="center" vertical="center"/>
    </xf>
    <xf numFmtId="0" fontId="13" fillId="2" borderId="0" xfId="0" applyFont="1" applyFill="1"/>
    <xf numFmtId="0" fontId="13" fillId="0" borderId="1" xfId="0" applyNumberFormat="1" applyFont="1" applyBorder="1" applyAlignment="1">
      <alignment horizontal="center"/>
    </xf>
    <xf numFmtId="0" fontId="13" fillId="0" borderId="1" xfId="0" applyNumberFormat="1" applyFont="1" applyBorder="1" applyAlignment="1">
      <alignment wrapText="1"/>
    </xf>
    <xf numFmtId="0" fontId="13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vertical="center" wrapText="1"/>
    </xf>
    <xf numFmtId="0" fontId="13" fillId="0" borderId="1" xfId="0" applyNumberFormat="1" applyFont="1" applyBorder="1" applyAlignment="1">
      <alignment horizontal="center" vertical="center" wrapText="1"/>
    </xf>
    <xf numFmtId="164" fontId="13" fillId="0" borderId="1" xfId="1" applyNumberFormat="1" applyFont="1" applyFill="1" applyBorder="1" applyAlignment="1">
      <alignment horizontal="center" vertical="center"/>
    </xf>
    <xf numFmtId="164" fontId="13" fillId="0" borderId="1" xfId="1" applyNumberFormat="1" applyFont="1" applyBorder="1" applyAlignment="1">
      <alignment vertical="center"/>
    </xf>
    <xf numFmtId="164" fontId="13" fillId="0" borderId="1" xfId="1" applyNumberFormat="1" applyFont="1" applyBorder="1"/>
    <xf numFmtId="14" fontId="5" fillId="3" borderId="23" xfId="0" applyNumberFormat="1" applyFont="1" applyFill="1" applyBorder="1" applyAlignment="1">
      <alignment horizontal="center" vertical="center"/>
    </xf>
    <xf numFmtId="164" fontId="0" fillId="6" borderId="0" xfId="1" applyNumberFormat="1" applyFont="1" applyFill="1" applyBorder="1" applyAlignment="1">
      <alignment horizontal="center"/>
    </xf>
    <xf numFmtId="164" fontId="0" fillId="6" borderId="0" xfId="1" applyNumberFormat="1" applyFont="1" applyFill="1" applyAlignment="1">
      <alignment horizontal="center"/>
    </xf>
    <xf numFmtId="164" fontId="13" fillId="0" borderId="1" xfId="1" applyNumberFormat="1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/>
    </xf>
    <xf numFmtId="14" fontId="0" fillId="6" borderId="16" xfId="0" applyNumberFormat="1" applyFill="1" applyBorder="1" applyAlignment="1">
      <alignment horizontal="left"/>
    </xf>
    <xf numFmtId="14" fontId="0" fillId="2" borderId="0" xfId="0" applyNumberFormat="1" applyFill="1" applyBorder="1" applyAlignment="1">
      <alignment horizontal="left"/>
    </xf>
    <xf numFmtId="14" fontId="13" fillId="2" borderId="0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14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left" wrapText="1"/>
    </xf>
    <xf numFmtId="14" fontId="13" fillId="0" borderId="1" xfId="0" applyNumberFormat="1" applyFont="1" applyFill="1" applyBorder="1" applyAlignment="1">
      <alignment horizontal="center"/>
    </xf>
    <xf numFmtId="0" fontId="5" fillId="3" borderId="23" xfId="0" applyNumberFormat="1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left"/>
    </xf>
    <xf numFmtId="0" fontId="13" fillId="0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 applyAlignment="1">
      <alignment horizontal="left" wrapText="1"/>
    </xf>
    <xf numFmtId="0" fontId="13" fillId="0" borderId="1" xfId="0" applyFont="1" applyBorder="1" applyAlignment="1">
      <alignment horizontal="center"/>
    </xf>
    <xf numFmtId="0" fontId="55" fillId="0" borderId="0" xfId="0" applyFont="1" applyAlignment="1">
      <alignment horizontal="center" vertical="center"/>
    </xf>
    <xf numFmtId="0" fontId="13" fillId="2" borderId="0" xfId="0" applyFont="1" applyFill="1" applyBorder="1" applyAlignment="1">
      <alignment horizontal="right"/>
    </xf>
    <xf numFmtId="164" fontId="13" fillId="0" borderId="1" xfId="1" applyNumberFormat="1" applyFont="1" applyFill="1" applyBorder="1" applyAlignment="1">
      <alignment horizontal="right"/>
    </xf>
    <xf numFmtId="3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right"/>
    </xf>
    <xf numFmtId="0" fontId="13" fillId="2" borderId="0" xfId="0" applyFont="1" applyFill="1" applyBorder="1" applyAlignment="1"/>
    <xf numFmtId="3" fontId="13" fillId="0" borderId="1" xfId="0" applyNumberFormat="1" applyFont="1" applyFill="1" applyBorder="1" applyAlignment="1"/>
    <xf numFmtId="164" fontId="13" fillId="0" borderId="1" xfId="1" applyNumberFormat="1" applyFont="1" applyFill="1" applyBorder="1" applyAlignment="1"/>
    <xf numFmtId="3" fontId="13" fillId="0" borderId="1" xfId="0" applyNumberFormat="1" applyFont="1" applyBorder="1" applyAlignment="1"/>
    <xf numFmtId="0" fontId="13" fillId="0" borderId="1" xfId="0" applyFont="1" applyBorder="1" applyAlignment="1"/>
    <xf numFmtId="49" fontId="0" fillId="6" borderId="16" xfId="0" applyNumberFormat="1" applyFill="1" applyBorder="1" applyAlignment="1">
      <alignment horizontal="center"/>
    </xf>
    <xf numFmtId="14" fontId="13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 wrapText="1"/>
    </xf>
    <xf numFmtId="0" fontId="13" fillId="0" borderId="1" xfId="0" applyNumberFormat="1" applyFont="1" applyBorder="1" applyAlignment="1">
      <alignment horizontal="center" wrapText="1"/>
    </xf>
    <xf numFmtId="164" fontId="0" fillId="6" borderId="16" xfId="1" applyNumberFormat="1" applyFont="1" applyFill="1" applyBorder="1" applyAlignment="1">
      <alignment horizontal="center"/>
    </xf>
    <xf numFmtId="164" fontId="0" fillId="6" borderId="16" xfId="1" applyNumberFormat="1" applyFont="1" applyFill="1" applyBorder="1"/>
    <xf numFmtId="0" fontId="8" fillId="6" borderId="0" xfId="0" applyFont="1" applyFill="1" applyBorder="1" applyAlignment="1">
      <alignment horizontal="right"/>
    </xf>
    <xf numFmtId="0" fontId="13" fillId="0" borderId="24" xfId="0" applyNumberFormat="1" applyFont="1" applyBorder="1" applyAlignment="1">
      <alignment horizontal="center"/>
    </xf>
    <xf numFmtId="0" fontId="13" fillId="0" borderId="24" xfId="0" applyNumberFormat="1" applyFont="1" applyBorder="1" applyAlignment="1">
      <alignment horizontal="center" wrapText="1"/>
    </xf>
    <xf numFmtId="164" fontId="13" fillId="0" borderId="24" xfId="1" applyNumberFormat="1" applyFont="1" applyBorder="1" applyAlignment="1">
      <alignment horizontal="center"/>
    </xf>
    <xf numFmtId="164" fontId="13" fillId="0" borderId="24" xfId="1" applyNumberFormat="1" applyFont="1" applyBorder="1"/>
    <xf numFmtId="0" fontId="13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 wrapText="1"/>
    </xf>
    <xf numFmtId="164" fontId="13" fillId="0" borderId="0" xfId="1" applyNumberFormat="1" applyFont="1" applyFill="1" applyBorder="1" applyAlignment="1">
      <alignment horizontal="center"/>
    </xf>
    <xf numFmtId="164" fontId="13" fillId="0" borderId="0" xfId="1" applyNumberFormat="1" applyFont="1" applyFill="1" applyBorder="1"/>
    <xf numFmtId="0" fontId="13" fillId="0" borderId="24" xfId="0" applyNumberFormat="1" applyFont="1" applyBorder="1" applyAlignment="1">
      <alignment wrapText="1"/>
    </xf>
    <xf numFmtId="0" fontId="13" fillId="0" borderId="0" xfId="0" applyNumberFormat="1" applyFont="1" applyFill="1" applyBorder="1" applyAlignment="1">
      <alignment wrapText="1"/>
    </xf>
    <xf numFmtId="0" fontId="0" fillId="12" borderId="0" xfId="0" applyFill="1"/>
    <xf numFmtId="14" fontId="0" fillId="12" borderId="0" xfId="0" applyNumberFormat="1" applyFill="1" applyBorder="1" applyAlignment="1">
      <alignment horizontal="left"/>
    </xf>
    <xf numFmtId="0" fontId="0" fillId="12" borderId="0" xfId="0" applyFill="1" applyBorder="1"/>
    <xf numFmtId="0" fontId="13" fillId="12" borderId="0" xfId="0" applyFont="1" applyFill="1"/>
    <xf numFmtId="0" fontId="13" fillId="12" borderId="0" xfId="0" applyFont="1" applyFill="1" applyBorder="1"/>
    <xf numFmtId="0" fontId="13" fillId="2" borderId="0" xfId="0" applyFont="1" applyFill="1" applyAlignment="1">
      <alignment horizontal="center"/>
    </xf>
    <xf numFmtId="164" fontId="57" fillId="0" borderId="23" xfId="1" applyNumberFormat="1" applyFont="1" applyFill="1" applyBorder="1" applyAlignment="1">
      <alignment horizontal="center" vertical="center"/>
    </xf>
    <xf numFmtId="0" fontId="5" fillId="13" borderId="25" xfId="0" applyNumberFormat="1" applyFont="1" applyFill="1" applyBorder="1" applyAlignment="1">
      <alignment horizontal="center" vertical="center"/>
    </xf>
    <xf numFmtId="164" fontId="5" fillId="13" borderId="25" xfId="1" applyNumberFormat="1" applyFont="1" applyFill="1" applyBorder="1" applyAlignment="1">
      <alignment horizontal="center" vertical="center"/>
    </xf>
    <xf numFmtId="164" fontId="5" fillId="3" borderId="3" xfId="1" applyNumberFormat="1" applyFont="1" applyFill="1" applyBorder="1" applyAlignment="1">
      <alignment horizontal="center" vertical="center"/>
    </xf>
    <xf numFmtId="0" fontId="13" fillId="0" borderId="23" xfId="0" applyNumberFormat="1" applyFont="1" applyFill="1" applyBorder="1" applyAlignment="1">
      <alignment horizontal="center" vertical="center"/>
    </xf>
    <xf numFmtId="0" fontId="13" fillId="0" borderId="23" xfId="0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center" vertical="center"/>
    </xf>
    <xf numFmtId="0" fontId="5" fillId="13" borderId="25" xfId="0" applyNumberFormat="1" applyFont="1" applyFill="1" applyBorder="1" applyAlignment="1">
      <alignment vertical="center"/>
    </xf>
    <xf numFmtId="14" fontId="58" fillId="6" borderId="16" xfId="0" applyNumberFormat="1" applyFont="1" applyFill="1" applyBorder="1" applyAlignment="1">
      <alignment horizontal="left"/>
    </xf>
    <xf numFmtId="49" fontId="58" fillId="6" borderId="16" xfId="0" applyNumberFormat="1" applyFont="1" applyFill="1" applyBorder="1" applyAlignment="1">
      <alignment horizontal="left"/>
    </xf>
    <xf numFmtId="0" fontId="58" fillId="6" borderId="16" xfId="0" applyNumberFormat="1" applyFont="1" applyFill="1" applyBorder="1" applyAlignment="1">
      <alignment horizontal="left"/>
    </xf>
    <xf numFmtId="0" fontId="5" fillId="13" borderId="29" xfId="0" applyNumberFormat="1" applyFont="1" applyFill="1" applyBorder="1" applyAlignment="1">
      <alignment horizontal="center" vertical="center"/>
    </xf>
    <xf numFmtId="164" fontId="5" fillId="13" borderId="29" xfId="1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49" fontId="5" fillId="3" borderId="3" xfId="0" applyNumberFormat="1" applyFont="1" applyFill="1" applyBorder="1" applyAlignment="1">
      <alignment horizontal="center" vertical="center"/>
    </xf>
    <xf numFmtId="0" fontId="6" fillId="0" borderId="1" xfId="0" applyFont="1" applyBorder="1"/>
    <xf numFmtId="0" fontId="0" fillId="0" borderId="1" xfId="0" applyFont="1" applyBorder="1"/>
    <xf numFmtId="0" fontId="61" fillId="7" borderId="1" xfId="0" applyFont="1" applyFill="1" applyBorder="1" applyAlignment="1">
      <alignment horizontal="left"/>
    </xf>
    <xf numFmtId="0" fontId="6" fillId="8" borderId="1" xfId="0" applyFont="1" applyFill="1" applyBorder="1"/>
    <xf numFmtId="0" fontId="62" fillId="9" borderId="1" xfId="0" applyFont="1" applyFill="1" applyBorder="1" applyAlignment="1">
      <alignment vertical="center" wrapText="1"/>
    </xf>
    <xf numFmtId="0" fontId="62" fillId="0" borderId="1" xfId="0" applyFont="1" applyBorder="1"/>
    <xf numFmtId="0" fontId="64" fillId="0" borderId="1" xfId="0" applyFont="1" applyBorder="1"/>
    <xf numFmtId="0" fontId="66" fillId="9" borderId="1" xfId="0" applyFont="1" applyFill="1" applyBorder="1" applyAlignment="1">
      <alignment wrapText="1"/>
    </xf>
    <xf numFmtId="0" fontId="6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59" fillId="6" borderId="1" xfId="0" applyFont="1" applyFill="1" applyBorder="1" applyAlignment="1">
      <alignment horizontal="left"/>
    </xf>
    <xf numFmtId="167" fontId="60" fillId="0" borderId="1" xfId="2" applyNumberFormat="1" applyFont="1" applyBorder="1" applyAlignment="1">
      <alignment horizontal="left"/>
    </xf>
    <xf numFmtId="0" fontId="62" fillId="9" borderId="1" xfId="0" applyFont="1" applyFill="1" applyBorder="1" applyAlignment="1">
      <alignment horizontal="left" vertical="center" wrapText="1"/>
    </xf>
    <xf numFmtId="0" fontId="63" fillId="6" borderId="1" xfId="0" applyFont="1" applyFill="1" applyBorder="1" applyAlignment="1">
      <alignment horizontal="left"/>
    </xf>
    <xf numFmtId="0" fontId="62" fillId="0" borderId="1" xfId="0" applyFont="1" applyBorder="1" applyAlignment="1">
      <alignment horizontal="left" vertical="center"/>
    </xf>
    <xf numFmtId="0" fontId="65" fillId="9" borderId="1" xfId="0" applyFont="1" applyFill="1" applyBorder="1" applyAlignment="1">
      <alignment horizontal="left" wrapText="1"/>
    </xf>
    <xf numFmtId="14" fontId="8" fillId="6" borderId="0" xfId="0" applyNumberFormat="1" applyFont="1" applyFill="1" applyBorder="1" applyAlignment="1">
      <alignment horizontal="right"/>
    </xf>
    <xf numFmtId="0" fontId="0" fillId="6" borderId="0" xfId="0" applyFill="1" applyBorder="1" applyAlignment="1">
      <alignment horizontal="left"/>
    </xf>
    <xf numFmtId="0" fontId="13" fillId="0" borderId="1" xfId="0" applyNumberFormat="1" applyFont="1" applyFill="1" applyBorder="1" applyAlignment="1">
      <alignment horizontal="left" vertical="center" wrapText="1"/>
    </xf>
    <xf numFmtId="0" fontId="13" fillId="0" borderId="1" xfId="0" applyNumberFormat="1" applyFont="1" applyBorder="1" applyAlignment="1">
      <alignment horizontal="left" vertical="center" wrapText="1"/>
    </xf>
    <xf numFmtId="0" fontId="13" fillId="0" borderId="0" xfId="0" applyNumberFormat="1" applyFont="1" applyFill="1" applyBorder="1" applyAlignment="1">
      <alignment horizontal="left" wrapText="1"/>
    </xf>
    <xf numFmtId="14" fontId="58" fillId="6" borderId="0" xfId="0" applyNumberFormat="1" applyFont="1" applyFill="1" applyBorder="1" applyAlignment="1">
      <alignment horizontal="left"/>
    </xf>
    <xf numFmtId="164" fontId="13" fillId="0" borderId="1" xfId="1" applyNumberFormat="1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5" fillId="14" borderId="30" xfId="0" applyNumberFormat="1" applyFont="1" applyFill="1" applyBorder="1" applyAlignment="1">
      <alignment horizontal="center" vertical="center"/>
    </xf>
    <xf numFmtId="14" fontId="5" fillId="14" borderId="30" xfId="0" applyNumberFormat="1" applyFont="1" applyFill="1" applyBorder="1" applyAlignment="1">
      <alignment horizontal="center" vertical="center"/>
    </xf>
    <xf numFmtId="0" fontId="5" fillId="14" borderId="30" xfId="0" applyNumberFormat="1" applyFont="1" applyFill="1" applyBorder="1" applyAlignment="1">
      <alignment horizontal="left" vertical="center"/>
    </xf>
    <xf numFmtId="164" fontId="5" fillId="14" borderId="30" xfId="1" applyNumberFormat="1" applyFont="1" applyFill="1" applyBorder="1" applyAlignment="1">
      <alignment horizontal="center" vertical="center"/>
    </xf>
    <xf numFmtId="164" fontId="5" fillId="15" borderId="30" xfId="1" applyNumberFormat="1" applyFont="1" applyFill="1" applyBorder="1" applyAlignment="1">
      <alignment horizontal="center" vertical="center"/>
    </xf>
    <xf numFmtId="164" fontId="5" fillId="4" borderId="30" xfId="1" applyNumberFormat="1" applyFont="1" applyFill="1" applyBorder="1" applyAlignment="1">
      <alignment horizontal="center" vertical="center"/>
    </xf>
    <xf numFmtId="164" fontId="5" fillId="16" borderId="30" xfId="1" applyNumberFormat="1" applyFont="1" applyFill="1" applyBorder="1" applyAlignment="1">
      <alignment horizontal="center" vertical="center"/>
    </xf>
    <xf numFmtId="0" fontId="11" fillId="2" borderId="0" xfId="0" applyFont="1" applyFill="1"/>
    <xf numFmtId="14" fontId="8" fillId="6" borderId="0" xfId="0" applyNumberFormat="1" applyFont="1" applyFill="1" applyBorder="1" applyAlignment="1">
      <alignment horizontal="left"/>
    </xf>
    <xf numFmtId="0" fontId="8" fillId="6" borderId="0" xfId="0" applyFont="1" applyFill="1" applyBorder="1" applyAlignment="1">
      <alignment horizontal="left"/>
    </xf>
    <xf numFmtId="0" fontId="13" fillId="0" borderId="1" xfId="0" applyNumberFormat="1" applyFont="1" applyFill="1" applyBorder="1" applyAlignment="1">
      <alignment horizontal="left" vertical="center"/>
    </xf>
    <xf numFmtId="0" fontId="13" fillId="0" borderId="1" xfId="0" applyNumberFormat="1" applyFont="1" applyBorder="1" applyAlignment="1">
      <alignment horizontal="left" vertical="center"/>
    </xf>
    <xf numFmtId="0" fontId="13" fillId="0" borderId="1" xfId="0" applyNumberFormat="1" applyFont="1" applyBorder="1" applyAlignment="1">
      <alignment horizontal="left"/>
    </xf>
    <xf numFmtId="0" fontId="13" fillId="0" borderId="24" xfId="0" applyNumberFormat="1" applyFont="1" applyBorder="1" applyAlignment="1">
      <alignment horizontal="left"/>
    </xf>
    <xf numFmtId="0" fontId="13" fillId="0" borderId="0" xfId="0" applyNumberFormat="1" applyFont="1" applyFill="1" applyBorder="1" applyAlignment="1">
      <alignment horizontal="left"/>
    </xf>
    <xf numFmtId="164" fontId="0" fillId="6" borderId="0" xfId="1" applyNumberFormat="1" applyFont="1" applyFill="1" applyBorder="1" applyAlignment="1">
      <alignment horizontal="left"/>
    </xf>
    <xf numFmtId="164" fontId="8" fillId="6" borderId="0" xfId="1" applyNumberFormat="1" applyFont="1" applyFill="1" applyBorder="1" applyAlignment="1">
      <alignment horizontal="right"/>
    </xf>
    <xf numFmtId="164" fontId="58" fillId="6" borderId="0" xfId="1" applyNumberFormat="1" applyFont="1" applyFill="1" applyBorder="1" applyAlignment="1">
      <alignment horizontal="left"/>
    </xf>
    <xf numFmtId="164" fontId="13" fillId="0" borderId="1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Border="1" applyAlignment="1">
      <alignment horizontal="left" vertical="center" wrapText="1"/>
    </xf>
    <xf numFmtId="164" fontId="13" fillId="0" borderId="1" xfId="1" applyNumberFormat="1" applyFont="1" applyBorder="1" applyAlignment="1">
      <alignment horizontal="left" wrapText="1"/>
    </xf>
    <xf numFmtId="164" fontId="13" fillId="0" borderId="24" xfId="1" applyNumberFormat="1" applyFont="1" applyBorder="1" applyAlignment="1">
      <alignment horizontal="left" wrapText="1"/>
    </xf>
    <xf numFmtId="164" fontId="13" fillId="0" borderId="0" xfId="1" applyNumberFormat="1" applyFont="1" applyFill="1" applyBorder="1" applyAlignment="1">
      <alignment horizontal="left" wrapText="1"/>
    </xf>
    <xf numFmtId="164" fontId="68" fillId="0" borderId="1" xfId="1" applyNumberFormat="1" applyFont="1" applyBorder="1" applyAlignment="1">
      <alignment horizontal="right" vertical="center"/>
    </xf>
    <xf numFmtId="164" fontId="72" fillId="0" borderId="1" xfId="1" applyNumberFormat="1" applyFont="1" applyBorder="1" applyAlignment="1">
      <alignment horizontal="right" vertical="center"/>
    </xf>
    <xf numFmtId="164" fontId="73" fillId="0" borderId="1" xfId="1" applyNumberFormat="1" applyFont="1" applyBorder="1" applyAlignment="1">
      <alignment horizontal="right" vertical="center"/>
    </xf>
    <xf numFmtId="164" fontId="14" fillId="15" borderId="30" xfId="1" applyNumberFormat="1" applyFont="1" applyFill="1" applyBorder="1" applyAlignment="1">
      <alignment horizontal="center" vertical="center"/>
    </xf>
    <xf numFmtId="164" fontId="5" fillId="17" borderId="30" xfId="1" applyNumberFormat="1" applyFont="1" applyFill="1" applyBorder="1" applyAlignment="1">
      <alignment horizontal="center" vertical="center"/>
    </xf>
    <xf numFmtId="164" fontId="5" fillId="18" borderId="30" xfId="1" applyNumberFormat="1" applyFont="1" applyFill="1" applyBorder="1" applyAlignment="1">
      <alignment horizontal="center" vertical="center"/>
    </xf>
    <xf numFmtId="164" fontId="74" fillId="0" borderId="1" xfId="1" applyNumberFormat="1" applyFont="1" applyBorder="1" applyAlignment="1">
      <alignment horizontal="left" vertical="center"/>
    </xf>
    <xf numFmtId="164" fontId="13" fillId="2" borderId="0" xfId="0" applyNumberFormat="1" applyFont="1" applyFill="1"/>
    <xf numFmtId="164" fontId="13" fillId="2" borderId="0" xfId="0" applyNumberFormat="1" applyFont="1" applyFill="1" applyAlignment="1">
      <alignment horizontal="center"/>
    </xf>
    <xf numFmtId="0" fontId="5" fillId="3" borderId="23" xfId="0" applyNumberFormat="1" applyFont="1" applyFill="1" applyBorder="1" applyAlignment="1">
      <alignment vertical="center"/>
    </xf>
    <xf numFmtId="0" fontId="13" fillId="0" borderId="1" xfId="0" applyNumberFormat="1" applyFont="1" applyFill="1" applyBorder="1" applyAlignment="1"/>
    <xf numFmtId="14" fontId="13" fillId="0" borderId="0" xfId="0" applyNumberFormat="1" applyFont="1" applyFill="1" applyBorder="1" applyAlignment="1">
      <alignment horizontal="center"/>
    </xf>
    <xf numFmtId="0" fontId="13" fillId="0" borderId="1" xfId="0" applyNumberFormat="1" applyFont="1" applyFill="1" applyBorder="1" applyAlignment="1">
      <alignment horizontal="center" wrapText="1"/>
    </xf>
    <xf numFmtId="164" fontId="13" fillId="0" borderId="1" xfId="1" applyNumberFormat="1" applyFont="1" applyFill="1" applyBorder="1" applyAlignment="1">
      <alignment horizontal="center"/>
    </xf>
    <xf numFmtId="164" fontId="13" fillId="0" borderId="1" xfId="1" applyNumberFormat="1" applyFont="1" applyFill="1" applyBorder="1"/>
    <xf numFmtId="0" fontId="13" fillId="0" borderId="24" xfId="0" applyNumberFormat="1" applyFont="1" applyFill="1" applyBorder="1" applyAlignment="1">
      <alignment horizontal="center"/>
    </xf>
    <xf numFmtId="14" fontId="13" fillId="0" borderId="24" xfId="0" applyNumberFormat="1" applyFont="1" applyFill="1" applyBorder="1" applyAlignment="1">
      <alignment horizontal="center"/>
    </xf>
    <xf numFmtId="0" fontId="13" fillId="0" borderId="24" xfId="0" applyNumberFormat="1" applyFont="1" applyFill="1" applyBorder="1" applyAlignment="1">
      <alignment horizontal="center" wrapText="1"/>
    </xf>
    <xf numFmtId="0" fontId="13" fillId="0" borderId="24" xfId="0" applyNumberFormat="1" applyFont="1" applyFill="1" applyBorder="1" applyAlignment="1">
      <alignment horizontal="left" wrapText="1"/>
    </xf>
    <xf numFmtId="164" fontId="13" fillId="0" borderId="24" xfId="1" applyNumberFormat="1" applyFont="1" applyFill="1" applyBorder="1" applyAlignment="1">
      <alignment horizontal="center"/>
    </xf>
    <xf numFmtId="164" fontId="13" fillId="0" borderId="24" xfId="1" applyNumberFormat="1" applyFont="1" applyFill="1" applyBorder="1"/>
    <xf numFmtId="164" fontId="71" fillId="0" borderId="31" xfId="1" applyNumberFormat="1" applyFont="1" applyFill="1" applyBorder="1" applyAlignment="1">
      <alignment horizontal="right" vertical="center"/>
    </xf>
    <xf numFmtId="164" fontId="69" fillId="0" borderId="1" xfId="1" applyNumberFormat="1" applyFont="1" applyFill="1" applyBorder="1" applyAlignment="1">
      <alignment horizontal="center" vertical="center"/>
    </xf>
    <xf numFmtId="164" fontId="67" fillId="0" borderId="1" xfId="1" applyNumberFormat="1" applyFont="1" applyFill="1" applyBorder="1" applyAlignment="1">
      <alignment horizontal="center" vertical="center"/>
    </xf>
    <xf numFmtId="164" fontId="0" fillId="6" borderId="0" xfId="1" applyNumberFormat="1" applyFont="1" applyFill="1" applyBorder="1" applyAlignment="1">
      <alignment horizontal="right"/>
    </xf>
    <xf numFmtId="164" fontId="13" fillId="0" borderId="1" xfId="1" applyNumberFormat="1" applyFont="1" applyFill="1" applyBorder="1" applyAlignment="1">
      <alignment horizontal="right" vertical="center"/>
    </xf>
    <xf numFmtId="164" fontId="13" fillId="0" borderId="24" xfId="1" applyNumberFormat="1" applyFont="1" applyFill="1" applyBorder="1" applyAlignment="1">
      <alignment horizontal="right"/>
    </xf>
    <xf numFmtId="164" fontId="68" fillId="0" borderId="1" xfId="1" applyNumberFormat="1" applyFont="1" applyFill="1" applyBorder="1" applyAlignment="1">
      <alignment horizontal="right" vertical="center"/>
    </xf>
    <xf numFmtId="164" fontId="13" fillId="0" borderId="0" xfId="1" applyNumberFormat="1" applyFont="1" applyFill="1" applyBorder="1" applyAlignment="1">
      <alignment horizontal="right"/>
    </xf>
    <xf numFmtId="0" fontId="41" fillId="0" borderId="19" xfId="0" applyNumberFormat="1" applyFont="1" applyFill="1" applyBorder="1" applyAlignment="1" applyProtection="1">
      <alignment horizontal="centerContinuous" vertical="center" wrapText="1"/>
      <protection locked="0"/>
    </xf>
    <xf numFmtId="0" fontId="41" fillId="0" borderId="21" xfId="0" applyNumberFormat="1" applyFont="1" applyFill="1" applyBorder="1" applyAlignment="1" applyProtection="1">
      <alignment horizontal="centerContinuous" vertical="center" wrapText="1"/>
      <protection locked="0"/>
    </xf>
    <xf numFmtId="0" fontId="41" fillId="0" borderId="18" xfId="0" applyFont="1" applyFill="1" applyBorder="1" applyAlignment="1" applyProtection="1">
      <alignment horizontal="centerContinuous" vertical="center" wrapText="1"/>
      <protection locked="0"/>
    </xf>
    <xf numFmtId="0" fontId="41" fillId="0" borderId="18" xfId="0" applyFont="1" applyFill="1" applyBorder="1" applyAlignment="1" applyProtection="1">
      <alignment horizontal="centerContinuous" vertical="center" wrapText="1"/>
    </xf>
    <xf numFmtId="0" fontId="41" fillId="0" borderId="18" xfId="0" applyNumberFormat="1" applyFont="1" applyFill="1" applyBorder="1" applyAlignment="1" applyProtection="1">
      <alignment horizontal="centerContinuous" vertical="center" wrapText="1"/>
      <protection locked="0"/>
    </xf>
    <xf numFmtId="164" fontId="75" fillId="0" borderId="18" xfId="1" applyNumberFormat="1" applyFont="1" applyFill="1" applyBorder="1" applyAlignment="1" applyProtection="1">
      <alignment horizontal="center" vertical="center"/>
    </xf>
    <xf numFmtId="0" fontId="75" fillId="0" borderId="0" xfId="0" applyFont="1" applyFill="1" applyBorder="1" applyAlignment="1" applyProtection="1">
      <alignment horizontal="right" vertical="center"/>
      <protection locked="0"/>
    </xf>
    <xf numFmtId="164" fontId="75" fillId="0" borderId="0" xfId="1" applyNumberFormat="1" applyFont="1" applyFill="1" applyBorder="1" applyAlignment="1" applyProtection="1">
      <alignment horizontal="center" vertical="center"/>
    </xf>
    <xf numFmtId="14" fontId="58" fillId="6" borderId="16" xfId="1" applyNumberFormat="1" applyFont="1" applyFill="1" applyBorder="1" applyAlignment="1">
      <alignment horizontal="left"/>
    </xf>
    <xf numFmtId="49" fontId="0" fillId="6" borderId="0" xfId="0" applyNumberFormat="1" applyFill="1" applyBorder="1" applyAlignment="1">
      <alignment horizontal="center"/>
    </xf>
    <xf numFmtId="14" fontId="13" fillId="0" borderId="23" xfId="0" applyNumberFormat="1" applyFont="1" applyFill="1" applyBorder="1" applyAlignment="1">
      <alignment horizontal="center" vertical="center"/>
    </xf>
    <xf numFmtId="0" fontId="13" fillId="0" borderId="23" xfId="0" applyNumberFormat="1" applyFont="1" applyFill="1" applyBorder="1" applyAlignment="1">
      <alignment horizontal="center" vertical="center" wrapText="1"/>
    </xf>
    <xf numFmtId="0" fontId="5" fillId="13" borderId="18" xfId="0" applyNumberFormat="1" applyFont="1" applyFill="1" applyBorder="1" applyAlignment="1">
      <alignment horizontal="center" vertical="center"/>
    </xf>
    <xf numFmtId="164" fontId="5" fillId="13" borderId="18" xfId="1" applyNumberFormat="1" applyFont="1" applyFill="1" applyBorder="1" applyAlignment="1">
      <alignment horizontal="center" vertical="center"/>
    </xf>
    <xf numFmtId="0" fontId="5" fillId="13" borderId="18" xfId="0" applyNumberFormat="1" applyFont="1" applyFill="1" applyBorder="1" applyAlignment="1">
      <alignment horizontal="left" vertical="center"/>
    </xf>
    <xf numFmtId="0" fontId="13" fillId="0" borderId="23" xfId="0" applyNumberFormat="1" applyFont="1" applyFill="1" applyBorder="1" applyAlignment="1">
      <alignment horizontal="left" vertical="center" wrapText="1"/>
    </xf>
    <xf numFmtId="14" fontId="13" fillId="0" borderId="1" xfId="0" applyNumberFormat="1" applyFont="1" applyBorder="1" applyAlignment="1">
      <alignment horizontal="center" vertical="center"/>
    </xf>
    <xf numFmtId="0" fontId="0" fillId="0" borderId="16" xfId="0" applyBorder="1"/>
    <xf numFmtId="0" fontId="0" fillId="0" borderId="0" xfId="0" applyAlignment="1">
      <alignment horizontal="right"/>
    </xf>
    <xf numFmtId="0" fontId="0" fillId="0" borderId="17" xfId="0" applyBorder="1"/>
    <xf numFmtId="0" fontId="75" fillId="0" borderId="16" xfId="0" applyFont="1" applyFill="1" applyBorder="1" applyAlignment="1" applyProtection="1">
      <alignment horizontal="right" vertical="center"/>
      <protection locked="0"/>
    </xf>
    <xf numFmtId="164" fontId="75" fillId="0" borderId="16" xfId="1" applyNumberFormat="1" applyFont="1" applyFill="1" applyBorder="1" applyAlignment="1" applyProtection="1">
      <alignment horizontal="center" vertical="center"/>
    </xf>
    <xf numFmtId="0" fontId="9" fillId="2" borderId="0" xfId="0" applyFont="1" applyFill="1" applyBorder="1" applyProtection="1">
      <protection locked="0"/>
    </xf>
    <xf numFmtId="0" fontId="76" fillId="0" borderId="16" xfId="0" applyFont="1" applyFill="1" applyBorder="1" applyAlignment="1" applyProtection="1">
      <alignment horizontal="left"/>
    </xf>
    <xf numFmtId="0" fontId="12" fillId="0" borderId="17" xfId="0" applyFont="1" applyBorder="1"/>
    <xf numFmtId="0" fontId="12" fillId="0" borderId="16" xfId="0" applyFont="1" applyBorder="1"/>
    <xf numFmtId="0" fontId="77" fillId="0" borderId="16" xfId="0" applyFont="1" applyBorder="1"/>
    <xf numFmtId="164" fontId="78" fillId="0" borderId="17" xfId="1" applyNumberFormat="1" applyFont="1" applyBorder="1" applyAlignment="1">
      <alignment horizontal="left"/>
    </xf>
    <xf numFmtId="164" fontId="13" fillId="0" borderId="1" xfId="0" applyNumberFormat="1" applyFont="1" applyBorder="1" applyAlignment="1"/>
    <xf numFmtId="0" fontId="0" fillId="0" borderId="18" xfId="0" applyBorder="1"/>
    <xf numFmtId="0" fontId="0" fillId="0" borderId="18" xfId="0" applyBorder="1" applyAlignment="1">
      <alignment horizontal="center"/>
    </xf>
    <xf numFmtId="14" fontId="0" fillId="8" borderId="18" xfId="0" applyNumberFormat="1" applyFill="1" applyBorder="1"/>
    <xf numFmtId="169" fontId="0" fillId="0" borderId="18" xfId="0" applyNumberFormat="1" applyBorder="1" applyAlignment="1">
      <alignment horizontal="center"/>
    </xf>
    <xf numFmtId="0" fontId="0" fillId="6" borderId="0" xfId="0" applyFill="1"/>
    <xf numFmtId="49" fontId="0" fillId="2" borderId="0" xfId="0" applyNumberFormat="1" applyFill="1"/>
    <xf numFmtId="0" fontId="0" fillId="2" borderId="0" xfId="0" applyFont="1" applyFill="1" applyAlignment="1">
      <alignment horizontal="center" vertical="center"/>
    </xf>
    <xf numFmtId="49" fontId="45" fillId="0" borderId="0" xfId="0" applyNumberFormat="1" applyFont="1" applyFill="1" applyBorder="1" applyAlignment="1" applyProtection="1">
      <alignment horizontal="center"/>
      <protection locked="0"/>
    </xf>
    <xf numFmtId="0" fontId="45" fillId="0" borderId="0" xfId="0" applyFont="1" applyFill="1" applyBorder="1" applyAlignment="1" applyProtection="1">
      <alignment horizontal="center"/>
      <protection locked="0"/>
    </xf>
    <xf numFmtId="49" fontId="45" fillId="0" borderId="0" xfId="0" applyNumberFormat="1" applyFont="1" applyFill="1" applyBorder="1" applyAlignment="1" applyProtection="1">
      <alignment horizontal="center"/>
    </xf>
    <xf numFmtId="0" fontId="45" fillId="0" borderId="0" xfId="0" applyNumberFormat="1" applyFont="1" applyFill="1" applyBorder="1" applyAlignment="1" applyProtection="1">
      <alignment horizontal="center"/>
    </xf>
    <xf numFmtId="0" fontId="42" fillId="0" borderId="19" xfId="0" applyFont="1" applyBorder="1" applyAlignment="1">
      <alignment horizontal="left" vertical="center" wrapText="1"/>
    </xf>
    <xf numFmtId="0" fontId="42" fillId="0" borderId="20" xfId="0" applyFont="1" applyBorder="1" applyAlignment="1">
      <alignment horizontal="left" vertical="center" wrapText="1"/>
    </xf>
    <xf numFmtId="0" fontId="42" fillId="0" borderId="21" xfId="0" applyFont="1" applyBorder="1" applyAlignment="1">
      <alignment horizontal="left" vertical="center" wrapText="1"/>
    </xf>
    <xf numFmtId="0" fontId="44" fillId="0" borderId="0" xfId="0" applyFont="1" applyFill="1" applyBorder="1" applyAlignment="1" applyProtection="1">
      <alignment horizontal="center"/>
      <protection locked="0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44" fillId="0" borderId="0" xfId="0" applyFont="1" applyFill="1" applyBorder="1" applyAlignment="1" applyProtection="1">
      <alignment horizontal="center" wrapText="1"/>
      <protection locked="0"/>
    </xf>
    <xf numFmtId="0" fontId="75" fillId="0" borderId="18" xfId="0" applyFont="1" applyFill="1" applyBorder="1" applyAlignment="1" applyProtection="1">
      <alignment horizontal="right" vertical="center"/>
      <protection locked="0"/>
    </xf>
    <xf numFmtId="0" fontId="33" fillId="0" borderId="0" xfId="0" applyFont="1" applyFill="1" applyBorder="1" applyAlignment="1" applyProtection="1">
      <alignment horizontal="right"/>
      <protection locked="0"/>
    </xf>
    <xf numFmtId="0" fontId="16" fillId="0" borderId="18" xfId="0" applyFont="1" applyFill="1" applyBorder="1" applyAlignment="1" applyProtection="1">
      <alignment horizontal="center" vertical="center"/>
      <protection locked="0"/>
    </xf>
    <xf numFmtId="0" fontId="14" fillId="11" borderId="5" xfId="0" applyFont="1" applyFill="1" applyBorder="1" applyAlignment="1" applyProtection="1">
      <alignment horizontal="center" vertical="center"/>
      <protection locked="0"/>
    </xf>
    <xf numFmtId="0" fontId="14" fillId="11" borderId="9" xfId="0" applyFont="1" applyFill="1" applyBorder="1" applyAlignment="1" applyProtection="1">
      <alignment horizontal="center" vertical="center"/>
      <protection locked="0"/>
    </xf>
    <xf numFmtId="0" fontId="15" fillId="8" borderId="6" xfId="0" applyFont="1" applyFill="1" applyBorder="1" applyAlignment="1" applyProtection="1">
      <alignment horizontal="center" vertical="center"/>
      <protection locked="0"/>
    </xf>
    <xf numFmtId="0" fontId="15" fillId="8" borderId="7" xfId="0" applyFont="1" applyFill="1" applyBorder="1" applyAlignment="1" applyProtection="1">
      <alignment horizontal="center" vertical="center"/>
      <protection locked="0"/>
    </xf>
    <xf numFmtId="0" fontId="15" fillId="8" borderId="8" xfId="0" applyFont="1" applyFill="1" applyBorder="1" applyAlignment="1" applyProtection="1">
      <alignment horizontal="center" vertical="center"/>
      <protection locked="0"/>
    </xf>
    <xf numFmtId="0" fontId="15" fillId="8" borderId="10" xfId="0" applyFont="1" applyFill="1" applyBorder="1" applyAlignment="1" applyProtection="1">
      <alignment horizontal="center" vertical="center"/>
      <protection locked="0"/>
    </xf>
    <xf numFmtId="0" fontId="15" fillId="8" borderId="11" xfId="0" applyFont="1" applyFill="1" applyBorder="1" applyAlignment="1" applyProtection="1">
      <alignment horizontal="center" vertical="center"/>
      <protection locked="0"/>
    </xf>
    <xf numFmtId="0" fontId="15" fillId="8" borderId="12" xfId="0" applyFont="1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left" vertical="top"/>
    </xf>
    <xf numFmtId="0" fontId="0" fillId="0" borderId="7" xfId="0" applyFill="1" applyBorder="1" applyAlignment="1" applyProtection="1">
      <alignment horizontal="left" vertical="top"/>
    </xf>
    <xf numFmtId="0" fontId="0" fillId="0" borderId="8" xfId="0" applyFill="1" applyBorder="1" applyAlignment="1" applyProtection="1">
      <alignment horizontal="left" vertical="top"/>
    </xf>
    <xf numFmtId="0" fontId="0" fillId="0" borderId="13" xfId="0" applyFill="1" applyBorder="1" applyAlignment="1" applyProtection="1">
      <alignment horizontal="left" vertical="top"/>
    </xf>
    <xf numFmtId="0" fontId="0" fillId="0" borderId="0" xfId="0" applyFill="1" applyBorder="1" applyAlignment="1" applyProtection="1">
      <alignment horizontal="left" vertical="top"/>
    </xf>
    <xf numFmtId="0" fontId="0" fillId="0" borderId="14" xfId="0" applyFill="1" applyBorder="1" applyAlignment="1" applyProtection="1">
      <alignment horizontal="left" vertical="top"/>
    </xf>
    <xf numFmtId="0" fontId="0" fillId="0" borderId="10" xfId="0" applyFill="1" applyBorder="1" applyAlignment="1" applyProtection="1">
      <alignment horizontal="left" vertical="top"/>
    </xf>
    <xf numFmtId="0" fontId="0" fillId="0" borderId="11" xfId="0" applyFill="1" applyBorder="1" applyAlignment="1" applyProtection="1">
      <alignment horizontal="left" vertical="top"/>
    </xf>
    <xf numFmtId="0" fontId="0" fillId="0" borderId="12" xfId="0" applyFill="1" applyBorder="1" applyAlignment="1" applyProtection="1">
      <alignment horizontal="left" vertical="top"/>
    </xf>
    <xf numFmtId="0" fontId="19" fillId="0" borderId="0" xfId="0" applyFont="1" applyFill="1" applyBorder="1" applyAlignment="1" applyProtection="1">
      <alignment horizontal="center"/>
      <protection locked="0"/>
    </xf>
    <xf numFmtId="0" fontId="41" fillId="0" borderId="18" xfId="0" applyFont="1" applyFill="1" applyBorder="1" applyAlignment="1" applyProtection="1">
      <alignment horizontal="center" vertical="center" wrapText="1"/>
      <protection locked="0"/>
    </xf>
    <xf numFmtId="0" fontId="41" fillId="0" borderId="5" xfId="0" applyFont="1" applyFill="1" applyBorder="1" applyAlignment="1" applyProtection="1">
      <alignment horizontal="center" vertical="center" wrapText="1"/>
      <protection locked="0"/>
    </xf>
    <xf numFmtId="0" fontId="41" fillId="0" borderId="9" xfId="0" applyFont="1" applyFill="1" applyBorder="1" applyAlignment="1" applyProtection="1">
      <alignment horizontal="center" vertical="center" wrapText="1"/>
      <protection locked="0"/>
    </xf>
    <xf numFmtId="14" fontId="56" fillId="0" borderId="26" xfId="0" applyNumberFormat="1" applyFont="1" applyFill="1" applyBorder="1" applyAlignment="1">
      <alignment horizontal="right" vertical="center" indent="2"/>
    </xf>
    <xf numFmtId="14" fontId="56" fillId="0" borderId="27" xfId="0" applyNumberFormat="1" applyFont="1" applyFill="1" applyBorder="1" applyAlignment="1">
      <alignment horizontal="right" vertical="center" indent="2"/>
    </xf>
    <xf numFmtId="14" fontId="56" fillId="0" borderId="28" xfId="0" applyNumberFormat="1" applyFont="1" applyFill="1" applyBorder="1" applyAlignment="1">
      <alignment horizontal="right" vertical="center" indent="2"/>
    </xf>
    <xf numFmtId="0" fontId="70" fillId="0" borderId="2" xfId="0" applyNumberFormat="1" applyFont="1" applyFill="1" applyBorder="1" applyAlignment="1">
      <alignment horizontal="right" vertical="center"/>
    </xf>
    <xf numFmtId="0" fontId="70" fillId="0" borderId="31" xfId="0" applyNumberFormat="1" applyFont="1" applyFill="1" applyBorder="1" applyAlignment="1">
      <alignment horizontal="right" vertical="center"/>
    </xf>
    <xf numFmtId="0" fontId="70" fillId="0" borderId="3" xfId="0" applyNumberFormat="1" applyFont="1" applyFill="1" applyBorder="1" applyAlignment="1">
      <alignment horizontal="right" vertical="center"/>
    </xf>
    <xf numFmtId="0" fontId="70" fillId="0" borderId="2" xfId="0" applyNumberFormat="1" applyFont="1" applyBorder="1" applyAlignment="1">
      <alignment horizontal="right" vertical="center"/>
    </xf>
    <xf numFmtId="0" fontId="70" fillId="0" borderId="31" xfId="0" applyNumberFormat="1" applyFont="1" applyBorder="1" applyAlignment="1">
      <alignment horizontal="right" vertical="center"/>
    </xf>
    <xf numFmtId="0" fontId="70" fillId="0" borderId="3" xfId="0" applyNumberFormat="1" applyFont="1" applyBorder="1" applyAlignment="1">
      <alignment horizontal="right" vertical="center"/>
    </xf>
    <xf numFmtId="168" fontId="0" fillId="0" borderId="0" xfId="0" applyNumberFormat="1" applyAlignment="1">
      <alignment horizontal="center"/>
    </xf>
    <xf numFmtId="14" fontId="8" fillId="8" borderId="18" xfId="0" applyNumberFormat="1" applyFont="1" applyFill="1" applyBorder="1" applyAlignment="1">
      <alignment horizontal="center" vertical="center"/>
    </xf>
  </cellXfs>
  <cellStyles count="6">
    <cellStyle name="Comma" xfId="1" builtinId="3"/>
    <cellStyle name="Comma 2" xfId="2" xr:uid="{00000000-0005-0000-0000-000001000000}"/>
    <cellStyle name="Normal" xfId="0" builtinId="0"/>
    <cellStyle name="Normal 2" xfId="3" xr:uid="{00000000-0005-0000-0000-000003000000}"/>
    <cellStyle name="Normal_Dichso" xfId="5" xr:uid="{00000000-0005-0000-0000-000004000000}"/>
    <cellStyle name="Normal_DocSoUnicode" xfId="4" xr:uid="{00000000-0005-0000-0000-000005000000}"/>
  </cellStyles>
  <dxfs count="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</dxfs>
  <tableStyles count="0" defaultTableStyle="TableStyleMedium2" defaultPivotStyle="PivotStyleMedium9"/>
  <colors>
    <mruColors>
      <color rgb="FF00823B"/>
      <color rgb="FF007F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1748886653488E-2"/>
          <c:y val="3.7116401505530285E-2"/>
          <c:w val="0.94482663405530287"/>
          <c:h val="0.85490413405069232"/>
        </c:manualLayout>
      </c:layout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CHART!$A$10:$A$40</c:f>
              <c:numCache>
                <c:formatCode>dd</c:formatCode>
                <c:ptCount val="31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  <c:pt idx="30">
                  <c:v>44835</c:v>
                </c:pt>
              </c:numCache>
            </c:numRef>
          </c:cat>
          <c:val>
            <c:numRef>
              <c:f>CHART!$B$10:$B$40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C1-4D79-8C86-78EA61BDC0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37494592"/>
        <c:axId val="237495152"/>
      </c:lineChart>
      <c:dateAx>
        <c:axId val="23749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95152"/>
        <c:crosses val="autoZero"/>
        <c:auto val="1"/>
        <c:lblOffset val="100"/>
        <c:baseTimeUnit val="days"/>
      </c:dateAx>
      <c:valAx>
        <c:axId val="23749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819151</xdr:colOff>
      <xdr:row>5</xdr:row>
      <xdr:rowOff>85725</xdr:rowOff>
    </xdr:from>
    <xdr:ext cx="3248024" cy="593304"/>
    <xdr:sp macro="" textlink="$R$2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95476" y="847725"/>
          <a:ext cx="3248024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49FC514-8887-4AE2-B678-E553F014FABA}" type="TxLink">
            <a:rPr lang="en-US" sz="3200" b="1" i="0" u="none" strike="noStrike">
              <a:solidFill>
                <a:schemeClr val="tx2">
                  <a:lumMod val="75000"/>
                </a:schemeClr>
              </a:solidFill>
              <a:latin typeface="Calibri"/>
              <a:cs typeface="Calibri"/>
            </a:rPr>
            <a:pPr/>
            <a:t>PHIẾU NHẬP KHO</a:t>
          </a:fld>
          <a:endParaRPr lang="en-US" sz="6600" b="1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oneCellAnchor>
    <xdr:from>
      <xdr:col>5</xdr:col>
      <xdr:colOff>323851</xdr:colOff>
      <xdr:row>0</xdr:row>
      <xdr:rowOff>95250</xdr:rowOff>
    </xdr:from>
    <xdr:ext cx="2571750" cy="7334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943351" y="95250"/>
          <a:ext cx="2571750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  <xdr:oneCellAnchor>
    <xdr:from>
      <xdr:col>0</xdr:col>
      <xdr:colOff>123826</xdr:colOff>
      <xdr:row>0</xdr:row>
      <xdr:rowOff>85724</xdr:rowOff>
    </xdr:from>
    <xdr:ext cx="904874" cy="886601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85724"/>
          <a:ext cx="904874" cy="8866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11</xdr:col>
      <xdr:colOff>38100</xdr:colOff>
      <xdr:row>9</xdr:row>
      <xdr:rowOff>47625</xdr:rowOff>
    </xdr:from>
    <xdr:to>
      <xdr:col>11</xdr:col>
      <xdr:colOff>800100</xdr:colOff>
      <xdr:row>11</xdr:row>
      <xdr:rowOff>123825</xdr:rowOff>
    </xdr:to>
    <xdr:sp macro="[0]!PhieuNX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7019925" y="1524000"/>
          <a:ext cx="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Xem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1796865</xdr:colOff>
      <xdr:row>1</xdr:row>
      <xdr:rowOff>347383</xdr:rowOff>
    </xdr:from>
    <xdr:to>
      <xdr:col>6</xdr:col>
      <xdr:colOff>400050</xdr:colOff>
      <xdr:row>1</xdr:row>
      <xdr:rowOff>946898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2861424" y="470648"/>
          <a:ext cx="4626347" cy="599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 b="1">
              <a:solidFill>
                <a:srgbClr val="002060"/>
              </a:solidFill>
            </a:rPr>
            <a:t>BÁO</a:t>
          </a:r>
          <a:r>
            <a:rPr lang="en-US" sz="4000" b="1" baseline="0">
              <a:solidFill>
                <a:srgbClr val="002060"/>
              </a:solidFill>
            </a:rPr>
            <a:t> CÁO TỒN KHO</a:t>
          </a:r>
          <a:endParaRPr lang="en-US" sz="4000" b="1">
            <a:solidFill>
              <a:srgbClr val="002060"/>
            </a:solidFill>
          </a:endParaRPr>
        </a:p>
      </xdr:txBody>
    </xdr:sp>
    <xdr:clientData/>
  </xdr:twoCellAnchor>
  <xdr:twoCellAnchor>
    <xdr:from>
      <xdr:col>8</xdr:col>
      <xdr:colOff>449916</xdr:colOff>
      <xdr:row>0</xdr:row>
      <xdr:rowOff>87405</xdr:rowOff>
    </xdr:from>
    <xdr:to>
      <xdr:col>10</xdr:col>
      <xdr:colOff>358588</xdr:colOff>
      <xdr:row>1</xdr:row>
      <xdr:rowOff>537881</xdr:rowOff>
    </xdr:to>
    <xdr:sp macro="[0]!BaoCao_XNT_SU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927416" y="87405"/>
          <a:ext cx="1836084" cy="5737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BÁO</a:t>
          </a:r>
          <a:r>
            <a:rPr lang="en-US" sz="1100" baseline="0"/>
            <a:t> CÁO ĐỂ XUẤT NHẬP VÀO KHO</a:t>
          </a:r>
          <a:endParaRPr lang="en-US" sz="1100"/>
        </a:p>
      </xdr:txBody>
    </xdr:sp>
    <xdr:clientData/>
  </xdr:twoCellAnchor>
  <xdr:twoCellAnchor>
    <xdr:from>
      <xdr:col>2</xdr:col>
      <xdr:colOff>1622608</xdr:colOff>
      <xdr:row>2000</xdr:row>
      <xdr:rowOff>293594</xdr:rowOff>
    </xdr:from>
    <xdr:to>
      <xdr:col>2</xdr:col>
      <xdr:colOff>2810431</xdr:colOff>
      <xdr:row>2002</xdr:row>
      <xdr:rowOff>159123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2687167" y="3857065"/>
          <a:ext cx="11878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3489509</xdr:colOff>
      <xdr:row>2000</xdr:row>
      <xdr:rowOff>277904</xdr:rowOff>
    </xdr:from>
    <xdr:to>
      <xdr:col>3</xdr:col>
      <xdr:colOff>367547</xdr:colOff>
      <xdr:row>2002</xdr:row>
      <xdr:rowOff>143433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4554068" y="3841375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212910</xdr:colOff>
      <xdr:row>2001</xdr:row>
      <xdr:rowOff>15689</xdr:rowOff>
    </xdr:from>
    <xdr:to>
      <xdr:col>2</xdr:col>
      <xdr:colOff>860603</xdr:colOff>
      <xdr:row>2002</xdr:row>
      <xdr:rowOff>194982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560292" y="3892924"/>
          <a:ext cx="1364870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112058</xdr:colOff>
      <xdr:row>2000</xdr:row>
      <xdr:rowOff>284628</xdr:rowOff>
    </xdr:from>
    <xdr:to>
      <xdr:col>7</xdr:col>
      <xdr:colOff>4478</xdr:colOff>
      <xdr:row>2002</xdr:row>
      <xdr:rowOff>150157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6801970" y="3848099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488574</xdr:colOff>
      <xdr:row>2000</xdr:row>
      <xdr:rowOff>112058</xdr:rowOff>
    </xdr:from>
    <xdr:to>
      <xdr:col>7</xdr:col>
      <xdr:colOff>502017</xdr:colOff>
      <xdr:row>2001</xdr:row>
      <xdr:rowOff>91891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6506133" y="3675529"/>
          <a:ext cx="2086531" cy="293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oneCellAnchor>
    <xdr:from>
      <xdr:col>0</xdr:col>
      <xdr:colOff>123264</xdr:colOff>
      <xdr:row>0</xdr:row>
      <xdr:rowOff>67234</xdr:rowOff>
    </xdr:from>
    <xdr:ext cx="937822" cy="91888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264" y="67234"/>
          <a:ext cx="937822" cy="91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795617</xdr:colOff>
      <xdr:row>0</xdr:row>
      <xdr:rowOff>112057</xdr:rowOff>
    </xdr:from>
    <xdr:ext cx="2706221" cy="73342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7597588" y="112057"/>
          <a:ext cx="2706221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1000" b="1"/>
            <a:t>Mẫ</a:t>
          </a:r>
          <a:r>
            <a:rPr lang="en-US" sz="1000" b="1" baseline="0"/>
            <a:t>u số : 01 - VT</a:t>
          </a:r>
        </a:p>
        <a:p>
          <a:pPr algn="r"/>
          <a:r>
            <a:rPr lang="en-US" sz="1000" baseline="0"/>
            <a:t>( Ban hành theo QĐ số :48/2006/QĐ/BTC</a:t>
          </a:r>
        </a:p>
        <a:p>
          <a:pPr algn="r"/>
          <a:r>
            <a:rPr lang="en-US" sz="1000" baseline="0"/>
            <a:t>ngày 14/09/2016  của Bộ trưởng BTC</a:t>
          </a:r>
          <a:endParaRPr lang="en-US" sz="1000"/>
        </a:p>
      </xdr:txBody>
    </xdr:sp>
    <xdr:clientData/>
  </xdr:oneCellAnchor>
  <xdr:twoCellAnchor>
    <xdr:from>
      <xdr:col>8</xdr:col>
      <xdr:colOff>479052</xdr:colOff>
      <xdr:row>1</xdr:row>
      <xdr:rowOff>867335</xdr:rowOff>
    </xdr:from>
    <xdr:to>
      <xdr:col>10</xdr:col>
      <xdr:colOff>387724</xdr:colOff>
      <xdr:row>4</xdr:row>
      <xdr:rowOff>51547</xdr:rowOff>
    </xdr:to>
    <xdr:sp macro="[0]!BaoCao_XNT_SUB1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10956552" y="990600"/>
          <a:ext cx="1836084" cy="5737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BÁO</a:t>
          </a:r>
          <a:r>
            <a:rPr lang="en-US" sz="1100" baseline="0"/>
            <a:t> CÁO ĐỂ IN RA GIẤY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178734</xdr:colOff>
      <xdr:row>1</xdr:row>
      <xdr:rowOff>43142</xdr:rowOff>
    </xdr:from>
    <xdr:to>
      <xdr:col>10</xdr:col>
      <xdr:colOff>563095</xdr:colOff>
      <xdr:row>1</xdr:row>
      <xdr:rowOff>414057</xdr:rowOff>
    </xdr:to>
    <xdr:sp macro="[0]!BAOCAO_CHITIET_SANPHA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709087" y="166407"/>
          <a:ext cx="1157567" cy="37091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571502</xdr:colOff>
      <xdr:row>2000</xdr:row>
      <xdr:rowOff>235323</xdr:rowOff>
    </xdr:from>
    <xdr:to>
      <xdr:col>4</xdr:col>
      <xdr:colOff>224119</xdr:colOff>
      <xdr:row>2002</xdr:row>
      <xdr:rowOff>100852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826561" y="5995147"/>
          <a:ext cx="11878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903197</xdr:colOff>
      <xdr:row>2000</xdr:row>
      <xdr:rowOff>230839</xdr:rowOff>
    </xdr:from>
    <xdr:to>
      <xdr:col>6</xdr:col>
      <xdr:colOff>235323</xdr:colOff>
      <xdr:row>2002</xdr:row>
      <xdr:rowOff>96368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3693462" y="5990663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192747</xdr:colOff>
      <xdr:row>2000</xdr:row>
      <xdr:rowOff>237564</xdr:rowOff>
    </xdr:from>
    <xdr:to>
      <xdr:col>2</xdr:col>
      <xdr:colOff>302558</xdr:colOff>
      <xdr:row>2002</xdr:row>
      <xdr:rowOff>103093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192747" y="5997388"/>
          <a:ext cx="1364870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562540</xdr:colOff>
      <xdr:row>2000</xdr:row>
      <xdr:rowOff>226356</xdr:rowOff>
    </xdr:from>
    <xdr:to>
      <xdr:col>8</xdr:col>
      <xdr:colOff>365313</xdr:colOff>
      <xdr:row>2002</xdr:row>
      <xdr:rowOff>91885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5313834" y="5986180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266703</xdr:colOff>
      <xdr:row>2000</xdr:row>
      <xdr:rowOff>53786</xdr:rowOff>
    </xdr:from>
    <xdr:to>
      <xdr:col>8</xdr:col>
      <xdr:colOff>862852</xdr:colOff>
      <xdr:row>2001</xdr:row>
      <xdr:rowOff>33618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017997" y="5813610"/>
          <a:ext cx="2086531" cy="29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twoCellAnchor editAs="absolute">
    <xdr:from>
      <xdr:col>1</xdr:col>
      <xdr:colOff>123264</xdr:colOff>
      <xdr:row>1</xdr:row>
      <xdr:rowOff>33618</xdr:rowOff>
    </xdr:from>
    <xdr:to>
      <xdr:col>7</xdr:col>
      <xdr:colOff>134470</xdr:colOff>
      <xdr:row>1</xdr:row>
      <xdr:rowOff>633693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549088" y="156883"/>
          <a:ext cx="5502088" cy="600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rgbClr val="002060"/>
              </a:solidFill>
            </a:rPr>
            <a:t>THẺ</a:t>
          </a:r>
          <a:r>
            <a:rPr lang="en-US" sz="4000" b="1" baseline="0">
              <a:solidFill>
                <a:srgbClr val="002060"/>
              </a:solidFill>
            </a:rPr>
            <a:t> KHO CHI TIẾT</a:t>
          </a:r>
          <a:endParaRPr lang="en-US" sz="40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112059</xdr:colOff>
      <xdr:row>1</xdr:row>
      <xdr:rowOff>1</xdr:rowOff>
    </xdr:from>
    <xdr:ext cx="762000" cy="74661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9" y="123266"/>
          <a:ext cx="762000" cy="7466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56028</xdr:colOff>
      <xdr:row>1</xdr:row>
      <xdr:rowOff>67234</xdr:rowOff>
    </xdr:from>
    <xdr:ext cx="2168339" cy="73342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5210734" y="190499"/>
          <a:ext cx="2168339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260377</xdr:colOff>
      <xdr:row>1</xdr:row>
      <xdr:rowOff>327292</xdr:rowOff>
    </xdr:from>
    <xdr:to>
      <xdr:col>13</xdr:col>
      <xdr:colOff>481453</xdr:colOff>
      <xdr:row>1</xdr:row>
      <xdr:rowOff>695806</xdr:rowOff>
    </xdr:to>
    <xdr:sp macro="[0]!BC_CongNoKH_Su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765341" y="449756"/>
          <a:ext cx="942255" cy="3685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952502</xdr:colOff>
      <xdr:row>2001</xdr:row>
      <xdr:rowOff>257738</xdr:rowOff>
    </xdr:from>
    <xdr:to>
      <xdr:col>4</xdr:col>
      <xdr:colOff>2476501</xdr:colOff>
      <xdr:row>2003</xdr:row>
      <xdr:rowOff>123267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3541061" y="4191003"/>
          <a:ext cx="1523999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141197</xdr:colOff>
      <xdr:row>2001</xdr:row>
      <xdr:rowOff>264452</xdr:rowOff>
    </xdr:from>
    <xdr:to>
      <xdr:col>8</xdr:col>
      <xdr:colOff>493059</xdr:colOff>
      <xdr:row>2003</xdr:row>
      <xdr:rowOff>129981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03462" y="627917128"/>
          <a:ext cx="2716303" cy="493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623611</xdr:colOff>
      <xdr:row>2001</xdr:row>
      <xdr:rowOff>271182</xdr:rowOff>
    </xdr:from>
    <xdr:to>
      <xdr:col>4</xdr:col>
      <xdr:colOff>246528</xdr:colOff>
      <xdr:row>2003</xdr:row>
      <xdr:rowOff>136711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1049435" y="4204447"/>
          <a:ext cx="1785652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9</xdr:col>
      <xdr:colOff>495304</xdr:colOff>
      <xdr:row>2001</xdr:row>
      <xdr:rowOff>271179</xdr:rowOff>
    </xdr:from>
    <xdr:to>
      <xdr:col>10</xdr:col>
      <xdr:colOff>869577</xdr:colOff>
      <xdr:row>2003</xdr:row>
      <xdr:rowOff>136708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365010" y="627923855"/>
          <a:ext cx="1517273" cy="493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9</xdr:col>
      <xdr:colOff>199467</xdr:colOff>
      <xdr:row>2001</xdr:row>
      <xdr:rowOff>98609</xdr:rowOff>
    </xdr:from>
    <xdr:to>
      <xdr:col>11</xdr:col>
      <xdr:colOff>224116</xdr:colOff>
      <xdr:row>2002</xdr:row>
      <xdr:rowOff>78441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1069173" y="627751285"/>
          <a:ext cx="2310649" cy="293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oneCellAnchor>
    <xdr:from>
      <xdr:col>0</xdr:col>
      <xdr:colOff>123265</xdr:colOff>
      <xdr:row>0</xdr:row>
      <xdr:rowOff>78441</xdr:rowOff>
    </xdr:from>
    <xdr:ext cx="1008529" cy="988163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265" y="78441"/>
          <a:ext cx="1008529" cy="98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1109383</xdr:colOff>
      <xdr:row>1</xdr:row>
      <xdr:rowOff>55068</xdr:rowOff>
    </xdr:from>
    <xdr:ext cx="2412785" cy="90863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9737912" y="178333"/>
          <a:ext cx="2412785" cy="908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1000" b="1"/>
            <a:t>Mẫ</a:t>
          </a:r>
          <a:r>
            <a:rPr lang="en-US" sz="1000" b="1" baseline="0"/>
            <a:t>u số : 01 - VT</a:t>
          </a:r>
        </a:p>
        <a:p>
          <a:pPr algn="r"/>
          <a:r>
            <a:rPr lang="en-US" sz="1000" baseline="0"/>
            <a:t>( Ban hành theo QĐ số :48/2006/QĐ/BTC</a:t>
          </a:r>
        </a:p>
        <a:p>
          <a:pPr algn="r"/>
          <a:r>
            <a:rPr lang="en-US" sz="1000" baseline="0"/>
            <a:t>ngày 14/09/2016  của Bộ trưởng BTC</a:t>
          </a:r>
          <a:endParaRPr lang="en-US" sz="1000"/>
        </a:p>
      </xdr:txBody>
    </xdr:sp>
    <xdr:clientData/>
  </xdr:oneCellAnchor>
  <xdr:twoCellAnchor editAs="absolute">
    <xdr:from>
      <xdr:col>2</xdr:col>
      <xdr:colOff>392207</xdr:colOff>
      <xdr:row>1</xdr:row>
      <xdr:rowOff>291353</xdr:rowOff>
    </xdr:from>
    <xdr:to>
      <xdr:col>10</xdr:col>
      <xdr:colOff>507467</xdr:colOff>
      <xdr:row>1</xdr:row>
      <xdr:rowOff>996763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1546413" y="414618"/>
          <a:ext cx="8751793" cy="705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000" b="1">
              <a:solidFill>
                <a:srgbClr val="0070C0"/>
              </a:solidFill>
            </a:rPr>
            <a:t>CHI TIẾT</a:t>
          </a:r>
          <a:r>
            <a:rPr lang="en-US" sz="5000" b="1" baseline="0">
              <a:solidFill>
                <a:srgbClr val="0070C0"/>
              </a:solidFill>
            </a:rPr>
            <a:t> </a:t>
          </a:r>
          <a:r>
            <a:rPr lang="en-US" sz="5000" b="1">
              <a:solidFill>
                <a:srgbClr val="0070C0"/>
              </a:solidFill>
            </a:rPr>
            <a:t>CÔNG</a:t>
          </a:r>
          <a:r>
            <a:rPr lang="en-US" sz="5000" b="1" baseline="0">
              <a:solidFill>
                <a:srgbClr val="0070C0"/>
              </a:solidFill>
            </a:rPr>
            <a:t> NỢ KH &amp; NCC</a:t>
          </a:r>
          <a:endParaRPr lang="en-US" sz="5000" b="1">
            <a:solidFill>
              <a:srgbClr val="0070C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1476377</xdr:colOff>
      <xdr:row>2002</xdr:row>
      <xdr:rowOff>122707</xdr:rowOff>
    </xdr:from>
    <xdr:to>
      <xdr:col>3</xdr:col>
      <xdr:colOff>1428750</xdr:colOff>
      <xdr:row>2003</xdr:row>
      <xdr:rowOff>302561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630583" y="4537825"/>
          <a:ext cx="2585755" cy="493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522197</xdr:colOff>
      <xdr:row>2002</xdr:row>
      <xdr:rowOff>112052</xdr:rowOff>
    </xdr:from>
    <xdr:to>
      <xdr:col>5</xdr:col>
      <xdr:colOff>1019175</xdr:colOff>
      <xdr:row>2003</xdr:row>
      <xdr:rowOff>291906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5889815" y="4527170"/>
          <a:ext cx="2077007" cy="493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337861</xdr:colOff>
      <xdr:row>2002</xdr:row>
      <xdr:rowOff>112058</xdr:rowOff>
    </xdr:from>
    <xdr:to>
      <xdr:col>2</xdr:col>
      <xdr:colOff>1027578</xdr:colOff>
      <xdr:row>2003</xdr:row>
      <xdr:rowOff>291352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337861" y="4527176"/>
          <a:ext cx="18439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392206</xdr:colOff>
      <xdr:row>0</xdr:row>
      <xdr:rowOff>44822</xdr:rowOff>
    </xdr:from>
    <xdr:ext cx="930087" cy="911305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06" y="44822"/>
          <a:ext cx="930087" cy="911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638736</xdr:colOff>
      <xdr:row>0</xdr:row>
      <xdr:rowOff>66275</xdr:rowOff>
    </xdr:from>
    <xdr:ext cx="2412785" cy="90863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7586383" y="66275"/>
          <a:ext cx="2412785" cy="908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1000" b="1"/>
            <a:t>Mẫ</a:t>
          </a:r>
          <a:r>
            <a:rPr lang="en-US" sz="1000" b="1" baseline="0"/>
            <a:t>u số : 01 - VT</a:t>
          </a:r>
        </a:p>
        <a:p>
          <a:pPr algn="r"/>
          <a:r>
            <a:rPr lang="en-US" sz="1000" baseline="0"/>
            <a:t>( Ban hành theo QĐ số :48/2006/QĐ/BTC</a:t>
          </a:r>
        </a:p>
        <a:p>
          <a:pPr algn="r"/>
          <a:r>
            <a:rPr lang="en-US" sz="1000" baseline="0"/>
            <a:t>ngày 14/09/2016  của Bộ trưởng BTC</a:t>
          </a:r>
          <a:endParaRPr lang="en-US" sz="1000"/>
        </a:p>
      </xdr:txBody>
    </xdr:sp>
    <xdr:clientData/>
  </xdr:oneCellAnchor>
  <xdr:twoCellAnchor>
    <xdr:from>
      <xdr:col>7</xdr:col>
      <xdr:colOff>112059</xdr:colOff>
      <xdr:row>1</xdr:row>
      <xdr:rowOff>112059</xdr:rowOff>
    </xdr:from>
    <xdr:to>
      <xdr:col>8</xdr:col>
      <xdr:colOff>1011891</xdr:colOff>
      <xdr:row>1</xdr:row>
      <xdr:rowOff>335056</xdr:rowOff>
    </xdr:to>
    <xdr:sp macro="[0]!BaoCao_TongHop_CongNo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10085294" y="235324"/>
          <a:ext cx="1617009" cy="2229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1210237</xdr:colOff>
      <xdr:row>2002</xdr:row>
      <xdr:rowOff>115420</xdr:rowOff>
    </xdr:from>
    <xdr:to>
      <xdr:col>6</xdr:col>
      <xdr:colOff>1048869</xdr:colOff>
      <xdr:row>2003</xdr:row>
      <xdr:rowOff>294153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6991912" y="5163670"/>
          <a:ext cx="1629332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914400</xdr:colOff>
      <xdr:row>2001</xdr:row>
      <xdr:rowOff>257175</xdr:rowOff>
    </xdr:from>
    <xdr:to>
      <xdr:col>6</xdr:col>
      <xdr:colOff>1972232</xdr:colOff>
      <xdr:row>2002</xdr:row>
      <xdr:rowOff>236446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6696075" y="4991100"/>
          <a:ext cx="2848532" cy="29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twoCellAnchor editAs="absolute">
    <xdr:from>
      <xdr:col>2</xdr:col>
      <xdr:colOff>425824</xdr:colOff>
      <xdr:row>1</xdr:row>
      <xdr:rowOff>22412</xdr:rowOff>
    </xdr:from>
    <xdr:to>
      <xdr:col>5</xdr:col>
      <xdr:colOff>885265</xdr:colOff>
      <xdr:row>1</xdr:row>
      <xdr:rowOff>727822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1580030" y="145677"/>
          <a:ext cx="6152029" cy="705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rgbClr val="0070C0"/>
              </a:solidFill>
            </a:rPr>
            <a:t>BCTH</a:t>
          </a:r>
          <a:r>
            <a:rPr lang="en-US" sz="4000" b="1" baseline="0">
              <a:solidFill>
                <a:srgbClr val="0070C0"/>
              </a:solidFill>
            </a:rPr>
            <a:t> </a:t>
          </a:r>
          <a:r>
            <a:rPr lang="en-US" sz="4000" b="1">
              <a:solidFill>
                <a:srgbClr val="0070C0"/>
              </a:solidFill>
            </a:rPr>
            <a:t>CÔNG</a:t>
          </a:r>
          <a:r>
            <a:rPr lang="en-US" sz="4000" b="1" baseline="0">
              <a:solidFill>
                <a:srgbClr val="0070C0"/>
              </a:solidFill>
            </a:rPr>
            <a:t> NỢ KH &amp; NCC</a:t>
          </a:r>
          <a:endParaRPr lang="en-US" sz="4000" b="1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178734</xdr:colOff>
      <xdr:row>1</xdr:row>
      <xdr:rowOff>43142</xdr:rowOff>
    </xdr:from>
    <xdr:to>
      <xdr:col>11</xdr:col>
      <xdr:colOff>563095</xdr:colOff>
      <xdr:row>1</xdr:row>
      <xdr:rowOff>414057</xdr:rowOff>
    </xdr:to>
    <xdr:sp macro="[0]!BC_XN_NGAY_SU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703484" y="166967"/>
          <a:ext cx="1155886" cy="37091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571502</xdr:colOff>
      <xdr:row>997</xdr:row>
      <xdr:rowOff>235323</xdr:rowOff>
    </xdr:from>
    <xdr:to>
      <xdr:col>5</xdr:col>
      <xdr:colOff>224119</xdr:colOff>
      <xdr:row>999</xdr:row>
      <xdr:rowOff>100852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905002" y="5207373"/>
          <a:ext cx="1357592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903197</xdr:colOff>
      <xdr:row>997</xdr:row>
      <xdr:rowOff>230839</xdr:rowOff>
    </xdr:from>
    <xdr:to>
      <xdr:col>7</xdr:col>
      <xdr:colOff>235323</xdr:colOff>
      <xdr:row>999</xdr:row>
      <xdr:rowOff>96368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3941672" y="5202889"/>
          <a:ext cx="1437151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192747</xdr:colOff>
      <xdr:row>997</xdr:row>
      <xdr:rowOff>237564</xdr:rowOff>
    </xdr:from>
    <xdr:to>
      <xdr:col>2</xdr:col>
      <xdr:colOff>302558</xdr:colOff>
      <xdr:row>999</xdr:row>
      <xdr:rowOff>103093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192747" y="5209614"/>
          <a:ext cx="1443311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562540</xdr:colOff>
      <xdr:row>997</xdr:row>
      <xdr:rowOff>226356</xdr:rowOff>
    </xdr:from>
    <xdr:to>
      <xdr:col>9</xdr:col>
      <xdr:colOff>365313</xdr:colOff>
      <xdr:row>999</xdr:row>
      <xdr:rowOff>91885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5706040" y="5198406"/>
          <a:ext cx="1298198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266703</xdr:colOff>
      <xdr:row>997</xdr:row>
      <xdr:rowOff>53786</xdr:rowOff>
    </xdr:from>
    <xdr:to>
      <xdr:col>9</xdr:col>
      <xdr:colOff>862852</xdr:colOff>
      <xdr:row>998</xdr:row>
      <xdr:rowOff>33618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5410203" y="5025836"/>
          <a:ext cx="2091574" cy="2941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oneCellAnchor>
    <xdr:from>
      <xdr:col>0</xdr:col>
      <xdr:colOff>112059</xdr:colOff>
      <xdr:row>1</xdr:row>
      <xdr:rowOff>1</xdr:rowOff>
    </xdr:from>
    <xdr:ext cx="762000" cy="74661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9" y="123826"/>
          <a:ext cx="762000" cy="7466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408453</xdr:colOff>
      <xdr:row>1</xdr:row>
      <xdr:rowOff>559</xdr:rowOff>
    </xdr:from>
    <xdr:ext cx="2168339" cy="73342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7542678" y="124384"/>
          <a:ext cx="2168339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  <xdr:twoCellAnchor editAs="absolute">
    <xdr:from>
      <xdr:col>2</xdr:col>
      <xdr:colOff>276225</xdr:colOff>
      <xdr:row>0</xdr:row>
      <xdr:rowOff>85725</xdr:rowOff>
    </xdr:from>
    <xdr:to>
      <xdr:col>7</xdr:col>
      <xdr:colOff>437029</xdr:colOff>
      <xdr:row>1</xdr:row>
      <xdr:rowOff>667310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1419225" y="85725"/>
          <a:ext cx="6152029" cy="705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rgbClr val="0070C0"/>
              </a:solidFill>
            </a:rPr>
            <a:t>NHẬP</a:t>
          </a:r>
          <a:r>
            <a:rPr lang="en-US" sz="4000" b="1" baseline="0">
              <a:solidFill>
                <a:srgbClr val="0070C0"/>
              </a:solidFill>
            </a:rPr>
            <a:t> XUẤT TRONG NGÀY</a:t>
          </a:r>
          <a:endParaRPr lang="en-US" sz="4000" b="1">
            <a:solidFill>
              <a:srgbClr val="0070C0"/>
            </a:solidFill>
          </a:endParaRPr>
        </a:p>
      </xdr:txBody>
    </xdr:sp>
    <xdr:clientData/>
  </xdr:twoCellAnchor>
  <xdr:twoCellAnchor>
    <xdr:from>
      <xdr:col>3</xdr:col>
      <xdr:colOff>707650</xdr:colOff>
      <xdr:row>1001</xdr:row>
      <xdr:rowOff>114861</xdr:rowOff>
    </xdr:from>
    <xdr:to>
      <xdr:col>5</xdr:col>
      <xdr:colOff>428623</xdr:colOff>
      <xdr:row>1004</xdr:row>
      <xdr:rowOff>36419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2707900" y="3134286"/>
          <a:ext cx="11878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1107701</xdr:colOff>
      <xdr:row>1001</xdr:row>
      <xdr:rowOff>99171</xdr:rowOff>
    </xdr:from>
    <xdr:to>
      <xdr:col>6</xdr:col>
      <xdr:colOff>261093</xdr:colOff>
      <xdr:row>1004</xdr:row>
      <xdr:rowOff>20729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4574801" y="3118596"/>
          <a:ext cx="2077567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152400</xdr:colOff>
      <xdr:row>1001</xdr:row>
      <xdr:rowOff>122145</xdr:rowOff>
    </xdr:from>
    <xdr:to>
      <xdr:col>2</xdr:col>
      <xdr:colOff>898145</xdr:colOff>
      <xdr:row>1004</xdr:row>
      <xdr:rowOff>43703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581025" y="3141570"/>
          <a:ext cx="1364870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52669</xdr:colOff>
      <xdr:row>1001</xdr:row>
      <xdr:rowOff>115420</xdr:rowOff>
    </xdr:from>
    <xdr:to>
      <xdr:col>9</xdr:col>
      <xdr:colOff>735104</xdr:colOff>
      <xdr:row>1004</xdr:row>
      <xdr:rowOff>36978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7853644" y="3134845"/>
          <a:ext cx="173018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272303</xdr:colOff>
      <xdr:row>1000</xdr:row>
      <xdr:rowOff>95250</xdr:rowOff>
    </xdr:from>
    <xdr:to>
      <xdr:col>10</xdr:col>
      <xdr:colOff>184893</xdr:colOff>
      <xdr:row>1002</xdr:row>
      <xdr:rowOff>7847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7311278" y="2924175"/>
          <a:ext cx="2770090" cy="293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0</xdr:row>
      <xdr:rowOff>104775</xdr:rowOff>
    </xdr:from>
    <xdr:ext cx="904874" cy="88660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04775"/>
          <a:ext cx="904874" cy="8866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104776</xdr:colOff>
      <xdr:row>0</xdr:row>
      <xdr:rowOff>152400</xdr:rowOff>
    </xdr:from>
    <xdr:ext cx="2571750" cy="7334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3762376" y="152400"/>
          <a:ext cx="2571750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  <xdr:oneCellAnchor>
    <xdr:from>
      <xdr:col>3</xdr:col>
      <xdr:colOff>357808</xdr:colOff>
      <xdr:row>5</xdr:row>
      <xdr:rowOff>28575</xdr:rowOff>
    </xdr:from>
    <xdr:ext cx="2133600" cy="56194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685221" y="815423"/>
          <a:ext cx="21336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000" b="1">
              <a:solidFill>
                <a:schemeClr val="tx2">
                  <a:lumMod val="75000"/>
                </a:schemeClr>
              </a:solidFill>
            </a:rPr>
            <a:t> PHIẾU</a:t>
          </a:r>
          <a:r>
            <a:rPr lang="en-US" sz="3000" b="1" baseline="0">
              <a:solidFill>
                <a:schemeClr val="tx2">
                  <a:lumMod val="75000"/>
                </a:schemeClr>
              </a:solidFill>
            </a:rPr>
            <a:t> THU</a:t>
          </a:r>
          <a:endParaRPr lang="en-US" sz="3000" b="1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twoCellAnchor>
    <xdr:from>
      <xdr:col>2</xdr:col>
      <xdr:colOff>577101</xdr:colOff>
      <xdr:row>18</xdr:row>
      <xdr:rowOff>25779</xdr:rowOff>
    </xdr:from>
    <xdr:to>
      <xdr:col>4</xdr:col>
      <xdr:colOff>438150</xdr:colOff>
      <xdr:row>20</xdr:row>
      <xdr:rowOff>137837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529601" y="3330954"/>
          <a:ext cx="1442199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Người</a:t>
          </a:r>
          <a:r>
            <a:rPr lang="en-US" sz="1300" b="1" baseline="0"/>
            <a:t>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152399</xdr:colOff>
      <xdr:row>18</xdr:row>
      <xdr:rowOff>22968</xdr:rowOff>
    </xdr:from>
    <xdr:to>
      <xdr:col>8</xdr:col>
      <xdr:colOff>62189</xdr:colOff>
      <xdr:row>20</xdr:row>
      <xdr:rowOff>135026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2686049" y="3328143"/>
          <a:ext cx="197671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39223</xdr:rowOff>
    </xdr:from>
    <xdr:to>
      <xdr:col>2</xdr:col>
      <xdr:colOff>676275</xdr:colOff>
      <xdr:row>20</xdr:row>
      <xdr:rowOff>151281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0" y="3344398"/>
          <a:ext cx="162877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nộp tiền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326651</xdr:colOff>
      <xdr:row>18</xdr:row>
      <xdr:rowOff>10645</xdr:rowOff>
    </xdr:from>
    <xdr:to>
      <xdr:col>10</xdr:col>
      <xdr:colOff>405649</xdr:colOff>
      <xdr:row>20</xdr:row>
      <xdr:rowOff>122703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4460501" y="3315820"/>
          <a:ext cx="151727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78439</xdr:colOff>
      <xdr:row>17</xdr:row>
      <xdr:rowOff>47625</xdr:rowOff>
    </xdr:from>
    <xdr:to>
      <xdr:col>12</xdr:col>
      <xdr:colOff>99166</xdr:colOff>
      <xdr:row>18</xdr:row>
      <xdr:rowOff>150721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4212289" y="3162300"/>
          <a:ext cx="2221002" cy="29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95248</xdr:colOff>
      <xdr:row>14</xdr:row>
      <xdr:rowOff>57150</xdr:rowOff>
    </xdr:from>
    <xdr:to>
      <xdr:col>17</xdr:col>
      <xdr:colOff>323850</xdr:colOff>
      <xdr:row>31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K213"/>
  <sheetViews>
    <sheetView zoomScaleNormal="100" workbookViewId="0">
      <selection activeCell="J10" sqref="J10"/>
    </sheetView>
  </sheetViews>
  <sheetFormatPr defaultColWidth="9.1328125" defaultRowHeight="14.25"/>
  <cols>
    <col min="1" max="1" width="2.3984375" style="2" customWidth="1"/>
    <col min="2" max="2" width="19.3984375" style="2" bestFit="1" customWidth="1"/>
    <col min="3" max="3" width="53.3984375" style="2" customWidth="1"/>
    <col min="4" max="4" width="3.3984375" style="2" customWidth="1"/>
    <col min="5" max="16384" width="9.1328125" style="1"/>
  </cols>
  <sheetData>
    <row r="1" spans="2:11" ht="14.25" customHeight="1"/>
    <row r="2" spans="2:11" ht="30" customHeight="1">
      <c r="B2" s="3" t="s">
        <v>0</v>
      </c>
      <c r="C2" s="3"/>
      <c r="G2" s="324"/>
      <c r="H2" s="324"/>
      <c r="I2" s="324"/>
      <c r="J2" s="324"/>
      <c r="K2" s="324"/>
    </row>
    <row r="3" spans="2:11" ht="24.95" customHeight="1">
      <c r="B3" s="4" t="s">
        <v>1</v>
      </c>
      <c r="C3" s="5" t="s">
        <v>20</v>
      </c>
    </row>
    <row r="4" spans="2:11" ht="24.95" customHeight="1">
      <c r="B4" s="4" t="s">
        <v>2</v>
      </c>
      <c r="C4" s="5" t="s">
        <v>21</v>
      </c>
    </row>
    <row r="5" spans="2:11" ht="24.95" customHeight="1">
      <c r="B5" s="4" t="s">
        <v>3</v>
      </c>
      <c r="C5" s="5" t="s">
        <v>4</v>
      </c>
    </row>
    <row r="6" spans="2:11" ht="24.95" customHeight="1">
      <c r="B6" s="4" t="s">
        <v>5</v>
      </c>
      <c r="C6" s="5" t="s">
        <v>22</v>
      </c>
    </row>
    <row r="7" spans="2:11" ht="24.95" customHeight="1">
      <c r="B7" s="4" t="s">
        <v>6</v>
      </c>
      <c r="C7" s="5" t="s">
        <v>7</v>
      </c>
    </row>
    <row r="8" spans="2:11" ht="24.95" customHeight="1">
      <c r="B8" s="4" t="s">
        <v>8</v>
      </c>
      <c r="C8" s="5" t="s">
        <v>9</v>
      </c>
    </row>
    <row r="9" spans="2:11" ht="24.95" customHeight="1">
      <c r="B9" s="4" t="s">
        <v>10</v>
      </c>
      <c r="C9" s="5" t="s">
        <v>11</v>
      </c>
    </row>
    <row r="10" spans="2:11" ht="24.95" customHeight="1">
      <c r="B10" s="4" t="s">
        <v>12</v>
      </c>
      <c r="C10" s="5" t="s">
        <v>13</v>
      </c>
      <c r="K10" s="244" t="s">
        <v>258</v>
      </c>
    </row>
    <row r="11" spans="2:11" ht="24.95" customHeight="1">
      <c r="B11" s="4" t="s">
        <v>14</v>
      </c>
      <c r="C11" s="5" t="s">
        <v>19</v>
      </c>
    </row>
    <row r="12" spans="2:11" ht="24.95" customHeight="1">
      <c r="B12" s="4" t="s">
        <v>15</v>
      </c>
      <c r="C12" s="5" t="s">
        <v>16</v>
      </c>
    </row>
    <row r="13" spans="2:11" ht="24.95" customHeight="1">
      <c r="B13" s="4" t="s">
        <v>17</v>
      </c>
      <c r="C13" s="5" t="s">
        <v>18</v>
      </c>
    </row>
    <row r="213" spans="1:1">
      <c r="A213" s="323" t="str">
        <f>KhaiBaoThongTinDN!C11</f>
        <v xml:space="preserve">Nguyễn Văn </v>
      </c>
    </row>
  </sheetData>
  <mergeCells count="1">
    <mergeCell ref="G2:K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B1:K978"/>
  <sheetViews>
    <sheetView zoomScale="85" zoomScaleNormal="85" workbookViewId="0">
      <selection activeCell="E16" sqref="E16"/>
    </sheetView>
  </sheetViews>
  <sheetFormatPr defaultColWidth="9.1328125" defaultRowHeight="20.100000000000001" customHeight="1"/>
  <cols>
    <col min="1" max="1" width="0.59765625" style="17" customWidth="1"/>
    <col min="2" max="2" width="8.265625" style="15" hidden="1" customWidth="1"/>
    <col min="3" max="3" width="14.265625" style="27" bestFit="1" customWidth="1"/>
    <col min="4" max="4" width="16.1328125" style="27" bestFit="1" customWidth="1"/>
    <col min="5" max="5" width="102.73046875" style="27" bestFit="1" customWidth="1"/>
    <col min="6" max="6" width="9" style="15" customWidth="1"/>
    <col min="7" max="7" width="16.265625" style="11" customWidth="1"/>
    <col min="8" max="8" width="15.1328125" style="8" customWidth="1"/>
    <col min="9" max="9" width="13.59765625" style="8" customWidth="1"/>
    <col min="10" max="10" width="19.73046875" style="23" customWidth="1"/>
    <col min="11" max="11" width="21.86328125" style="24" customWidth="1"/>
    <col min="12" max="16384" width="9.1328125" style="17"/>
  </cols>
  <sheetData>
    <row r="1" spans="2:11" s="13" customFormat="1" ht="14.25">
      <c r="C1" s="25"/>
      <c r="D1" s="25"/>
      <c r="G1" s="12"/>
      <c r="H1" s="12"/>
      <c r="I1" s="12"/>
      <c r="J1" s="19"/>
      <c r="K1" s="20"/>
    </row>
    <row r="2" spans="2:11" s="7" customFormat="1" ht="30" customHeight="1">
      <c r="B2" s="211" t="s">
        <v>23</v>
      </c>
      <c r="C2" s="26" t="s">
        <v>24</v>
      </c>
      <c r="D2" s="26" t="s">
        <v>25</v>
      </c>
      <c r="E2" s="33" t="s">
        <v>26</v>
      </c>
      <c r="F2" s="212" t="s">
        <v>27</v>
      </c>
      <c r="G2" s="9" t="s">
        <v>30</v>
      </c>
      <c r="H2" s="10" t="s">
        <v>31</v>
      </c>
      <c r="I2" s="18" t="s">
        <v>83</v>
      </c>
      <c r="J2" s="21" t="s">
        <v>28</v>
      </c>
      <c r="K2" s="22" t="s">
        <v>29</v>
      </c>
    </row>
    <row r="3" spans="2:11" ht="20.100000000000001" customHeight="1">
      <c r="B3" s="14"/>
      <c r="C3" s="28">
        <v>52022002</v>
      </c>
      <c r="D3" s="27" t="s">
        <v>46</v>
      </c>
      <c r="E3" s="28" t="s">
        <v>47</v>
      </c>
      <c r="F3" s="16" t="s">
        <v>45</v>
      </c>
      <c r="G3" s="8">
        <v>65000</v>
      </c>
      <c r="H3" s="8">
        <v>115000</v>
      </c>
      <c r="I3" s="8" t="s">
        <v>153</v>
      </c>
      <c r="J3" s="23" t="s">
        <v>254</v>
      </c>
      <c r="K3" s="24" t="s">
        <v>255</v>
      </c>
    </row>
    <row r="4" spans="2:11" ht="20.100000000000001" customHeight="1">
      <c r="B4" s="14"/>
      <c r="C4" s="28">
        <v>52022003</v>
      </c>
      <c r="D4" s="27" t="s">
        <v>46</v>
      </c>
      <c r="E4" s="28" t="s">
        <v>48</v>
      </c>
      <c r="F4" s="16" t="s">
        <v>45</v>
      </c>
      <c r="G4" s="8">
        <v>70000</v>
      </c>
      <c r="H4" s="8">
        <v>120000</v>
      </c>
      <c r="I4" s="8" t="s">
        <v>153</v>
      </c>
      <c r="J4" s="23" t="s">
        <v>256</v>
      </c>
      <c r="K4" s="24" t="s">
        <v>257</v>
      </c>
    </row>
    <row r="5" spans="2:11" ht="20.100000000000001" customHeight="1">
      <c r="B5" s="14"/>
      <c r="C5" s="28">
        <v>52022004</v>
      </c>
      <c r="D5" s="27" t="s">
        <v>46</v>
      </c>
      <c r="E5" s="28" t="s">
        <v>47</v>
      </c>
      <c r="F5" s="16" t="s">
        <v>45</v>
      </c>
      <c r="G5" s="8">
        <v>65000</v>
      </c>
      <c r="H5" s="8">
        <v>115000</v>
      </c>
      <c r="I5" s="8" t="s">
        <v>153</v>
      </c>
      <c r="J5" s="23" t="s">
        <v>254</v>
      </c>
      <c r="K5" s="24" t="s">
        <v>255</v>
      </c>
    </row>
    <row r="6" spans="2:11" ht="20.100000000000001" customHeight="1">
      <c r="B6" s="14"/>
      <c r="C6" s="28">
        <v>52022005</v>
      </c>
      <c r="D6" s="27" t="s">
        <v>46</v>
      </c>
      <c r="E6" s="28" t="s">
        <v>48</v>
      </c>
      <c r="F6" s="16" t="s">
        <v>45</v>
      </c>
      <c r="G6" s="8">
        <v>70000</v>
      </c>
      <c r="H6" s="8">
        <v>120000</v>
      </c>
      <c r="I6" s="8" t="s">
        <v>154</v>
      </c>
      <c r="J6" s="23" t="s">
        <v>256</v>
      </c>
      <c r="K6" s="24" t="s">
        <v>257</v>
      </c>
    </row>
    <row r="7" spans="2:11" ht="20.100000000000001" customHeight="1">
      <c r="B7" s="14"/>
      <c r="C7" s="28"/>
      <c r="E7" s="28"/>
      <c r="F7" s="16"/>
      <c r="G7" s="8"/>
    </row>
    <row r="8" spans="2:11" ht="20.100000000000001" customHeight="1">
      <c r="B8" s="14"/>
      <c r="C8" s="28"/>
      <c r="E8" s="28"/>
      <c r="F8" s="16"/>
      <c r="G8" s="8"/>
    </row>
    <row r="9" spans="2:11" ht="20.100000000000001" customHeight="1">
      <c r="B9" s="14"/>
      <c r="C9" s="221"/>
      <c r="E9" s="213"/>
      <c r="F9" s="16"/>
      <c r="G9" s="8"/>
    </row>
    <row r="10" spans="2:11" ht="20.100000000000001" customHeight="1">
      <c r="B10" s="14"/>
      <c r="C10" s="221"/>
      <c r="E10" s="213"/>
      <c r="F10" s="16"/>
      <c r="G10" s="8"/>
    </row>
    <row r="11" spans="2:11" ht="20.100000000000001" customHeight="1">
      <c r="B11" s="14"/>
      <c r="C11" s="221"/>
      <c r="E11" s="213"/>
      <c r="F11" s="16"/>
      <c r="G11" s="8"/>
    </row>
    <row r="12" spans="2:11" ht="20.100000000000001" customHeight="1">
      <c r="B12" s="14"/>
      <c r="C12" s="221"/>
      <c r="E12" s="213"/>
      <c r="F12" s="16"/>
      <c r="G12" s="8"/>
    </row>
    <row r="13" spans="2:11" ht="20.100000000000001" customHeight="1">
      <c r="B13" s="14"/>
      <c r="C13" s="221"/>
      <c r="E13" s="213"/>
      <c r="F13" s="16"/>
      <c r="G13" s="8"/>
    </row>
    <row r="14" spans="2:11" ht="20.100000000000001" customHeight="1">
      <c r="B14" s="14"/>
      <c r="C14" s="221"/>
      <c r="E14" s="213"/>
      <c r="F14" s="16"/>
      <c r="G14" s="8"/>
    </row>
    <row r="15" spans="2:11" ht="20.100000000000001" customHeight="1">
      <c r="B15" s="14"/>
      <c r="C15" s="221"/>
      <c r="E15" s="213"/>
      <c r="F15" s="16"/>
      <c r="G15" s="8"/>
    </row>
    <row r="16" spans="2:11" ht="20.100000000000001" customHeight="1">
      <c r="B16" s="14"/>
      <c r="C16" s="221"/>
      <c r="E16" s="213"/>
      <c r="F16" s="16"/>
      <c r="G16" s="8"/>
    </row>
    <row r="17" spans="2:7" ht="20.100000000000001" customHeight="1">
      <c r="B17" s="14"/>
      <c r="C17" s="221"/>
      <c r="E17" s="213"/>
      <c r="F17" s="16"/>
      <c r="G17" s="8"/>
    </row>
    <row r="18" spans="2:7" ht="20.100000000000001" customHeight="1">
      <c r="B18" s="14"/>
      <c r="C18" s="221"/>
      <c r="E18" s="213"/>
      <c r="F18" s="16"/>
      <c r="G18" s="8"/>
    </row>
    <row r="19" spans="2:7" ht="20.100000000000001" customHeight="1">
      <c r="B19" s="14"/>
      <c r="C19" s="221"/>
      <c r="E19" s="213"/>
      <c r="F19" s="16"/>
      <c r="G19" s="8"/>
    </row>
    <row r="20" spans="2:7" ht="20.100000000000001" customHeight="1">
      <c r="B20" s="14"/>
      <c r="C20" s="221"/>
      <c r="E20" s="213"/>
      <c r="F20" s="16"/>
      <c r="G20" s="8"/>
    </row>
    <row r="21" spans="2:7" ht="20.100000000000001" customHeight="1">
      <c r="B21" s="14"/>
      <c r="C21" s="221"/>
      <c r="E21" s="213"/>
      <c r="F21" s="16"/>
      <c r="G21" s="8"/>
    </row>
    <row r="22" spans="2:7" ht="20.100000000000001" customHeight="1">
      <c r="B22" s="14"/>
      <c r="C22" s="221"/>
      <c r="E22" s="213"/>
      <c r="F22" s="16"/>
      <c r="G22" s="8"/>
    </row>
    <row r="23" spans="2:7" ht="20.100000000000001" customHeight="1">
      <c r="B23" s="14"/>
      <c r="C23" s="221"/>
      <c r="E23" s="213"/>
      <c r="F23" s="16"/>
      <c r="G23" s="8"/>
    </row>
    <row r="24" spans="2:7" ht="20.100000000000001" customHeight="1">
      <c r="B24" s="14"/>
      <c r="C24" s="221"/>
      <c r="E24" s="213"/>
      <c r="F24" s="16"/>
      <c r="G24" s="8"/>
    </row>
    <row r="25" spans="2:7" ht="20.100000000000001" customHeight="1">
      <c r="B25" s="14"/>
      <c r="C25" s="221"/>
      <c r="E25" s="213"/>
      <c r="F25" s="16"/>
      <c r="G25" s="8"/>
    </row>
    <row r="26" spans="2:7" ht="20.100000000000001" customHeight="1">
      <c r="B26" s="14"/>
      <c r="C26" s="221"/>
      <c r="E26" s="213"/>
      <c r="F26" s="16"/>
      <c r="G26" s="8"/>
    </row>
    <row r="27" spans="2:7" ht="20.100000000000001" customHeight="1">
      <c r="B27" s="14"/>
      <c r="C27" s="221"/>
      <c r="E27" s="213"/>
      <c r="F27" s="16"/>
      <c r="G27" s="8"/>
    </row>
    <row r="28" spans="2:7" ht="20.100000000000001" customHeight="1">
      <c r="B28" s="14"/>
      <c r="C28" s="221"/>
      <c r="E28" s="213"/>
      <c r="F28" s="16"/>
      <c r="G28" s="8"/>
    </row>
    <row r="29" spans="2:7" ht="20.100000000000001" customHeight="1">
      <c r="B29" s="14"/>
      <c r="C29" s="221"/>
      <c r="E29" s="213"/>
      <c r="F29" s="16"/>
      <c r="G29" s="8"/>
    </row>
    <row r="30" spans="2:7" ht="20.100000000000001" customHeight="1">
      <c r="B30" s="14"/>
      <c r="C30" s="221"/>
      <c r="E30" s="213"/>
      <c r="F30" s="16"/>
      <c r="G30" s="8"/>
    </row>
    <row r="31" spans="2:7" ht="20.100000000000001" customHeight="1">
      <c r="B31" s="14"/>
      <c r="C31" s="221"/>
      <c r="E31" s="213"/>
      <c r="F31" s="16"/>
      <c r="G31" s="8"/>
    </row>
    <row r="32" spans="2:7" ht="20.100000000000001" customHeight="1">
      <c r="B32" s="14"/>
      <c r="C32" s="221"/>
      <c r="E32" s="213"/>
      <c r="F32" s="16"/>
      <c r="G32" s="8"/>
    </row>
    <row r="33" spans="2:7" ht="20.100000000000001" customHeight="1">
      <c r="B33" s="14"/>
      <c r="C33" s="221"/>
      <c r="E33" s="213"/>
      <c r="F33" s="16"/>
      <c r="G33" s="8"/>
    </row>
    <row r="34" spans="2:7" ht="20.100000000000001" customHeight="1">
      <c r="B34" s="14"/>
      <c r="C34" s="221"/>
      <c r="E34" s="213"/>
      <c r="F34" s="16"/>
      <c r="G34" s="8"/>
    </row>
    <row r="35" spans="2:7" ht="20.100000000000001" customHeight="1">
      <c r="B35" s="14"/>
      <c r="C35" s="221"/>
      <c r="E35" s="213"/>
      <c r="F35" s="16"/>
      <c r="G35" s="8"/>
    </row>
    <row r="36" spans="2:7" ht="20.100000000000001" customHeight="1">
      <c r="B36" s="14"/>
      <c r="C36" s="221"/>
      <c r="E36" s="213"/>
      <c r="F36" s="16"/>
      <c r="G36" s="8"/>
    </row>
    <row r="37" spans="2:7" ht="20.100000000000001" customHeight="1">
      <c r="B37" s="14"/>
      <c r="C37" s="221"/>
      <c r="E37" s="213"/>
      <c r="F37" s="16"/>
      <c r="G37" s="8"/>
    </row>
    <row r="38" spans="2:7" ht="20.100000000000001" customHeight="1">
      <c r="B38" s="14"/>
      <c r="C38" s="221"/>
      <c r="E38" s="213"/>
      <c r="F38" s="16"/>
      <c r="G38" s="8"/>
    </row>
    <row r="39" spans="2:7" ht="20.100000000000001" customHeight="1">
      <c r="B39" s="14"/>
      <c r="C39" s="221"/>
      <c r="E39" s="213"/>
      <c r="F39" s="16"/>
      <c r="G39" s="8"/>
    </row>
    <row r="40" spans="2:7" ht="20.100000000000001" customHeight="1">
      <c r="B40" s="14"/>
      <c r="C40" s="221"/>
      <c r="E40" s="213"/>
      <c r="F40" s="16"/>
      <c r="G40" s="8"/>
    </row>
    <row r="41" spans="2:7" ht="20.100000000000001" customHeight="1">
      <c r="B41" s="14"/>
      <c r="C41" s="221"/>
      <c r="E41" s="213"/>
      <c r="F41" s="16"/>
      <c r="G41" s="8"/>
    </row>
    <row r="42" spans="2:7" ht="20.100000000000001" customHeight="1">
      <c r="B42" s="14"/>
      <c r="C42" s="221"/>
      <c r="E42" s="213"/>
      <c r="F42" s="16"/>
      <c r="G42" s="8"/>
    </row>
    <row r="43" spans="2:7" ht="20.100000000000001" customHeight="1">
      <c r="B43" s="14"/>
      <c r="C43" s="221"/>
      <c r="E43" s="213"/>
      <c r="F43" s="16"/>
      <c r="G43" s="8"/>
    </row>
    <row r="44" spans="2:7" ht="20.100000000000001" customHeight="1">
      <c r="B44" s="14"/>
      <c r="C44" s="221"/>
      <c r="E44" s="213"/>
      <c r="F44" s="16"/>
      <c r="G44" s="8"/>
    </row>
    <row r="45" spans="2:7" ht="20.100000000000001" customHeight="1">
      <c r="B45" s="14"/>
      <c r="C45" s="221"/>
      <c r="E45" s="213"/>
      <c r="F45" s="16"/>
      <c r="G45" s="8"/>
    </row>
    <row r="46" spans="2:7" ht="20.100000000000001" customHeight="1">
      <c r="B46" s="14"/>
      <c r="C46" s="221"/>
      <c r="E46" s="213"/>
      <c r="F46" s="16"/>
      <c r="G46" s="8"/>
    </row>
    <row r="47" spans="2:7" ht="20.100000000000001" customHeight="1">
      <c r="B47" s="14"/>
      <c r="C47" s="221"/>
      <c r="E47" s="213"/>
      <c r="F47" s="16"/>
      <c r="G47" s="8"/>
    </row>
    <row r="48" spans="2:7" ht="20.100000000000001" customHeight="1">
      <c r="B48" s="14"/>
      <c r="C48" s="221"/>
      <c r="E48" s="213"/>
      <c r="F48" s="16"/>
      <c r="G48" s="8"/>
    </row>
    <row r="49" spans="2:7" ht="20.100000000000001" customHeight="1">
      <c r="B49" s="14"/>
      <c r="C49" s="221"/>
      <c r="E49" s="213"/>
      <c r="F49" s="16"/>
      <c r="G49" s="8"/>
    </row>
    <row r="50" spans="2:7" ht="20.100000000000001" customHeight="1">
      <c r="B50" s="14"/>
      <c r="C50" s="221"/>
      <c r="E50" s="213"/>
      <c r="F50" s="16"/>
      <c r="G50" s="8"/>
    </row>
    <row r="51" spans="2:7" ht="20.100000000000001" customHeight="1">
      <c r="B51" s="14"/>
      <c r="C51" s="221"/>
      <c r="E51" s="213"/>
      <c r="F51" s="16"/>
      <c r="G51" s="8"/>
    </row>
    <row r="52" spans="2:7" ht="20.100000000000001" customHeight="1">
      <c r="B52" s="14"/>
      <c r="C52" s="221"/>
      <c r="E52" s="213"/>
      <c r="F52" s="16"/>
      <c r="G52" s="8"/>
    </row>
    <row r="53" spans="2:7" ht="20.100000000000001" customHeight="1">
      <c r="B53" s="14"/>
      <c r="C53" s="221"/>
      <c r="E53" s="213"/>
      <c r="F53" s="16"/>
      <c r="G53" s="8"/>
    </row>
    <row r="54" spans="2:7" ht="20.100000000000001" customHeight="1">
      <c r="B54" s="14"/>
      <c r="C54" s="221"/>
      <c r="E54" s="213"/>
      <c r="F54" s="16"/>
      <c r="G54" s="8"/>
    </row>
    <row r="55" spans="2:7" ht="20.100000000000001" customHeight="1">
      <c r="B55" s="14"/>
      <c r="C55" s="221"/>
      <c r="E55" s="213"/>
      <c r="F55" s="16"/>
      <c r="G55" s="8"/>
    </row>
    <row r="56" spans="2:7" ht="20.100000000000001" customHeight="1">
      <c r="B56" s="14"/>
      <c r="C56" s="221"/>
      <c r="E56" s="213"/>
      <c r="F56" s="16"/>
      <c r="G56" s="8"/>
    </row>
    <row r="57" spans="2:7" ht="20.100000000000001" customHeight="1">
      <c r="B57" s="14"/>
      <c r="C57" s="221"/>
      <c r="E57" s="213"/>
      <c r="F57" s="16"/>
      <c r="G57" s="8"/>
    </row>
    <row r="58" spans="2:7" ht="20.100000000000001" customHeight="1">
      <c r="B58" s="14"/>
      <c r="C58" s="221"/>
      <c r="E58" s="213"/>
      <c r="F58" s="16"/>
      <c r="G58" s="8"/>
    </row>
    <row r="59" spans="2:7" ht="20.100000000000001" customHeight="1">
      <c r="B59" s="14"/>
      <c r="C59" s="221"/>
      <c r="E59" s="213"/>
      <c r="F59" s="16"/>
      <c r="G59" s="8"/>
    </row>
    <row r="60" spans="2:7" ht="20.100000000000001" customHeight="1">
      <c r="B60" s="14"/>
      <c r="C60" s="221"/>
      <c r="E60" s="213"/>
      <c r="F60" s="16"/>
      <c r="G60" s="8"/>
    </row>
    <row r="61" spans="2:7" ht="20.100000000000001" customHeight="1">
      <c r="B61" s="14"/>
      <c r="C61" s="221"/>
      <c r="E61" s="213"/>
      <c r="F61" s="16"/>
      <c r="G61" s="8"/>
    </row>
    <row r="62" spans="2:7" ht="20.100000000000001" customHeight="1">
      <c r="B62" s="14"/>
      <c r="C62" s="221"/>
      <c r="E62" s="213"/>
      <c r="F62" s="16"/>
      <c r="G62" s="8"/>
    </row>
    <row r="63" spans="2:7" ht="20.100000000000001" customHeight="1">
      <c r="B63" s="14"/>
      <c r="C63" s="221"/>
      <c r="E63" s="213"/>
      <c r="F63" s="16"/>
      <c r="G63" s="8"/>
    </row>
    <row r="64" spans="2:7" ht="20.100000000000001" customHeight="1">
      <c r="B64" s="14"/>
      <c r="C64" s="221"/>
      <c r="E64" s="213"/>
      <c r="F64" s="16"/>
      <c r="G64" s="8"/>
    </row>
    <row r="65" spans="2:7" ht="20.100000000000001" customHeight="1">
      <c r="B65" s="14"/>
      <c r="C65" s="221"/>
      <c r="E65" s="213"/>
      <c r="F65" s="16"/>
      <c r="G65" s="8"/>
    </row>
    <row r="66" spans="2:7" ht="20.100000000000001" customHeight="1">
      <c r="B66" s="14"/>
      <c r="C66" s="221"/>
      <c r="E66" s="213"/>
      <c r="F66" s="16"/>
      <c r="G66" s="8"/>
    </row>
    <row r="67" spans="2:7" ht="20.100000000000001" customHeight="1">
      <c r="B67" s="14"/>
      <c r="C67" s="221"/>
      <c r="E67" s="213"/>
      <c r="F67" s="16"/>
      <c r="G67" s="8"/>
    </row>
    <row r="68" spans="2:7" ht="20.100000000000001" customHeight="1">
      <c r="B68" s="14"/>
      <c r="C68" s="221"/>
      <c r="E68" s="213"/>
      <c r="F68" s="16"/>
      <c r="G68" s="8"/>
    </row>
    <row r="69" spans="2:7" ht="20.100000000000001" customHeight="1">
      <c r="B69" s="14"/>
      <c r="C69" s="221"/>
      <c r="E69" s="213"/>
      <c r="F69" s="16"/>
      <c r="G69" s="8"/>
    </row>
    <row r="70" spans="2:7" ht="20.100000000000001" customHeight="1">
      <c r="B70" s="14"/>
      <c r="C70" s="221"/>
      <c r="E70" s="213"/>
      <c r="F70" s="16"/>
      <c r="G70" s="8"/>
    </row>
    <row r="71" spans="2:7" ht="20.100000000000001" customHeight="1">
      <c r="B71" s="14"/>
      <c r="C71" s="221"/>
      <c r="E71" s="213"/>
      <c r="F71" s="16"/>
      <c r="G71" s="8"/>
    </row>
    <row r="72" spans="2:7" ht="20.100000000000001" customHeight="1">
      <c r="B72" s="14"/>
      <c r="C72" s="221"/>
      <c r="E72" s="213"/>
      <c r="F72" s="16"/>
      <c r="G72" s="8"/>
    </row>
    <row r="73" spans="2:7" ht="20.100000000000001" customHeight="1">
      <c r="B73" s="14"/>
      <c r="C73" s="221"/>
      <c r="E73" s="213"/>
      <c r="F73" s="16"/>
      <c r="G73" s="8"/>
    </row>
    <row r="74" spans="2:7" ht="20.100000000000001" customHeight="1">
      <c r="B74" s="14"/>
      <c r="C74" s="221"/>
      <c r="E74" s="213"/>
      <c r="F74" s="16"/>
      <c r="G74" s="8"/>
    </row>
    <row r="75" spans="2:7" ht="20.100000000000001" customHeight="1">
      <c r="B75" s="14"/>
      <c r="C75" s="221"/>
      <c r="E75" s="213"/>
      <c r="F75" s="16"/>
      <c r="G75" s="8"/>
    </row>
    <row r="76" spans="2:7" ht="20.100000000000001" customHeight="1">
      <c r="B76" s="14"/>
      <c r="C76" s="221"/>
      <c r="E76" s="213"/>
      <c r="F76" s="16"/>
      <c r="G76" s="8"/>
    </row>
    <row r="77" spans="2:7" ht="20.100000000000001" customHeight="1">
      <c r="B77" s="14"/>
      <c r="C77" s="221"/>
      <c r="E77" s="213"/>
      <c r="F77" s="16"/>
      <c r="G77" s="8"/>
    </row>
    <row r="78" spans="2:7" ht="20.100000000000001" customHeight="1">
      <c r="B78" s="14"/>
      <c r="C78" s="221"/>
      <c r="E78" s="213"/>
      <c r="F78" s="16"/>
      <c r="G78" s="8"/>
    </row>
    <row r="79" spans="2:7" ht="20.100000000000001" customHeight="1">
      <c r="B79" s="14"/>
      <c r="C79" s="221"/>
      <c r="E79" s="213"/>
      <c r="F79" s="16"/>
      <c r="G79" s="8"/>
    </row>
    <row r="80" spans="2:7" ht="20.100000000000001" customHeight="1">
      <c r="B80" s="14"/>
      <c r="C80" s="221"/>
      <c r="E80" s="213"/>
      <c r="F80" s="16"/>
      <c r="G80" s="8"/>
    </row>
    <row r="81" spans="2:7" ht="20.100000000000001" customHeight="1">
      <c r="B81" s="14"/>
      <c r="C81" s="221"/>
      <c r="E81" s="213"/>
      <c r="F81" s="16"/>
      <c r="G81" s="8"/>
    </row>
    <row r="82" spans="2:7" ht="20.100000000000001" customHeight="1">
      <c r="B82" s="14"/>
      <c r="C82" s="221"/>
      <c r="E82" s="213"/>
      <c r="F82" s="16"/>
      <c r="G82" s="8"/>
    </row>
    <row r="83" spans="2:7" ht="20.100000000000001" customHeight="1">
      <c r="B83" s="14"/>
      <c r="C83" s="221"/>
      <c r="E83" s="213"/>
      <c r="F83" s="16"/>
      <c r="G83" s="8"/>
    </row>
    <row r="84" spans="2:7" ht="20.100000000000001" customHeight="1">
      <c r="B84" s="14"/>
      <c r="C84" s="221"/>
      <c r="E84" s="213"/>
      <c r="F84" s="16"/>
      <c r="G84" s="8"/>
    </row>
    <row r="85" spans="2:7" ht="20.100000000000001" customHeight="1">
      <c r="B85" s="14"/>
      <c r="C85" s="221"/>
      <c r="E85" s="213"/>
      <c r="F85" s="16"/>
      <c r="G85" s="8"/>
    </row>
    <row r="86" spans="2:7" ht="20.100000000000001" customHeight="1">
      <c r="B86" s="14"/>
      <c r="C86" s="221"/>
      <c r="E86" s="213"/>
      <c r="F86" s="16"/>
      <c r="G86" s="8"/>
    </row>
    <row r="87" spans="2:7" ht="20.100000000000001" customHeight="1">
      <c r="B87" s="14"/>
      <c r="C87" s="221"/>
      <c r="E87" s="213"/>
      <c r="F87" s="16"/>
      <c r="G87" s="8"/>
    </row>
    <row r="88" spans="2:7" ht="20.100000000000001" customHeight="1">
      <c r="B88" s="14"/>
      <c r="C88" s="221"/>
      <c r="E88" s="213"/>
      <c r="F88" s="16"/>
      <c r="G88" s="8"/>
    </row>
    <row r="89" spans="2:7" ht="20.100000000000001" customHeight="1">
      <c r="B89" s="14"/>
      <c r="C89" s="221"/>
      <c r="E89" s="213"/>
      <c r="F89" s="16"/>
      <c r="G89" s="8"/>
    </row>
    <row r="90" spans="2:7" ht="20.100000000000001" customHeight="1">
      <c r="B90" s="14"/>
      <c r="C90" s="221"/>
      <c r="E90" s="213"/>
      <c r="F90" s="16"/>
      <c r="G90" s="8"/>
    </row>
    <row r="91" spans="2:7" ht="20.100000000000001" customHeight="1">
      <c r="B91" s="14"/>
      <c r="C91" s="221"/>
      <c r="E91" s="213"/>
      <c r="F91" s="16"/>
      <c r="G91" s="8"/>
    </row>
    <row r="92" spans="2:7" ht="20.100000000000001" customHeight="1">
      <c r="B92" s="14"/>
      <c r="C92" s="221"/>
      <c r="E92" s="213"/>
      <c r="F92" s="16"/>
      <c r="G92" s="8"/>
    </row>
    <row r="93" spans="2:7" ht="20.100000000000001" customHeight="1">
      <c r="B93" s="14"/>
      <c r="C93" s="221"/>
      <c r="E93" s="213"/>
      <c r="F93" s="16"/>
      <c r="G93" s="8"/>
    </row>
    <row r="94" spans="2:7" ht="20.100000000000001" customHeight="1">
      <c r="B94" s="14"/>
      <c r="C94" s="221"/>
      <c r="E94" s="213"/>
      <c r="F94" s="16"/>
      <c r="G94" s="8"/>
    </row>
    <row r="95" spans="2:7" ht="20.100000000000001" customHeight="1">
      <c r="B95" s="14"/>
      <c r="C95" s="221"/>
      <c r="E95" s="213"/>
      <c r="F95" s="16"/>
      <c r="G95" s="8"/>
    </row>
    <row r="96" spans="2:7" ht="20.100000000000001" customHeight="1">
      <c r="B96" s="14"/>
      <c r="C96" s="221"/>
      <c r="E96" s="213"/>
      <c r="F96" s="16"/>
      <c r="G96" s="8"/>
    </row>
    <row r="97" spans="2:7" ht="20.100000000000001" customHeight="1">
      <c r="B97" s="14"/>
      <c r="C97" s="221"/>
      <c r="E97" s="213"/>
      <c r="F97" s="16"/>
      <c r="G97" s="8"/>
    </row>
    <row r="98" spans="2:7" ht="20.100000000000001" customHeight="1">
      <c r="B98" s="14"/>
      <c r="C98" s="221"/>
      <c r="E98" s="213"/>
      <c r="F98" s="16"/>
      <c r="G98" s="8"/>
    </row>
    <row r="99" spans="2:7" ht="20.100000000000001" customHeight="1">
      <c r="B99" s="14"/>
      <c r="C99" s="221"/>
      <c r="E99" s="213"/>
      <c r="F99" s="16"/>
      <c r="G99" s="8"/>
    </row>
    <row r="100" spans="2:7" ht="20.100000000000001" customHeight="1">
      <c r="B100" s="14"/>
      <c r="C100" s="221"/>
      <c r="E100" s="213"/>
      <c r="F100" s="16"/>
      <c r="G100" s="8"/>
    </row>
    <row r="101" spans="2:7" ht="20.100000000000001" customHeight="1">
      <c r="B101" s="14"/>
      <c r="C101" s="221"/>
      <c r="E101" s="213"/>
      <c r="F101" s="16"/>
      <c r="G101" s="8"/>
    </row>
    <row r="102" spans="2:7" ht="20.100000000000001" customHeight="1">
      <c r="B102" s="14"/>
      <c r="C102" s="221"/>
      <c r="E102" s="213"/>
      <c r="F102" s="16"/>
      <c r="G102" s="8"/>
    </row>
    <row r="103" spans="2:7" ht="20.100000000000001" customHeight="1">
      <c r="B103" s="14"/>
      <c r="C103" s="221"/>
      <c r="E103" s="213"/>
      <c r="F103" s="16"/>
      <c r="G103" s="8"/>
    </row>
    <row r="104" spans="2:7" ht="20.100000000000001" customHeight="1">
      <c r="B104" s="14"/>
      <c r="C104" s="221"/>
      <c r="E104" s="213"/>
      <c r="F104" s="16"/>
      <c r="G104" s="8"/>
    </row>
    <row r="105" spans="2:7" ht="20.100000000000001" customHeight="1">
      <c r="B105" s="14"/>
      <c r="C105" s="221"/>
      <c r="E105" s="213"/>
      <c r="F105" s="16"/>
      <c r="G105" s="8"/>
    </row>
    <row r="106" spans="2:7" ht="20.100000000000001" customHeight="1">
      <c r="B106" s="14"/>
      <c r="C106" s="221"/>
      <c r="E106" s="213"/>
      <c r="F106" s="16"/>
      <c r="G106" s="8"/>
    </row>
    <row r="107" spans="2:7" ht="20.100000000000001" customHeight="1">
      <c r="B107" s="14"/>
      <c r="C107" s="221"/>
      <c r="E107" s="213"/>
      <c r="F107" s="16"/>
      <c r="G107" s="8"/>
    </row>
    <row r="108" spans="2:7" ht="20.100000000000001" customHeight="1">
      <c r="B108" s="14"/>
      <c r="C108" s="221"/>
      <c r="E108" s="213"/>
      <c r="F108" s="16"/>
      <c r="G108" s="8"/>
    </row>
    <row r="109" spans="2:7" ht="20.100000000000001" customHeight="1">
      <c r="B109" s="14"/>
      <c r="C109" s="221"/>
      <c r="E109" s="213"/>
      <c r="F109" s="16"/>
      <c r="G109" s="8"/>
    </row>
    <row r="110" spans="2:7" ht="20.100000000000001" customHeight="1">
      <c r="B110" s="14"/>
      <c r="C110" s="221"/>
      <c r="E110" s="213"/>
      <c r="F110" s="16"/>
      <c r="G110" s="8"/>
    </row>
    <row r="111" spans="2:7" ht="20.100000000000001" customHeight="1">
      <c r="B111" s="14"/>
      <c r="C111" s="221"/>
      <c r="E111" s="213"/>
      <c r="F111" s="16"/>
      <c r="G111" s="8"/>
    </row>
    <row r="112" spans="2:7" ht="20.100000000000001" customHeight="1">
      <c r="B112" s="14"/>
      <c r="C112" s="221"/>
      <c r="E112" s="213"/>
      <c r="F112" s="16"/>
      <c r="G112" s="8"/>
    </row>
    <row r="113" spans="2:7" ht="20.100000000000001" customHeight="1">
      <c r="B113" s="14"/>
      <c r="C113" s="221"/>
      <c r="E113" s="213"/>
      <c r="F113" s="16"/>
      <c r="G113" s="8"/>
    </row>
    <row r="114" spans="2:7" ht="20.100000000000001" customHeight="1">
      <c r="B114" s="14"/>
      <c r="C114" s="222"/>
      <c r="E114" s="213"/>
      <c r="F114" s="16"/>
      <c r="G114" s="8"/>
    </row>
    <row r="115" spans="2:7" ht="20.100000000000001" customHeight="1">
      <c r="B115" s="14"/>
      <c r="C115" s="221"/>
      <c r="E115" s="213"/>
      <c r="F115" s="16"/>
      <c r="G115" s="8"/>
    </row>
    <row r="116" spans="2:7" ht="20.100000000000001" customHeight="1">
      <c r="B116" s="14"/>
      <c r="C116" s="221"/>
      <c r="E116" s="213"/>
      <c r="F116" s="16"/>
      <c r="G116" s="8"/>
    </row>
    <row r="117" spans="2:7" ht="20.100000000000001" customHeight="1">
      <c r="B117" s="14"/>
      <c r="C117" s="221"/>
      <c r="E117" s="213"/>
      <c r="F117" s="16"/>
      <c r="G117" s="8"/>
    </row>
    <row r="118" spans="2:7" ht="20.100000000000001" customHeight="1">
      <c r="B118" s="14"/>
      <c r="C118" s="221"/>
      <c r="E118" s="213"/>
      <c r="F118" s="16"/>
      <c r="G118" s="8"/>
    </row>
    <row r="119" spans="2:7" ht="20.100000000000001" customHeight="1">
      <c r="B119" s="14"/>
      <c r="C119" s="221"/>
      <c r="E119" s="213"/>
      <c r="F119" s="16"/>
      <c r="G119" s="8"/>
    </row>
    <row r="120" spans="2:7" ht="20.100000000000001" customHeight="1">
      <c r="B120" s="14"/>
      <c r="C120" s="221"/>
      <c r="E120" s="213"/>
      <c r="F120" s="16"/>
      <c r="G120" s="8"/>
    </row>
    <row r="121" spans="2:7" ht="20.100000000000001" customHeight="1">
      <c r="B121" s="14"/>
      <c r="C121" s="221"/>
      <c r="E121" s="213"/>
      <c r="F121" s="16"/>
      <c r="G121" s="8"/>
    </row>
    <row r="122" spans="2:7" ht="20.100000000000001" customHeight="1">
      <c r="B122" s="14"/>
      <c r="C122" s="221"/>
      <c r="E122" s="213"/>
      <c r="F122" s="16"/>
      <c r="G122" s="8"/>
    </row>
    <row r="123" spans="2:7" ht="20.100000000000001" customHeight="1">
      <c r="B123" s="14"/>
      <c r="C123" s="221"/>
      <c r="E123" s="213"/>
      <c r="F123" s="16"/>
      <c r="G123" s="8"/>
    </row>
    <row r="124" spans="2:7" ht="20.100000000000001" customHeight="1">
      <c r="B124" s="14"/>
      <c r="C124" s="221"/>
      <c r="E124" s="213"/>
      <c r="F124" s="16"/>
      <c r="G124" s="8"/>
    </row>
    <row r="125" spans="2:7" ht="20.100000000000001" customHeight="1">
      <c r="B125" s="14"/>
      <c r="C125" s="221"/>
      <c r="E125" s="213"/>
      <c r="F125" s="16"/>
      <c r="G125" s="8"/>
    </row>
    <row r="126" spans="2:7" ht="20.100000000000001" customHeight="1">
      <c r="B126" s="14"/>
      <c r="C126" s="221"/>
      <c r="E126" s="213"/>
      <c r="F126" s="16"/>
      <c r="G126" s="8"/>
    </row>
    <row r="127" spans="2:7" ht="20.100000000000001" customHeight="1">
      <c r="B127" s="14"/>
      <c r="C127" s="221"/>
      <c r="E127" s="213"/>
      <c r="F127" s="16"/>
      <c r="G127" s="8"/>
    </row>
    <row r="128" spans="2:7" ht="20.100000000000001" customHeight="1">
      <c r="B128" s="14"/>
      <c r="C128" s="221"/>
      <c r="E128" s="213"/>
      <c r="F128" s="16"/>
      <c r="G128" s="8"/>
    </row>
    <row r="129" spans="2:7" ht="20.100000000000001" customHeight="1">
      <c r="B129" s="14"/>
      <c r="C129" s="221"/>
      <c r="E129" s="213"/>
      <c r="F129" s="16"/>
      <c r="G129" s="8"/>
    </row>
    <row r="130" spans="2:7" ht="20.100000000000001" customHeight="1">
      <c r="B130" s="14"/>
      <c r="C130" s="223"/>
      <c r="E130" s="213"/>
      <c r="F130" s="16"/>
      <c r="G130" s="8"/>
    </row>
    <row r="131" spans="2:7" ht="20.100000000000001" customHeight="1">
      <c r="B131" s="14"/>
      <c r="C131" s="223"/>
      <c r="E131" s="213"/>
      <c r="F131" s="16"/>
      <c r="G131" s="8"/>
    </row>
    <row r="132" spans="2:7" ht="20.100000000000001" customHeight="1">
      <c r="B132" s="14"/>
      <c r="C132" s="221"/>
      <c r="E132" s="213"/>
      <c r="F132" s="16"/>
      <c r="G132" s="8"/>
    </row>
    <row r="133" spans="2:7" ht="20.100000000000001" customHeight="1">
      <c r="B133" s="14"/>
      <c r="C133" s="221"/>
      <c r="E133" s="213"/>
      <c r="F133" s="16"/>
      <c r="G133" s="8"/>
    </row>
    <row r="134" spans="2:7" ht="20.100000000000001" customHeight="1">
      <c r="B134" s="14"/>
      <c r="C134" s="221"/>
      <c r="E134" s="213"/>
      <c r="F134" s="16"/>
      <c r="G134" s="8"/>
    </row>
    <row r="135" spans="2:7" ht="20.100000000000001" customHeight="1">
      <c r="B135" s="14"/>
      <c r="C135" s="221"/>
      <c r="E135" s="213"/>
      <c r="F135" s="16"/>
      <c r="G135" s="8"/>
    </row>
    <row r="136" spans="2:7" ht="20.100000000000001" customHeight="1">
      <c r="B136" s="14"/>
      <c r="C136" s="221"/>
      <c r="E136" s="213"/>
      <c r="F136" s="16"/>
      <c r="G136" s="8"/>
    </row>
    <row r="137" spans="2:7" ht="20.100000000000001" customHeight="1">
      <c r="B137" s="14"/>
      <c r="C137" s="221"/>
      <c r="E137" s="213"/>
      <c r="F137" s="16"/>
      <c r="G137" s="8"/>
    </row>
    <row r="138" spans="2:7" ht="20.100000000000001" customHeight="1">
      <c r="B138" s="14"/>
      <c r="C138" s="221"/>
      <c r="E138" s="213"/>
      <c r="F138" s="16"/>
      <c r="G138" s="8"/>
    </row>
    <row r="139" spans="2:7" ht="20.100000000000001" customHeight="1">
      <c r="B139" s="14"/>
      <c r="C139" s="221"/>
      <c r="E139" s="213"/>
      <c r="F139" s="16"/>
      <c r="G139" s="8"/>
    </row>
    <row r="140" spans="2:7" ht="20.100000000000001" customHeight="1">
      <c r="B140" s="14"/>
      <c r="C140" s="221"/>
      <c r="E140" s="213"/>
      <c r="F140" s="16"/>
      <c r="G140" s="8"/>
    </row>
    <row r="141" spans="2:7" ht="20.100000000000001" customHeight="1">
      <c r="B141" s="14"/>
      <c r="C141" s="221"/>
      <c r="E141" s="213"/>
      <c r="F141" s="16"/>
      <c r="G141" s="8"/>
    </row>
    <row r="142" spans="2:7" ht="20.100000000000001" customHeight="1">
      <c r="B142" s="14"/>
      <c r="C142" s="221"/>
      <c r="E142" s="213"/>
      <c r="F142" s="16"/>
      <c r="G142" s="8"/>
    </row>
    <row r="143" spans="2:7" ht="20.100000000000001" customHeight="1">
      <c r="B143" s="14"/>
      <c r="C143" s="221"/>
      <c r="E143" s="213"/>
      <c r="F143" s="16"/>
      <c r="G143" s="8"/>
    </row>
    <row r="144" spans="2:7" ht="20.100000000000001" customHeight="1">
      <c r="B144" s="14"/>
      <c r="C144" s="221"/>
      <c r="E144" s="213"/>
      <c r="F144" s="16"/>
      <c r="G144" s="8"/>
    </row>
    <row r="145" spans="2:7" ht="20.100000000000001" customHeight="1">
      <c r="B145" s="14"/>
      <c r="C145" s="221"/>
      <c r="E145" s="213"/>
      <c r="F145" s="16"/>
      <c r="G145" s="8"/>
    </row>
    <row r="146" spans="2:7" ht="20.100000000000001" customHeight="1">
      <c r="B146" s="14"/>
      <c r="C146" s="221"/>
      <c r="E146" s="213"/>
      <c r="F146" s="16"/>
      <c r="G146" s="8"/>
    </row>
    <row r="147" spans="2:7" ht="20.100000000000001" customHeight="1">
      <c r="B147" s="14"/>
      <c r="C147" s="221"/>
      <c r="E147" s="213"/>
      <c r="F147" s="16"/>
      <c r="G147" s="8"/>
    </row>
    <row r="148" spans="2:7" ht="20.100000000000001" customHeight="1">
      <c r="B148" s="14"/>
      <c r="C148" s="221"/>
      <c r="E148" s="213"/>
      <c r="F148" s="16"/>
      <c r="G148" s="8"/>
    </row>
    <row r="149" spans="2:7" ht="20.100000000000001" customHeight="1">
      <c r="B149" s="14"/>
      <c r="C149" s="221"/>
      <c r="E149" s="213"/>
      <c r="F149" s="16"/>
      <c r="G149" s="8"/>
    </row>
    <row r="150" spans="2:7" ht="20.100000000000001" customHeight="1">
      <c r="B150" s="14"/>
      <c r="C150" s="221"/>
      <c r="E150" s="213"/>
      <c r="F150" s="16"/>
      <c r="G150" s="8"/>
    </row>
    <row r="151" spans="2:7" ht="20.100000000000001" customHeight="1">
      <c r="B151" s="14"/>
      <c r="C151" s="221"/>
      <c r="E151" s="213"/>
      <c r="F151" s="16"/>
      <c r="G151" s="8"/>
    </row>
    <row r="152" spans="2:7" ht="20.100000000000001" customHeight="1">
      <c r="B152" s="14"/>
      <c r="C152" s="221"/>
      <c r="E152" s="213"/>
      <c r="F152" s="16"/>
      <c r="G152" s="8"/>
    </row>
    <row r="153" spans="2:7" ht="20.100000000000001" customHeight="1">
      <c r="B153" s="14"/>
      <c r="C153" s="221"/>
      <c r="E153" s="213"/>
      <c r="F153" s="16"/>
      <c r="G153" s="8"/>
    </row>
    <row r="154" spans="2:7" ht="20.100000000000001" customHeight="1">
      <c r="B154" s="14"/>
      <c r="C154" s="221"/>
      <c r="E154" s="213"/>
      <c r="F154" s="16"/>
      <c r="G154" s="8"/>
    </row>
    <row r="155" spans="2:7" ht="20.100000000000001" customHeight="1">
      <c r="B155" s="14"/>
      <c r="C155" s="221"/>
      <c r="E155" s="213"/>
      <c r="F155" s="16"/>
      <c r="G155" s="8"/>
    </row>
    <row r="156" spans="2:7" ht="20.100000000000001" customHeight="1">
      <c r="B156" s="14"/>
      <c r="C156" s="221"/>
      <c r="E156" s="213"/>
      <c r="F156" s="16"/>
      <c r="G156" s="8"/>
    </row>
    <row r="157" spans="2:7" ht="20.100000000000001" customHeight="1">
      <c r="B157" s="14"/>
      <c r="C157" s="221"/>
      <c r="E157" s="213"/>
      <c r="F157" s="16"/>
      <c r="G157" s="8"/>
    </row>
    <row r="158" spans="2:7" ht="20.100000000000001" customHeight="1">
      <c r="B158" s="14"/>
      <c r="C158" s="221"/>
      <c r="E158" s="213"/>
      <c r="F158" s="16"/>
      <c r="G158" s="8"/>
    </row>
    <row r="159" spans="2:7" ht="20.100000000000001" customHeight="1">
      <c r="B159" s="14"/>
      <c r="C159" s="221"/>
      <c r="E159" s="213"/>
      <c r="F159" s="16"/>
      <c r="G159" s="8"/>
    </row>
    <row r="160" spans="2:7" ht="20.100000000000001" customHeight="1">
      <c r="B160" s="14"/>
      <c r="C160" s="221"/>
      <c r="E160" s="213"/>
      <c r="F160" s="16"/>
      <c r="G160" s="8"/>
    </row>
    <row r="161" spans="2:7" ht="20.100000000000001" customHeight="1">
      <c r="B161" s="14"/>
      <c r="C161" s="221"/>
      <c r="E161" s="213"/>
      <c r="F161" s="16"/>
      <c r="G161" s="8"/>
    </row>
    <row r="162" spans="2:7" ht="20.100000000000001" customHeight="1">
      <c r="B162" s="14"/>
      <c r="C162" s="221"/>
      <c r="E162" s="213"/>
      <c r="F162" s="16"/>
      <c r="G162" s="8"/>
    </row>
    <row r="163" spans="2:7" ht="20.100000000000001" customHeight="1">
      <c r="B163" s="14"/>
      <c r="C163" s="221"/>
      <c r="E163" s="213"/>
      <c r="F163" s="16"/>
      <c r="G163" s="8"/>
    </row>
    <row r="164" spans="2:7" ht="20.100000000000001" customHeight="1">
      <c r="B164" s="14"/>
      <c r="C164" s="221"/>
      <c r="E164" s="213"/>
      <c r="F164" s="16"/>
      <c r="G164" s="8"/>
    </row>
    <row r="165" spans="2:7" ht="20.100000000000001" customHeight="1">
      <c r="B165" s="14"/>
      <c r="C165" s="221"/>
      <c r="E165" s="213"/>
      <c r="F165" s="16"/>
      <c r="G165" s="8"/>
    </row>
    <row r="166" spans="2:7" ht="20.100000000000001" customHeight="1">
      <c r="B166" s="14"/>
      <c r="C166" s="221"/>
      <c r="E166" s="213"/>
      <c r="F166" s="16"/>
      <c r="G166" s="8"/>
    </row>
    <row r="167" spans="2:7" ht="20.100000000000001" customHeight="1">
      <c r="B167" s="14"/>
      <c r="C167" s="221"/>
      <c r="E167" s="213"/>
      <c r="F167" s="16"/>
      <c r="G167" s="8"/>
    </row>
    <row r="168" spans="2:7" ht="20.100000000000001" customHeight="1">
      <c r="B168" s="14"/>
      <c r="C168" s="221"/>
      <c r="E168" s="213"/>
      <c r="F168" s="16"/>
      <c r="G168" s="8"/>
    </row>
    <row r="169" spans="2:7" ht="20.100000000000001" customHeight="1">
      <c r="B169" s="14"/>
      <c r="C169" s="221"/>
      <c r="E169" s="213"/>
      <c r="F169" s="16"/>
      <c r="G169" s="8"/>
    </row>
    <row r="170" spans="2:7" ht="20.100000000000001" customHeight="1">
      <c r="B170" s="14"/>
      <c r="C170" s="221"/>
      <c r="E170" s="213"/>
      <c r="F170" s="16"/>
      <c r="G170" s="8"/>
    </row>
    <row r="171" spans="2:7" ht="20.100000000000001" customHeight="1">
      <c r="B171" s="14"/>
      <c r="C171" s="221"/>
      <c r="E171" s="213"/>
      <c r="F171" s="16"/>
      <c r="G171" s="8"/>
    </row>
    <row r="172" spans="2:7" ht="20.100000000000001" customHeight="1">
      <c r="B172" s="14"/>
      <c r="C172" s="221"/>
      <c r="E172" s="213"/>
      <c r="F172" s="16"/>
      <c r="G172" s="8"/>
    </row>
    <row r="173" spans="2:7" ht="20.100000000000001" customHeight="1">
      <c r="B173" s="14"/>
      <c r="C173" s="221"/>
      <c r="E173" s="213"/>
      <c r="F173" s="16"/>
      <c r="G173" s="8"/>
    </row>
    <row r="174" spans="2:7" ht="20.100000000000001" customHeight="1">
      <c r="B174" s="14"/>
      <c r="C174" s="221"/>
      <c r="E174" s="213"/>
      <c r="F174" s="16"/>
      <c r="G174" s="8"/>
    </row>
    <row r="175" spans="2:7" ht="20.100000000000001" customHeight="1">
      <c r="B175" s="14"/>
      <c r="C175" s="221"/>
      <c r="E175" s="213"/>
      <c r="F175" s="16"/>
      <c r="G175" s="8"/>
    </row>
    <row r="176" spans="2:7" ht="20.100000000000001" customHeight="1">
      <c r="B176" s="14"/>
      <c r="C176" s="221"/>
      <c r="E176" s="213"/>
      <c r="F176" s="16"/>
      <c r="G176" s="8"/>
    </row>
    <row r="177" spans="2:7" ht="20.100000000000001" customHeight="1">
      <c r="B177" s="14"/>
      <c r="C177" s="221"/>
      <c r="E177" s="213"/>
      <c r="F177" s="16"/>
      <c r="G177" s="8"/>
    </row>
    <row r="178" spans="2:7" ht="20.100000000000001" customHeight="1">
      <c r="B178" s="14"/>
      <c r="C178" s="221"/>
      <c r="E178" s="213"/>
      <c r="F178" s="16"/>
      <c r="G178" s="8"/>
    </row>
    <row r="179" spans="2:7" ht="20.100000000000001" customHeight="1">
      <c r="B179" s="14"/>
      <c r="C179" s="221"/>
      <c r="E179" s="213"/>
      <c r="F179" s="16"/>
      <c r="G179" s="8"/>
    </row>
    <row r="180" spans="2:7" ht="20.100000000000001" customHeight="1">
      <c r="B180" s="14"/>
      <c r="C180" s="221"/>
      <c r="E180" s="213"/>
      <c r="F180" s="16"/>
      <c r="G180" s="8"/>
    </row>
    <row r="181" spans="2:7" ht="20.100000000000001" customHeight="1">
      <c r="B181" s="14"/>
      <c r="C181" s="221"/>
      <c r="E181" s="213"/>
      <c r="F181" s="16"/>
      <c r="G181" s="8"/>
    </row>
    <row r="182" spans="2:7" ht="20.100000000000001" customHeight="1">
      <c r="B182" s="14"/>
      <c r="C182" s="221"/>
      <c r="E182" s="213"/>
      <c r="F182" s="16"/>
      <c r="G182" s="8"/>
    </row>
    <row r="183" spans="2:7" ht="20.100000000000001" customHeight="1">
      <c r="B183" s="14"/>
      <c r="C183" s="221"/>
      <c r="E183" s="213"/>
      <c r="F183" s="16"/>
      <c r="G183" s="8"/>
    </row>
    <row r="184" spans="2:7" ht="20.100000000000001" customHeight="1">
      <c r="B184" s="14"/>
      <c r="C184" s="221"/>
      <c r="E184" s="213"/>
      <c r="F184" s="16"/>
      <c r="G184" s="8"/>
    </row>
    <row r="185" spans="2:7" ht="20.100000000000001" customHeight="1">
      <c r="B185" s="14"/>
      <c r="C185" s="221"/>
      <c r="E185" s="213"/>
      <c r="F185" s="16"/>
      <c r="G185" s="8"/>
    </row>
    <row r="186" spans="2:7" ht="20.100000000000001" customHeight="1">
      <c r="B186" s="14"/>
      <c r="C186" s="221"/>
      <c r="E186" s="213"/>
      <c r="F186" s="16"/>
      <c r="G186" s="8"/>
    </row>
    <row r="187" spans="2:7" ht="20.100000000000001" customHeight="1">
      <c r="B187" s="14"/>
      <c r="C187" s="221"/>
      <c r="E187" s="213"/>
      <c r="F187" s="16"/>
      <c r="G187" s="8"/>
    </row>
    <row r="188" spans="2:7" ht="20.100000000000001" customHeight="1">
      <c r="B188" s="14"/>
      <c r="C188" s="221"/>
      <c r="E188" s="213"/>
      <c r="F188" s="16"/>
      <c r="G188" s="8"/>
    </row>
    <row r="189" spans="2:7" ht="20.100000000000001" customHeight="1">
      <c r="B189" s="14"/>
      <c r="C189" s="221"/>
      <c r="E189" s="213"/>
      <c r="F189" s="16"/>
      <c r="G189" s="8"/>
    </row>
    <row r="190" spans="2:7" ht="20.100000000000001" customHeight="1">
      <c r="B190" s="14"/>
      <c r="C190" s="221"/>
      <c r="E190" s="213"/>
      <c r="F190" s="16"/>
      <c r="G190" s="8"/>
    </row>
    <row r="191" spans="2:7" ht="20.100000000000001" customHeight="1">
      <c r="B191" s="14"/>
      <c r="C191" s="221"/>
      <c r="E191" s="213"/>
      <c r="F191" s="16"/>
      <c r="G191" s="8"/>
    </row>
    <row r="192" spans="2:7" ht="20.100000000000001" customHeight="1">
      <c r="B192" s="14"/>
      <c r="C192" s="221"/>
      <c r="E192" s="213"/>
      <c r="F192" s="16"/>
      <c r="G192" s="8"/>
    </row>
    <row r="193" spans="2:7" ht="20.100000000000001" customHeight="1">
      <c r="B193" s="14"/>
      <c r="C193" s="221"/>
      <c r="E193" s="213"/>
      <c r="F193" s="16"/>
      <c r="G193" s="8"/>
    </row>
    <row r="194" spans="2:7" ht="20.100000000000001" customHeight="1">
      <c r="B194" s="14"/>
      <c r="C194" s="221"/>
      <c r="E194" s="213"/>
      <c r="F194" s="16"/>
      <c r="G194" s="8"/>
    </row>
    <row r="195" spans="2:7" ht="20.100000000000001" customHeight="1">
      <c r="B195" s="14"/>
      <c r="C195" s="221"/>
      <c r="E195" s="213"/>
      <c r="F195" s="16"/>
      <c r="G195" s="8"/>
    </row>
    <row r="196" spans="2:7" ht="20.100000000000001" customHeight="1">
      <c r="B196" s="14"/>
      <c r="C196" s="221"/>
      <c r="E196" s="213"/>
      <c r="F196" s="16"/>
      <c r="G196" s="8"/>
    </row>
    <row r="197" spans="2:7" ht="20.100000000000001" customHeight="1">
      <c r="B197" s="14"/>
      <c r="C197" s="221"/>
      <c r="E197" s="213"/>
      <c r="F197" s="16"/>
      <c r="G197" s="8"/>
    </row>
    <row r="198" spans="2:7" ht="20.100000000000001" customHeight="1">
      <c r="B198" s="14"/>
      <c r="C198" s="221"/>
      <c r="E198" s="213"/>
      <c r="F198" s="16"/>
      <c r="G198" s="8"/>
    </row>
    <row r="199" spans="2:7" ht="20.100000000000001" customHeight="1">
      <c r="B199" s="14"/>
      <c r="C199" s="221"/>
      <c r="E199" s="213"/>
      <c r="F199" s="16"/>
      <c r="G199" s="8"/>
    </row>
    <row r="200" spans="2:7" ht="20.100000000000001" customHeight="1">
      <c r="B200" s="14"/>
      <c r="C200" s="221"/>
      <c r="E200" s="213"/>
      <c r="F200" s="16"/>
      <c r="G200" s="8"/>
    </row>
    <row r="201" spans="2:7" ht="20.100000000000001" customHeight="1">
      <c r="B201" s="14"/>
      <c r="C201" s="221"/>
      <c r="E201" s="213"/>
      <c r="F201" s="16"/>
      <c r="G201" s="8"/>
    </row>
    <row r="202" spans="2:7" ht="20.100000000000001" customHeight="1">
      <c r="B202" s="14"/>
      <c r="C202" s="221"/>
      <c r="E202" s="213"/>
      <c r="F202" s="16"/>
      <c r="G202" s="8"/>
    </row>
    <row r="203" spans="2:7" ht="20.100000000000001" customHeight="1">
      <c r="B203" s="14"/>
      <c r="C203" s="221"/>
      <c r="E203" s="213"/>
      <c r="F203" s="16"/>
      <c r="G203" s="8"/>
    </row>
    <row r="204" spans="2:7" ht="20.100000000000001" customHeight="1">
      <c r="B204" s="14"/>
      <c r="C204" s="221"/>
      <c r="E204" s="213"/>
      <c r="F204" s="16"/>
      <c r="G204" s="8"/>
    </row>
    <row r="205" spans="2:7" ht="20.100000000000001" customHeight="1">
      <c r="B205" s="14"/>
      <c r="C205" s="221"/>
      <c r="E205" s="213"/>
      <c r="F205" s="16"/>
      <c r="G205" s="8"/>
    </row>
    <row r="206" spans="2:7" ht="20.100000000000001" customHeight="1">
      <c r="B206" s="14"/>
      <c r="C206" s="221"/>
      <c r="E206" s="213"/>
      <c r="F206" s="16"/>
      <c r="G206" s="8"/>
    </row>
    <row r="207" spans="2:7" ht="20.100000000000001" customHeight="1">
      <c r="B207" s="14"/>
      <c r="C207" s="221"/>
      <c r="E207" s="213"/>
      <c r="F207" s="16"/>
      <c r="G207" s="8"/>
    </row>
    <row r="208" spans="2:7" ht="20.100000000000001" customHeight="1">
      <c r="B208" s="14"/>
      <c r="C208" s="221"/>
      <c r="E208" s="213"/>
      <c r="F208" s="16"/>
      <c r="G208" s="8"/>
    </row>
    <row r="209" spans="2:7" ht="20.100000000000001" customHeight="1">
      <c r="B209" s="14"/>
      <c r="C209" s="221"/>
      <c r="E209" s="213"/>
      <c r="F209" s="16"/>
      <c r="G209" s="8"/>
    </row>
    <row r="210" spans="2:7" ht="20.100000000000001" customHeight="1">
      <c r="B210" s="14"/>
      <c r="C210" s="221"/>
      <c r="E210" s="213"/>
      <c r="F210" s="16"/>
      <c r="G210" s="8"/>
    </row>
    <row r="211" spans="2:7" ht="20.100000000000001" customHeight="1">
      <c r="B211" s="14"/>
      <c r="C211" s="221"/>
      <c r="E211" s="213"/>
      <c r="F211" s="16"/>
      <c r="G211" s="8"/>
    </row>
    <row r="212" spans="2:7" ht="20.100000000000001" customHeight="1">
      <c r="B212" s="14"/>
      <c r="C212" s="221"/>
      <c r="E212" s="213"/>
      <c r="F212" s="16"/>
      <c r="G212" s="8"/>
    </row>
    <row r="213" spans="2:7" ht="20.100000000000001" customHeight="1">
      <c r="B213" s="14"/>
      <c r="C213" s="221"/>
      <c r="E213" s="213"/>
      <c r="F213" s="16"/>
      <c r="G213" s="8"/>
    </row>
    <row r="214" spans="2:7" ht="20.100000000000001" customHeight="1">
      <c r="B214" s="14"/>
      <c r="C214" s="221"/>
      <c r="E214" s="213"/>
      <c r="F214" s="16"/>
      <c r="G214" s="8"/>
    </row>
    <row r="215" spans="2:7" ht="20.100000000000001" customHeight="1">
      <c r="B215" s="14"/>
      <c r="C215" s="221"/>
      <c r="E215" s="213"/>
      <c r="F215" s="16"/>
      <c r="G215" s="8"/>
    </row>
    <row r="216" spans="2:7" ht="20.100000000000001" customHeight="1">
      <c r="B216" s="14"/>
      <c r="C216" s="221"/>
      <c r="E216" s="213"/>
      <c r="F216" s="16"/>
      <c r="G216" s="8"/>
    </row>
    <row r="217" spans="2:7" ht="20.100000000000001" customHeight="1">
      <c r="B217" s="14"/>
      <c r="C217" s="221"/>
      <c r="E217" s="213"/>
      <c r="F217" s="16"/>
      <c r="G217" s="8"/>
    </row>
    <row r="218" spans="2:7" ht="20.100000000000001" customHeight="1">
      <c r="B218" s="14"/>
      <c r="C218" s="221"/>
      <c r="E218" s="213"/>
      <c r="F218" s="16"/>
      <c r="G218" s="8"/>
    </row>
    <row r="219" spans="2:7" ht="20.100000000000001" customHeight="1">
      <c r="B219" s="14"/>
      <c r="C219" s="221"/>
      <c r="E219" s="213"/>
      <c r="F219" s="16"/>
      <c r="G219" s="8"/>
    </row>
    <row r="220" spans="2:7" ht="20.100000000000001" customHeight="1">
      <c r="B220" s="14"/>
      <c r="C220" s="221"/>
      <c r="E220" s="213"/>
      <c r="F220" s="16"/>
      <c r="G220" s="8"/>
    </row>
    <row r="221" spans="2:7" ht="20.100000000000001" customHeight="1">
      <c r="B221" s="14"/>
      <c r="C221" s="221"/>
      <c r="E221" s="213"/>
      <c r="F221" s="16"/>
      <c r="G221" s="8"/>
    </row>
    <row r="222" spans="2:7" ht="20.100000000000001" customHeight="1">
      <c r="B222" s="14"/>
      <c r="C222" s="221"/>
      <c r="E222" s="213"/>
      <c r="F222" s="16"/>
      <c r="G222" s="8"/>
    </row>
    <row r="223" spans="2:7" ht="20.100000000000001" customHeight="1">
      <c r="B223" s="14"/>
      <c r="C223" s="221"/>
      <c r="E223" s="213"/>
      <c r="F223" s="16"/>
      <c r="G223" s="8"/>
    </row>
    <row r="224" spans="2:7" ht="20.100000000000001" customHeight="1">
      <c r="B224" s="14"/>
      <c r="C224" s="221"/>
      <c r="E224" s="213"/>
      <c r="F224" s="16"/>
      <c r="G224" s="8"/>
    </row>
    <row r="225" spans="2:7" ht="20.100000000000001" customHeight="1">
      <c r="B225" s="14"/>
      <c r="C225" s="221"/>
      <c r="E225" s="213"/>
      <c r="F225" s="16"/>
      <c r="G225" s="8"/>
    </row>
    <row r="226" spans="2:7" ht="20.100000000000001" customHeight="1">
      <c r="B226" s="14"/>
      <c r="C226" s="221"/>
      <c r="E226" s="213"/>
      <c r="F226" s="16"/>
      <c r="G226" s="8"/>
    </row>
    <row r="227" spans="2:7" ht="20.100000000000001" customHeight="1">
      <c r="B227" s="14"/>
      <c r="C227" s="221"/>
      <c r="E227" s="213"/>
      <c r="F227" s="16"/>
      <c r="G227" s="8"/>
    </row>
    <row r="228" spans="2:7" ht="20.100000000000001" customHeight="1">
      <c r="B228" s="14"/>
      <c r="C228" s="221"/>
      <c r="E228" s="213"/>
      <c r="F228" s="16"/>
      <c r="G228" s="8"/>
    </row>
    <row r="229" spans="2:7" ht="20.100000000000001" customHeight="1">
      <c r="B229" s="14"/>
      <c r="C229" s="221"/>
      <c r="E229" s="213"/>
      <c r="F229" s="16"/>
      <c r="G229" s="8"/>
    </row>
    <row r="230" spans="2:7" ht="20.100000000000001" customHeight="1">
      <c r="B230" s="14"/>
      <c r="C230" s="221"/>
      <c r="E230" s="213"/>
      <c r="F230" s="16"/>
      <c r="G230" s="8"/>
    </row>
    <row r="231" spans="2:7" ht="20.100000000000001" customHeight="1">
      <c r="B231" s="14"/>
      <c r="C231" s="221"/>
      <c r="E231" s="213"/>
      <c r="F231" s="16"/>
      <c r="G231" s="8"/>
    </row>
    <row r="232" spans="2:7" ht="20.100000000000001" customHeight="1">
      <c r="B232" s="14"/>
      <c r="C232" s="221"/>
      <c r="E232" s="213"/>
      <c r="F232" s="16"/>
      <c r="G232" s="8"/>
    </row>
    <row r="233" spans="2:7" ht="20.100000000000001" customHeight="1">
      <c r="B233" s="14"/>
      <c r="C233" s="221"/>
      <c r="E233" s="213"/>
      <c r="F233" s="16"/>
      <c r="G233" s="8"/>
    </row>
    <row r="234" spans="2:7" ht="20.100000000000001" customHeight="1">
      <c r="B234" s="14"/>
      <c r="C234" s="221"/>
      <c r="E234" s="213"/>
      <c r="F234" s="16"/>
      <c r="G234" s="8"/>
    </row>
    <row r="235" spans="2:7" ht="20.100000000000001" customHeight="1">
      <c r="B235" s="14"/>
      <c r="C235" s="221"/>
      <c r="E235" s="213"/>
      <c r="F235" s="16"/>
      <c r="G235" s="8"/>
    </row>
    <row r="236" spans="2:7" ht="20.100000000000001" customHeight="1">
      <c r="B236" s="14"/>
      <c r="C236" s="221"/>
      <c r="E236" s="213"/>
      <c r="F236" s="16"/>
      <c r="G236" s="8"/>
    </row>
    <row r="237" spans="2:7" ht="20.100000000000001" customHeight="1">
      <c r="B237" s="14"/>
      <c r="C237" s="221"/>
      <c r="E237" s="213"/>
      <c r="F237" s="16"/>
      <c r="G237" s="8"/>
    </row>
    <row r="238" spans="2:7" ht="20.100000000000001" customHeight="1">
      <c r="B238" s="14"/>
      <c r="C238" s="221"/>
      <c r="E238" s="213"/>
      <c r="F238" s="16"/>
      <c r="G238" s="8"/>
    </row>
    <row r="239" spans="2:7" ht="20.100000000000001" customHeight="1">
      <c r="B239" s="14"/>
      <c r="C239" s="221"/>
      <c r="E239" s="213"/>
      <c r="F239" s="16"/>
      <c r="G239" s="8"/>
    </row>
    <row r="240" spans="2:7" ht="20.100000000000001" customHeight="1">
      <c r="B240" s="14"/>
      <c r="C240" s="221"/>
      <c r="E240" s="213"/>
      <c r="F240" s="16"/>
      <c r="G240" s="8"/>
    </row>
    <row r="241" spans="2:7" ht="20.100000000000001" customHeight="1">
      <c r="B241" s="14"/>
      <c r="C241" s="221"/>
      <c r="E241" s="213"/>
      <c r="F241" s="16"/>
      <c r="G241" s="8"/>
    </row>
    <row r="242" spans="2:7" ht="20.100000000000001" customHeight="1">
      <c r="B242" s="14"/>
      <c r="C242" s="221"/>
      <c r="E242" s="213"/>
      <c r="F242" s="16"/>
      <c r="G242" s="8"/>
    </row>
    <row r="243" spans="2:7" ht="20.100000000000001" customHeight="1">
      <c r="B243" s="14"/>
      <c r="C243" s="221"/>
      <c r="E243" s="213"/>
      <c r="F243" s="16"/>
      <c r="G243" s="8"/>
    </row>
    <row r="244" spans="2:7" ht="20.100000000000001" customHeight="1">
      <c r="B244" s="14"/>
      <c r="C244" s="221"/>
      <c r="E244" s="213"/>
      <c r="F244" s="16"/>
      <c r="G244" s="8"/>
    </row>
    <row r="245" spans="2:7" ht="20.100000000000001" customHeight="1">
      <c r="B245" s="14"/>
      <c r="C245" s="221"/>
      <c r="E245" s="213"/>
      <c r="F245" s="16"/>
      <c r="G245" s="8"/>
    </row>
    <row r="246" spans="2:7" ht="20.100000000000001" customHeight="1">
      <c r="B246" s="14"/>
      <c r="C246" s="221"/>
      <c r="E246" s="213"/>
      <c r="F246" s="16"/>
      <c r="G246" s="8"/>
    </row>
    <row r="247" spans="2:7" ht="20.100000000000001" customHeight="1">
      <c r="B247" s="14"/>
      <c r="C247" s="221"/>
      <c r="E247" s="213"/>
      <c r="F247" s="16"/>
      <c r="G247" s="8"/>
    </row>
    <row r="248" spans="2:7" ht="20.100000000000001" customHeight="1">
      <c r="B248" s="14"/>
      <c r="C248" s="221"/>
      <c r="E248" s="213"/>
      <c r="F248" s="16"/>
      <c r="G248" s="8"/>
    </row>
    <row r="249" spans="2:7" ht="20.100000000000001" customHeight="1">
      <c r="B249" s="14"/>
      <c r="C249" s="221"/>
      <c r="E249" s="213"/>
      <c r="F249" s="16"/>
      <c r="G249" s="8"/>
    </row>
    <row r="250" spans="2:7" ht="20.100000000000001" customHeight="1">
      <c r="B250" s="14"/>
      <c r="C250" s="221"/>
      <c r="E250" s="213"/>
      <c r="F250" s="16"/>
      <c r="G250" s="8"/>
    </row>
    <row r="251" spans="2:7" ht="20.100000000000001" customHeight="1">
      <c r="B251" s="14"/>
      <c r="C251" s="221"/>
      <c r="E251" s="213"/>
      <c r="F251" s="16"/>
      <c r="G251" s="8"/>
    </row>
    <row r="252" spans="2:7" ht="20.100000000000001" customHeight="1">
      <c r="B252" s="14"/>
      <c r="C252" s="221"/>
      <c r="E252" s="213"/>
      <c r="F252" s="16"/>
      <c r="G252" s="8"/>
    </row>
    <row r="253" spans="2:7" ht="20.100000000000001" customHeight="1">
      <c r="B253" s="14"/>
      <c r="C253" s="221"/>
      <c r="E253" s="213"/>
      <c r="F253" s="16"/>
      <c r="G253" s="8"/>
    </row>
    <row r="254" spans="2:7" ht="20.100000000000001" customHeight="1">
      <c r="B254" s="14"/>
      <c r="C254" s="221"/>
      <c r="E254" s="213"/>
      <c r="F254" s="16"/>
      <c r="G254" s="8"/>
    </row>
    <row r="255" spans="2:7" ht="20.100000000000001" customHeight="1">
      <c r="B255" s="14"/>
      <c r="C255" s="221"/>
      <c r="E255" s="213"/>
      <c r="F255" s="16"/>
      <c r="G255" s="8"/>
    </row>
    <row r="256" spans="2:7" ht="20.100000000000001" customHeight="1">
      <c r="B256" s="14"/>
      <c r="C256" s="221"/>
      <c r="E256" s="213"/>
      <c r="F256" s="16"/>
      <c r="G256" s="8"/>
    </row>
    <row r="257" spans="2:7" ht="20.100000000000001" customHeight="1">
      <c r="B257" s="14"/>
      <c r="C257" s="221"/>
      <c r="E257" s="213"/>
      <c r="F257" s="16"/>
      <c r="G257" s="8"/>
    </row>
    <row r="258" spans="2:7" ht="20.100000000000001" customHeight="1">
      <c r="B258" s="14"/>
      <c r="C258" s="221"/>
      <c r="E258" s="213"/>
      <c r="F258" s="16"/>
      <c r="G258" s="8"/>
    </row>
    <row r="259" spans="2:7" ht="20.100000000000001" customHeight="1">
      <c r="B259" s="14"/>
      <c r="C259" s="221"/>
      <c r="E259" s="213"/>
      <c r="F259" s="16"/>
      <c r="G259" s="8"/>
    </row>
    <row r="260" spans="2:7" ht="20.100000000000001" customHeight="1">
      <c r="B260" s="14"/>
      <c r="C260" s="221"/>
      <c r="E260" s="213"/>
      <c r="F260" s="16"/>
      <c r="G260" s="8"/>
    </row>
    <row r="261" spans="2:7" ht="20.100000000000001" customHeight="1">
      <c r="B261" s="14"/>
      <c r="C261" s="221"/>
      <c r="E261" s="213"/>
      <c r="F261" s="16"/>
      <c r="G261" s="8"/>
    </row>
    <row r="262" spans="2:7" ht="20.100000000000001" customHeight="1">
      <c r="B262" s="14"/>
      <c r="C262" s="221"/>
      <c r="E262" s="213"/>
      <c r="F262" s="16"/>
      <c r="G262" s="8"/>
    </row>
    <row r="263" spans="2:7" ht="20.100000000000001" customHeight="1">
      <c r="B263" s="14"/>
      <c r="C263" s="221"/>
      <c r="E263" s="213"/>
      <c r="F263" s="16"/>
      <c r="G263" s="8"/>
    </row>
    <row r="264" spans="2:7" ht="20.100000000000001" customHeight="1">
      <c r="B264" s="14"/>
      <c r="C264" s="221"/>
      <c r="E264" s="213"/>
      <c r="F264" s="16"/>
      <c r="G264" s="8"/>
    </row>
    <row r="265" spans="2:7" ht="20.100000000000001" customHeight="1">
      <c r="B265" s="14"/>
      <c r="C265" s="221"/>
      <c r="E265" s="213"/>
      <c r="F265" s="16"/>
      <c r="G265" s="8"/>
    </row>
    <row r="266" spans="2:7" ht="20.100000000000001" customHeight="1">
      <c r="B266" s="14"/>
      <c r="C266" s="221"/>
      <c r="E266" s="213"/>
      <c r="F266" s="16"/>
      <c r="G266" s="8"/>
    </row>
    <row r="267" spans="2:7" ht="20.100000000000001" customHeight="1">
      <c r="B267" s="14"/>
      <c r="C267" s="221"/>
      <c r="E267" s="213"/>
      <c r="F267" s="16"/>
      <c r="G267" s="8"/>
    </row>
    <row r="268" spans="2:7" ht="20.100000000000001" customHeight="1">
      <c r="B268" s="14"/>
      <c r="C268" s="221"/>
      <c r="E268" s="213"/>
      <c r="F268" s="16"/>
      <c r="G268" s="8"/>
    </row>
    <row r="269" spans="2:7" ht="20.100000000000001" customHeight="1">
      <c r="B269" s="14"/>
      <c r="C269" s="221"/>
      <c r="E269" s="213"/>
      <c r="F269" s="16"/>
      <c r="G269" s="8"/>
    </row>
    <row r="270" spans="2:7" ht="20.100000000000001" customHeight="1">
      <c r="B270" s="14"/>
      <c r="C270" s="221"/>
      <c r="E270" s="213"/>
      <c r="F270" s="16"/>
      <c r="G270" s="8"/>
    </row>
    <row r="271" spans="2:7" ht="20.100000000000001" customHeight="1">
      <c r="B271" s="14"/>
      <c r="C271" s="221"/>
      <c r="E271" s="213"/>
      <c r="F271" s="16"/>
      <c r="G271" s="8"/>
    </row>
    <row r="272" spans="2:7" ht="20.100000000000001" customHeight="1">
      <c r="B272" s="14"/>
      <c r="C272" s="221"/>
      <c r="E272" s="213"/>
      <c r="F272" s="16"/>
      <c r="G272" s="8"/>
    </row>
    <row r="273" spans="2:7" ht="20.100000000000001" customHeight="1">
      <c r="B273" s="14"/>
      <c r="C273" s="221"/>
      <c r="E273" s="213"/>
      <c r="F273" s="16"/>
      <c r="G273" s="8"/>
    </row>
    <row r="274" spans="2:7" ht="20.100000000000001" customHeight="1">
      <c r="B274" s="14"/>
      <c r="C274" s="221"/>
      <c r="E274" s="213"/>
      <c r="F274" s="16"/>
      <c r="G274" s="8"/>
    </row>
    <row r="275" spans="2:7" ht="20.100000000000001" customHeight="1">
      <c r="B275" s="14"/>
      <c r="C275" s="221"/>
      <c r="E275" s="213"/>
      <c r="F275" s="16"/>
      <c r="G275" s="8"/>
    </row>
    <row r="276" spans="2:7" ht="20.100000000000001" customHeight="1">
      <c r="B276" s="14"/>
      <c r="C276" s="221"/>
      <c r="E276" s="213"/>
      <c r="F276" s="16"/>
      <c r="G276" s="8"/>
    </row>
    <row r="277" spans="2:7" ht="20.100000000000001" customHeight="1">
      <c r="B277" s="14"/>
      <c r="C277" s="221"/>
      <c r="E277" s="213"/>
      <c r="F277" s="16"/>
      <c r="G277" s="8"/>
    </row>
    <row r="278" spans="2:7" ht="20.100000000000001" customHeight="1">
      <c r="B278" s="14"/>
      <c r="C278" s="221"/>
      <c r="E278" s="213"/>
      <c r="F278" s="16"/>
      <c r="G278" s="8"/>
    </row>
    <row r="279" spans="2:7" ht="20.100000000000001" customHeight="1">
      <c r="B279" s="14"/>
      <c r="C279" s="221"/>
      <c r="E279" s="213"/>
      <c r="F279" s="16"/>
      <c r="G279" s="8"/>
    </row>
    <row r="280" spans="2:7" ht="20.100000000000001" customHeight="1">
      <c r="B280" s="14"/>
      <c r="C280" s="221"/>
      <c r="E280" s="213"/>
      <c r="F280" s="16"/>
      <c r="G280" s="8"/>
    </row>
    <row r="281" spans="2:7" ht="20.100000000000001" customHeight="1">
      <c r="B281" s="14"/>
      <c r="C281" s="221"/>
      <c r="E281" s="213"/>
      <c r="F281" s="16"/>
      <c r="G281" s="8"/>
    </row>
    <row r="282" spans="2:7" ht="20.100000000000001" customHeight="1">
      <c r="B282" s="14"/>
      <c r="C282" s="221"/>
      <c r="E282" s="213"/>
      <c r="F282" s="16"/>
      <c r="G282" s="8"/>
    </row>
    <row r="283" spans="2:7" ht="20.100000000000001" customHeight="1">
      <c r="B283" s="14"/>
      <c r="C283" s="221"/>
      <c r="E283" s="213"/>
      <c r="F283" s="16"/>
      <c r="G283" s="8"/>
    </row>
    <row r="284" spans="2:7" ht="20.100000000000001" customHeight="1">
      <c r="B284" s="14"/>
      <c r="C284" s="221"/>
      <c r="E284" s="213"/>
      <c r="F284" s="16"/>
      <c r="G284" s="8"/>
    </row>
    <row r="285" spans="2:7" ht="20.100000000000001" customHeight="1">
      <c r="B285" s="14"/>
      <c r="C285" s="221"/>
      <c r="E285" s="213"/>
      <c r="F285" s="16"/>
      <c r="G285" s="8"/>
    </row>
    <row r="286" spans="2:7" ht="20.100000000000001" customHeight="1">
      <c r="B286" s="14"/>
      <c r="C286" s="221"/>
      <c r="E286" s="213"/>
      <c r="F286" s="16"/>
      <c r="G286" s="8"/>
    </row>
    <row r="287" spans="2:7" ht="20.100000000000001" customHeight="1">
      <c r="B287" s="14"/>
      <c r="C287" s="221"/>
      <c r="E287" s="213"/>
      <c r="F287" s="16"/>
      <c r="G287" s="8"/>
    </row>
    <row r="288" spans="2:7" ht="20.100000000000001" customHeight="1">
      <c r="B288" s="14"/>
      <c r="C288" s="221"/>
      <c r="E288" s="213"/>
      <c r="F288" s="16"/>
      <c r="G288" s="8"/>
    </row>
    <row r="289" spans="2:7" ht="20.100000000000001" customHeight="1">
      <c r="B289" s="14"/>
      <c r="C289" s="221"/>
      <c r="E289" s="213"/>
      <c r="F289" s="16"/>
      <c r="G289" s="8"/>
    </row>
    <row r="290" spans="2:7" ht="20.100000000000001" customHeight="1">
      <c r="B290" s="14"/>
      <c r="C290" s="221"/>
      <c r="E290" s="213"/>
      <c r="F290" s="16"/>
      <c r="G290" s="8"/>
    </row>
    <row r="291" spans="2:7" ht="20.100000000000001" customHeight="1">
      <c r="B291" s="14"/>
      <c r="C291" s="221"/>
      <c r="E291" s="213"/>
      <c r="F291" s="16"/>
      <c r="G291" s="8"/>
    </row>
    <row r="292" spans="2:7" ht="20.100000000000001" customHeight="1">
      <c r="B292" s="14"/>
      <c r="C292" s="221"/>
      <c r="E292" s="213"/>
      <c r="F292" s="16"/>
      <c r="G292" s="8"/>
    </row>
    <row r="293" spans="2:7" ht="20.100000000000001" customHeight="1">
      <c r="B293" s="14"/>
      <c r="C293" s="221"/>
      <c r="E293" s="213"/>
      <c r="F293" s="16"/>
      <c r="G293" s="8"/>
    </row>
    <row r="294" spans="2:7" ht="20.100000000000001" customHeight="1">
      <c r="B294" s="14"/>
      <c r="C294" s="221"/>
      <c r="E294" s="213"/>
      <c r="F294" s="16"/>
      <c r="G294" s="8"/>
    </row>
    <row r="295" spans="2:7" ht="20.100000000000001" customHeight="1">
      <c r="B295" s="14"/>
      <c r="C295" s="221"/>
      <c r="E295" s="213"/>
      <c r="F295" s="16"/>
      <c r="G295" s="8"/>
    </row>
    <row r="296" spans="2:7" ht="20.100000000000001" customHeight="1">
      <c r="B296" s="14"/>
      <c r="C296" s="221"/>
      <c r="E296" s="213"/>
      <c r="F296" s="16"/>
      <c r="G296" s="8"/>
    </row>
    <row r="297" spans="2:7" ht="20.100000000000001" customHeight="1">
      <c r="B297" s="14"/>
      <c r="C297" s="221"/>
      <c r="E297" s="213"/>
      <c r="F297" s="16"/>
      <c r="G297" s="8"/>
    </row>
    <row r="298" spans="2:7" ht="20.100000000000001" customHeight="1">
      <c r="B298" s="14"/>
      <c r="C298" s="221"/>
      <c r="E298" s="213"/>
      <c r="F298" s="16"/>
      <c r="G298" s="8"/>
    </row>
    <row r="299" spans="2:7" ht="20.100000000000001" customHeight="1">
      <c r="B299" s="14"/>
      <c r="C299" s="221"/>
      <c r="E299" s="213"/>
      <c r="F299" s="16"/>
      <c r="G299" s="8"/>
    </row>
    <row r="300" spans="2:7" ht="20.100000000000001" customHeight="1">
      <c r="B300" s="14"/>
      <c r="C300" s="221"/>
      <c r="E300" s="213"/>
      <c r="F300" s="16"/>
      <c r="G300" s="8"/>
    </row>
    <row r="301" spans="2:7" ht="20.100000000000001" customHeight="1">
      <c r="B301" s="14"/>
      <c r="C301" s="221"/>
      <c r="E301" s="213"/>
      <c r="F301" s="16"/>
      <c r="G301" s="8"/>
    </row>
    <row r="302" spans="2:7" ht="20.100000000000001" customHeight="1">
      <c r="B302" s="14"/>
      <c r="C302" s="221"/>
      <c r="E302" s="213"/>
      <c r="F302" s="16"/>
      <c r="G302" s="8"/>
    </row>
    <row r="303" spans="2:7" ht="20.100000000000001" customHeight="1">
      <c r="B303" s="14"/>
      <c r="C303" s="221"/>
      <c r="E303" s="213"/>
      <c r="F303" s="16"/>
      <c r="G303" s="8"/>
    </row>
    <row r="304" spans="2:7" ht="20.100000000000001" customHeight="1">
      <c r="B304" s="14"/>
      <c r="C304" s="221"/>
      <c r="E304" s="213"/>
      <c r="F304" s="16"/>
      <c r="G304" s="8"/>
    </row>
    <row r="305" spans="2:7" ht="20.100000000000001" customHeight="1">
      <c r="B305" s="14"/>
      <c r="C305" s="221"/>
      <c r="E305" s="213"/>
      <c r="F305" s="16"/>
      <c r="G305" s="8"/>
    </row>
    <row r="306" spans="2:7" ht="20.100000000000001" customHeight="1">
      <c r="B306" s="14"/>
      <c r="C306" s="221"/>
      <c r="E306" s="213"/>
      <c r="F306" s="16"/>
      <c r="G306" s="8"/>
    </row>
    <row r="307" spans="2:7" ht="20.100000000000001" customHeight="1">
      <c r="B307" s="14"/>
      <c r="C307" s="221"/>
      <c r="E307" s="213"/>
      <c r="F307" s="16"/>
      <c r="G307" s="8"/>
    </row>
    <row r="308" spans="2:7" ht="20.100000000000001" customHeight="1">
      <c r="B308" s="14"/>
      <c r="C308" s="221"/>
      <c r="E308" s="213"/>
      <c r="F308" s="16"/>
      <c r="G308" s="8"/>
    </row>
    <row r="309" spans="2:7" ht="20.100000000000001" customHeight="1">
      <c r="B309" s="14"/>
      <c r="C309" s="221"/>
      <c r="E309" s="213"/>
      <c r="F309" s="16"/>
      <c r="G309" s="8"/>
    </row>
    <row r="310" spans="2:7" ht="20.100000000000001" customHeight="1">
      <c r="B310" s="14"/>
      <c r="C310" s="221"/>
      <c r="E310" s="213"/>
      <c r="F310" s="16"/>
      <c r="G310" s="8"/>
    </row>
    <row r="311" spans="2:7" ht="20.100000000000001" customHeight="1">
      <c r="B311" s="14"/>
      <c r="C311" s="221"/>
      <c r="E311" s="213"/>
      <c r="F311" s="16"/>
      <c r="G311" s="8"/>
    </row>
    <row r="312" spans="2:7" ht="20.100000000000001" customHeight="1">
      <c r="B312" s="14"/>
      <c r="C312" s="221"/>
      <c r="E312" s="213"/>
      <c r="F312" s="16"/>
      <c r="G312" s="8"/>
    </row>
    <row r="313" spans="2:7" ht="20.100000000000001" customHeight="1">
      <c r="B313" s="14"/>
      <c r="C313" s="221"/>
      <c r="E313" s="213"/>
      <c r="F313" s="16"/>
      <c r="G313" s="8"/>
    </row>
    <row r="314" spans="2:7" ht="20.100000000000001" customHeight="1">
      <c r="B314" s="14"/>
      <c r="C314" s="221"/>
      <c r="E314" s="213"/>
      <c r="F314" s="16"/>
      <c r="G314" s="8"/>
    </row>
    <row r="315" spans="2:7" ht="20.100000000000001" customHeight="1">
      <c r="B315" s="14"/>
      <c r="C315" s="221"/>
      <c r="E315" s="213"/>
      <c r="F315" s="16"/>
      <c r="G315" s="8"/>
    </row>
    <row r="316" spans="2:7" ht="20.100000000000001" customHeight="1">
      <c r="B316" s="14"/>
      <c r="C316" s="221"/>
      <c r="E316" s="213"/>
      <c r="F316" s="16"/>
      <c r="G316" s="8"/>
    </row>
    <row r="317" spans="2:7" ht="20.100000000000001" customHeight="1">
      <c r="B317" s="14"/>
      <c r="C317" s="221"/>
      <c r="E317" s="213"/>
      <c r="F317" s="16"/>
      <c r="G317" s="8"/>
    </row>
    <row r="318" spans="2:7" ht="20.100000000000001" customHeight="1">
      <c r="B318" s="14"/>
      <c r="C318" s="221"/>
      <c r="E318" s="213"/>
      <c r="F318" s="16"/>
      <c r="G318" s="8"/>
    </row>
    <row r="319" spans="2:7" ht="20.100000000000001" customHeight="1">
      <c r="B319" s="14"/>
      <c r="C319" s="221"/>
      <c r="E319" s="213"/>
      <c r="F319" s="16"/>
      <c r="G319" s="8"/>
    </row>
    <row r="320" spans="2:7" ht="20.100000000000001" customHeight="1">
      <c r="B320" s="14"/>
      <c r="C320" s="221"/>
      <c r="E320" s="213"/>
      <c r="F320" s="16"/>
      <c r="G320" s="8"/>
    </row>
    <row r="321" spans="2:7" ht="20.100000000000001" customHeight="1">
      <c r="B321" s="14"/>
      <c r="C321" s="221"/>
      <c r="E321" s="213"/>
      <c r="F321" s="16"/>
      <c r="G321" s="8"/>
    </row>
    <row r="322" spans="2:7" ht="20.100000000000001" customHeight="1">
      <c r="B322" s="14"/>
      <c r="C322" s="221"/>
      <c r="E322" s="213"/>
      <c r="F322" s="16"/>
      <c r="G322" s="8"/>
    </row>
    <row r="323" spans="2:7" ht="20.100000000000001" customHeight="1">
      <c r="B323" s="14"/>
      <c r="C323" s="221"/>
      <c r="E323" s="213"/>
      <c r="F323" s="16"/>
      <c r="G323" s="8"/>
    </row>
    <row r="324" spans="2:7" ht="20.100000000000001" customHeight="1">
      <c r="B324" s="14"/>
      <c r="C324" s="221"/>
      <c r="E324" s="213"/>
      <c r="F324" s="16"/>
      <c r="G324" s="8"/>
    </row>
    <row r="325" spans="2:7" ht="20.100000000000001" customHeight="1">
      <c r="B325" s="14"/>
      <c r="C325" s="221"/>
      <c r="E325" s="213"/>
      <c r="F325" s="16"/>
      <c r="G325" s="8"/>
    </row>
    <row r="326" spans="2:7" ht="20.100000000000001" customHeight="1">
      <c r="B326" s="14"/>
      <c r="C326" s="221"/>
      <c r="E326" s="213"/>
      <c r="F326" s="16"/>
      <c r="G326" s="8"/>
    </row>
    <row r="327" spans="2:7" ht="20.100000000000001" customHeight="1">
      <c r="B327" s="14"/>
      <c r="C327" s="221"/>
      <c r="E327" s="213"/>
      <c r="F327" s="16"/>
      <c r="G327" s="8"/>
    </row>
    <row r="328" spans="2:7" ht="20.100000000000001" customHeight="1">
      <c r="B328" s="14"/>
      <c r="C328" s="221"/>
      <c r="E328" s="213"/>
      <c r="F328" s="16"/>
      <c r="G328" s="8"/>
    </row>
    <row r="329" spans="2:7" ht="20.100000000000001" customHeight="1">
      <c r="B329" s="14"/>
      <c r="C329" s="221"/>
      <c r="E329" s="213"/>
      <c r="F329" s="16"/>
      <c r="G329" s="8"/>
    </row>
    <row r="330" spans="2:7" ht="20.100000000000001" customHeight="1">
      <c r="B330" s="14"/>
      <c r="C330" s="221"/>
      <c r="E330" s="213"/>
      <c r="F330" s="16"/>
      <c r="G330" s="8"/>
    </row>
    <row r="331" spans="2:7" ht="20.100000000000001" customHeight="1">
      <c r="B331" s="14"/>
      <c r="C331" s="221"/>
      <c r="E331" s="213"/>
      <c r="F331" s="16"/>
      <c r="G331" s="8"/>
    </row>
    <row r="332" spans="2:7" ht="20.100000000000001" customHeight="1">
      <c r="B332" s="14"/>
      <c r="C332" s="221"/>
      <c r="E332" s="213"/>
      <c r="F332" s="16"/>
      <c r="G332" s="8"/>
    </row>
    <row r="333" spans="2:7" ht="20.100000000000001" customHeight="1">
      <c r="B333" s="14"/>
      <c r="C333" s="221"/>
      <c r="E333" s="213"/>
      <c r="F333" s="16"/>
      <c r="G333" s="8"/>
    </row>
    <row r="334" spans="2:7" ht="20.100000000000001" customHeight="1">
      <c r="B334" s="14"/>
      <c r="C334" s="221"/>
      <c r="E334" s="213"/>
      <c r="F334" s="16"/>
      <c r="G334" s="8"/>
    </row>
    <row r="335" spans="2:7" ht="20.100000000000001" customHeight="1">
      <c r="B335" s="14"/>
      <c r="C335" s="221"/>
      <c r="E335" s="213"/>
      <c r="F335" s="16"/>
      <c r="G335" s="8"/>
    </row>
    <row r="336" spans="2:7" ht="20.100000000000001" customHeight="1">
      <c r="B336" s="14"/>
      <c r="C336" s="221"/>
      <c r="E336" s="213"/>
      <c r="F336" s="16"/>
      <c r="G336" s="8"/>
    </row>
    <row r="337" spans="2:7" ht="20.100000000000001" customHeight="1">
      <c r="B337" s="14"/>
      <c r="C337" s="221"/>
      <c r="E337" s="213"/>
      <c r="F337" s="16"/>
      <c r="G337" s="8"/>
    </row>
    <row r="338" spans="2:7" ht="20.100000000000001" customHeight="1">
      <c r="B338" s="14"/>
      <c r="C338" s="221"/>
      <c r="E338" s="213"/>
      <c r="F338" s="16"/>
      <c r="G338" s="8"/>
    </row>
    <row r="339" spans="2:7" ht="20.100000000000001" customHeight="1">
      <c r="B339" s="14"/>
      <c r="C339" s="221"/>
      <c r="E339" s="213"/>
      <c r="F339" s="16"/>
      <c r="G339" s="8"/>
    </row>
    <row r="340" spans="2:7" ht="20.100000000000001" customHeight="1">
      <c r="B340" s="14"/>
      <c r="C340" s="221"/>
      <c r="E340" s="213"/>
      <c r="F340" s="16"/>
      <c r="G340" s="8"/>
    </row>
    <row r="341" spans="2:7" ht="20.100000000000001" customHeight="1">
      <c r="B341" s="14"/>
      <c r="C341" s="221"/>
      <c r="E341" s="213"/>
      <c r="F341" s="16"/>
      <c r="G341" s="8"/>
    </row>
    <row r="342" spans="2:7" ht="20.100000000000001" customHeight="1">
      <c r="B342" s="14"/>
      <c r="C342" s="221"/>
      <c r="E342" s="213"/>
      <c r="F342" s="16"/>
      <c r="G342" s="8"/>
    </row>
    <row r="343" spans="2:7" ht="20.100000000000001" customHeight="1">
      <c r="B343" s="14"/>
      <c r="C343" s="221"/>
      <c r="E343" s="213"/>
      <c r="F343" s="16"/>
      <c r="G343" s="8"/>
    </row>
    <row r="344" spans="2:7" ht="20.100000000000001" customHeight="1">
      <c r="B344" s="14"/>
      <c r="C344" s="221"/>
      <c r="E344" s="213"/>
      <c r="F344" s="16"/>
      <c r="G344" s="8"/>
    </row>
    <row r="345" spans="2:7" ht="20.100000000000001" customHeight="1">
      <c r="B345" s="14"/>
      <c r="C345" s="221"/>
      <c r="E345" s="213"/>
      <c r="F345" s="16"/>
      <c r="G345" s="8"/>
    </row>
    <row r="346" spans="2:7" ht="20.100000000000001" customHeight="1">
      <c r="B346" s="14"/>
      <c r="C346" s="221"/>
      <c r="E346" s="213"/>
      <c r="F346" s="16"/>
      <c r="G346" s="8"/>
    </row>
    <row r="347" spans="2:7" ht="20.100000000000001" customHeight="1">
      <c r="B347" s="14"/>
      <c r="C347" s="221"/>
      <c r="E347" s="213"/>
      <c r="F347" s="16"/>
      <c r="G347" s="8"/>
    </row>
    <row r="348" spans="2:7" ht="20.100000000000001" customHeight="1">
      <c r="B348" s="14"/>
      <c r="C348" s="221"/>
      <c r="E348" s="213"/>
      <c r="F348" s="16"/>
      <c r="G348" s="8"/>
    </row>
    <row r="349" spans="2:7" ht="20.100000000000001" customHeight="1">
      <c r="B349" s="14"/>
      <c r="C349" s="221"/>
      <c r="E349" s="213"/>
      <c r="F349" s="16"/>
      <c r="G349" s="8"/>
    </row>
    <row r="350" spans="2:7" ht="20.100000000000001" customHeight="1">
      <c r="B350" s="14"/>
      <c r="C350" s="221"/>
      <c r="E350" s="213"/>
      <c r="F350" s="16"/>
      <c r="G350" s="8"/>
    </row>
    <row r="351" spans="2:7" ht="20.100000000000001" customHeight="1">
      <c r="B351" s="14"/>
      <c r="C351" s="221"/>
      <c r="E351" s="213"/>
      <c r="F351" s="16"/>
      <c r="G351" s="8"/>
    </row>
    <row r="352" spans="2:7" ht="20.100000000000001" customHeight="1">
      <c r="B352" s="14"/>
      <c r="C352" s="221"/>
      <c r="E352" s="213"/>
      <c r="F352" s="16"/>
      <c r="G352" s="8"/>
    </row>
    <row r="353" spans="2:7" ht="20.100000000000001" customHeight="1">
      <c r="B353" s="14"/>
      <c r="C353" s="221"/>
      <c r="E353" s="213"/>
      <c r="F353" s="16"/>
      <c r="G353" s="8"/>
    </row>
    <row r="354" spans="2:7" ht="20.100000000000001" customHeight="1">
      <c r="B354" s="14"/>
      <c r="C354" s="221"/>
      <c r="E354" s="213"/>
      <c r="F354" s="16"/>
      <c r="G354" s="8"/>
    </row>
    <row r="355" spans="2:7" ht="20.100000000000001" customHeight="1">
      <c r="B355" s="14"/>
      <c r="C355" s="221"/>
      <c r="E355" s="213"/>
      <c r="F355" s="16"/>
      <c r="G355" s="8"/>
    </row>
    <row r="356" spans="2:7" ht="20.100000000000001" customHeight="1">
      <c r="B356" s="14"/>
      <c r="C356" s="221"/>
      <c r="E356" s="213"/>
      <c r="F356" s="16"/>
      <c r="G356" s="8"/>
    </row>
    <row r="357" spans="2:7" ht="20.100000000000001" customHeight="1">
      <c r="B357" s="14"/>
      <c r="C357" s="221"/>
      <c r="E357" s="213"/>
      <c r="F357" s="16"/>
      <c r="G357" s="8"/>
    </row>
    <row r="358" spans="2:7" ht="20.100000000000001" customHeight="1">
      <c r="B358" s="14"/>
      <c r="C358" s="221"/>
      <c r="E358" s="213"/>
      <c r="F358" s="16"/>
      <c r="G358" s="8"/>
    </row>
    <row r="359" spans="2:7" ht="20.100000000000001" customHeight="1">
      <c r="B359" s="14"/>
      <c r="C359" s="221"/>
      <c r="E359" s="213"/>
      <c r="F359" s="16"/>
      <c r="G359" s="8"/>
    </row>
    <row r="360" spans="2:7" ht="20.100000000000001" customHeight="1">
      <c r="B360" s="14"/>
      <c r="C360" s="221"/>
      <c r="E360" s="213"/>
      <c r="F360" s="16"/>
      <c r="G360" s="8"/>
    </row>
    <row r="361" spans="2:7" ht="20.100000000000001" customHeight="1">
      <c r="B361" s="14"/>
      <c r="C361" s="221"/>
      <c r="E361" s="213"/>
      <c r="F361" s="16"/>
      <c r="G361" s="8"/>
    </row>
    <row r="362" spans="2:7" ht="20.100000000000001" customHeight="1">
      <c r="B362" s="14"/>
      <c r="C362" s="221"/>
      <c r="E362" s="213"/>
      <c r="F362" s="16"/>
      <c r="G362" s="8"/>
    </row>
    <row r="363" spans="2:7" ht="20.100000000000001" customHeight="1">
      <c r="B363" s="14"/>
      <c r="C363" s="221"/>
      <c r="E363" s="213"/>
      <c r="F363" s="16"/>
      <c r="G363" s="8"/>
    </row>
    <row r="364" spans="2:7" ht="20.100000000000001" customHeight="1">
      <c r="B364" s="14"/>
      <c r="C364" s="221"/>
      <c r="E364" s="213"/>
      <c r="F364" s="16"/>
      <c r="G364" s="8"/>
    </row>
    <row r="365" spans="2:7" ht="20.100000000000001" customHeight="1">
      <c r="B365" s="14"/>
      <c r="C365" s="221"/>
      <c r="E365" s="213"/>
      <c r="F365" s="16"/>
      <c r="G365" s="8"/>
    </row>
    <row r="366" spans="2:7" ht="20.100000000000001" customHeight="1">
      <c r="B366" s="14"/>
      <c r="C366" s="221"/>
      <c r="E366" s="213"/>
      <c r="F366" s="16"/>
      <c r="G366" s="8"/>
    </row>
    <row r="367" spans="2:7" ht="20.100000000000001" customHeight="1">
      <c r="B367" s="14"/>
      <c r="C367" s="221"/>
      <c r="E367" s="213"/>
      <c r="F367" s="16"/>
      <c r="G367" s="8"/>
    </row>
    <row r="368" spans="2:7" ht="20.100000000000001" customHeight="1">
      <c r="B368" s="14"/>
      <c r="C368" s="221"/>
      <c r="E368" s="213"/>
      <c r="F368" s="16"/>
      <c r="G368" s="8"/>
    </row>
    <row r="369" spans="2:7" ht="20.100000000000001" customHeight="1">
      <c r="B369" s="14"/>
      <c r="C369" s="221"/>
      <c r="E369" s="213"/>
      <c r="F369" s="16"/>
      <c r="G369" s="8"/>
    </row>
    <row r="370" spans="2:7" ht="20.100000000000001" customHeight="1">
      <c r="B370" s="14"/>
      <c r="C370" s="221"/>
      <c r="E370" s="213"/>
      <c r="F370" s="16"/>
      <c r="G370" s="8"/>
    </row>
    <row r="371" spans="2:7" ht="20.100000000000001" customHeight="1">
      <c r="B371" s="14"/>
      <c r="C371" s="221"/>
      <c r="E371" s="213"/>
      <c r="F371" s="16"/>
      <c r="G371" s="8"/>
    </row>
    <row r="372" spans="2:7" ht="20.100000000000001" customHeight="1">
      <c r="B372" s="14"/>
      <c r="C372" s="221"/>
      <c r="E372" s="213"/>
      <c r="F372" s="16"/>
      <c r="G372" s="8"/>
    </row>
    <row r="373" spans="2:7" ht="20.100000000000001" customHeight="1">
      <c r="B373" s="14"/>
      <c r="C373" s="221"/>
      <c r="E373" s="213"/>
      <c r="F373" s="16"/>
      <c r="G373" s="8"/>
    </row>
    <row r="374" spans="2:7" ht="20.100000000000001" customHeight="1">
      <c r="B374" s="14"/>
      <c r="C374" s="221"/>
      <c r="E374" s="213"/>
      <c r="F374" s="16"/>
      <c r="G374" s="8"/>
    </row>
    <row r="375" spans="2:7" ht="20.100000000000001" customHeight="1">
      <c r="B375" s="14"/>
      <c r="C375" s="221"/>
      <c r="E375" s="213"/>
      <c r="F375" s="16"/>
      <c r="G375" s="8"/>
    </row>
    <row r="376" spans="2:7" ht="20.100000000000001" customHeight="1">
      <c r="B376" s="14"/>
      <c r="C376" s="221"/>
      <c r="E376" s="213"/>
      <c r="F376" s="16"/>
      <c r="G376" s="8"/>
    </row>
    <row r="377" spans="2:7" ht="20.100000000000001" customHeight="1">
      <c r="B377" s="14"/>
      <c r="C377" s="221"/>
      <c r="E377" s="213"/>
      <c r="F377" s="16"/>
      <c r="G377" s="8"/>
    </row>
    <row r="378" spans="2:7" ht="20.100000000000001" customHeight="1">
      <c r="B378" s="14"/>
      <c r="C378" s="221"/>
      <c r="E378" s="213"/>
      <c r="F378" s="16"/>
      <c r="G378" s="8"/>
    </row>
    <row r="379" spans="2:7" ht="20.100000000000001" customHeight="1">
      <c r="B379" s="14"/>
      <c r="C379" s="221"/>
      <c r="E379" s="213"/>
      <c r="F379" s="16"/>
      <c r="G379" s="8"/>
    </row>
    <row r="380" spans="2:7" ht="20.100000000000001" customHeight="1">
      <c r="B380" s="14"/>
      <c r="C380" s="221"/>
      <c r="E380" s="213"/>
      <c r="F380" s="16"/>
      <c r="G380" s="8"/>
    </row>
    <row r="381" spans="2:7" ht="20.100000000000001" customHeight="1">
      <c r="B381" s="14"/>
      <c r="C381" s="221"/>
      <c r="E381" s="213"/>
      <c r="F381" s="16"/>
      <c r="G381" s="8"/>
    </row>
    <row r="382" spans="2:7" ht="20.100000000000001" customHeight="1">
      <c r="B382" s="14"/>
      <c r="C382" s="221"/>
      <c r="E382" s="213"/>
      <c r="F382" s="16"/>
      <c r="G382" s="8"/>
    </row>
    <row r="383" spans="2:7" ht="20.100000000000001" customHeight="1">
      <c r="B383" s="14"/>
      <c r="C383" s="221"/>
      <c r="E383" s="213"/>
      <c r="F383" s="16"/>
      <c r="G383" s="8"/>
    </row>
    <row r="384" spans="2:7" ht="20.100000000000001" customHeight="1">
      <c r="B384" s="14"/>
      <c r="C384" s="221"/>
      <c r="E384" s="213"/>
      <c r="F384" s="16"/>
      <c r="G384" s="8"/>
    </row>
    <row r="385" spans="2:7" ht="20.100000000000001" customHeight="1">
      <c r="B385" s="14"/>
      <c r="C385" s="221"/>
      <c r="E385" s="213"/>
      <c r="F385" s="16"/>
      <c r="G385" s="8"/>
    </row>
    <row r="386" spans="2:7" ht="20.100000000000001" customHeight="1">
      <c r="B386" s="14"/>
      <c r="C386" s="221"/>
      <c r="E386" s="213"/>
      <c r="F386" s="16"/>
      <c r="G386" s="8"/>
    </row>
    <row r="387" spans="2:7" ht="20.100000000000001" customHeight="1">
      <c r="B387" s="14"/>
      <c r="C387" s="221"/>
      <c r="E387" s="213"/>
      <c r="F387" s="16"/>
      <c r="G387" s="8"/>
    </row>
    <row r="388" spans="2:7" ht="20.100000000000001" customHeight="1">
      <c r="B388" s="14"/>
      <c r="C388" s="221"/>
      <c r="E388" s="213"/>
      <c r="F388" s="16"/>
      <c r="G388" s="8"/>
    </row>
    <row r="389" spans="2:7" ht="20.100000000000001" customHeight="1">
      <c r="B389" s="14"/>
      <c r="C389" s="221"/>
      <c r="E389" s="213"/>
      <c r="F389" s="16"/>
      <c r="G389" s="8"/>
    </row>
    <row r="390" spans="2:7" ht="20.100000000000001" customHeight="1">
      <c r="B390" s="14"/>
      <c r="C390" s="221"/>
      <c r="E390" s="213"/>
      <c r="F390" s="16"/>
      <c r="G390" s="8"/>
    </row>
    <row r="391" spans="2:7" ht="20.100000000000001" customHeight="1">
      <c r="B391" s="14"/>
      <c r="C391" s="221"/>
      <c r="E391" s="213"/>
      <c r="F391" s="16"/>
      <c r="G391" s="8"/>
    </row>
    <row r="392" spans="2:7" ht="20.100000000000001" customHeight="1">
      <c r="B392" s="14"/>
      <c r="C392" s="221"/>
      <c r="E392" s="213"/>
      <c r="F392" s="16"/>
      <c r="G392" s="8"/>
    </row>
    <row r="393" spans="2:7" ht="20.100000000000001" customHeight="1">
      <c r="B393" s="14"/>
      <c r="C393" s="221"/>
      <c r="E393" s="213"/>
      <c r="F393" s="16"/>
      <c r="G393" s="8"/>
    </row>
    <row r="394" spans="2:7" ht="20.100000000000001" customHeight="1">
      <c r="B394" s="14"/>
      <c r="C394" s="224"/>
      <c r="E394" s="215"/>
      <c r="F394" s="16"/>
      <c r="G394" s="8"/>
    </row>
    <row r="395" spans="2:7" ht="20.100000000000001" customHeight="1">
      <c r="B395" s="14"/>
      <c r="C395" s="221"/>
      <c r="E395" s="213"/>
      <c r="F395" s="16"/>
      <c r="G395" s="8"/>
    </row>
    <row r="396" spans="2:7" ht="20.100000000000001" customHeight="1">
      <c r="B396" s="14"/>
      <c r="C396" s="221"/>
      <c r="E396" s="213"/>
      <c r="F396" s="16"/>
      <c r="G396" s="8"/>
    </row>
    <row r="397" spans="2:7" ht="20.100000000000001" customHeight="1">
      <c r="B397" s="14"/>
      <c r="C397" s="221"/>
      <c r="E397" s="213"/>
      <c r="F397" s="16"/>
      <c r="G397" s="8"/>
    </row>
    <row r="398" spans="2:7" ht="20.100000000000001" customHeight="1">
      <c r="B398" s="14"/>
      <c r="C398" s="221"/>
      <c r="E398" s="213"/>
      <c r="F398" s="16"/>
      <c r="G398" s="8"/>
    </row>
    <row r="399" spans="2:7" ht="20.100000000000001" customHeight="1">
      <c r="B399" s="14"/>
      <c r="C399" s="221"/>
      <c r="E399" s="213"/>
      <c r="F399" s="16"/>
      <c r="G399" s="8"/>
    </row>
    <row r="400" spans="2:7" ht="20.100000000000001" customHeight="1">
      <c r="B400" s="14"/>
      <c r="C400" s="221"/>
      <c r="E400" s="213"/>
      <c r="F400" s="16"/>
      <c r="G400" s="8"/>
    </row>
    <row r="401" spans="2:7" ht="20.100000000000001" customHeight="1">
      <c r="B401" s="14"/>
      <c r="C401" s="221"/>
      <c r="E401" s="213"/>
      <c r="F401" s="16"/>
      <c r="G401" s="8"/>
    </row>
    <row r="402" spans="2:7" ht="20.100000000000001" customHeight="1">
      <c r="B402" s="14"/>
      <c r="C402" s="221"/>
      <c r="E402" s="213"/>
      <c r="F402" s="16"/>
      <c r="G402" s="8"/>
    </row>
    <row r="403" spans="2:7" ht="20.100000000000001" customHeight="1">
      <c r="B403" s="14"/>
      <c r="C403" s="221"/>
      <c r="E403" s="213"/>
      <c r="F403" s="16"/>
      <c r="G403" s="8"/>
    </row>
    <row r="404" spans="2:7" ht="20.100000000000001" customHeight="1">
      <c r="B404" s="14"/>
      <c r="C404" s="221"/>
      <c r="E404" s="213"/>
      <c r="F404" s="16"/>
      <c r="G404" s="8"/>
    </row>
    <row r="405" spans="2:7" ht="20.100000000000001" customHeight="1">
      <c r="B405" s="14"/>
      <c r="C405" s="221"/>
      <c r="E405" s="213"/>
      <c r="F405" s="16"/>
      <c r="G405" s="8"/>
    </row>
    <row r="406" spans="2:7" ht="20.100000000000001" customHeight="1">
      <c r="B406" s="14"/>
      <c r="C406" s="221"/>
      <c r="E406" s="213"/>
      <c r="F406" s="16"/>
      <c r="G406" s="8"/>
    </row>
    <row r="407" spans="2:7" ht="20.100000000000001" customHeight="1">
      <c r="B407" s="14"/>
      <c r="C407" s="221"/>
      <c r="E407" s="213"/>
      <c r="F407" s="16"/>
      <c r="G407" s="8"/>
    </row>
    <row r="408" spans="2:7" ht="20.100000000000001" customHeight="1">
      <c r="B408" s="14"/>
      <c r="C408" s="221"/>
      <c r="E408" s="213"/>
      <c r="F408" s="16"/>
      <c r="G408" s="8"/>
    </row>
    <row r="409" spans="2:7" ht="20.100000000000001" customHeight="1">
      <c r="B409" s="14"/>
      <c r="C409" s="221"/>
      <c r="E409" s="213"/>
      <c r="F409" s="16"/>
      <c r="G409" s="8"/>
    </row>
    <row r="410" spans="2:7" ht="20.100000000000001" customHeight="1">
      <c r="B410" s="14"/>
      <c r="C410" s="221"/>
      <c r="E410" s="213"/>
      <c r="F410" s="16"/>
      <c r="G410" s="8"/>
    </row>
    <row r="411" spans="2:7" ht="20.100000000000001" customHeight="1">
      <c r="B411" s="14"/>
      <c r="C411" s="221"/>
      <c r="E411" s="213"/>
      <c r="F411" s="16"/>
      <c r="G411" s="8"/>
    </row>
    <row r="412" spans="2:7" ht="20.100000000000001" customHeight="1">
      <c r="B412" s="14"/>
      <c r="C412" s="221"/>
      <c r="E412" s="213"/>
      <c r="F412" s="16"/>
      <c r="G412" s="8"/>
    </row>
    <row r="413" spans="2:7" ht="20.100000000000001" customHeight="1">
      <c r="B413" s="14"/>
      <c r="C413" s="221"/>
      <c r="E413" s="213"/>
      <c r="F413" s="16"/>
      <c r="G413" s="8"/>
    </row>
    <row r="414" spans="2:7" ht="20.100000000000001" customHeight="1">
      <c r="B414" s="14"/>
      <c r="C414" s="221"/>
      <c r="E414" s="213"/>
      <c r="F414" s="16"/>
      <c r="G414" s="8"/>
    </row>
    <row r="415" spans="2:7" ht="20.100000000000001" customHeight="1">
      <c r="B415" s="14"/>
      <c r="C415" s="221"/>
      <c r="E415" s="213"/>
      <c r="F415" s="16"/>
      <c r="G415" s="8"/>
    </row>
    <row r="416" spans="2:7" ht="20.100000000000001" customHeight="1">
      <c r="B416" s="14"/>
      <c r="C416" s="221"/>
      <c r="E416" s="213"/>
      <c r="F416" s="16"/>
      <c r="G416" s="8"/>
    </row>
    <row r="417" spans="2:7" ht="20.100000000000001" customHeight="1">
      <c r="B417" s="14"/>
      <c r="C417" s="221"/>
      <c r="E417" s="213"/>
      <c r="F417" s="16"/>
      <c r="G417" s="8"/>
    </row>
    <row r="418" spans="2:7" ht="20.100000000000001" customHeight="1">
      <c r="B418" s="14"/>
      <c r="C418" s="221"/>
      <c r="E418" s="213"/>
      <c r="F418" s="16"/>
      <c r="G418" s="8"/>
    </row>
    <row r="419" spans="2:7" ht="20.100000000000001" customHeight="1">
      <c r="B419" s="14"/>
      <c r="C419" s="221"/>
      <c r="E419" s="213"/>
      <c r="F419" s="16"/>
      <c r="G419" s="8"/>
    </row>
    <row r="420" spans="2:7" ht="20.100000000000001" customHeight="1">
      <c r="B420" s="14"/>
      <c r="C420" s="221"/>
      <c r="E420" s="213"/>
      <c r="F420" s="16"/>
      <c r="G420" s="8"/>
    </row>
    <row r="421" spans="2:7" ht="20.100000000000001" customHeight="1">
      <c r="B421" s="14"/>
      <c r="C421" s="221"/>
      <c r="E421" s="213"/>
      <c r="F421" s="16"/>
      <c r="G421" s="8"/>
    </row>
    <row r="422" spans="2:7" ht="20.100000000000001" customHeight="1">
      <c r="B422" s="14"/>
      <c r="C422" s="221"/>
      <c r="E422" s="213"/>
      <c r="F422" s="16"/>
      <c r="G422" s="8"/>
    </row>
    <row r="423" spans="2:7" ht="20.100000000000001" customHeight="1">
      <c r="B423" s="14"/>
      <c r="C423" s="221"/>
      <c r="E423" s="213"/>
      <c r="F423" s="16"/>
      <c r="G423" s="8"/>
    </row>
    <row r="424" spans="2:7" ht="20.100000000000001" customHeight="1">
      <c r="B424" s="14"/>
      <c r="C424" s="221"/>
      <c r="E424" s="213"/>
      <c r="F424" s="16"/>
      <c r="G424" s="8"/>
    </row>
    <row r="425" spans="2:7" ht="20.100000000000001" customHeight="1">
      <c r="B425" s="14"/>
      <c r="C425" s="221"/>
      <c r="E425" s="213"/>
      <c r="F425" s="16"/>
      <c r="G425" s="8"/>
    </row>
    <row r="426" spans="2:7" ht="20.100000000000001" customHeight="1">
      <c r="B426" s="14"/>
      <c r="C426" s="221"/>
      <c r="E426" s="213"/>
      <c r="F426" s="16"/>
      <c r="G426" s="8"/>
    </row>
    <row r="427" spans="2:7" ht="20.100000000000001" customHeight="1">
      <c r="B427" s="14"/>
      <c r="C427" s="221"/>
      <c r="E427" s="213"/>
      <c r="F427" s="16"/>
      <c r="G427" s="8"/>
    </row>
    <row r="428" spans="2:7" ht="20.100000000000001" customHeight="1">
      <c r="B428" s="14"/>
      <c r="C428" s="221"/>
      <c r="E428" s="213"/>
      <c r="F428" s="16"/>
      <c r="G428" s="8"/>
    </row>
    <row r="429" spans="2:7" ht="20.100000000000001" customHeight="1">
      <c r="B429" s="14"/>
      <c r="C429" s="221"/>
      <c r="E429" s="213"/>
      <c r="F429" s="16"/>
      <c r="G429" s="8"/>
    </row>
    <row r="430" spans="2:7" ht="20.100000000000001" customHeight="1">
      <c r="B430" s="14"/>
      <c r="C430" s="221"/>
      <c r="E430" s="213"/>
      <c r="F430" s="16"/>
      <c r="G430" s="8"/>
    </row>
    <row r="431" spans="2:7" ht="20.100000000000001" customHeight="1">
      <c r="B431" s="14"/>
      <c r="C431" s="221"/>
      <c r="E431" s="213"/>
      <c r="F431" s="16"/>
      <c r="G431" s="8"/>
    </row>
    <row r="432" spans="2:7" ht="20.100000000000001" customHeight="1">
      <c r="B432" s="14"/>
      <c r="C432" s="221"/>
      <c r="E432" s="213"/>
      <c r="F432" s="16"/>
      <c r="G432" s="8"/>
    </row>
    <row r="433" spans="2:7" ht="20.100000000000001" customHeight="1">
      <c r="B433" s="14"/>
      <c r="C433" s="221"/>
      <c r="E433" s="213"/>
      <c r="F433" s="16"/>
      <c r="G433" s="8"/>
    </row>
    <row r="434" spans="2:7" ht="20.100000000000001" customHeight="1">
      <c r="B434" s="14"/>
      <c r="C434" s="221"/>
      <c r="E434" s="213"/>
      <c r="F434" s="16"/>
      <c r="G434" s="8"/>
    </row>
    <row r="435" spans="2:7" ht="20.100000000000001" customHeight="1">
      <c r="B435" s="14"/>
      <c r="C435" s="221"/>
      <c r="E435" s="213"/>
      <c r="F435" s="16"/>
      <c r="G435" s="8"/>
    </row>
    <row r="436" spans="2:7" ht="20.100000000000001" customHeight="1">
      <c r="B436" s="14"/>
      <c r="C436" s="221"/>
      <c r="E436" s="213"/>
      <c r="F436" s="16"/>
      <c r="G436" s="8"/>
    </row>
    <row r="437" spans="2:7" ht="20.100000000000001" customHeight="1">
      <c r="B437" s="14"/>
      <c r="C437" s="221"/>
      <c r="E437" s="213"/>
      <c r="F437" s="16"/>
      <c r="G437" s="8"/>
    </row>
    <row r="438" spans="2:7" ht="20.100000000000001" customHeight="1">
      <c r="B438" s="14"/>
      <c r="C438" s="221"/>
      <c r="E438" s="213"/>
      <c r="F438" s="16"/>
      <c r="G438" s="8"/>
    </row>
    <row r="439" spans="2:7" ht="20.100000000000001" customHeight="1">
      <c r="B439" s="14"/>
      <c r="C439" s="221"/>
      <c r="E439" s="213"/>
      <c r="F439" s="16"/>
      <c r="G439" s="8"/>
    </row>
    <row r="440" spans="2:7" ht="20.100000000000001" customHeight="1">
      <c r="B440" s="14"/>
      <c r="C440" s="221"/>
      <c r="E440" s="213"/>
      <c r="F440" s="16"/>
      <c r="G440" s="8"/>
    </row>
    <row r="441" spans="2:7" ht="20.100000000000001" customHeight="1">
      <c r="B441" s="14"/>
      <c r="C441" s="221"/>
      <c r="E441" s="213"/>
      <c r="F441" s="16"/>
      <c r="G441" s="8"/>
    </row>
    <row r="442" spans="2:7" ht="20.100000000000001" customHeight="1">
      <c r="B442" s="14"/>
      <c r="C442" s="221"/>
      <c r="E442" s="213"/>
      <c r="F442" s="16"/>
      <c r="G442" s="8"/>
    </row>
    <row r="443" spans="2:7" ht="20.100000000000001" customHeight="1">
      <c r="B443" s="14"/>
      <c r="C443" s="221"/>
      <c r="E443" s="213"/>
      <c r="F443" s="16"/>
      <c r="G443" s="8"/>
    </row>
    <row r="444" spans="2:7" ht="20.100000000000001" customHeight="1">
      <c r="B444" s="14"/>
      <c r="C444" s="221"/>
      <c r="E444" s="213"/>
      <c r="F444" s="16"/>
      <c r="G444" s="8"/>
    </row>
    <row r="445" spans="2:7" ht="20.100000000000001" customHeight="1">
      <c r="B445" s="14"/>
      <c r="C445" s="221"/>
      <c r="E445" s="213"/>
      <c r="F445" s="16"/>
      <c r="G445" s="8"/>
    </row>
    <row r="446" spans="2:7" ht="20.100000000000001" customHeight="1">
      <c r="B446" s="14"/>
      <c r="C446" s="221"/>
      <c r="E446" s="213"/>
      <c r="F446" s="16"/>
      <c r="G446" s="8"/>
    </row>
    <row r="447" spans="2:7" ht="20.100000000000001" customHeight="1">
      <c r="B447" s="14"/>
      <c r="C447" s="221"/>
      <c r="E447" s="213"/>
      <c r="F447" s="16"/>
      <c r="G447" s="8"/>
    </row>
    <row r="448" spans="2:7" ht="20.100000000000001" customHeight="1">
      <c r="B448" s="14"/>
      <c r="C448" s="221"/>
      <c r="E448" s="213"/>
      <c r="F448" s="16"/>
      <c r="G448" s="8"/>
    </row>
    <row r="449" spans="2:7" ht="20.100000000000001" customHeight="1">
      <c r="B449" s="14"/>
      <c r="C449" s="221"/>
      <c r="E449" s="213"/>
      <c r="F449" s="16"/>
      <c r="G449" s="8"/>
    </row>
    <row r="450" spans="2:7" ht="20.100000000000001" customHeight="1">
      <c r="B450" s="14"/>
      <c r="C450" s="221"/>
      <c r="E450" s="213"/>
      <c r="F450" s="16"/>
      <c r="G450" s="8"/>
    </row>
    <row r="451" spans="2:7" ht="20.100000000000001" customHeight="1">
      <c r="B451" s="14"/>
      <c r="C451" s="221"/>
      <c r="E451" s="213"/>
      <c r="F451" s="16"/>
      <c r="G451" s="8"/>
    </row>
    <row r="452" spans="2:7" ht="20.100000000000001" customHeight="1">
      <c r="B452" s="14"/>
      <c r="C452" s="221"/>
      <c r="E452" s="213"/>
      <c r="F452" s="16"/>
      <c r="G452" s="8"/>
    </row>
    <row r="453" spans="2:7" ht="20.100000000000001" customHeight="1">
      <c r="B453" s="14"/>
      <c r="C453" s="221"/>
      <c r="E453" s="213"/>
      <c r="F453" s="16"/>
      <c r="G453" s="8"/>
    </row>
    <row r="454" spans="2:7" ht="20.100000000000001" customHeight="1">
      <c r="B454" s="14"/>
      <c r="C454" s="221"/>
      <c r="E454" s="213"/>
      <c r="F454" s="16"/>
      <c r="G454" s="8"/>
    </row>
    <row r="455" spans="2:7" ht="20.100000000000001" customHeight="1">
      <c r="B455" s="14"/>
      <c r="C455" s="221"/>
      <c r="E455" s="213"/>
      <c r="F455" s="16"/>
      <c r="G455" s="8"/>
    </row>
    <row r="456" spans="2:7" ht="20.100000000000001" customHeight="1">
      <c r="B456" s="14"/>
      <c r="C456" s="221"/>
      <c r="E456" s="213"/>
      <c r="F456" s="16"/>
      <c r="G456" s="8"/>
    </row>
    <row r="457" spans="2:7" ht="20.100000000000001" customHeight="1">
      <c r="B457" s="14"/>
      <c r="C457" s="221"/>
      <c r="E457" s="213"/>
      <c r="F457" s="16"/>
      <c r="G457" s="8"/>
    </row>
    <row r="458" spans="2:7" ht="20.100000000000001" customHeight="1">
      <c r="B458" s="14"/>
      <c r="C458" s="221"/>
      <c r="E458" s="213"/>
      <c r="F458" s="16"/>
      <c r="G458" s="8"/>
    </row>
    <row r="459" spans="2:7" ht="20.100000000000001" customHeight="1">
      <c r="B459" s="14"/>
      <c r="C459" s="221"/>
      <c r="E459" s="213"/>
      <c r="F459" s="16"/>
      <c r="G459" s="8"/>
    </row>
    <row r="460" spans="2:7" ht="20.100000000000001" customHeight="1">
      <c r="B460" s="14"/>
      <c r="C460" s="221"/>
      <c r="E460" s="213"/>
      <c r="F460" s="16"/>
      <c r="G460" s="8"/>
    </row>
    <row r="461" spans="2:7" ht="20.100000000000001" customHeight="1">
      <c r="B461" s="14"/>
      <c r="C461" s="221"/>
      <c r="E461" s="213"/>
      <c r="F461" s="16"/>
      <c r="G461" s="8"/>
    </row>
    <row r="462" spans="2:7" ht="20.100000000000001" customHeight="1">
      <c r="B462" s="14"/>
      <c r="C462" s="221"/>
      <c r="E462" s="213"/>
      <c r="F462" s="16"/>
      <c r="G462" s="8"/>
    </row>
    <row r="463" spans="2:7" ht="20.100000000000001" customHeight="1">
      <c r="B463" s="14"/>
      <c r="C463" s="221"/>
      <c r="E463" s="213"/>
      <c r="F463" s="16"/>
      <c r="G463" s="8"/>
    </row>
    <row r="464" spans="2:7" ht="20.100000000000001" customHeight="1">
      <c r="B464" s="14"/>
      <c r="C464" s="221"/>
      <c r="E464" s="213"/>
      <c r="F464" s="16"/>
      <c r="G464" s="8"/>
    </row>
    <row r="465" spans="2:7" ht="20.100000000000001" customHeight="1">
      <c r="B465" s="14"/>
      <c r="C465" s="221"/>
      <c r="E465" s="213"/>
      <c r="F465" s="16"/>
      <c r="G465" s="8"/>
    </row>
    <row r="466" spans="2:7" ht="20.100000000000001" customHeight="1">
      <c r="B466" s="14"/>
      <c r="C466" s="221"/>
      <c r="E466" s="213"/>
      <c r="F466" s="16"/>
      <c r="G466" s="8"/>
    </row>
    <row r="467" spans="2:7" ht="20.100000000000001" customHeight="1">
      <c r="B467" s="14"/>
      <c r="C467" s="221"/>
      <c r="E467" s="213"/>
      <c r="F467" s="16"/>
      <c r="G467" s="8"/>
    </row>
    <row r="468" spans="2:7" ht="20.100000000000001" customHeight="1">
      <c r="B468" s="14"/>
      <c r="C468" s="221"/>
      <c r="E468" s="213"/>
      <c r="F468" s="16"/>
      <c r="G468" s="8"/>
    </row>
    <row r="469" spans="2:7" ht="20.100000000000001" customHeight="1">
      <c r="B469" s="14"/>
      <c r="C469" s="221"/>
      <c r="E469" s="213"/>
      <c r="F469" s="16"/>
      <c r="G469" s="8"/>
    </row>
    <row r="470" spans="2:7" ht="20.100000000000001" customHeight="1">
      <c r="B470" s="14"/>
      <c r="C470" s="221"/>
      <c r="E470" s="213"/>
      <c r="F470" s="16"/>
      <c r="G470" s="8"/>
    </row>
    <row r="471" spans="2:7" ht="20.100000000000001" customHeight="1">
      <c r="B471" s="14"/>
      <c r="C471" s="221"/>
      <c r="E471" s="213"/>
      <c r="F471" s="16"/>
      <c r="G471" s="8"/>
    </row>
    <row r="472" spans="2:7" ht="20.100000000000001" customHeight="1">
      <c r="B472" s="14"/>
      <c r="C472" s="221"/>
      <c r="E472" s="213"/>
      <c r="F472" s="16"/>
      <c r="G472" s="8"/>
    </row>
    <row r="473" spans="2:7" ht="20.100000000000001" customHeight="1">
      <c r="B473" s="14"/>
      <c r="C473" s="221"/>
      <c r="E473" s="213"/>
      <c r="F473" s="16"/>
      <c r="G473" s="8"/>
    </row>
    <row r="474" spans="2:7" ht="20.100000000000001" customHeight="1">
      <c r="B474" s="14"/>
      <c r="C474" s="221"/>
      <c r="E474" s="213"/>
      <c r="F474" s="16"/>
      <c r="G474" s="8"/>
    </row>
    <row r="475" spans="2:7" ht="20.100000000000001" customHeight="1">
      <c r="B475" s="14"/>
      <c r="C475" s="221"/>
      <c r="E475" s="213"/>
      <c r="F475" s="16"/>
      <c r="G475" s="8"/>
    </row>
    <row r="476" spans="2:7" ht="20.100000000000001" customHeight="1">
      <c r="B476" s="14"/>
      <c r="C476" s="221"/>
      <c r="E476" s="213"/>
      <c r="F476" s="16"/>
      <c r="G476" s="8"/>
    </row>
    <row r="477" spans="2:7" ht="20.100000000000001" customHeight="1">
      <c r="B477" s="14"/>
      <c r="C477" s="221"/>
      <c r="E477" s="213"/>
      <c r="F477" s="16"/>
      <c r="G477" s="8"/>
    </row>
    <row r="478" spans="2:7" ht="20.100000000000001" customHeight="1">
      <c r="B478" s="14"/>
      <c r="C478" s="221"/>
      <c r="E478" s="213"/>
      <c r="F478" s="16"/>
      <c r="G478" s="8"/>
    </row>
    <row r="479" spans="2:7" ht="20.100000000000001" customHeight="1">
      <c r="B479" s="14"/>
      <c r="C479" s="221"/>
      <c r="E479" s="213"/>
      <c r="F479" s="16"/>
      <c r="G479" s="8"/>
    </row>
    <row r="480" spans="2:7" ht="20.100000000000001" customHeight="1">
      <c r="B480" s="14"/>
      <c r="C480" s="221"/>
      <c r="E480" s="213"/>
      <c r="F480" s="16"/>
      <c r="G480" s="8"/>
    </row>
    <row r="481" spans="2:7" ht="20.100000000000001" customHeight="1">
      <c r="B481" s="14"/>
      <c r="C481" s="221"/>
      <c r="E481" s="213"/>
      <c r="F481" s="16"/>
      <c r="G481" s="8"/>
    </row>
    <row r="482" spans="2:7" ht="20.100000000000001" customHeight="1">
      <c r="B482" s="14"/>
      <c r="C482" s="221"/>
      <c r="E482" s="213"/>
      <c r="F482" s="16"/>
      <c r="G482" s="8"/>
    </row>
    <row r="483" spans="2:7" ht="20.100000000000001" customHeight="1">
      <c r="B483" s="14"/>
      <c r="C483" s="221"/>
      <c r="E483" s="213"/>
      <c r="F483" s="16"/>
      <c r="G483" s="8"/>
    </row>
    <row r="484" spans="2:7" ht="20.100000000000001" customHeight="1">
      <c r="B484" s="14"/>
      <c r="C484" s="221"/>
      <c r="E484" s="213"/>
      <c r="F484" s="16"/>
      <c r="G484" s="8"/>
    </row>
    <row r="485" spans="2:7" ht="20.100000000000001" customHeight="1">
      <c r="B485" s="14"/>
      <c r="C485" s="221"/>
      <c r="E485" s="213"/>
      <c r="F485" s="16"/>
      <c r="G485" s="8"/>
    </row>
    <row r="486" spans="2:7" ht="20.100000000000001" customHeight="1">
      <c r="B486" s="14"/>
      <c r="C486" s="221"/>
      <c r="E486" s="213"/>
      <c r="F486" s="16"/>
      <c r="G486" s="8"/>
    </row>
    <row r="487" spans="2:7" ht="20.100000000000001" customHeight="1">
      <c r="B487" s="14"/>
      <c r="C487" s="221"/>
      <c r="E487" s="213"/>
      <c r="F487" s="16"/>
      <c r="G487" s="8"/>
    </row>
    <row r="488" spans="2:7" ht="20.100000000000001" customHeight="1">
      <c r="B488" s="14"/>
      <c r="C488" s="221"/>
      <c r="E488" s="213"/>
      <c r="F488" s="16"/>
      <c r="G488" s="8"/>
    </row>
    <row r="489" spans="2:7" ht="20.100000000000001" customHeight="1">
      <c r="B489" s="14"/>
      <c r="C489" s="221"/>
      <c r="E489" s="213"/>
      <c r="F489" s="16"/>
      <c r="G489" s="8"/>
    </row>
    <row r="490" spans="2:7" ht="20.100000000000001" customHeight="1">
      <c r="B490" s="14"/>
      <c r="C490" s="221"/>
      <c r="E490" s="213"/>
      <c r="F490" s="16"/>
      <c r="G490" s="8"/>
    </row>
    <row r="491" spans="2:7" ht="20.100000000000001" customHeight="1">
      <c r="B491" s="14"/>
      <c r="C491" s="221"/>
      <c r="E491" s="213"/>
      <c r="F491" s="16"/>
      <c r="G491" s="8"/>
    </row>
    <row r="492" spans="2:7" ht="20.100000000000001" customHeight="1">
      <c r="B492" s="14"/>
      <c r="C492" s="221"/>
      <c r="E492" s="213"/>
      <c r="F492" s="16"/>
      <c r="G492" s="8"/>
    </row>
    <row r="493" spans="2:7" ht="20.100000000000001" customHeight="1">
      <c r="B493" s="14"/>
      <c r="C493" s="221"/>
      <c r="E493" s="213"/>
      <c r="F493" s="16"/>
      <c r="G493" s="8"/>
    </row>
    <row r="494" spans="2:7" ht="20.100000000000001" customHeight="1">
      <c r="B494" s="14"/>
      <c r="C494" s="221"/>
      <c r="E494" s="213"/>
      <c r="F494" s="16"/>
      <c r="G494" s="8"/>
    </row>
    <row r="495" spans="2:7" ht="20.100000000000001" customHeight="1">
      <c r="B495" s="14"/>
      <c r="C495" s="221"/>
      <c r="E495" s="213"/>
      <c r="F495" s="16"/>
      <c r="G495" s="8"/>
    </row>
    <row r="496" spans="2:7" ht="20.100000000000001" customHeight="1">
      <c r="B496" s="14"/>
      <c r="C496" s="221"/>
      <c r="E496" s="213"/>
      <c r="F496" s="16"/>
      <c r="G496" s="8"/>
    </row>
    <row r="497" spans="2:7" ht="20.100000000000001" customHeight="1">
      <c r="B497" s="14"/>
      <c r="C497" s="221"/>
      <c r="E497" s="213"/>
      <c r="F497" s="16"/>
      <c r="G497" s="8"/>
    </row>
    <row r="498" spans="2:7" ht="20.100000000000001" customHeight="1">
      <c r="B498" s="14"/>
      <c r="C498" s="221"/>
      <c r="E498" s="214"/>
      <c r="F498" s="16"/>
      <c r="G498" s="8"/>
    </row>
    <row r="499" spans="2:7" ht="20.100000000000001" customHeight="1">
      <c r="B499" s="14"/>
      <c r="C499" s="221"/>
      <c r="E499" s="213"/>
      <c r="F499" s="16"/>
      <c r="G499" s="8"/>
    </row>
    <row r="500" spans="2:7" ht="20.100000000000001" customHeight="1">
      <c r="B500" s="14"/>
      <c r="C500" s="221"/>
      <c r="E500" s="213"/>
      <c r="F500" s="16"/>
      <c r="G500" s="8"/>
    </row>
    <row r="501" spans="2:7" ht="20.100000000000001" customHeight="1">
      <c r="B501" s="14"/>
      <c r="C501" s="221"/>
      <c r="E501" s="213"/>
      <c r="F501" s="16"/>
      <c r="G501" s="8"/>
    </row>
    <row r="502" spans="2:7" ht="20.100000000000001" customHeight="1">
      <c r="B502" s="14"/>
      <c r="C502" s="221"/>
      <c r="E502" s="213"/>
      <c r="F502" s="16"/>
      <c r="G502" s="8"/>
    </row>
    <row r="503" spans="2:7" ht="20.100000000000001" customHeight="1">
      <c r="B503" s="14"/>
      <c r="C503" s="221"/>
      <c r="E503" s="213"/>
      <c r="F503" s="16"/>
      <c r="G503" s="8"/>
    </row>
    <row r="504" spans="2:7" ht="20.100000000000001" customHeight="1">
      <c r="B504" s="14"/>
      <c r="C504" s="221"/>
      <c r="E504" s="213"/>
      <c r="F504" s="16"/>
      <c r="G504" s="8"/>
    </row>
    <row r="505" spans="2:7" ht="20.100000000000001" customHeight="1">
      <c r="B505" s="14"/>
      <c r="C505" s="221"/>
      <c r="E505" s="213"/>
      <c r="F505" s="16"/>
      <c r="G505" s="8"/>
    </row>
    <row r="506" spans="2:7" ht="20.100000000000001" customHeight="1">
      <c r="B506" s="14"/>
      <c r="C506" s="221"/>
      <c r="E506" s="214"/>
      <c r="F506" s="16"/>
      <c r="G506" s="8"/>
    </row>
    <row r="507" spans="2:7" ht="20.100000000000001" customHeight="1">
      <c r="B507" s="14"/>
      <c r="C507" s="221"/>
      <c r="E507" s="213"/>
      <c r="F507" s="16"/>
      <c r="G507" s="8"/>
    </row>
    <row r="508" spans="2:7" ht="20.100000000000001" customHeight="1">
      <c r="B508" s="14"/>
      <c r="C508" s="221"/>
      <c r="E508" s="213"/>
      <c r="F508" s="16"/>
      <c r="G508" s="8"/>
    </row>
    <row r="509" spans="2:7" ht="20.100000000000001" customHeight="1">
      <c r="B509" s="14"/>
      <c r="C509" s="221"/>
      <c r="E509" s="213"/>
      <c r="F509" s="16"/>
      <c r="G509" s="8"/>
    </row>
    <row r="510" spans="2:7" ht="20.100000000000001" customHeight="1">
      <c r="B510" s="14"/>
      <c r="C510" s="221"/>
      <c r="E510" s="213"/>
      <c r="F510" s="16"/>
      <c r="G510" s="8"/>
    </row>
    <row r="511" spans="2:7" ht="20.100000000000001" customHeight="1">
      <c r="B511" s="14"/>
      <c r="C511" s="221"/>
      <c r="E511" s="213"/>
      <c r="F511" s="16"/>
      <c r="G511" s="8"/>
    </row>
    <row r="512" spans="2:7" ht="20.100000000000001" customHeight="1">
      <c r="B512" s="14"/>
      <c r="C512" s="221"/>
      <c r="E512" s="213"/>
      <c r="F512" s="16"/>
      <c r="G512" s="8"/>
    </row>
    <row r="513" spans="2:7" ht="20.100000000000001" customHeight="1">
      <c r="B513" s="14"/>
      <c r="C513" s="221"/>
      <c r="E513" s="213"/>
      <c r="F513" s="16"/>
      <c r="G513" s="8"/>
    </row>
    <row r="514" spans="2:7" ht="20.100000000000001" customHeight="1">
      <c r="B514" s="14"/>
      <c r="C514" s="221"/>
      <c r="E514" s="213"/>
      <c r="F514" s="16"/>
      <c r="G514" s="8"/>
    </row>
    <row r="515" spans="2:7" ht="20.100000000000001" customHeight="1">
      <c r="B515" s="14"/>
      <c r="C515" s="221"/>
      <c r="E515" s="213"/>
      <c r="F515" s="16"/>
      <c r="G515" s="8"/>
    </row>
    <row r="516" spans="2:7" ht="20.100000000000001" customHeight="1">
      <c r="B516" s="14"/>
      <c r="C516" s="221"/>
      <c r="E516" s="213"/>
      <c r="F516" s="16"/>
      <c r="G516" s="8"/>
    </row>
    <row r="517" spans="2:7" ht="20.100000000000001" customHeight="1">
      <c r="B517" s="14"/>
      <c r="C517" s="221"/>
      <c r="E517" s="213"/>
      <c r="F517" s="16"/>
      <c r="G517" s="8"/>
    </row>
    <row r="518" spans="2:7" ht="20.100000000000001" customHeight="1">
      <c r="B518" s="14"/>
      <c r="C518" s="221"/>
      <c r="E518" s="213"/>
      <c r="F518" s="16"/>
      <c r="G518" s="8"/>
    </row>
    <row r="519" spans="2:7" ht="20.100000000000001" customHeight="1">
      <c r="B519" s="14"/>
      <c r="C519" s="221"/>
      <c r="E519" s="213"/>
      <c r="F519" s="16"/>
      <c r="G519" s="8"/>
    </row>
    <row r="520" spans="2:7" ht="20.100000000000001" customHeight="1">
      <c r="B520" s="14"/>
      <c r="C520" s="221"/>
      <c r="E520" s="213"/>
      <c r="F520" s="16"/>
      <c r="G520" s="8"/>
    </row>
    <row r="521" spans="2:7" ht="20.100000000000001" customHeight="1">
      <c r="B521" s="14"/>
      <c r="C521" s="221"/>
      <c r="E521" s="213"/>
      <c r="F521" s="16"/>
      <c r="G521" s="8"/>
    </row>
    <row r="522" spans="2:7" ht="20.100000000000001" customHeight="1">
      <c r="B522" s="14"/>
      <c r="C522" s="221"/>
      <c r="E522" s="213"/>
      <c r="F522" s="16"/>
      <c r="G522" s="8"/>
    </row>
    <row r="523" spans="2:7" ht="20.100000000000001" customHeight="1">
      <c r="B523" s="14"/>
      <c r="C523" s="221"/>
      <c r="E523" s="213"/>
      <c r="F523" s="16"/>
      <c r="G523" s="8"/>
    </row>
    <row r="524" spans="2:7" ht="20.100000000000001" customHeight="1">
      <c r="B524" s="14"/>
      <c r="C524" s="221"/>
      <c r="E524" s="213"/>
      <c r="F524" s="16"/>
      <c r="G524" s="8"/>
    </row>
    <row r="525" spans="2:7" ht="20.100000000000001" customHeight="1">
      <c r="B525" s="14"/>
      <c r="C525" s="221"/>
      <c r="E525" s="213"/>
      <c r="F525" s="16"/>
      <c r="G525" s="8"/>
    </row>
    <row r="526" spans="2:7" ht="20.100000000000001" customHeight="1">
      <c r="B526" s="14"/>
      <c r="C526" s="221"/>
      <c r="E526" s="213"/>
      <c r="F526" s="16"/>
      <c r="G526" s="8"/>
    </row>
    <row r="527" spans="2:7" ht="20.100000000000001" customHeight="1">
      <c r="B527" s="14"/>
      <c r="C527" s="221"/>
      <c r="E527" s="213"/>
      <c r="F527" s="16"/>
      <c r="G527" s="8"/>
    </row>
    <row r="528" spans="2:7" ht="20.100000000000001" customHeight="1">
      <c r="B528" s="14"/>
      <c r="C528" s="221"/>
      <c r="E528" s="213"/>
      <c r="F528" s="16"/>
      <c r="G528" s="8"/>
    </row>
    <row r="529" spans="2:7" ht="20.100000000000001" customHeight="1">
      <c r="B529" s="14"/>
      <c r="C529" s="221"/>
      <c r="E529" s="213"/>
      <c r="F529" s="16"/>
      <c r="G529" s="8"/>
    </row>
    <row r="530" spans="2:7" ht="20.100000000000001" customHeight="1">
      <c r="B530" s="14"/>
      <c r="C530" s="221"/>
      <c r="E530" s="213"/>
      <c r="F530" s="16"/>
      <c r="G530" s="8"/>
    </row>
    <row r="531" spans="2:7" ht="20.100000000000001" customHeight="1">
      <c r="B531" s="14"/>
      <c r="C531" s="221"/>
      <c r="E531" s="213"/>
      <c r="F531" s="16"/>
      <c r="G531" s="8"/>
    </row>
    <row r="532" spans="2:7" ht="20.100000000000001" customHeight="1">
      <c r="B532" s="14"/>
      <c r="C532" s="221"/>
      <c r="E532" s="213"/>
      <c r="F532" s="16"/>
      <c r="G532" s="8"/>
    </row>
    <row r="533" spans="2:7" ht="20.100000000000001" customHeight="1">
      <c r="B533" s="14"/>
      <c r="C533" s="221"/>
      <c r="E533" s="213"/>
      <c r="F533" s="16"/>
      <c r="G533" s="8"/>
    </row>
    <row r="534" spans="2:7" ht="20.100000000000001" customHeight="1">
      <c r="B534" s="14"/>
      <c r="C534" s="221"/>
      <c r="E534" s="213"/>
      <c r="F534" s="16"/>
      <c r="G534" s="8"/>
    </row>
    <row r="535" spans="2:7" ht="20.100000000000001" customHeight="1">
      <c r="B535" s="14"/>
      <c r="C535" s="221"/>
      <c r="E535" s="213"/>
      <c r="F535" s="16"/>
      <c r="G535" s="8"/>
    </row>
    <row r="536" spans="2:7" ht="20.100000000000001" customHeight="1">
      <c r="B536" s="14"/>
      <c r="C536" s="221"/>
      <c r="E536" s="213"/>
      <c r="F536" s="16"/>
      <c r="G536" s="8"/>
    </row>
    <row r="537" spans="2:7" ht="20.100000000000001" customHeight="1">
      <c r="B537" s="14"/>
      <c r="C537" s="221"/>
      <c r="E537" s="213"/>
      <c r="F537" s="16"/>
      <c r="G537" s="8"/>
    </row>
    <row r="538" spans="2:7" ht="20.100000000000001" customHeight="1">
      <c r="B538" s="14"/>
      <c r="C538" s="221"/>
      <c r="E538" s="213"/>
      <c r="F538" s="16"/>
      <c r="G538" s="8"/>
    </row>
    <row r="539" spans="2:7" ht="20.100000000000001" customHeight="1">
      <c r="B539" s="14"/>
      <c r="C539" s="221"/>
      <c r="E539" s="213"/>
      <c r="F539" s="16"/>
      <c r="G539" s="8"/>
    </row>
    <row r="540" spans="2:7" ht="20.100000000000001" customHeight="1">
      <c r="B540" s="14"/>
      <c r="C540" s="221"/>
      <c r="E540" s="213"/>
      <c r="F540" s="16"/>
      <c r="G540" s="8"/>
    </row>
    <row r="541" spans="2:7" ht="20.100000000000001" customHeight="1">
      <c r="B541" s="14"/>
      <c r="C541" s="221"/>
      <c r="E541" s="213"/>
      <c r="F541" s="16"/>
      <c r="G541" s="8"/>
    </row>
    <row r="542" spans="2:7" ht="20.100000000000001" customHeight="1">
      <c r="B542" s="14"/>
      <c r="C542" s="221"/>
      <c r="E542" s="213"/>
      <c r="F542" s="16"/>
      <c r="G542" s="8"/>
    </row>
    <row r="543" spans="2:7" ht="20.100000000000001" customHeight="1">
      <c r="B543" s="14"/>
      <c r="C543" s="221"/>
      <c r="E543" s="213"/>
      <c r="F543" s="16"/>
      <c r="G543" s="8"/>
    </row>
    <row r="544" spans="2:7" ht="20.100000000000001" customHeight="1">
      <c r="B544" s="14"/>
      <c r="C544" s="221"/>
      <c r="E544" s="213"/>
      <c r="F544" s="16"/>
      <c r="G544" s="8"/>
    </row>
    <row r="545" spans="2:7" ht="20.100000000000001" customHeight="1">
      <c r="B545" s="14"/>
      <c r="C545" s="221"/>
      <c r="E545" s="213"/>
      <c r="F545" s="16"/>
      <c r="G545" s="8"/>
    </row>
    <row r="546" spans="2:7" ht="20.100000000000001" customHeight="1">
      <c r="B546" s="14"/>
      <c r="C546" s="221"/>
      <c r="E546" s="213"/>
      <c r="F546" s="16"/>
      <c r="G546" s="8"/>
    </row>
    <row r="547" spans="2:7" ht="20.100000000000001" customHeight="1">
      <c r="B547" s="14"/>
      <c r="C547" s="221"/>
      <c r="E547" s="213"/>
      <c r="F547" s="16"/>
      <c r="G547" s="8"/>
    </row>
    <row r="548" spans="2:7" ht="20.100000000000001" customHeight="1">
      <c r="B548" s="14"/>
      <c r="C548" s="221"/>
      <c r="E548" s="213"/>
      <c r="F548" s="16"/>
      <c r="G548" s="8"/>
    </row>
    <row r="549" spans="2:7" ht="20.100000000000001" customHeight="1">
      <c r="B549" s="14"/>
      <c r="C549" s="221"/>
      <c r="E549" s="213"/>
      <c r="F549" s="16"/>
      <c r="G549" s="8"/>
    </row>
    <row r="550" spans="2:7" ht="20.100000000000001" customHeight="1">
      <c r="B550" s="14"/>
      <c r="C550" s="221"/>
      <c r="E550" s="213"/>
      <c r="F550" s="16"/>
      <c r="G550" s="8"/>
    </row>
    <row r="551" spans="2:7" ht="20.100000000000001" customHeight="1">
      <c r="B551" s="14"/>
      <c r="C551" s="221"/>
      <c r="E551" s="213"/>
      <c r="F551" s="16"/>
      <c r="G551" s="8"/>
    </row>
    <row r="552" spans="2:7" ht="20.100000000000001" customHeight="1">
      <c r="B552" s="14"/>
      <c r="C552" s="221"/>
      <c r="E552" s="213"/>
      <c r="F552" s="16"/>
      <c r="G552" s="8"/>
    </row>
    <row r="553" spans="2:7" ht="20.100000000000001" customHeight="1">
      <c r="B553" s="14"/>
      <c r="C553" s="221"/>
      <c r="E553" s="213"/>
      <c r="F553" s="16"/>
      <c r="G553" s="8"/>
    </row>
    <row r="554" spans="2:7" ht="20.100000000000001" customHeight="1">
      <c r="B554" s="14"/>
      <c r="C554" s="221"/>
      <c r="E554" s="213"/>
      <c r="F554" s="16"/>
      <c r="G554" s="8"/>
    </row>
    <row r="555" spans="2:7" ht="20.100000000000001" customHeight="1">
      <c r="B555" s="14"/>
      <c r="C555" s="221"/>
      <c r="E555" s="213"/>
      <c r="F555" s="16"/>
      <c r="G555" s="8"/>
    </row>
    <row r="556" spans="2:7" ht="20.100000000000001" customHeight="1">
      <c r="B556" s="14"/>
      <c r="C556" s="221"/>
      <c r="E556" s="213"/>
      <c r="F556" s="16"/>
      <c r="G556" s="8"/>
    </row>
    <row r="557" spans="2:7" ht="20.100000000000001" customHeight="1">
      <c r="B557" s="14"/>
      <c r="C557" s="221"/>
      <c r="E557" s="213"/>
      <c r="F557" s="16"/>
      <c r="G557" s="8"/>
    </row>
    <row r="558" spans="2:7" ht="20.100000000000001" customHeight="1">
      <c r="B558" s="14"/>
      <c r="C558" s="221"/>
      <c r="E558" s="213"/>
      <c r="F558" s="16"/>
      <c r="G558" s="8"/>
    </row>
    <row r="559" spans="2:7" ht="20.100000000000001" customHeight="1">
      <c r="B559" s="14"/>
      <c r="C559" s="221"/>
      <c r="E559" s="213"/>
      <c r="F559" s="16"/>
      <c r="G559" s="8"/>
    </row>
    <row r="560" spans="2:7" ht="20.100000000000001" customHeight="1">
      <c r="B560" s="14"/>
      <c r="C560" s="221"/>
      <c r="E560" s="213"/>
      <c r="F560" s="16"/>
      <c r="G560" s="8"/>
    </row>
    <row r="561" spans="2:7" ht="20.100000000000001" customHeight="1">
      <c r="B561" s="14"/>
      <c r="C561" s="221"/>
      <c r="E561" s="213"/>
      <c r="F561" s="16"/>
      <c r="G561" s="8"/>
    </row>
    <row r="562" spans="2:7" ht="20.100000000000001" customHeight="1">
      <c r="B562" s="14"/>
      <c r="C562" s="221"/>
      <c r="E562" s="213"/>
      <c r="F562" s="16"/>
      <c r="G562" s="8"/>
    </row>
    <row r="563" spans="2:7" ht="20.100000000000001" customHeight="1">
      <c r="B563" s="14"/>
      <c r="C563" s="221"/>
      <c r="E563" s="213"/>
      <c r="F563" s="16"/>
      <c r="G563" s="8"/>
    </row>
    <row r="564" spans="2:7" ht="20.100000000000001" customHeight="1">
      <c r="B564" s="14"/>
      <c r="C564" s="221"/>
      <c r="E564" s="213"/>
      <c r="F564" s="16"/>
      <c r="G564" s="8"/>
    </row>
    <row r="565" spans="2:7" ht="20.100000000000001" customHeight="1">
      <c r="B565" s="14"/>
      <c r="C565" s="221"/>
      <c r="E565" s="213"/>
      <c r="F565" s="16"/>
      <c r="G565" s="8"/>
    </row>
    <row r="566" spans="2:7" ht="20.100000000000001" customHeight="1">
      <c r="B566" s="14"/>
      <c r="C566" s="221"/>
      <c r="E566" s="213"/>
      <c r="F566" s="16"/>
      <c r="G566" s="8"/>
    </row>
    <row r="567" spans="2:7" ht="20.100000000000001" customHeight="1">
      <c r="B567" s="14"/>
      <c r="C567" s="221"/>
      <c r="E567" s="213"/>
      <c r="F567" s="16"/>
      <c r="G567" s="8"/>
    </row>
    <row r="568" spans="2:7" ht="20.100000000000001" customHeight="1">
      <c r="B568" s="14"/>
      <c r="C568" s="221"/>
      <c r="E568" s="213"/>
      <c r="F568" s="16"/>
      <c r="G568" s="8"/>
    </row>
    <row r="569" spans="2:7" ht="20.100000000000001" customHeight="1">
      <c r="B569" s="14"/>
      <c r="C569" s="221"/>
      <c r="E569" s="213"/>
      <c r="F569" s="16"/>
      <c r="G569" s="8"/>
    </row>
    <row r="570" spans="2:7" ht="20.100000000000001" customHeight="1">
      <c r="B570" s="14"/>
      <c r="C570" s="221"/>
      <c r="E570" s="213"/>
      <c r="F570" s="16"/>
      <c r="G570" s="8"/>
    </row>
    <row r="571" spans="2:7" ht="20.100000000000001" customHeight="1">
      <c r="B571" s="14"/>
      <c r="C571" s="221"/>
      <c r="E571" s="213"/>
      <c r="F571" s="16"/>
      <c r="G571" s="8"/>
    </row>
    <row r="572" spans="2:7" ht="20.100000000000001" customHeight="1">
      <c r="B572" s="14"/>
      <c r="C572" s="221"/>
      <c r="E572" s="213"/>
      <c r="F572" s="16"/>
      <c r="G572" s="8"/>
    </row>
    <row r="573" spans="2:7" ht="20.100000000000001" customHeight="1">
      <c r="B573" s="14"/>
      <c r="C573" s="221"/>
      <c r="E573" s="213"/>
      <c r="F573" s="16"/>
      <c r="G573" s="8"/>
    </row>
    <row r="574" spans="2:7" ht="20.100000000000001" customHeight="1">
      <c r="B574" s="14"/>
      <c r="C574" s="221"/>
      <c r="E574" s="213"/>
      <c r="F574" s="16"/>
      <c r="G574" s="8"/>
    </row>
    <row r="575" spans="2:7" ht="20.100000000000001" customHeight="1">
      <c r="B575" s="14"/>
      <c r="C575" s="221"/>
      <c r="E575" s="213"/>
      <c r="F575" s="16"/>
      <c r="G575" s="8"/>
    </row>
    <row r="576" spans="2:7" ht="20.100000000000001" customHeight="1">
      <c r="B576" s="14"/>
      <c r="C576" s="221"/>
      <c r="E576" s="213"/>
      <c r="F576" s="16"/>
      <c r="G576" s="8"/>
    </row>
    <row r="577" spans="2:7" ht="20.100000000000001" customHeight="1">
      <c r="B577" s="14"/>
      <c r="C577" s="221"/>
      <c r="E577" s="213"/>
      <c r="F577" s="16"/>
      <c r="G577" s="8"/>
    </row>
    <row r="578" spans="2:7" ht="20.100000000000001" customHeight="1">
      <c r="B578" s="14"/>
      <c r="C578" s="221"/>
      <c r="E578" s="213"/>
      <c r="F578" s="16"/>
      <c r="G578" s="8"/>
    </row>
    <row r="579" spans="2:7" ht="20.100000000000001" customHeight="1">
      <c r="B579" s="14"/>
      <c r="C579" s="221"/>
      <c r="E579" s="213"/>
      <c r="F579" s="16"/>
      <c r="G579" s="8"/>
    </row>
    <row r="580" spans="2:7" ht="20.100000000000001" customHeight="1">
      <c r="B580" s="14"/>
      <c r="C580" s="221"/>
      <c r="E580" s="213"/>
      <c r="F580" s="16"/>
      <c r="G580" s="8"/>
    </row>
    <row r="581" spans="2:7" ht="20.100000000000001" customHeight="1">
      <c r="B581" s="14"/>
      <c r="C581" s="221"/>
      <c r="E581" s="213"/>
      <c r="F581" s="16"/>
      <c r="G581" s="8"/>
    </row>
    <row r="582" spans="2:7" ht="20.100000000000001" customHeight="1">
      <c r="B582" s="14"/>
      <c r="C582" s="221"/>
      <c r="E582" s="214"/>
      <c r="F582" s="16"/>
      <c r="G582" s="8"/>
    </row>
    <row r="583" spans="2:7" ht="20.100000000000001" customHeight="1">
      <c r="B583" s="14"/>
      <c r="C583" s="221"/>
      <c r="E583" s="213"/>
      <c r="F583" s="16"/>
      <c r="G583" s="8"/>
    </row>
    <row r="584" spans="2:7" ht="20.100000000000001" customHeight="1">
      <c r="B584" s="14"/>
      <c r="C584" s="221"/>
      <c r="E584" s="213"/>
      <c r="F584" s="16"/>
      <c r="G584" s="8"/>
    </row>
    <row r="585" spans="2:7" ht="20.100000000000001" customHeight="1">
      <c r="B585" s="14"/>
      <c r="C585" s="221"/>
      <c r="E585" s="213"/>
      <c r="F585" s="16"/>
      <c r="G585" s="8"/>
    </row>
    <row r="586" spans="2:7" ht="20.100000000000001" customHeight="1">
      <c r="B586" s="14"/>
      <c r="C586" s="221"/>
      <c r="E586" s="213"/>
      <c r="F586" s="16"/>
      <c r="G586" s="8"/>
    </row>
    <row r="587" spans="2:7" ht="20.100000000000001" customHeight="1">
      <c r="B587" s="14"/>
      <c r="C587" s="221"/>
      <c r="E587" s="213"/>
      <c r="F587" s="16"/>
      <c r="G587" s="8"/>
    </row>
    <row r="588" spans="2:7" ht="20.100000000000001" customHeight="1">
      <c r="B588" s="14"/>
      <c r="C588" s="221"/>
      <c r="E588" s="213"/>
      <c r="F588" s="16"/>
      <c r="G588" s="8"/>
    </row>
    <row r="589" spans="2:7" ht="20.100000000000001" customHeight="1">
      <c r="B589" s="14"/>
      <c r="C589" s="221"/>
      <c r="E589" s="213"/>
      <c r="F589" s="16"/>
      <c r="G589" s="8"/>
    </row>
    <row r="590" spans="2:7" ht="20.100000000000001" customHeight="1">
      <c r="B590" s="14"/>
      <c r="C590" s="221"/>
      <c r="E590" s="213"/>
      <c r="F590" s="16"/>
      <c r="G590" s="8"/>
    </row>
    <row r="591" spans="2:7" ht="20.100000000000001" customHeight="1">
      <c r="B591" s="14"/>
      <c r="C591" s="221"/>
      <c r="E591" s="213"/>
      <c r="F591" s="16"/>
      <c r="G591" s="8"/>
    </row>
    <row r="592" spans="2:7" ht="20.100000000000001" customHeight="1">
      <c r="B592" s="14"/>
      <c r="C592" s="221"/>
      <c r="E592" s="213"/>
      <c r="F592" s="16"/>
      <c r="G592" s="8"/>
    </row>
    <row r="593" spans="2:7" ht="20.100000000000001" customHeight="1">
      <c r="B593" s="14"/>
      <c r="C593" s="221"/>
      <c r="E593" s="213"/>
      <c r="F593" s="16"/>
      <c r="G593" s="8"/>
    </row>
    <row r="594" spans="2:7" ht="20.100000000000001" customHeight="1">
      <c r="B594" s="14"/>
      <c r="C594" s="221"/>
      <c r="E594" s="213"/>
      <c r="F594" s="16"/>
      <c r="G594" s="8"/>
    </row>
    <row r="595" spans="2:7" ht="20.100000000000001" customHeight="1">
      <c r="B595" s="14"/>
      <c r="C595" s="221"/>
      <c r="E595" s="213"/>
      <c r="F595" s="16"/>
      <c r="G595" s="8"/>
    </row>
    <row r="596" spans="2:7" ht="20.100000000000001" customHeight="1">
      <c r="B596" s="14"/>
      <c r="C596" s="221"/>
      <c r="E596" s="213"/>
      <c r="F596" s="16"/>
      <c r="G596" s="8"/>
    </row>
    <row r="597" spans="2:7" ht="20.100000000000001" customHeight="1">
      <c r="B597" s="14"/>
      <c r="C597" s="221"/>
      <c r="E597" s="213"/>
      <c r="F597" s="16"/>
      <c r="G597" s="8"/>
    </row>
    <row r="598" spans="2:7" ht="20.100000000000001" customHeight="1">
      <c r="B598" s="14"/>
      <c r="C598" s="221"/>
      <c r="E598" s="213"/>
      <c r="F598" s="16"/>
      <c r="G598" s="8"/>
    </row>
    <row r="599" spans="2:7" ht="20.100000000000001" customHeight="1">
      <c r="B599" s="14"/>
      <c r="C599" s="221"/>
      <c r="E599" s="213"/>
      <c r="F599" s="16"/>
      <c r="G599" s="8"/>
    </row>
    <row r="600" spans="2:7" ht="20.100000000000001" customHeight="1">
      <c r="B600" s="14"/>
      <c r="C600" s="221"/>
      <c r="E600" s="213"/>
      <c r="F600" s="16"/>
      <c r="G600" s="8"/>
    </row>
    <row r="601" spans="2:7" ht="20.100000000000001" customHeight="1">
      <c r="B601" s="14"/>
      <c r="C601" s="221"/>
      <c r="E601" s="213"/>
      <c r="F601" s="16"/>
      <c r="G601" s="8"/>
    </row>
    <row r="602" spans="2:7" ht="20.100000000000001" customHeight="1">
      <c r="B602" s="14"/>
      <c r="C602" s="221"/>
      <c r="E602" s="213"/>
      <c r="F602" s="16"/>
      <c r="G602" s="8"/>
    </row>
    <row r="603" spans="2:7" ht="20.100000000000001" customHeight="1">
      <c r="B603" s="14"/>
      <c r="C603" s="221"/>
      <c r="E603" s="213"/>
      <c r="F603" s="16"/>
      <c r="G603" s="8"/>
    </row>
    <row r="604" spans="2:7" ht="20.100000000000001" customHeight="1">
      <c r="B604" s="14"/>
      <c r="C604" s="221"/>
      <c r="E604" s="213"/>
      <c r="F604" s="16"/>
      <c r="G604" s="8"/>
    </row>
    <row r="605" spans="2:7" ht="20.100000000000001" customHeight="1">
      <c r="B605" s="14"/>
      <c r="C605" s="221"/>
      <c r="E605" s="213"/>
      <c r="F605" s="16"/>
      <c r="G605" s="8"/>
    </row>
    <row r="606" spans="2:7" ht="20.100000000000001" customHeight="1">
      <c r="B606" s="14"/>
      <c r="C606" s="221"/>
      <c r="E606" s="213"/>
      <c r="F606" s="16"/>
      <c r="G606" s="8"/>
    </row>
    <row r="607" spans="2:7" ht="20.100000000000001" customHeight="1">
      <c r="B607" s="14"/>
      <c r="C607" s="221"/>
      <c r="E607" s="213"/>
      <c r="F607" s="16"/>
      <c r="G607" s="8"/>
    </row>
    <row r="608" spans="2:7" ht="20.100000000000001" customHeight="1">
      <c r="B608" s="14"/>
      <c r="C608" s="221"/>
      <c r="E608" s="213"/>
      <c r="F608" s="16"/>
      <c r="G608" s="8"/>
    </row>
    <row r="609" spans="2:7" ht="20.100000000000001" customHeight="1">
      <c r="B609" s="14"/>
      <c r="C609" s="221"/>
      <c r="E609" s="213"/>
      <c r="F609" s="16"/>
      <c r="G609" s="8"/>
    </row>
    <row r="610" spans="2:7" ht="20.100000000000001" customHeight="1">
      <c r="B610" s="14"/>
      <c r="C610" s="221"/>
      <c r="E610" s="213"/>
      <c r="F610" s="16"/>
      <c r="G610" s="8"/>
    </row>
    <row r="611" spans="2:7" ht="20.100000000000001" customHeight="1">
      <c r="B611" s="14"/>
      <c r="C611" s="221"/>
      <c r="E611" s="213"/>
      <c r="F611" s="16"/>
      <c r="G611" s="8"/>
    </row>
    <row r="612" spans="2:7" ht="20.100000000000001" customHeight="1">
      <c r="B612" s="14"/>
      <c r="C612" s="221"/>
      <c r="E612" s="213"/>
      <c r="F612" s="16"/>
      <c r="G612" s="8"/>
    </row>
    <row r="613" spans="2:7" ht="20.100000000000001" customHeight="1">
      <c r="B613" s="14"/>
      <c r="C613" s="221"/>
      <c r="E613" s="213"/>
      <c r="F613" s="16"/>
      <c r="G613" s="8"/>
    </row>
    <row r="614" spans="2:7" ht="20.100000000000001" customHeight="1">
      <c r="B614" s="14"/>
      <c r="C614" s="221"/>
      <c r="E614" s="213"/>
      <c r="F614" s="16"/>
      <c r="G614" s="8"/>
    </row>
    <row r="615" spans="2:7" ht="20.100000000000001" customHeight="1">
      <c r="B615" s="14"/>
      <c r="C615" s="221"/>
      <c r="E615" s="213"/>
      <c r="F615" s="16"/>
      <c r="G615" s="8"/>
    </row>
    <row r="616" spans="2:7" ht="20.100000000000001" customHeight="1">
      <c r="B616" s="14"/>
      <c r="C616" s="221"/>
      <c r="E616" s="213"/>
      <c r="F616" s="16"/>
      <c r="G616" s="8"/>
    </row>
    <row r="617" spans="2:7" ht="20.100000000000001" customHeight="1">
      <c r="B617" s="14"/>
      <c r="C617" s="221"/>
      <c r="E617" s="213"/>
      <c r="F617" s="16"/>
      <c r="G617" s="8"/>
    </row>
    <row r="618" spans="2:7" ht="20.100000000000001" customHeight="1">
      <c r="B618" s="14"/>
      <c r="C618" s="221"/>
      <c r="E618" s="213"/>
      <c r="F618" s="16"/>
      <c r="G618" s="8"/>
    </row>
    <row r="619" spans="2:7" ht="20.100000000000001" customHeight="1">
      <c r="B619" s="14"/>
      <c r="C619" s="221"/>
      <c r="E619" s="213"/>
      <c r="F619" s="16"/>
      <c r="G619" s="8"/>
    </row>
    <row r="620" spans="2:7" ht="20.100000000000001" customHeight="1">
      <c r="B620" s="14"/>
      <c r="C620" s="221"/>
      <c r="E620" s="213"/>
      <c r="F620" s="16"/>
      <c r="G620" s="8"/>
    </row>
    <row r="621" spans="2:7" ht="20.100000000000001" customHeight="1">
      <c r="B621" s="14"/>
      <c r="C621" s="221"/>
      <c r="E621" s="213"/>
      <c r="F621" s="16"/>
      <c r="G621" s="8"/>
    </row>
    <row r="622" spans="2:7" ht="20.100000000000001" customHeight="1">
      <c r="B622" s="14"/>
      <c r="C622" s="221"/>
      <c r="E622" s="213"/>
      <c r="F622" s="16"/>
      <c r="G622" s="8"/>
    </row>
    <row r="623" spans="2:7" ht="20.100000000000001" customHeight="1">
      <c r="B623" s="14"/>
      <c r="C623" s="221"/>
      <c r="E623" s="213"/>
      <c r="F623" s="16"/>
      <c r="G623" s="8"/>
    </row>
    <row r="624" spans="2:7" ht="20.100000000000001" customHeight="1">
      <c r="B624" s="14"/>
      <c r="C624" s="221"/>
      <c r="E624" s="213"/>
      <c r="F624" s="16"/>
      <c r="G624" s="8"/>
    </row>
    <row r="625" spans="2:7" ht="20.100000000000001" customHeight="1">
      <c r="B625" s="14"/>
      <c r="C625" s="221"/>
      <c r="E625" s="213"/>
      <c r="F625" s="16"/>
      <c r="G625" s="8"/>
    </row>
    <row r="626" spans="2:7" ht="20.100000000000001" customHeight="1">
      <c r="B626" s="14"/>
      <c r="C626" s="221"/>
      <c r="E626" s="213"/>
      <c r="F626" s="16"/>
      <c r="G626" s="8"/>
    </row>
    <row r="627" spans="2:7" ht="20.100000000000001" customHeight="1">
      <c r="B627" s="14"/>
      <c r="C627" s="221"/>
      <c r="E627" s="213"/>
      <c r="F627" s="16"/>
      <c r="G627" s="8"/>
    </row>
    <row r="628" spans="2:7" ht="20.100000000000001" customHeight="1">
      <c r="B628" s="14"/>
      <c r="C628" s="221"/>
      <c r="E628" s="213"/>
      <c r="F628" s="16"/>
      <c r="G628" s="8"/>
    </row>
    <row r="629" spans="2:7" ht="20.100000000000001" customHeight="1">
      <c r="B629" s="14"/>
      <c r="C629" s="221"/>
      <c r="E629" s="213"/>
      <c r="F629" s="16"/>
      <c r="G629" s="8"/>
    </row>
    <row r="630" spans="2:7" ht="20.100000000000001" customHeight="1">
      <c r="B630" s="14"/>
      <c r="C630" s="221"/>
      <c r="E630" s="213"/>
      <c r="F630" s="16"/>
      <c r="G630" s="8"/>
    </row>
    <row r="631" spans="2:7" ht="20.100000000000001" customHeight="1">
      <c r="B631" s="14"/>
      <c r="C631" s="221"/>
      <c r="E631" s="213"/>
      <c r="F631" s="16"/>
      <c r="G631" s="8"/>
    </row>
    <row r="632" spans="2:7" ht="20.100000000000001" customHeight="1">
      <c r="B632" s="14"/>
      <c r="C632" s="221"/>
      <c r="E632" s="213"/>
      <c r="F632" s="16"/>
      <c r="G632" s="8"/>
    </row>
    <row r="633" spans="2:7" ht="20.100000000000001" customHeight="1">
      <c r="B633" s="14"/>
      <c r="C633" s="221"/>
      <c r="E633" s="213"/>
      <c r="F633" s="16"/>
      <c r="G633" s="8"/>
    </row>
    <row r="634" spans="2:7" ht="20.100000000000001" customHeight="1">
      <c r="B634" s="14"/>
      <c r="C634" s="221"/>
      <c r="E634" s="213"/>
      <c r="F634" s="16"/>
      <c r="G634" s="8"/>
    </row>
    <row r="635" spans="2:7" ht="20.100000000000001" customHeight="1">
      <c r="B635" s="14"/>
      <c r="C635" s="221"/>
      <c r="E635" s="213"/>
      <c r="F635" s="16"/>
      <c r="G635" s="8"/>
    </row>
    <row r="636" spans="2:7" ht="20.100000000000001" customHeight="1">
      <c r="B636" s="14"/>
      <c r="C636" s="221"/>
      <c r="E636" s="213"/>
      <c r="F636" s="16"/>
      <c r="G636" s="8"/>
    </row>
    <row r="637" spans="2:7" ht="20.100000000000001" customHeight="1">
      <c r="B637" s="14"/>
      <c r="C637" s="221"/>
      <c r="E637" s="213"/>
      <c r="F637" s="16"/>
      <c r="G637" s="8"/>
    </row>
    <row r="638" spans="2:7" ht="20.100000000000001" customHeight="1">
      <c r="B638" s="14"/>
      <c r="C638" s="221"/>
      <c r="E638" s="213"/>
      <c r="F638" s="16"/>
      <c r="G638" s="8"/>
    </row>
    <row r="639" spans="2:7" ht="20.100000000000001" customHeight="1">
      <c r="B639" s="14"/>
      <c r="C639" s="221"/>
      <c r="E639" s="213"/>
      <c r="F639" s="16"/>
      <c r="G639" s="8"/>
    </row>
    <row r="640" spans="2:7" ht="20.100000000000001" customHeight="1">
      <c r="B640" s="14"/>
      <c r="C640" s="221"/>
      <c r="E640" s="213"/>
      <c r="F640" s="16"/>
      <c r="G640" s="8"/>
    </row>
    <row r="641" spans="2:7" ht="20.100000000000001" customHeight="1">
      <c r="B641" s="14"/>
      <c r="C641" s="221"/>
      <c r="E641" s="213"/>
      <c r="F641" s="16"/>
      <c r="G641" s="8"/>
    </row>
    <row r="642" spans="2:7" ht="20.100000000000001" customHeight="1">
      <c r="B642" s="14"/>
      <c r="C642" s="221"/>
      <c r="E642" s="213"/>
      <c r="F642" s="16"/>
      <c r="G642" s="8"/>
    </row>
    <row r="643" spans="2:7" ht="20.100000000000001" customHeight="1">
      <c r="B643" s="14"/>
      <c r="C643" s="221"/>
      <c r="E643" s="213"/>
      <c r="F643" s="16"/>
      <c r="G643" s="8"/>
    </row>
    <row r="644" spans="2:7" ht="20.100000000000001" customHeight="1">
      <c r="B644" s="14"/>
      <c r="C644" s="221"/>
      <c r="E644" s="213"/>
      <c r="F644" s="16"/>
      <c r="G644" s="8"/>
    </row>
    <row r="645" spans="2:7" ht="20.100000000000001" customHeight="1">
      <c r="B645" s="14"/>
      <c r="C645" s="221"/>
      <c r="E645" s="213"/>
      <c r="F645" s="16"/>
      <c r="G645" s="8"/>
    </row>
    <row r="646" spans="2:7" ht="20.100000000000001" customHeight="1">
      <c r="B646" s="14"/>
      <c r="C646" s="221"/>
      <c r="E646" s="213"/>
      <c r="F646" s="16"/>
      <c r="G646" s="8"/>
    </row>
    <row r="647" spans="2:7" ht="20.100000000000001" customHeight="1">
      <c r="B647" s="14"/>
      <c r="C647" s="221"/>
      <c r="E647" s="213"/>
      <c r="F647" s="16"/>
      <c r="G647" s="8"/>
    </row>
    <row r="648" spans="2:7" ht="20.100000000000001" customHeight="1">
      <c r="B648" s="14"/>
      <c r="C648" s="221"/>
      <c r="E648" s="213"/>
      <c r="F648" s="16"/>
      <c r="G648" s="8"/>
    </row>
    <row r="649" spans="2:7" ht="20.100000000000001" customHeight="1">
      <c r="B649" s="14"/>
      <c r="C649" s="221"/>
      <c r="E649" s="213"/>
      <c r="F649" s="16"/>
      <c r="G649" s="8"/>
    </row>
    <row r="650" spans="2:7" ht="20.100000000000001" customHeight="1">
      <c r="B650" s="14"/>
      <c r="C650" s="221"/>
      <c r="E650" s="213"/>
      <c r="F650" s="16"/>
      <c r="G650" s="8"/>
    </row>
    <row r="651" spans="2:7" ht="20.100000000000001" customHeight="1">
      <c r="B651" s="14"/>
      <c r="C651" s="221"/>
      <c r="E651" s="213"/>
      <c r="F651" s="16"/>
      <c r="G651" s="8"/>
    </row>
    <row r="652" spans="2:7" ht="20.100000000000001" customHeight="1">
      <c r="B652" s="14"/>
      <c r="C652" s="221"/>
      <c r="E652" s="213"/>
      <c r="F652" s="16"/>
      <c r="G652" s="8"/>
    </row>
    <row r="653" spans="2:7" ht="20.100000000000001" customHeight="1">
      <c r="B653" s="14"/>
      <c r="C653" s="221"/>
      <c r="E653" s="213"/>
      <c r="F653" s="16"/>
      <c r="G653" s="8"/>
    </row>
    <row r="654" spans="2:7" ht="20.100000000000001" customHeight="1">
      <c r="B654" s="14"/>
      <c r="C654" s="221"/>
      <c r="E654" s="213"/>
      <c r="F654" s="16"/>
      <c r="G654" s="8"/>
    </row>
    <row r="655" spans="2:7" ht="20.100000000000001" customHeight="1">
      <c r="B655" s="14"/>
      <c r="C655" s="221"/>
      <c r="E655" s="213"/>
      <c r="F655" s="16"/>
      <c r="G655" s="8"/>
    </row>
    <row r="656" spans="2:7" ht="20.100000000000001" customHeight="1">
      <c r="B656" s="14"/>
      <c r="C656" s="221"/>
      <c r="E656" s="213"/>
      <c r="F656" s="16"/>
      <c r="G656" s="8"/>
    </row>
    <row r="657" spans="2:7" ht="20.100000000000001" customHeight="1">
      <c r="B657" s="14"/>
      <c r="C657" s="221"/>
      <c r="E657" s="213"/>
      <c r="F657" s="16"/>
      <c r="G657" s="8"/>
    </row>
    <row r="658" spans="2:7" ht="20.100000000000001" customHeight="1">
      <c r="B658" s="14"/>
      <c r="C658" s="221"/>
      <c r="E658" s="216"/>
      <c r="F658" s="16"/>
      <c r="G658" s="8"/>
    </row>
    <row r="659" spans="2:7" ht="20.100000000000001" customHeight="1">
      <c r="B659" s="14"/>
      <c r="C659" s="221"/>
      <c r="E659" s="213"/>
      <c r="F659" s="16"/>
      <c r="G659" s="8"/>
    </row>
    <row r="660" spans="2:7" ht="20.100000000000001" customHeight="1">
      <c r="B660" s="14"/>
      <c r="C660" s="221"/>
      <c r="E660" s="213"/>
      <c r="F660" s="16"/>
      <c r="G660" s="8"/>
    </row>
    <row r="661" spans="2:7" ht="20.100000000000001" customHeight="1">
      <c r="B661" s="14"/>
      <c r="C661" s="221"/>
      <c r="E661" s="213"/>
      <c r="F661" s="16"/>
      <c r="G661" s="8"/>
    </row>
    <row r="662" spans="2:7" ht="20.100000000000001" customHeight="1">
      <c r="B662" s="14"/>
      <c r="C662" s="221"/>
      <c r="E662" s="213"/>
      <c r="F662" s="16"/>
      <c r="G662" s="8"/>
    </row>
    <row r="663" spans="2:7" ht="20.100000000000001" customHeight="1">
      <c r="B663" s="14"/>
      <c r="C663" s="221"/>
      <c r="E663" s="213"/>
      <c r="F663" s="16"/>
      <c r="G663" s="8"/>
    </row>
    <row r="664" spans="2:7" ht="20.100000000000001" customHeight="1">
      <c r="B664" s="14"/>
      <c r="C664" s="221"/>
      <c r="E664" s="213"/>
      <c r="F664" s="16"/>
      <c r="G664" s="8"/>
    </row>
    <row r="665" spans="2:7" ht="20.100000000000001" customHeight="1">
      <c r="B665" s="14"/>
      <c r="C665" s="221"/>
      <c r="E665" s="213"/>
      <c r="F665" s="16"/>
      <c r="G665" s="8"/>
    </row>
    <row r="666" spans="2:7" ht="20.100000000000001" customHeight="1">
      <c r="B666" s="14"/>
      <c r="C666" s="221"/>
      <c r="E666" s="213"/>
      <c r="F666" s="16"/>
      <c r="G666" s="8"/>
    </row>
    <row r="667" spans="2:7" ht="20.100000000000001" customHeight="1">
      <c r="B667" s="14"/>
      <c r="C667" s="221"/>
      <c r="E667" s="213"/>
      <c r="F667" s="16"/>
      <c r="G667" s="8"/>
    </row>
    <row r="668" spans="2:7" ht="20.100000000000001" customHeight="1">
      <c r="B668" s="14"/>
      <c r="C668" s="221"/>
      <c r="E668" s="213"/>
      <c r="F668" s="16"/>
      <c r="G668" s="8"/>
    </row>
    <row r="669" spans="2:7" ht="20.100000000000001" customHeight="1">
      <c r="B669" s="14"/>
      <c r="C669" s="221"/>
      <c r="E669" s="213"/>
      <c r="F669" s="16"/>
      <c r="G669" s="8"/>
    </row>
    <row r="670" spans="2:7" ht="20.100000000000001" customHeight="1">
      <c r="B670" s="14"/>
      <c r="C670" s="221"/>
      <c r="E670" s="213"/>
      <c r="F670" s="16"/>
      <c r="G670" s="8"/>
    </row>
    <row r="671" spans="2:7" ht="20.100000000000001" customHeight="1">
      <c r="B671" s="14"/>
      <c r="C671" s="221"/>
      <c r="E671" s="213"/>
      <c r="F671" s="16"/>
      <c r="G671" s="8"/>
    </row>
    <row r="672" spans="2:7" ht="20.100000000000001" customHeight="1">
      <c r="B672" s="14"/>
      <c r="C672" s="221"/>
      <c r="E672" s="213"/>
      <c r="F672" s="16"/>
      <c r="G672" s="8"/>
    </row>
    <row r="673" spans="2:7" ht="20.100000000000001" customHeight="1">
      <c r="B673" s="14"/>
      <c r="C673" s="221"/>
      <c r="E673" s="213"/>
      <c r="F673" s="16"/>
      <c r="G673" s="8"/>
    </row>
    <row r="674" spans="2:7" ht="20.100000000000001" customHeight="1">
      <c r="B674" s="14"/>
      <c r="C674" s="221"/>
      <c r="E674" s="213"/>
      <c r="F674" s="16"/>
      <c r="G674" s="8"/>
    </row>
    <row r="675" spans="2:7" ht="20.100000000000001" customHeight="1">
      <c r="B675" s="14"/>
      <c r="C675" s="221"/>
      <c r="E675" s="213"/>
      <c r="F675" s="16"/>
      <c r="G675" s="8"/>
    </row>
    <row r="676" spans="2:7" ht="20.100000000000001" customHeight="1">
      <c r="B676" s="14"/>
      <c r="C676" s="221"/>
      <c r="E676" s="213"/>
      <c r="F676" s="16"/>
      <c r="G676" s="8"/>
    </row>
    <row r="677" spans="2:7" ht="20.100000000000001" customHeight="1">
      <c r="B677" s="14"/>
      <c r="C677" s="221"/>
      <c r="E677" s="213"/>
      <c r="F677" s="16"/>
      <c r="G677" s="8"/>
    </row>
    <row r="678" spans="2:7" ht="20.100000000000001" customHeight="1">
      <c r="B678" s="14"/>
      <c r="C678" s="221"/>
      <c r="E678" s="213"/>
      <c r="F678" s="16"/>
      <c r="G678" s="8"/>
    </row>
    <row r="679" spans="2:7" ht="20.100000000000001" customHeight="1">
      <c r="B679" s="14"/>
      <c r="C679" s="221"/>
      <c r="E679" s="213"/>
      <c r="F679" s="16"/>
      <c r="G679" s="8"/>
    </row>
    <row r="680" spans="2:7" ht="20.100000000000001" customHeight="1">
      <c r="B680" s="14"/>
      <c r="C680" s="221"/>
      <c r="E680" s="213"/>
      <c r="F680" s="16"/>
      <c r="G680" s="8"/>
    </row>
    <row r="681" spans="2:7" ht="20.100000000000001" customHeight="1">
      <c r="B681" s="14"/>
      <c r="C681" s="221"/>
      <c r="E681" s="213"/>
      <c r="F681" s="16"/>
      <c r="G681" s="8"/>
    </row>
    <row r="682" spans="2:7" ht="20.100000000000001" customHeight="1">
      <c r="B682" s="14"/>
      <c r="C682" s="221"/>
      <c r="E682" s="213"/>
      <c r="F682" s="16"/>
      <c r="G682" s="8"/>
    </row>
    <row r="683" spans="2:7" ht="20.100000000000001" customHeight="1">
      <c r="B683" s="14"/>
      <c r="C683" s="221"/>
      <c r="E683" s="213"/>
      <c r="F683" s="16"/>
      <c r="G683" s="8"/>
    </row>
    <row r="684" spans="2:7" ht="20.100000000000001" customHeight="1">
      <c r="B684" s="14"/>
      <c r="C684" s="221"/>
      <c r="E684" s="213"/>
      <c r="F684" s="16"/>
      <c r="G684" s="8"/>
    </row>
    <row r="685" spans="2:7" ht="20.100000000000001" customHeight="1">
      <c r="B685" s="14"/>
      <c r="C685" s="221"/>
      <c r="E685" s="213"/>
      <c r="F685" s="16"/>
      <c r="G685" s="8"/>
    </row>
    <row r="686" spans="2:7" ht="20.100000000000001" customHeight="1">
      <c r="B686" s="14"/>
      <c r="C686" s="221"/>
      <c r="E686" s="213"/>
      <c r="F686" s="16"/>
      <c r="G686" s="8"/>
    </row>
    <row r="687" spans="2:7" ht="20.100000000000001" customHeight="1">
      <c r="B687" s="14"/>
      <c r="C687" s="221"/>
      <c r="E687" s="213"/>
      <c r="F687" s="16"/>
      <c r="G687" s="8"/>
    </row>
    <row r="688" spans="2:7" ht="20.100000000000001" customHeight="1">
      <c r="B688" s="14"/>
      <c r="C688" s="221"/>
      <c r="E688" s="213"/>
      <c r="F688" s="16"/>
      <c r="G688" s="8"/>
    </row>
    <row r="689" spans="2:7" ht="20.100000000000001" customHeight="1">
      <c r="B689" s="14"/>
      <c r="C689" s="221"/>
      <c r="E689" s="213"/>
      <c r="F689" s="16"/>
      <c r="G689" s="8"/>
    </row>
    <row r="690" spans="2:7" ht="20.100000000000001" customHeight="1">
      <c r="B690" s="14"/>
      <c r="C690" s="221"/>
      <c r="E690" s="213"/>
      <c r="F690" s="16"/>
      <c r="G690" s="8"/>
    </row>
    <row r="691" spans="2:7" ht="20.100000000000001" customHeight="1">
      <c r="B691" s="14"/>
      <c r="C691" s="221"/>
      <c r="E691" s="213"/>
      <c r="F691" s="16"/>
      <c r="G691" s="8"/>
    </row>
    <row r="692" spans="2:7" ht="20.100000000000001" customHeight="1">
      <c r="B692" s="14"/>
      <c r="C692" s="221"/>
      <c r="E692" s="213"/>
      <c r="F692" s="16"/>
      <c r="G692" s="8"/>
    </row>
    <row r="693" spans="2:7" ht="20.100000000000001" customHeight="1">
      <c r="B693" s="14"/>
      <c r="C693" s="221"/>
      <c r="E693" s="213"/>
      <c r="F693" s="16"/>
      <c r="G693" s="8"/>
    </row>
    <row r="694" spans="2:7" ht="20.100000000000001" customHeight="1">
      <c r="B694" s="14"/>
      <c r="C694" s="221"/>
      <c r="E694" s="213"/>
      <c r="F694" s="16"/>
      <c r="G694" s="8"/>
    </row>
    <row r="695" spans="2:7" ht="20.100000000000001" customHeight="1">
      <c r="B695" s="14"/>
      <c r="C695" s="221"/>
      <c r="E695" s="213"/>
      <c r="F695" s="16"/>
      <c r="G695" s="8"/>
    </row>
    <row r="696" spans="2:7" ht="20.100000000000001" customHeight="1">
      <c r="B696" s="14"/>
      <c r="C696" s="221"/>
      <c r="E696" s="213"/>
      <c r="F696" s="16"/>
      <c r="G696" s="8"/>
    </row>
    <row r="697" spans="2:7" ht="20.100000000000001" customHeight="1">
      <c r="B697" s="14"/>
      <c r="C697" s="221"/>
      <c r="E697" s="213"/>
      <c r="F697" s="16"/>
      <c r="G697" s="8"/>
    </row>
    <row r="698" spans="2:7" ht="20.100000000000001" customHeight="1">
      <c r="B698" s="14"/>
      <c r="C698" s="221"/>
      <c r="E698" s="213"/>
      <c r="F698" s="16"/>
      <c r="G698" s="8"/>
    </row>
    <row r="699" spans="2:7" ht="20.100000000000001" customHeight="1">
      <c r="B699" s="14"/>
      <c r="C699" s="221"/>
      <c r="E699" s="213"/>
      <c r="F699" s="16"/>
      <c r="G699" s="8"/>
    </row>
    <row r="700" spans="2:7" ht="20.100000000000001" customHeight="1">
      <c r="B700" s="14"/>
      <c r="C700" s="221"/>
      <c r="E700" s="213"/>
      <c r="F700" s="16"/>
      <c r="G700" s="8"/>
    </row>
    <row r="701" spans="2:7" ht="20.100000000000001" customHeight="1">
      <c r="B701" s="14"/>
      <c r="C701" s="221"/>
      <c r="E701" s="213"/>
      <c r="F701" s="16"/>
      <c r="G701" s="8"/>
    </row>
    <row r="702" spans="2:7" ht="20.100000000000001" customHeight="1">
      <c r="B702" s="14"/>
      <c r="C702" s="221"/>
      <c r="E702" s="213"/>
      <c r="F702" s="16"/>
      <c r="G702" s="8"/>
    </row>
    <row r="703" spans="2:7" ht="20.100000000000001" customHeight="1">
      <c r="B703" s="14"/>
      <c r="C703" s="221"/>
      <c r="E703" s="213"/>
      <c r="F703" s="16"/>
      <c r="G703" s="8"/>
    </row>
    <row r="704" spans="2:7" ht="20.100000000000001" customHeight="1">
      <c r="B704" s="14"/>
      <c r="C704" s="221"/>
      <c r="E704" s="213"/>
      <c r="F704" s="16"/>
      <c r="G704" s="8"/>
    </row>
    <row r="705" spans="2:7" ht="20.100000000000001" customHeight="1">
      <c r="B705" s="14"/>
      <c r="C705" s="221"/>
      <c r="E705" s="213"/>
      <c r="F705" s="16"/>
      <c r="G705" s="8"/>
    </row>
    <row r="706" spans="2:7" ht="20.100000000000001" customHeight="1">
      <c r="B706" s="14"/>
      <c r="C706" s="221"/>
      <c r="E706" s="213"/>
      <c r="F706" s="16"/>
      <c r="G706" s="8"/>
    </row>
    <row r="707" spans="2:7" ht="20.100000000000001" customHeight="1">
      <c r="B707" s="14"/>
      <c r="C707" s="221"/>
      <c r="E707" s="213"/>
      <c r="F707" s="16"/>
      <c r="G707" s="8"/>
    </row>
    <row r="708" spans="2:7" ht="20.100000000000001" customHeight="1">
      <c r="B708" s="14"/>
      <c r="C708" s="221"/>
      <c r="E708" s="213"/>
      <c r="F708" s="16"/>
      <c r="G708" s="8"/>
    </row>
    <row r="709" spans="2:7" ht="20.100000000000001" customHeight="1">
      <c r="B709" s="14"/>
      <c r="C709" s="221"/>
      <c r="E709" s="213"/>
      <c r="F709" s="16"/>
      <c r="G709" s="8"/>
    </row>
    <row r="710" spans="2:7" ht="20.100000000000001" customHeight="1">
      <c r="B710" s="14"/>
      <c r="C710" s="221"/>
      <c r="E710" s="213"/>
      <c r="F710" s="16"/>
      <c r="G710" s="8"/>
    </row>
    <row r="711" spans="2:7" ht="20.100000000000001" customHeight="1">
      <c r="B711" s="14"/>
      <c r="C711" s="221"/>
      <c r="E711" s="213"/>
      <c r="F711" s="16"/>
      <c r="G711" s="8"/>
    </row>
    <row r="712" spans="2:7" ht="20.100000000000001" customHeight="1">
      <c r="B712" s="14"/>
      <c r="C712" s="221"/>
      <c r="E712" s="213"/>
      <c r="F712" s="16"/>
      <c r="G712" s="8"/>
    </row>
    <row r="713" spans="2:7" ht="20.100000000000001" customHeight="1">
      <c r="B713" s="14"/>
      <c r="C713" s="221"/>
      <c r="E713" s="213"/>
      <c r="F713" s="16"/>
      <c r="G713" s="8"/>
    </row>
    <row r="714" spans="2:7" ht="20.100000000000001" customHeight="1">
      <c r="B714" s="14"/>
      <c r="C714" s="221"/>
      <c r="E714" s="213"/>
      <c r="F714" s="16"/>
      <c r="G714" s="8"/>
    </row>
    <row r="715" spans="2:7" ht="20.100000000000001" customHeight="1">
      <c r="B715" s="14"/>
      <c r="C715" s="225"/>
      <c r="E715" s="217"/>
      <c r="F715" s="16"/>
      <c r="G715" s="8"/>
    </row>
    <row r="716" spans="2:7" ht="20.100000000000001" customHeight="1">
      <c r="B716" s="14"/>
      <c r="C716" s="221"/>
      <c r="E716" s="213"/>
      <c r="F716" s="16"/>
      <c r="G716" s="8"/>
    </row>
    <row r="717" spans="2:7" ht="20.100000000000001" customHeight="1">
      <c r="B717" s="14"/>
      <c r="C717" s="226"/>
      <c r="E717" s="213"/>
      <c r="F717" s="16"/>
      <c r="G717" s="8"/>
    </row>
    <row r="718" spans="2:7" ht="20.100000000000001" customHeight="1">
      <c r="B718" s="14"/>
      <c r="C718" s="221"/>
      <c r="E718" s="213"/>
      <c r="F718" s="16"/>
      <c r="G718" s="8"/>
    </row>
    <row r="719" spans="2:7" ht="20.100000000000001" customHeight="1">
      <c r="B719" s="14"/>
      <c r="C719" s="221"/>
      <c r="E719" s="213"/>
      <c r="F719" s="16"/>
      <c r="G719" s="8"/>
    </row>
    <row r="720" spans="2:7" ht="20.100000000000001" customHeight="1">
      <c r="B720" s="14"/>
      <c r="C720" s="221"/>
      <c r="E720" s="213"/>
      <c r="F720" s="16"/>
      <c r="G720" s="8"/>
    </row>
    <row r="721" spans="2:7" ht="20.100000000000001" customHeight="1">
      <c r="B721" s="14"/>
      <c r="C721" s="221"/>
      <c r="E721" s="213"/>
      <c r="F721" s="16"/>
      <c r="G721" s="8"/>
    </row>
    <row r="722" spans="2:7" ht="20.100000000000001" customHeight="1">
      <c r="B722" s="14"/>
      <c r="C722" s="223"/>
      <c r="E722" s="214"/>
      <c r="F722" s="16"/>
      <c r="G722" s="8"/>
    </row>
    <row r="723" spans="2:7" ht="20.100000000000001" customHeight="1">
      <c r="B723" s="14"/>
      <c r="C723" s="221"/>
      <c r="E723" s="213"/>
      <c r="F723" s="16"/>
      <c r="G723" s="8"/>
    </row>
    <row r="724" spans="2:7" ht="20.100000000000001" customHeight="1">
      <c r="B724" s="14"/>
      <c r="C724" s="221"/>
      <c r="E724" s="213"/>
      <c r="F724" s="16"/>
      <c r="G724" s="8"/>
    </row>
    <row r="725" spans="2:7" ht="20.100000000000001" customHeight="1">
      <c r="B725" s="14"/>
      <c r="C725" s="221"/>
      <c r="E725" s="213"/>
      <c r="F725" s="16"/>
      <c r="G725" s="8"/>
    </row>
    <row r="726" spans="2:7" ht="20.100000000000001" customHeight="1">
      <c r="B726" s="14"/>
      <c r="C726" s="221"/>
      <c r="E726" s="213"/>
      <c r="F726" s="16"/>
      <c r="G726" s="8"/>
    </row>
    <row r="727" spans="2:7" ht="20.100000000000001" customHeight="1">
      <c r="B727" s="14"/>
      <c r="C727" s="221"/>
      <c r="E727" s="213"/>
      <c r="F727" s="16"/>
      <c r="G727" s="8"/>
    </row>
    <row r="728" spans="2:7" ht="20.100000000000001" customHeight="1">
      <c r="B728" s="14"/>
      <c r="C728" s="221"/>
      <c r="E728" s="213"/>
      <c r="F728" s="16"/>
      <c r="G728" s="8"/>
    </row>
    <row r="729" spans="2:7" ht="20.100000000000001" customHeight="1">
      <c r="B729" s="14"/>
      <c r="C729" s="221"/>
      <c r="E729" s="213"/>
      <c r="F729" s="16"/>
      <c r="G729" s="8"/>
    </row>
    <row r="730" spans="2:7" ht="20.100000000000001" customHeight="1">
      <c r="B730" s="14"/>
      <c r="C730" s="226"/>
      <c r="E730" s="213"/>
      <c r="F730" s="16"/>
      <c r="G730" s="8"/>
    </row>
    <row r="731" spans="2:7" ht="20.100000000000001" customHeight="1">
      <c r="B731" s="14"/>
      <c r="C731" s="221"/>
      <c r="E731" s="213"/>
      <c r="F731" s="16"/>
      <c r="G731" s="8"/>
    </row>
    <row r="732" spans="2:7" ht="20.100000000000001" customHeight="1">
      <c r="B732" s="14"/>
      <c r="C732" s="221"/>
      <c r="E732" s="213"/>
      <c r="F732" s="16"/>
      <c r="G732" s="8"/>
    </row>
    <row r="733" spans="2:7" ht="20.100000000000001" customHeight="1">
      <c r="B733" s="14"/>
      <c r="C733" s="221"/>
      <c r="E733" s="213"/>
      <c r="F733" s="16"/>
      <c r="G733" s="8"/>
    </row>
    <row r="734" spans="2:7" ht="20.100000000000001" customHeight="1">
      <c r="B734" s="14"/>
      <c r="C734" s="221"/>
      <c r="E734" s="213"/>
      <c r="F734" s="16"/>
      <c r="G734" s="8"/>
    </row>
    <row r="735" spans="2:7" ht="20.100000000000001" customHeight="1">
      <c r="B735" s="14"/>
      <c r="C735" s="221"/>
      <c r="E735" s="213"/>
      <c r="F735" s="16"/>
      <c r="G735" s="8"/>
    </row>
    <row r="736" spans="2:7" ht="20.100000000000001" customHeight="1">
      <c r="B736" s="14"/>
      <c r="C736" s="221"/>
      <c r="E736" s="213"/>
      <c r="F736" s="16"/>
      <c r="G736" s="8"/>
    </row>
    <row r="737" spans="2:7" ht="20.100000000000001" customHeight="1">
      <c r="B737" s="14"/>
      <c r="C737" s="221"/>
      <c r="E737" s="213"/>
      <c r="F737" s="16"/>
      <c r="G737" s="8"/>
    </row>
    <row r="738" spans="2:7" ht="20.100000000000001" customHeight="1">
      <c r="B738" s="14"/>
      <c r="C738" s="221"/>
      <c r="E738" s="213"/>
      <c r="F738" s="16"/>
      <c r="G738" s="8"/>
    </row>
    <row r="739" spans="2:7" ht="20.100000000000001" customHeight="1">
      <c r="B739" s="14"/>
      <c r="C739" s="221"/>
      <c r="E739" s="213"/>
      <c r="F739" s="16"/>
      <c r="G739" s="8"/>
    </row>
    <row r="740" spans="2:7" ht="20.100000000000001" customHeight="1">
      <c r="B740" s="14"/>
      <c r="C740" s="221"/>
      <c r="E740" s="213"/>
      <c r="F740" s="16"/>
      <c r="G740" s="8"/>
    </row>
    <row r="741" spans="2:7" ht="20.100000000000001" customHeight="1">
      <c r="B741" s="14"/>
      <c r="C741" s="221"/>
      <c r="E741" s="213"/>
      <c r="F741" s="16"/>
      <c r="G741" s="8"/>
    </row>
    <row r="742" spans="2:7" ht="20.100000000000001" customHeight="1">
      <c r="B742" s="14"/>
      <c r="C742" s="221"/>
      <c r="E742" s="213"/>
      <c r="F742" s="16"/>
      <c r="G742" s="8"/>
    </row>
    <row r="743" spans="2:7" ht="20.100000000000001" customHeight="1">
      <c r="B743" s="14"/>
      <c r="C743" s="221"/>
      <c r="E743" s="213"/>
      <c r="F743" s="16"/>
      <c r="G743" s="8"/>
    </row>
    <row r="744" spans="2:7" ht="20.100000000000001" customHeight="1">
      <c r="B744" s="14"/>
      <c r="C744" s="221"/>
      <c r="E744" s="213"/>
      <c r="F744" s="16"/>
      <c r="G744" s="8"/>
    </row>
    <row r="745" spans="2:7" ht="20.100000000000001" customHeight="1">
      <c r="B745" s="14"/>
      <c r="C745" s="221"/>
      <c r="E745" s="213"/>
      <c r="F745" s="16"/>
      <c r="G745" s="8"/>
    </row>
    <row r="746" spans="2:7" ht="20.100000000000001" customHeight="1">
      <c r="B746" s="14"/>
      <c r="C746" s="221"/>
      <c r="E746" s="213"/>
      <c r="F746" s="16"/>
      <c r="G746" s="8"/>
    </row>
    <row r="747" spans="2:7" ht="20.100000000000001" customHeight="1">
      <c r="B747" s="14"/>
      <c r="C747" s="221"/>
      <c r="E747" s="213"/>
      <c r="F747" s="16"/>
      <c r="G747" s="8"/>
    </row>
    <row r="748" spans="2:7" ht="20.100000000000001" customHeight="1">
      <c r="B748" s="14"/>
      <c r="C748" s="221"/>
      <c r="E748" s="213"/>
      <c r="F748" s="16"/>
      <c r="G748" s="8"/>
    </row>
    <row r="749" spans="2:7" ht="20.100000000000001" customHeight="1">
      <c r="B749" s="14"/>
      <c r="C749" s="221"/>
      <c r="E749" s="213"/>
      <c r="F749" s="16"/>
      <c r="G749" s="8"/>
    </row>
    <row r="750" spans="2:7" ht="20.100000000000001" customHeight="1">
      <c r="B750" s="14"/>
      <c r="C750" s="221"/>
      <c r="E750" s="213"/>
      <c r="F750" s="16"/>
      <c r="G750" s="8"/>
    </row>
    <row r="751" spans="2:7" ht="20.100000000000001" customHeight="1">
      <c r="B751" s="14"/>
      <c r="C751" s="221"/>
      <c r="E751" s="213"/>
      <c r="F751" s="16"/>
      <c r="G751" s="8"/>
    </row>
    <row r="752" spans="2:7" ht="20.100000000000001" customHeight="1">
      <c r="B752" s="14"/>
      <c r="C752" s="221"/>
      <c r="E752" s="213"/>
      <c r="F752" s="16"/>
      <c r="G752" s="8"/>
    </row>
    <row r="753" spans="2:7" ht="20.100000000000001" customHeight="1">
      <c r="B753" s="14"/>
      <c r="C753" s="221"/>
      <c r="E753" s="213"/>
      <c r="F753" s="16"/>
      <c r="G753" s="8"/>
    </row>
    <row r="754" spans="2:7" ht="20.100000000000001" customHeight="1">
      <c r="B754" s="14"/>
      <c r="C754" s="221"/>
      <c r="E754" s="213"/>
      <c r="F754" s="16"/>
      <c r="G754" s="8"/>
    </row>
    <row r="755" spans="2:7" ht="20.100000000000001" customHeight="1">
      <c r="B755" s="14"/>
      <c r="C755" s="226"/>
      <c r="E755" s="213"/>
      <c r="F755" s="16"/>
      <c r="G755" s="8"/>
    </row>
    <row r="756" spans="2:7" ht="20.100000000000001" customHeight="1">
      <c r="B756" s="14"/>
      <c r="C756" s="221"/>
      <c r="E756" s="213"/>
      <c r="F756" s="16"/>
      <c r="G756" s="8"/>
    </row>
    <row r="757" spans="2:7" ht="20.100000000000001" customHeight="1">
      <c r="B757" s="14"/>
      <c r="C757" s="225"/>
      <c r="E757" s="217"/>
      <c r="F757" s="16"/>
      <c r="G757" s="8"/>
    </row>
    <row r="758" spans="2:7" ht="20.100000000000001" customHeight="1">
      <c r="B758" s="14"/>
      <c r="C758" s="225"/>
      <c r="E758" s="217"/>
      <c r="F758" s="16"/>
      <c r="G758" s="8"/>
    </row>
    <row r="759" spans="2:7" ht="20.100000000000001" customHeight="1">
      <c r="B759" s="14"/>
      <c r="C759" s="225"/>
      <c r="E759" s="217"/>
      <c r="F759" s="16"/>
      <c r="G759" s="8"/>
    </row>
    <row r="760" spans="2:7" ht="20.100000000000001" customHeight="1">
      <c r="B760" s="14"/>
      <c r="C760" s="225"/>
      <c r="E760" s="217"/>
      <c r="F760" s="16"/>
      <c r="G760" s="8"/>
    </row>
    <row r="761" spans="2:7" ht="20.100000000000001" customHeight="1">
      <c r="B761" s="14"/>
      <c r="C761" s="225"/>
      <c r="E761" s="217"/>
      <c r="F761" s="16"/>
      <c r="G761" s="8"/>
    </row>
    <row r="762" spans="2:7" ht="20.100000000000001" customHeight="1">
      <c r="B762" s="14"/>
      <c r="C762" s="225"/>
      <c r="E762" s="218"/>
      <c r="F762" s="16"/>
      <c r="G762" s="8"/>
    </row>
    <row r="763" spans="2:7" ht="20.100000000000001" customHeight="1">
      <c r="B763" s="14"/>
      <c r="C763" s="221"/>
      <c r="E763" s="213"/>
      <c r="F763" s="16"/>
      <c r="G763" s="8"/>
    </row>
    <row r="764" spans="2:7" ht="20.100000000000001" customHeight="1">
      <c r="B764" s="14"/>
      <c r="C764" s="221"/>
      <c r="E764" s="213"/>
      <c r="F764" s="16"/>
      <c r="G764" s="8"/>
    </row>
    <row r="765" spans="2:7" ht="20.100000000000001" customHeight="1">
      <c r="B765" s="14"/>
      <c r="C765" s="221"/>
      <c r="E765" s="213"/>
      <c r="F765" s="16"/>
      <c r="G765" s="8"/>
    </row>
    <row r="766" spans="2:7" ht="20.100000000000001" customHeight="1">
      <c r="B766" s="14"/>
      <c r="C766" s="221"/>
      <c r="E766" s="213"/>
      <c r="F766" s="16"/>
      <c r="G766" s="8"/>
    </row>
    <row r="767" spans="2:7" ht="20.100000000000001" customHeight="1">
      <c r="B767" s="14"/>
      <c r="C767" s="221"/>
      <c r="E767" s="213"/>
      <c r="F767" s="16"/>
      <c r="G767" s="8"/>
    </row>
    <row r="768" spans="2:7" ht="20.100000000000001" customHeight="1">
      <c r="B768" s="14"/>
      <c r="C768" s="221"/>
      <c r="E768" s="213"/>
      <c r="F768" s="16"/>
      <c r="G768" s="8"/>
    </row>
    <row r="769" spans="2:7" ht="20.100000000000001" customHeight="1">
      <c r="B769" s="14"/>
      <c r="C769" s="221"/>
      <c r="E769" s="213"/>
      <c r="F769" s="16"/>
      <c r="G769" s="8"/>
    </row>
    <row r="770" spans="2:7" ht="20.100000000000001" customHeight="1">
      <c r="B770" s="14"/>
      <c r="C770" s="221"/>
      <c r="E770" s="213"/>
      <c r="F770" s="16"/>
      <c r="G770" s="8"/>
    </row>
    <row r="771" spans="2:7" ht="20.100000000000001" customHeight="1">
      <c r="B771" s="14"/>
      <c r="C771" s="221"/>
      <c r="E771" s="219"/>
      <c r="F771" s="16"/>
      <c r="G771" s="8"/>
    </row>
    <row r="772" spans="2:7" ht="20.100000000000001" customHeight="1">
      <c r="B772" s="14"/>
      <c r="C772" s="221"/>
      <c r="E772" s="213"/>
      <c r="F772" s="16"/>
      <c r="G772" s="8"/>
    </row>
    <row r="773" spans="2:7" ht="20.100000000000001" customHeight="1">
      <c r="B773" s="14"/>
      <c r="C773" s="221"/>
      <c r="E773" s="213"/>
      <c r="F773" s="16"/>
      <c r="G773" s="8"/>
    </row>
    <row r="774" spans="2:7" ht="20.100000000000001" customHeight="1">
      <c r="B774" s="14"/>
      <c r="C774" s="221"/>
      <c r="E774" s="213"/>
      <c r="F774" s="16"/>
      <c r="G774" s="8"/>
    </row>
    <row r="775" spans="2:7" ht="20.100000000000001" customHeight="1">
      <c r="B775" s="14"/>
      <c r="C775" s="221"/>
      <c r="E775" s="213"/>
      <c r="F775" s="16"/>
      <c r="G775" s="8"/>
    </row>
    <row r="776" spans="2:7" ht="20.100000000000001" customHeight="1">
      <c r="B776" s="14"/>
      <c r="C776" s="221"/>
      <c r="E776" s="213"/>
      <c r="F776" s="16"/>
      <c r="G776" s="8"/>
    </row>
    <row r="777" spans="2:7" ht="20.100000000000001" customHeight="1">
      <c r="B777" s="14"/>
      <c r="C777" s="221"/>
      <c r="E777" s="213"/>
      <c r="F777" s="16"/>
      <c r="G777" s="8"/>
    </row>
    <row r="778" spans="2:7" ht="20.100000000000001" customHeight="1">
      <c r="B778" s="14"/>
      <c r="C778" s="221"/>
      <c r="E778" s="213"/>
      <c r="F778" s="16"/>
      <c r="G778" s="8"/>
    </row>
    <row r="779" spans="2:7" ht="20.100000000000001" customHeight="1">
      <c r="B779" s="14"/>
      <c r="C779" s="221"/>
      <c r="E779" s="213"/>
      <c r="F779" s="16"/>
      <c r="G779" s="8"/>
    </row>
    <row r="780" spans="2:7" ht="20.100000000000001" customHeight="1">
      <c r="B780" s="14"/>
      <c r="C780" s="221"/>
      <c r="E780" s="213"/>
      <c r="F780" s="16"/>
      <c r="G780" s="8"/>
    </row>
    <row r="781" spans="2:7" ht="20.100000000000001" customHeight="1">
      <c r="B781" s="14"/>
      <c r="C781" s="221"/>
      <c r="E781" s="213"/>
      <c r="F781" s="16"/>
      <c r="G781" s="8"/>
    </row>
    <row r="782" spans="2:7" ht="20.100000000000001" customHeight="1">
      <c r="B782" s="14"/>
      <c r="C782" s="221"/>
      <c r="E782" s="213"/>
      <c r="F782" s="16"/>
      <c r="G782" s="8"/>
    </row>
    <row r="783" spans="2:7" ht="20.100000000000001" customHeight="1">
      <c r="B783" s="14"/>
      <c r="C783" s="221"/>
      <c r="E783" s="213"/>
      <c r="F783" s="16"/>
      <c r="G783" s="8"/>
    </row>
    <row r="784" spans="2:7" ht="20.100000000000001" customHeight="1">
      <c r="B784" s="14"/>
      <c r="C784" s="221"/>
      <c r="E784" s="213"/>
      <c r="F784" s="16"/>
      <c r="G784" s="8"/>
    </row>
    <row r="785" spans="2:7" ht="20.100000000000001" customHeight="1">
      <c r="B785" s="14"/>
      <c r="C785" s="221"/>
      <c r="E785" s="213"/>
      <c r="F785" s="16"/>
      <c r="G785" s="8"/>
    </row>
    <row r="786" spans="2:7" ht="20.100000000000001" customHeight="1">
      <c r="B786" s="14"/>
      <c r="C786" s="221"/>
      <c r="E786" s="213"/>
      <c r="F786" s="16"/>
      <c r="G786" s="8"/>
    </row>
    <row r="787" spans="2:7" ht="20.100000000000001" customHeight="1">
      <c r="B787" s="14"/>
      <c r="C787" s="221"/>
      <c r="E787" s="213"/>
      <c r="F787" s="16"/>
      <c r="G787" s="8"/>
    </row>
    <row r="788" spans="2:7" ht="20.100000000000001" customHeight="1">
      <c r="B788" s="14"/>
      <c r="C788" s="221"/>
      <c r="E788" s="213"/>
      <c r="F788" s="16"/>
      <c r="G788" s="8"/>
    </row>
    <row r="789" spans="2:7" ht="20.100000000000001" customHeight="1">
      <c r="B789" s="14"/>
      <c r="C789" s="221"/>
      <c r="E789" s="213"/>
      <c r="F789" s="16"/>
      <c r="G789" s="8"/>
    </row>
    <row r="790" spans="2:7" ht="20.100000000000001" customHeight="1">
      <c r="B790" s="14"/>
      <c r="C790" s="221"/>
      <c r="E790" s="213"/>
      <c r="F790" s="16"/>
      <c r="G790" s="8"/>
    </row>
    <row r="791" spans="2:7" ht="20.100000000000001" customHeight="1">
      <c r="B791" s="14"/>
      <c r="C791" s="221"/>
      <c r="E791" s="213"/>
      <c r="F791" s="16"/>
      <c r="G791" s="8"/>
    </row>
    <row r="792" spans="2:7" ht="20.100000000000001" customHeight="1">
      <c r="B792" s="14"/>
      <c r="C792" s="221"/>
      <c r="E792" s="213"/>
      <c r="F792" s="16"/>
      <c r="G792" s="8"/>
    </row>
    <row r="793" spans="2:7" ht="20.100000000000001" customHeight="1">
      <c r="B793" s="14"/>
      <c r="C793" s="221"/>
      <c r="E793" s="213"/>
      <c r="F793" s="16"/>
      <c r="G793" s="8"/>
    </row>
    <row r="794" spans="2:7" ht="20.100000000000001" customHeight="1">
      <c r="B794" s="14"/>
      <c r="C794" s="221"/>
      <c r="E794" s="213"/>
      <c r="F794" s="16"/>
      <c r="G794" s="8"/>
    </row>
    <row r="795" spans="2:7" ht="20.100000000000001" customHeight="1">
      <c r="B795" s="14"/>
      <c r="C795" s="221"/>
      <c r="E795" s="213"/>
      <c r="F795" s="16"/>
      <c r="G795" s="8"/>
    </row>
    <row r="796" spans="2:7" ht="20.100000000000001" customHeight="1">
      <c r="B796" s="14"/>
      <c r="C796" s="221"/>
      <c r="E796" s="213"/>
      <c r="F796" s="16"/>
      <c r="G796" s="8"/>
    </row>
    <row r="797" spans="2:7" ht="20.100000000000001" customHeight="1">
      <c r="B797" s="14"/>
      <c r="C797" s="221"/>
      <c r="E797" s="213"/>
      <c r="F797" s="16"/>
      <c r="G797" s="8"/>
    </row>
    <row r="798" spans="2:7" ht="20.100000000000001" customHeight="1">
      <c r="B798" s="14"/>
      <c r="C798" s="221"/>
      <c r="E798" s="214"/>
      <c r="F798" s="16"/>
      <c r="G798" s="8"/>
    </row>
    <row r="799" spans="2:7" ht="20.100000000000001" customHeight="1">
      <c r="B799" s="14"/>
      <c r="C799" s="221"/>
      <c r="E799" s="213"/>
      <c r="F799" s="16"/>
      <c r="G799" s="8"/>
    </row>
    <row r="800" spans="2:7" ht="20.100000000000001" customHeight="1">
      <c r="B800" s="14"/>
      <c r="C800" s="221"/>
      <c r="E800" s="213"/>
      <c r="F800" s="16"/>
      <c r="G800" s="8"/>
    </row>
    <row r="801" spans="2:7" ht="20.100000000000001" customHeight="1">
      <c r="B801" s="14"/>
      <c r="C801" s="221"/>
      <c r="E801" s="213"/>
      <c r="F801" s="16"/>
      <c r="G801" s="8"/>
    </row>
    <row r="802" spans="2:7" ht="20.100000000000001" customHeight="1">
      <c r="B802" s="14"/>
      <c r="C802" s="221"/>
      <c r="E802" s="213"/>
      <c r="F802" s="16"/>
      <c r="G802" s="8"/>
    </row>
    <row r="803" spans="2:7" ht="20.100000000000001" customHeight="1">
      <c r="B803" s="14"/>
      <c r="C803" s="221"/>
      <c r="E803" s="213"/>
      <c r="F803" s="16"/>
      <c r="G803" s="8"/>
    </row>
    <row r="804" spans="2:7" ht="20.100000000000001" customHeight="1">
      <c r="B804" s="14"/>
      <c r="C804" s="221"/>
      <c r="E804" s="213"/>
      <c r="F804" s="16"/>
      <c r="G804" s="8"/>
    </row>
    <row r="805" spans="2:7" ht="20.100000000000001" customHeight="1">
      <c r="B805" s="14"/>
      <c r="C805" s="221"/>
      <c r="E805" s="213"/>
      <c r="F805" s="16"/>
      <c r="G805" s="8"/>
    </row>
    <row r="806" spans="2:7" ht="20.100000000000001" customHeight="1">
      <c r="B806" s="14"/>
      <c r="C806" s="221"/>
      <c r="E806" s="213"/>
      <c r="F806" s="16"/>
      <c r="G806" s="8"/>
    </row>
    <row r="807" spans="2:7" ht="20.100000000000001" customHeight="1">
      <c r="B807" s="14"/>
      <c r="C807" s="221"/>
      <c r="E807" s="213"/>
      <c r="F807" s="16"/>
      <c r="G807" s="8"/>
    </row>
    <row r="808" spans="2:7" ht="20.100000000000001" customHeight="1">
      <c r="B808" s="14"/>
      <c r="C808" s="221"/>
      <c r="E808" s="213"/>
      <c r="F808" s="16"/>
      <c r="G808" s="8"/>
    </row>
    <row r="809" spans="2:7" ht="20.100000000000001" customHeight="1">
      <c r="B809" s="14"/>
      <c r="C809" s="221"/>
      <c r="E809" s="213"/>
      <c r="F809" s="16"/>
      <c r="G809" s="8"/>
    </row>
    <row r="810" spans="2:7" ht="20.100000000000001" customHeight="1">
      <c r="B810" s="14"/>
      <c r="C810" s="221"/>
      <c r="E810" s="213"/>
      <c r="F810" s="16"/>
      <c r="G810" s="8"/>
    </row>
    <row r="811" spans="2:7" ht="20.100000000000001" customHeight="1">
      <c r="B811" s="14"/>
      <c r="C811" s="221"/>
      <c r="E811" s="213"/>
      <c r="F811" s="16"/>
      <c r="G811" s="8"/>
    </row>
    <row r="812" spans="2:7" ht="20.100000000000001" customHeight="1">
      <c r="B812" s="14"/>
      <c r="C812" s="221"/>
      <c r="E812" s="213"/>
      <c r="F812" s="16"/>
      <c r="G812" s="8"/>
    </row>
    <row r="813" spans="2:7" ht="20.100000000000001" customHeight="1">
      <c r="B813" s="14"/>
      <c r="C813" s="221"/>
      <c r="E813" s="213"/>
      <c r="F813" s="16"/>
      <c r="G813" s="8"/>
    </row>
    <row r="814" spans="2:7" ht="20.100000000000001" customHeight="1">
      <c r="B814" s="14"/>
      <c r="C814" s="221"/>
      <c r="E814" s="213"/>
      <c r="F814" s="16"/>
      <c r="G814" s="8"/>
    </row>
    <row r="815" spans="2:7" ht="20.100000000000001" customHeight="1">
      <c r="B815" s="14"/>
      <c r="C815" s="221"/>
      <c r="E815" s="213"/>
      <c r="F815" s="16"/>
      <c r="G815" s="8"/>
    </row>
    <row r="816" spans="2:7" ht="20.100000000000001" customHeight="1">
      <c r="B816" s="14"/>
      <c r="C816" s="221"/>
      <c r="E816" s="213"/>
      <c r="F816" s="16"/>
      <c r="G816" s="8"/>
    </row>
    <row r="817" spans="2:7" ht="20.100000000000001" customHeight="1">
      <c r="B817" s="14"/>
      <c r="C817" s="221"/>
      <c r="E817" s="213"/>
      <c r="F817" s="16"/>
      <c r="G817" s="8"/>
    </row>
    <row r="818" spans="2:7" ht="20.100000000000001" customHeight="1">
      <c r="B818" s="14"/>
      <c r="C818" s="221"/>
      <c r="E818" s="213"/>
      <c r="F818" s="16"/>
      <c r="G818" s="8"/>
    </row>
    <row r="819" spans="2:7" ht="20.100000000000001" customHeight="1">
      <c r="B819" s="14"/>
      <c r="C819" s="221"/>
      <c r="E819" s="213"/>
      <c r="F819" s="16"/>
      <c r="G819" s="8"/>
    </row>
    <row r="820" spans="2:7" ht="20.100000000000001" customHeight="1">
      <c r="B820" s="14"/>
      <c r="C820" s="221"/>
      <c r="E820" s="213"/>
      <c r="F820" s="16"/>
      <c r="G820" s="8"/>
    </row>
    <row r="821" spans="2:7" ht="20.100000000000001" customHeight="1">
      <c r="B821" s="14"/>
      <c r="C821" s="221"/>
      <c r="E821" s="213"/>
      <c r="F821" s="16"/>
      <c r="G821" s="8"/>
    </row>
    <row r="822" spans="2:7" ht="20.100000000000001" customHeight="1">
      <c r="B822" s="14"/>
      <c r="C822" s="221"/>
      <c r="E822" s="213"/>
      <c r="F822" s="16"/>
      <c r="G822" s="8"/>
    </row>
    <row r="823" spans="2:7" ht="20.100000000000001" customHeight="1">
      <c r="B823" s="14"/>
      <c r="C823" s="221"/>
      <c r="E823" s="213"/>
      <c r="F823" s="16"/>
      <c r="G823" s="8"/>
    </row>
    <row r="824" spans="2:7" ht="20.100000000000001" customHeight="1">
      <c r="B824" s="14"/>
      <c r="C824" s="221"/>
      <c r="E824" s="213"/>
      <c r="F824" s="16"/>
      <c r="G824" s="8"/>
    </row>
    <row r="825" spans="2:7" ht="20.100000000000001" customHeight="1">
      <c r="B825" s="14"/>
      <c r="C825" s="221"/>
      <c r="E825" s="213"/>
      <c r="F825" s="16"/>
      <c r="G825" s="8"/>
    </row>
    <row r="826" spans="2:7" ht="20.100000000000001" customHeight="1">
      <c r="B826" s="14"/>
      <c r="C826" s="221"/>
      <c r="E826" s="213"/>
      <c r="F826" s="16"/>
      <c r="G826" s="8"/>
    </row>
    <row r="827" spans="2:7" ht="20.100000000000001" customHeight="1">
      <c r="B827" s="14"/>
      <c r="C827" s="221"/>
      <c r="E827" s="213"/>
      <c r="F827" s="16"/>
      <c r="G827" s="8"/>
    </row>
    <row r="828" spans="2:7" ht="20.100000000000001" customHeight="1">
      <c r="B828" s="14"/>
      <c r="C828" s="221"/>
      <c r="E828" s="213"/>
      <c r="F828" s="16"/>
      <c r="G828" s="8"/>
    </row>
    <row r="829" spans="2:7" ht="20.100000000000001" customHeight="1">
      <c r="B829" s="14"/>
      <c r="C829" s="221"/>
      <c r="E829" s="213"/>
      <c r="F829" s="16"/>
      <c r="G829" s="8"/>
    </row>
    <row r="830" spans="2:7" ht="20.100000000000001" customHeight="1">
      <c r="B830" s="14"/>
      <c r="C830" s="221"/>
      <c r="E830" s="213"/>
      <c r="F830" s="16"/>
      <c r="G830" s="8"/>
    </row>
    <row r="831" spans="2:7" ht="20.100000000000001" customHeight="1">
      <c r="B831" s="14"/>
      <c r="C831" s="221"/>
      <c r="E831" s="213"/>
      <c r="F831" s="16"/>
      <c r="G831" s="8"/>
    </row>
    <row r="832" spans="2:7" ht="20.100000000000001" customHeight="1">
      <c r="B832" s="14"/>
      <c r="C832" s="221"/>
      <c r="E832" s="213"/>
      <c r="F832" s="16"/>
      <c r="G832" s="8"/>
    </row>
    <row r="833" spans="2:7" ht="20.100000000000001" customHeight="1">
      <c r="B833" s="14"/>
      <c r="C833" s="221"/>
      <c r="E833" s="213"/>
      <c r="F833" s="16"/>
      <c r="G833" s="8"/>
    </row>
    <row r="834" spans="2:7" ht="20.100000000000001" customHeight="1">
      <c r="B834" s="14"/>
      <c r="C834" s="221"/>
      <c r="E834" s="213"/>
      <c r="F834" s="16"/>
      <c r="G834" s="8"/>
    </row>
    <row r="835" spans="2:7" ht="20.100000000000001" customHeight="1">
      <c r="B835" s="14"/>
      <c r="C835" s="221"/>
      <c r="E835" s="213"/>
      <c r="F835" s="16"/>
      <c r="G835" s="8"/>
    </row>
    <row r="836" spans="2:7" ht="20.100000000000001" customHeight="1">
      <c r="B836" s="14"/>
      <c r="C836" s="221"/>
      <c r="E836" s="213"/>
      <c r="F836" s="16"/>
      <c r="G836" s="8"/>
    </row>
    <row r="837" spans="2:7" ht="20.100000000000001" customHeight="1">
      <c r="B837" s="14"/>
      <c r="C837" s="221"/>
      <c r="E837" s="213"/>
      <c r="F837" s="16"/>
      <c r="G837" s="8"/>
    </row>
    <row r="838" spans="2:7" ht="20.100000000000001" customHeight="1">
      <c r="B838" s="14"/>
      <c r="C838" s="221"/>
      <c r="E838" s="213"/>
      <c r="F838" s="16"/>
      <c r="G838" s="8"/>
    </row>
    <row r="839" spans="2:7" ht="20.100000000000001" customHeight="1">
      <c r="B839" s="14"/>
      <c r="C839" s="221"/>
      <c r="E839" s="213"/>
      <c r="F839" s="16"/>
      <c r="G839" s="8"/>
    </row>
    <row r="840" spans="2:7" ht="20.100000000000001" customHeight="1">
      <c r="B840" s="14"/>
      <c r="C840" s="221"/>
      <c r="E840" s="214"/>
      <c r="F840" s="16"/>
      <c r="G840" s="8"/>
    </row>
    <row r="841" spans="2:7" ht="20.100000000000001" customHeight="1">
      <c r="B841" s="14"/>
      <c r="C841" s="221"/>
      <c r="E841" s="213"/>
      <c r="F841" s="16"/>
      <c r="G841" s="8"/>
    </row>
    <row r="842" spans="2:7" ht="20.100000000000001" customHeight="1">
      <c r="B842" s="14"/>
      <c r="C842" s="221"/>
      <c r="E842" s="213"/>
      <c r="F842" s="16"/>
      <c r="G842" s="8"/>
    </row>
    <row r="843" spans="2:7" ht="20.100000000000001" customHeight="1">
      <c r="B843" s="14"/>
      <c r="C843" s="221"/>
      <c r="E843" s="213"/>
      <c r="F843" s="16"/>
      <c r="G843" s="8"/>
    </row>
    <row r="844" spans="2:7" ht="20.100000000000001" customHeight="1">
      <c r="B844" s="14"/>
      <c r="C844" s="221"/>
      <c r="E844" s="213"/>
      <c r="F844" s="16"/>
      <c r="G844" s="8"/>
    </row>
    <row r="845" spans="2:7" ht="20.100000000000001" customHeight="1">
      <c r="B845" s="14"/>
      <c r="C845" s="221"/>
      <c r="E845" s="213"/>
      <c r="F845" s="16"/>
      <c r="G845" s="8"/>
    </row>
    <row r="846" spans="2:7" ht="20.100000000000001" customHeight="1">
      <c r="B846" s="14"/>
      <c r="C846" s="221"/>
      <c r="E846" s="213"/>
      <c r="F846" s="16"/>
      <c r="G846" s="8"/>
    </row>
    <row r="847" spans="2:7" ht="20.100000000000001" customHeight="1">
      <c r="B847" s="14"/>
      <c r="C847" s="221"/>
      <c r="E847" s="213"/>
      <c r="F847" s="16"/>
      <c r="G847" s="8"/>
    </row>
    <row r="848" spans="2:7" ht="20.100000000000001" customHeight="1">
      <c r="B848" s="14"/>
      <c r="C848" s="227"/>
      <c r="E848" s="213"/>
      <c r="F848" s="16"/>
      <c r="G848" s="8"/>
    </row>
    <row r="849" spans="2:7" ht="20.100000000000001" customHeight="1">
      <c r="B849" s="14"/>
      <c r="C849" s="227"/>
      <c r="E849" s="213"/>
      <c r="F849" s="16"/>
      <c r="G849" s="8"/>
    </row>
    <row r="850" spans="2:7" ht="20.100000000000001" customHeight="1">
      <c r="B850" s="14"/>
      <c r="C850" s="221"/>
      <c r="E850" s="213"/>
      <c r="F850" s="16"/>
      <c r="G850" s="8"/>
    </row>
    <row r="851" spans="2:7" ht="20.100000000000001" customHeight="1">
      <c r="B851" s="14"/>
      <c r="C851" s="221"/>
      <c r="E851" s="213"/>
      <c r="F851" s="16"/>
      <c r="G851" s="8"/>
    </row>
    <row r="852" spans="2:7" ht="20.100000000000001" customHeight="1">
      <c r="B852" s="14"/>
      <c r="C852" s="221"/>
      <c r="E852" s="213"/>
      <c r="F852" s="16"/>
      <c r="G852" s="8"/>
    </row>
    <row r="853" spans="2:7" ht="20.100000000000001" customHeight="1">
      <c r="B853" s="14"/>
      <c r="C853" s="221"/>
      <c r="E853" s="213"/>
      <c r="F853" s="16"/>
      <c r="G853" s="8"/>
    </row>
    <row r="854" spans="2:7" ht="20.100000000000001" customHeight="1">
      <c r="B854" s="14"/>
      <c r="C854" s="221"/>
      <c r="E854" s="213"/>
      <c r="F854" s="16"/>
      <c r="G854" s="8"/>
    </row>
    <row r="855" spans="2:7" ht="20.100000000000001" customHeight="1">
      <c r="B855" s="14"/>
      <c r="C855" s="221"/>
      <c r="E855" s="213"/>
      <c r="F855" s="16"/>
      <c r="G855" s="8"/>
    </row>
    <row r="856" spans="2:7" ht="20.100000000000001" customHeight="1">
      <c r="B856" s="14"/>
      <c r="C856" s="221"/>
      <c r="E856" s="213"/>
      <c r="F856" s="16"/>
      <c r="G856" s="8"/>
    </row>
    <row r="857" spans="2:7" ht="20.100000000000001" customHeight="1">
      <c r="B857" s="14"/>
      <c r="C857" s="221"/>
      <c r="E857" s="213"/>
      <c r="F857" s="16"/>
      <c r="G857" s="8"/>
    </row>
    <row r="858" spans="2:7" ht="20.100000000000001" customHeight="1">
      <c r="B858" s="14"/>
      <c r="C858" s="221"/>
      <c r="E858" s="213"/>
      <c r="F858" s="16"/>
      <c r="G858" s="8"/>
    </row>
    <row r="859" spans="2:7" ht="20.100000000000001" customHeight="1">
      <c r="B859" s="14"/>
      <c r="C859" s="221"/>
      <c r="E859" s="213"/>
      <c r="F859" s="16"/>
      <c r="G859" s="8"/>
    </row>
    <row r="860" spans="2:7" ht="20.100000000000001" customHeight="1">
      <c r="B860" s="14"/>
      <c r="C860" s="221"/>
      <c r="E860" s="213"/>
      <c r="F860" s="16"/>
      <c r="G860" s="8"/>
    </row>
    <row r="861" spans="2:7" ht="20.100000000000001" customHeight="1">
      <c r="B861" s="14"/>
      <c r="C861" s="221"/>
      <c r="E861" s="213"/>
      <c r="F861" s="16"/>
      <c r="G861" s="8"/>
    </row>
    <row r="862" spans="2:7" ht="20.100000000000001" customHeight="1">
      <c r="B862" s="14"/>
      <c r="C862" s="221"/>
      <c r="E862" s="213"/>
      <c r="F862" s="16"/>
      <c r="G862" s="8"/>
    </row>
    <row r="863" spans="2:7" ht="20.100000000000001" customHeight="1">
      <c r="B863" s="14"/>
      <c r="C863" s="221"/>
      <c r="E863" s="213"/>
      <c r="F863" s="16"/>
      <c r="G863" s="8"/>
    </row>
    <row r="864" spans="2:7" ht="20.100000000000001" customHeight="1">
      <c r="B864" s="14"/>
      <c r="C864" s="221"/>
      <c r="E864" s="213"/>
      <c r="F864" s="16"/>
      <c r="G864" s="8"/>
    </row>
    <row r="865" spans="2:7" ht="20.100000000000001" customHeight="1">
      <c r="B865" s="14"/>
      <c r="C865" s="221"/>
      <c r="E865" s="213"/>
      <c r="F865" s="16"/>
      <c r="G865" s="8"/>
    </row>
    <row r="866" spans="2:7" ht="20.100000000000001" customHeight="1">
      <c r="B866" s="14"/>
      <c r="C866" s="221"/>
      <c r="E866" s="213"/>
      <c r="F866" s="16"/>
      <c r="G866" s="8"/>
    </row>
    <row r="867" spans="2:7" ht="20.100000000000001" customHeight="1">
      <c r="B867" s="14"/>
      <c r="C867" s="221"/>
      <c r="E867" s="213"/>
      <c r="F867" s="16"/>
      <c r="G867" s="8"/>
    </row>
    <row r="868" spans="2:7" ht="20.100000000000001" customHeight="1">
      <c r="B868" s="14"/>
      <c r="C868" s="221"/>
      <c r="E868" s="213"/>
      <c r="F868" s="16"/>
      <c r="G868" s="8"/>
    </row>
    <row r="869" spans="2:7" ht="20.100000000000001" customHeight="1">
      <c r="B869" s="14"/>
      <c r="C869" s="221"/>
      <c r="E869" s="213"/>
      <c r="F869" s="16"/>
      <c r="G869" s="8"/>
    </row>
    <row r="870" spans="2:7" ht="20.100000000000001" customHeight="1">
      <c r="B870" s="14"/>
      <c r="C870" s="221"/>
      <c r="E870" s="213"/>
      <c r="F870" s="16"/>
      <c r="G870" s="8"/>
    </row>
    <row r="871" spans="2:7" ht="20.100000000000001" customHeight="1">
      <c r="B871" s="14"/>
      <c r="C871" s="221"/>
      <c r="E871" s="213"/>
      <c r="F871" s="16"/>
      <c r="G871" s="8"/>
    </row>
    <row r="872" spans="2:7" ht="20.100000000000001" customHeight="1">
      <c r="B872" s="14"/>
      <c r="C872" s="221"/>
      <c r="E872" s="213"/>
      <c r="F872" s="16"/>
      <c r="G872" s="8"/>
    </row>
    <row r="873" spans="2:7" ht="20.100000000000001" customHeight="1">
      <c r="B873" s="14"/>
      <c r="C873" s="221"/>
      <c r="E873" s="213"/>
      <c r="F873" s="16"/>
      <c r="G873" s="8"/>
    </row>
    <row r="874" spans="2:7" ht="20.100000000000001" customHeight="1">
      <c r="B874" s="14"/>
      <c r="C874" s="221"/>
      <c r="E874" s="213"/>
      <c r="F874" s="16"/>
      <c r="G874" s="8"/>
    </row>
    <row r="875" spans="2:7" ht="20.100000000000001" customHeight="1">
      <c r="B875" s="14"/>
      <c r="C875" s="221"/>
      <c r="E875" s="213"/>
      <c r="F875" s="16"/>
      <c r="G875" s="8"/>
    </row>
    <row r="876" spans="2:7" ht="20.100000000000001" customHeight="1">
      <c r="B876" s="14"/>
      <c r="C876" s="221"/>
      <c r="E876" s="213"/>
      <c r="F876" s="16"/>
      <c r="G876" s="8"/>
    </row>
    <row r="877" spans="2:7" ht="20.100000000000001" customHeight="1">
      <c r="B877" s="14"/>
      <c r="C877" s="221"/>
      <c r="E877" s="213"/>
      <c r="F877" s="16"/>
      <c r="G877" s="8"/>
    </row>
    <row r="878" spans="2:7" ht="20.100000000000001" customHeight="1">
      <c r="B878" s="14"/>
      <c r="C878" s="221"/>
      <c r="E878" s="214"/>
      <c r="F878" s="16"/>
      <c r="G878" s="8"/>
    </row>
    <row r="879" spans="2:7" ht="20.100000000000001" customHeight="1">
      <c r="B879" s="14"/>
      <c r="C879" s="221"/>
      <c r="E879" s="213"/>
      <c r="F879" s="16"/>
      <c r="G879" s="8"/>
    </row>
    <row r="880" spans="2:7" ht="20.100000000000001" customHeight="1">
      <c r="B880" s="14"/>
      <c r="C880" s="221"/>
      <c r="E880" s="213"/>
      <c r="F880" s="16"/>
      <c r="G880" s="8"/>
    </row>
    <row r="881" spans="2:7" ht="20.100000000000001" customHeight="1">
      <c r="B881" s="14"/>
      <c r="C881" s="221"/>
      <c r="E881" s="213"/>
      <c r="F881" s="16"/>
      <c r="G881" s="8"/>
    </row>
    <row r="882" spans="2:7" ht="20.100000000000001" customHeight="1">
      <c r="B882" s="14"/>
      <c r="C882" s="221"/>
      <c r="E882" s="213"/>
      <c r="F882" s="16"/>
      <c r="G882" s="8"/>
    </row>
    <row r="883" spans="2:7" ht="20.100000000000001" customHeight="1">
      <c r="B883" s="14"/>
      <c r="C883" s="221"/>
      <c r="E883" s="213"/>
      <c r="F883" s="16"/>
      <c r="G883" s="8"/>
    </row>
    <row r="884" spans="2:7" ht="20.100000000000001" customHeight="1">
      <c r="B884" s="14"/>
      <c r="C884" s="221"/>
      <c r="E884" s="213"/>
      <c r="F884" s="16"/>
      <c r="G884" s="8"/>
    </row>
    <row r="885" spans="2:7" ht="20.100000000000001" customHeight="1">
      <c r="B885" s="14"/>
      <c r="C885" s="221"/>
      <c r="E885" s="213"/>
      <c r="F885" s="16"/>
      <c r="G885" s="8"/>
    </row>
    <row r="886" spans="2:7" ht="20.100000000000001" customHeight="1">
      <c r="B886" s="14"/>
      <c r="C886" s="221"/>
      <c r="E886" s="213"/>
      <c r="F886" s="16"/>
      <c r="G886" s="8"/>
    </row>
    <row r="887" spans="2:7" ht="20.100000000000001" customHeight="1">
      <c r="B887" s="14"/>
      <c r="C887" s="227"/>
      <c r="E887" s="213"/>
      <c r="F887" s="16"/>
      <c r="G887" s="8"/>
    </row>
    <row r="888" spans="2:7" ht="20.100000000000001" customHeight="1">
      <c r="B888" s="14"/>
      <c r="C888" s="227"/>
      <c r="E888" s="213"/>
      <c r="F888" s="16"/>
      <c r="G888" s="8"/>
    </row>
    <row r="889" spans="2:7" ht="20.100000000000001" customHeight="1">
      <c r="B889" s="14"/>
      <c r="C889" s="227"/>
      <c r="E889" s="213"/>
      <c r="F889" s="16"/>
      <c r="G889" s="8"/>
    </row>
    <row r="890" spans="2:7" ht="20.100000000000001" customHeight="1">
      <c r="B890" s="14"/>
      <c r="C890" s="221"/>
      <c r="E890" s="213"/>
      <c r="F890" s="16"/>
      <c r="G890" s="8"/>
    </row>
    <row r="891" spans="2:7" ht="20.100000000000001" customHeight="1">
      <c r="B891" s="14"/>
      <c r="C891" s="221"/>
      <c r="E891" s="213"/>
      <c r="F891" s="16"/>
      <c r="G891" s="8"/>
    </row>
    <row r="892" spans="2:7" ht="20.100000000000001" customHeight="1">
      <c r="B892" s="14"/>
      <c r="C892" s="221"/>
      <c r="E892" s="213"/>
      <c r="F892" s="16"/>
      <c r="G892" s="8"/>
    </row>
    <row r="893" spans="2:7" ht="20.100000000000001" customHeight="1">
      <c r="B893" s="14"/>
      <c r="C893" s="221"/>
      <c r="E893" s="213"/>
      <c r="F893" s="16"/>
      <c r="G893" s="8"/>
    </row>
    <row r="894" spans="2:7" ht="20.100000000000001" customHeight="1">
      <c r="B894" s="14"/>
      <c r="C894" s="221"/>
      <c r="E894" s="213"/>
      <c r="F894" s="16"/>
      <c r="G894" s="8"/>
    </row>
    <row r="895" spans="2:7" ht="20.100000000000001" customHeight="1">
      <c r="B895" s="14"/>
      <c r="C895" s="228"/>
      <c r="E895" s="220"/>
      <c r="F895" s="16"/>
      <c r="G895" s="8"/>
    </row>
    <row r="896" spans="2:7" ht="20.100000000000001" customHeight="1">
      <c r="B896" s="14"/>
      <c r="C896" s="228"/>
      <c r="E896" s="220"/>
      <c r="F896" s="16"/>
      <c r="G896" s="8"/>
    </row>
    <row r="897" spans="2:7" ht="20.100000000000001" customHeight="1">
      <c r="B897" s="14"/>
      <c r="C897" s="228"/>
      <c r="E897" s="220"/>
      <c r="F897" s="16"/>
      <c r="G897" s="8"/>
    </row>
    <row r="898" spans="2:7" ht="20.100000000000001" customHeight="1">
      <c r="B898" s="14"/>
      <c r="C898" s="228"/>
      <c r="E898" s="220"/>
      <c r="F898" s="16"/>
      <c r="G898" s="8"/>
    </row>
    <row r="899" spans="2:7" ht="20.100000000000001" customHeight="1">
      <c r="B899" s="14"/>
      <c r="C899" s="221"/>
      <c r="E899" s="213"/>
      <c r="F899" s="16"/>
      <c r="G899" s="8"/>
    </row>
    <row r="900" spans="2:7" ht="20.100000000000001" customHeight="1">
      <c r="B900" s="14"/>
      <c r="C900" s="228"/>
      <c r="E900" s="220"/>
      <c r="F900" s="16"/>
      <c r="G900" s="8"/>
    </row>
    <row r="901" spans="2:7" ht="20.100000000000001" customHeight="1">
      <c r="B901" s="14"/>
      <c r="C901" s="228"/>
      <c r="E901" s="220"/>
      <c r="F901" s="16"/>
      <c r="G901" s="8"/>
    </row>
    <row r="902" spans="2:7" ht="20.100000000000001" customHeight="1">
      <c r="B902" s="14"/>
      <c r="C902" s="228"/>
      <c r="E902" s="220"/>
      <c r="F902" s="16"/>
      <c r="G902" s="8"/>
    </row>
    <row r="903" spans="2:7" ht="20.100000000000001" customHeight="1">
      <c r="B903" s="14"/>
      <c r="C903" s="228"/>
      <c r="E903" s="220"/>
      <c r="F903" s="16"/>
      <c r="G903" s="8"/>
    </row>
    <row r="904" spans="2:7" ht="20.100000000000001" customHeight="1">
      <c r="B904" s="14"/>
      <c r="C904" s="228"/>
      <c r="E904" s="220"/>
      <c r="F904" s="16"/>
      <c r="G904" s="8"/>
    </row>
    <row r="905" spans="2:7" ht="20.100000000000001" customHeight="1">
      <c r="B905" s="14"/>
      <c r="C905" s="221"/>
      <c r="E905" s="213"/>
      <c r="F905" s="16"/>
      <c r="G905" s="8"/>
    </row>
    <row r="906" spans="2:7" ht="20.100000000000001" customHeight="1">
      <c r="B906" s="14"/>
      <c r="C906" s="228"/>
      <c r="E906" s="220"/>
      <c r="F906" s="16"/>
      <c r="G906" s="8"/>
    </row>
    <row r="907" spans="2:7" ht="20.100000000000001" customHeight="1">
      <c r="B907" s="14"/>
      <c r="C907" s="221"/>
      <c r="E907" s="213"/>
      <c r="F907" s="16"/>
      <c r="G907" s="8"/>
    </row>
    <row r="908" spans="2:7" ht="20.100000000000001" customHeight="1">
      <c r="B908" s="14"/>
      <c r="C908" s="221"/>
      <c r="E908" s="213"/>
      <c r="F908" s="16"/>
      <c r="G908" s="8"/>
    </row>
    <row r="909" spans="2:7" ht="20.100000000000001" customHeight="1">
      <c r="B909" s="14"/>
      <c r="C909" s="228"/>
      <c r="E909" s="220"/>
      <c r="F909" s="16"/>
      <c r="G909" s="8"/>
    </row>
    <row r="910" spans="2:7" ht="20.100000000000001" customHeight="1">
      <c r="B910" s="14"/>
      <c r="C910" s="221"/>
      <c r="E910" s="213"/>
      <c r="F910" s="16"/>
      <c r="G910" s="8"/>
    </row>
    <row r="911" spans="2:7" ht="20.100000000000001" customHeight="1">
      <c r="B911" s="14"/>
      <c r="C911" s="228"/>
      <c r="E911" s="220"/>
      <c r="F911" s="16"/>
      <c r="G911" s="8"/>
    </row>
    <row r="912" spans="2:7" ht="20.100000000000001" customHeight="1">
      <c r="B912" s="14"/>
      <c r="C912" s="221"/>
      <c r="E912" s="213"/>
      <c r="F912" s="16"/>
      <c r="G912" s="8"/>
    </row>
    <row r="913" spans="2:7" ht="20.100000000000001" customHeight="1">
      <c r="B913" s="14"/>
      <c r="C913" s="228"/>
      <c r="E913" s="220"/>
      <c r="F913" s="16"/>
      <c r="G913" s="8"/>
    </row>
    <row r="914" spans="2:7" ht="20.100000000000001" customHeight="1">
      <c r="B914" s="14"/>
      <c r="C914" s="221"/>
      <c r="E914" s="213"/>
      <c r="F914" s="16"/>
      <c r="G914" s="8"/>
    </row>
    <row r="915" spans="2:7" ht="20.100000000000001" customHeight="1">
      <c r="B915" s="14"/>
      <c r="C915" s="228"/>
      <c r="E915" s="220"/>
      <c r="F915" s="16"/>
      <c r="G915" s="8"/>
    </row>
    <row r="916" spans="2:7" ht="20.100000000000001" customHeight="1">
      <c r="B916" s="14"/>
      <c r="C916" s="228"/>
      <c r="E916" s="220"/>
      <c r="F916" s="16"/>
      <c r="G916" s="8"/>
    </row>
    <row r="917" spans="2:7" ht="20.100000000000001" customHeight="1">
      <c r="B917" s="14"/>
      <c r="C917" s="228"/>
      <c r="E917" s="220"/>
      <c r="F917" s="16"/>
      <c r="G917" s="8"/>
    </row>
    <row r="918" spans="2:7" ht="20.100000000000001" customHeight="1">
      <c r="B918" s="14"/>
      <c r="C918" s="228"/>
      <c r="E918" s="220"/>
      <c r="F918" s="16"/>
      <c r="G918" s="8"/>
    </row>
    <row r="919" spans="2:7" ht="20.100000000000001" customHeight="1">
      <c r="B919" s="14"/>
      <c r="C919" s="221"/>
      <c r="E919" s="213"/>
      <c r="F919" s="16"/>
      <c r="G919" s="8"/>
    </row>
    <row r="920" spans="2:7" ht="20.100000000000001" customHeight="1">
      <c r="B920" s="14"/>
      <c r="C920" s="228"/>
      <c r="E920" s="220"/>
      <c r="F920" s="16"/>
      <c r="G920" s="8"/>
    </row>
    <row r="921" spans="2:7" ht="20.100000000000001" customHeight="1">
      <c r="B921" s="14"/>
      <c r="C921" s="228"/>
      <c r="E921" s="220"/>
      <c r="F921" s="16"/>
      <c r="G921" s="8"/>
    </row>
    <row r="922" spans="2:7" ht="20.100000000000001" customHeight="1">
      <c r="B922" s="14"/>
      <c r="C922" s="221"/>
      <c r="E922" s="213"/>
      <c r="F922" s="16"/>
      <c r="G922" s="8"/>
    </row>
    <row r="923" spans="2:7" ht="20.100000000000001" customHeight="1">
      <c r="B923" s="14"/>
      <c r="C923" s="221"/>
      <c r="E923" s="213"/>
      <c r="F923" s="16"/>
      <c r="G923" s="8"/>
    </row>
    <row r="924" spans="2:7" ht="20.100000000000001" customHeight="1">
      <c r="B924" s="14"/>
      <c r="C924" s="228"/>
      <c r="E924" s="220"/>
      <c r="F924" s="16"/>
      <c r="G924" s="8"/>
    </row>
    <row r="925" spans="2:7" ht="20.100000000000001" customHeight="1">
      <c r="B925" s="14"/>
      <c r="C925" s="221"/>
      <c r="E925" s="213"/>
      <c r="F925" s="16"/>
      <c r="G925" s="8"/>
    </row>
    <row r="926" spans="2:7" ht="20.100000000000001" customHeight="1">
      <c r="B926" s="14"/>
      <c r="C926" s="228"/>
      <c r="E926" s="220"/>
      <c r="F926" s="16"/>
      <c r="G926" s="8"/>
    </row>
    <row r="927" spans="2:7" ht="20.100000000000001" customHeight="1">
      <c r="B927" s="14"/>
      <c r="C927" s="228"/>
      <c r="E927" s="220"/>
      <c r="F927" s="16"/>
      <c r="G927" s="8"/>
    </row>
    <row r="928" spans="2:7" ht="20.100000000000001" customHeight="1">
      <c r="B928" s="14"/>
      <c r="C928" s="221"/>
      <c r="E928" s="213"/>
      <c r="F928" s="16"/>
      <c r="G928" s="8"/>
    </row>
    <row r="929" spans="2:7" ht="20.100000000000001" customHeight="1">
      <c r="B929" s="14"/>
      <c r="C929" s="228"/>
      <c r="E929" s="220"/>
      <c r="F929" s="16"/>
      <c r="G929" s="8"/>
    </row>
    <row r="930" spans="2:7" ht="20.100000000000001" customHeight="1">
      <c r="B930" s="14"/>
      <c r="C930" s="221"/>
      <c r="E930" s="213"/>
      <c r="F930" s="16"/>
      <c r="G930" s="8"/>
    </row>
    <row r="931" spans="2:7" ht="20.100000000000001" customHeight="1">
      <c r="B931" s="14"/>
      <c r="C931" s="228"/>
      <c r="E931" s="220"/>
      <c r="F931" s="16"/>
      <c r="G931" s="8"/>
    </row>
    <row r="932" spans="2:7" ht="20.100000000000001" customHeight="1">
      <c r="B932" s="14"/>
      <c r="C932" s="228"/>
      <c r="E932" s="220"/>
      <c r="F932" s="16"/>
      <c r="G932" s="8"/>
    </row>
    <row r="933" spans="2:7" ht="20.100000000000001" customHeight="1">
      <c r="B933" s="14"/>
      <c r="C933" s="228"/>
      <c r="E933" s="220"/>
      <c r="F933" s="16"/>
      <c r="G933" s="8"/>
    </row>
    <row r="934" spans="2:7" ht="20.100000000000001" customHeight="1">
      <c r="B934" s="14"/>
      <c r="C934" s="228"/>
      <c r="E934" s="220"/>
      <c r="F934" s="16"/>
      <c r="G934" s="8"/>
    </row>
    <row r="935" spans="2:7" ht="20.100000000000001" customHeight="1">
      <c r="B935" s="14"/>
      <c r="C935" s="228"/>
      <c r="E935" s="220"/>
      <c r="F935" s="16"/>
      <c r="G935" s="8"/>
    </row>
    <row r="936" spans="2:7" ht="20.100000000000001" customHeight="1">
      <c r="B936" s="14"/>
      <c r="C936" s="228"/>
      <c r="E936" s="220"/>
      <c r="F936" s="16"/>
      <c r="G936" s="8"/>
    </row>
    <row r="937" spans="2:7" ht="20.100000000000001" customHeight="1">
      <c r="B937" s="14"/>
      <c r="C937" s="228"/>
      <c r="E937" s="220"/>
      <c r="F937" s="16"/>
      <c r="G937" s="8"/>
    </row>
    <row r="938" spans="2:7" ht="20.100000000000001" customHeight="1">
      <c r="B938" s="14"/>
      <c r="C938" s="228"/>
      <c r="E938" s="220"/>
      <c r="F938" s="16"/>
      <c r="G938" s="8"/>
    </row>
    <row r="939" spans="2:7" ht="20.100000000000001" customHeight="1">
      <c r="B939" s="14"/>
      <c r="C939" s="228"/>
      <c r="E939" s="220"/>
      <c r="F939" s="16"/>
      <c r="G939" s="8"/>
    </row>
    <row r="940" spans="2:7" ht="20.100000000000001" customHeight="1">
      <c r="B940" s="14"/>
      <c r="C940" s="228"/>
      <c r="E940" s="220"/>
      <c r="F940" s="16"/>
      <c r="G940" s="8"/>
    </row>
    <row r="941" spans="2:7" ht="20.100000000000001" customHeight="1">
      <c r="B941" s="14"/>
      <c r="C941" s="228"/>
      <c r="E941" s="220"/>
      <c r="F941" s="16"/>
      <c r="G941" s="8"/>
    </row>
    <row r="942" spans="2:7" ht="20.100000000000001" customHeight="1">
      <c r="B942" s="14"/>
      <c r="C942" s="228"/>
      <c r="E942" s="220"/>
      <c r="F942" s="16"/>
      <c r="G942" s="8"/>
    </row>
    <row r="943" spans="2:7" ht="20.100000000000001" customHeight="1">
      <c r="B943" s="14"/>
      <c r="C943" s="228"/>
      <c r="E943" s="220"/>
      <c r="F943" s="16"/>
      <c r="G943" s="8"/>
    </row>
    <row r="944" spans="2:7" ht="20.100000000000001" customHeight="1">
      <c r="B944" s="14"/>
      <c r="C944" s="228"/>
      <c r="E944" s="220"/>
      <c r="F944" s="16"/>
      <c r="G944" s="8"/>
    </row>
    <row r="945" spans="2:7" ht="20.100000000000001" customHeight="1">
      <c r="B945" s="14"/>
      <c r="C945" s="228"/>
      <c r="E945" s="220"/>
      <c r="F945" s="16"/>
      <c r="G945" s="8"/>
    </row>
    <row r="946" spans="2:7" ht="20.100000000000001" customHeight="1">
      <c r="B946" s="14"/>
      <c r="C946" s="228"/>
      <c r="E946" s="220"/>
      <c r="F946" s="16"/>
      <c r="G946" s="8"/>
    </row>
    <row r="947" spans="2:7" ht="20.100000000000001" customHeight="1">
      <c r="B947" s="14"/>
      <c r="C947" s="228"/>
      <c r="E947" s="220"/>
      <c r="F947" s="16"/>
      <c r="G947" s="8"/>
    </row>
    <row r="948" spans="2:7" ht="20.100000000000001" customHeight="1">
      <c r="B948" s="14"/>
      <c r="C948" s="228"/>
      <c r="E948" s="220"/>
      <c r="F948" s="16"/>
      <c r="G948" s="8"/>
    </row>
    <row r="949" spans="2:7" ht="20.100000000000001" customHeight="1">
      <c r="B949" s="14"/>
      <c r="C949" s="228"/>
      <c r="E949" s="220"/>
      <c r="F949" s="16"/>
      <c r="G949" s="8"/>
    </row>
    <row r="950" spans="2:7" ht="20.100000000000001" customHeight="1">
      <c r="B950" s="14"/>
      <c r="C950" s="228"/>
      <c r="E950" s="220"/>
      <c r="F950" s="16"/>
      <c r="G950" s="8"/>
    </row>
    <row r="951" spans="2:7" ht="20.100000000000001" customHeight="1">
      <c r="B951" s="14"/>
      <c r="C951" s="228"/>
      <c r="E951" s="220"/>
      <c r="F951" s="16"/>
      <c r="G951" s="8"/>
    </row>
    <row r="952" spans="2:7" ht="20.100000000000001" customHeight="1">
      <c r="B952" s="14"/>
      <c r="C952" s="228"/>
      <c r="E952" s="220"/>
      <c r="F952" s="16"/>
      <c r="G952" s="8"/>
    </row>
    <row r="953" spans="2:7" ht="20.100000000000001" customHeight="1">
      <c r="B953" s="14"/>
      <c r="C953" s="228"/>
      <c r="E953" s="220"/>
      <c r="F953" s="16"/>
      <c r="G953" s="8"/>
    </row>
    <row r="954" spans="2:7" ht="20.100000000000001" customHeight="1">
      <c r="B954" s="14"/>
      <c r="C954" s="228"/>
      <c r="E954" s="220"/>
      <c r="F954" s="16"/>
      <c r="G954" s="8"/>
    </row>
    <row r="955" spans="2:7" ht="20.100000000000001" customHeight="1">
      <c r="B955" s="14"/>
      <c r="C955" s="228"/>
      <c r="E955" s="220"/>
      <c r="F955" s="16"/>
      <c r="G955" s="8"/>
    </row>
    <row r="956" spans="2:7" ht="20.100000000000001" customHeight="1">
      <c r="B956" s="14"/>
      <c r="C956" s="228"/>
      <c r="E956" s="220"/>
      <c r="F956" s="16"/>
      <c r="G956" s="8"/>
    </row>
    <row r="957" spans="2:7" ht="20.100000000000001" customHeight="1">
      <c r="B957" s="14"/>
      <c r="C957" s="228"/>
      <c r="E957" s="220"/>
      <c r="F957" s="16"/>
      <c r="G957" s="8"/>
    </row>
    <row r="958" spans="2:7" ht="20.100000000000001" customHeight="1">
      <c r="B958" s="14"/>
      <c r="C958" s="228"/>
      <c r="E958" s="220"/>
      <c r="F958" s="16"/>
      <c r="G958" s="8"/>
    </row>
    <row r="959" spans="2:7" ht="20.100000000000001" customHeight="1">
      <c r="B959" s="14"/>
      <c r="C959" s="228"/>
      <c r="E959" s="220"/>
      <c r="F959" s="16"/>
      <c r="G959" s="8"/>
    </row>
    <row r="960" spans="2:7" ht="20.100000000000001" customHeight="1">
      <c r="B960" s="14"/>
      <c r="C960" s="228"/>
      <c r="E960" s="220"/>
      <c r="F960" s="16"/>
      <c r="G960" s="8"/>
    </row>
    <row r="961" spans="2:7" ht="20.100000000000001" customHeight="1">
      <c r="B961" s="14"/>
      <c r="C961" s="228"/>
      <c r="E961" s="220"/>
      <c r="F961" s="16"/>
      <c r="G961" s="8"/>
    </row>
    <row r="962" spans="2:7" ht="20.100000000000001" customHeight="1">
      <c r="B962" s="14"/>
      <c r="C962" s="228"/>
      <c r="E962" s="220"/>
      <c r="F962" s="16"/>
      <c r="G962" s="8"/>
    </row>
    <row r="963" spans="2:7" ht="20.100000000000001" customHeight="1">
      <c r="B963" s="14"/>
      <c r="C963" s="228"/>
      <c r="E963" s="220"/>
      <c r="F963" s="16"/>
      <c r="G963" s="8"/>
    </row>
    <row r="964" spans="2:7" ht="20.100000000000001" customHeight="1">
      <c r="B964" s="14"/>
      <c r="C964" s="228"/>
      <c r="E964" s="220"/>
      <c r="F964" s="16"/>
      <c r="G964" s="8"/>
    </row>
    <row r="965" spans="2:7" ht="20.100000000000001" customHeight="1">
      <c r="B965" s="14"/>
      <c r="C965" s="228"/>
      <c r="E965" s="220"/>
      <c r="F965" s="16"/>
      <c r="G965" s="8"/>
    </row>
    <row r="966" spans="2:7" ht="20.100000000000001" customHeight="1">
      <c r="B966" s="14"/>
      <c r="C966" s="228"/>
      <c r="E966" s="220"/>
      <c r="F966" s="16"/>
      <c r="G966" s="8"/>
    </row>
    <row r="967" spans="2:7" ht="20.100000000000001" customHeight="1">
      <c r="B967" s="14"/>
      <c r="C967" s="228"/>
      <c r="E967" s="220"/>
      <c r="F967" s="16"/>
      <c r="G967" s="8"/>
    </row>
    <row r="968" spans="2:7" ht="20.100000000000001" customHeight="1">
      <c r="B968" s="14"/>
      <c r="C968" s="228"/>
      <c r="E968" s="220"/>
      <c r="F968" s="16"/>
      <c r="G968" s="8"/>
    </row>
    <row r="969" spans="2:7" ht="20.100000000000001" customHeight="1">
      <c r="B969" s="14"/>
      <c r="C969" s="228"/>
      <c r="E969" s="220"/>
      <c r="F969" s="16"/>
      <c r="G969" s="8"/>
    </row>
    <row r="970" spans="2:7" ht="20.100000000000001" customHeight="1">
      <c r="B970" s="14"/>
      <c r="C970" s="228"/>
      <c r="E970" s="220"/>
      <c r="F970" s="16"/>
      <c r="G970" s="8"/>
    </row>
    <row r="971" spans="2:7" ht="20.100000000000001" customHeight="1">
      <c r="B971" s="14"/>
      <c r="C971" s="228"/>
      <c r="E971" s="220"/>
      <c r="F971" s="16"/>
      <c r="G971" s="8"/>
    </row>
    <row r="972" spans="2:7" ht="20.100000000000001" customHeight="1">
      <c r="B972" s="14"/>
      <c r="C972" s="228"/>
      <c r="E972" s="220"/>
      <c r="F972" s="16"/>
      <c r="G972" s="8"/>
    </row>
    <row r="973" spans="2:7" ht="20.100000000000001" customHeight="1">
      <c r="B973" s="14"/>
      <c r="C973" s="221"/>
      <c r="E973" s="213"/>
      <c r="F973" s="16"/>
      <c r="G973" s="8"/>
    </row>
    <row r="974" spans="2:7" ht="20.100000000000001" customHeight="1">
      <c r="B974" s="14"/>
      <c r="C974" s="228"/>
      <c r="E974" s="220"/>
      <c r="F974" s="16"/>
      <c r="G974" s="8"/>
    </row>
    <row r="975" spans="2:7" ht="20.100000000000001" customHeight="1">
      <c r="B975" s="14"/>
      <c r="C975" s="228"/>
      <c r="E975" s="220"/>
      <c r="F975" s="16"/>
      <c r="G975" s="8"/>
    </row>
    <row r="976" spans="2:7" ht="20.100000000000001" customHeight="1">
      <c r="B976" s="14"/>
      <c r="C976" s="228"/>
      <c r="E976" s="220"/>
      <c r="F976" s="16"/>
      <c r="G976" s="8"/>
    </row>
    <row r="977" spans="2:7" ht="20.100000000000001" customHeight="1">
      <c r="B977" s="14"/>
      <c r="C977" s="228"/>
      <c r="E977" s="220"/>
      <c r="F977" s="16"/>
      <c r="G977" s="8"/>
    </row>
    <row r="978" spans="2:7" ht="20.100000000000001" customHeight="1">
      <c r="B978" s="14"/>
      <c r="C978" s="228"/>
      <c r="E978" s="220"/>
      <c r="F978" s="16"/>
      <c r="G978" s="8"/>
    </row>
  </sheetData>
  <conditionalFormatting sqref="E793">
    <cfRule type="expression" dxfId="9" priority="2">
      <formula>IF(E793&lt;&gt;"",TRUE,FALSE)</formula>
    </cfRule>
  </conditionalFormatting>
  <conditionalFormatting sqref="C9:C978">
    <cfRule type="duplicateValues" dxfId="8" priority="24"/>
  </conditionalFormatting>
  <dataValidations count="3">
    <dataValidation type="list" errorStyle="warning" allowBlank="1" showErrorMessage="1" errorTitle="Lỗi nhập mã:" error="_x000a_Mã bạn vừa nhập vào không có trong Data_x000a_- Hãykiểm tra lại mã hàng _x000a_- Hoặc cập nhật lại Data" promptTitle="------" prompt="Hãy nhập đúng mã - hoặc chọn mã có sẳn trong list" sqref="C500:C501 C503" xr:uid="{00000000-0002-0000-0100-000000000000}">
      <formula1>#REF!</formula1>
    </dataValidation>
    <dataValidation type="list" errorStyle="warning" allowBlank="1" showInputMessage="1" showErrorMessage="1" errorTitle="Lỗi nhập mã:" error="_x000a_Mã bạn vừa nhập vào không có trong Data_x000a_- Hãykiểm tra lại mã hàng _x000a_- Hoặc cập nhật lại Data" promptTitle="------" prompt="Hãy nhập đúng mã - hoặc chọn mã có sẳn trong list" sqref="C481:C482" xr:uid="{00000000-0002-0000-0100-000001000000}">
      <formula1>#REF!</formula1>
    </dataValidation>
    <dataValidation type="list" errorStyle="warning" allowBlank="1" errorTitle="Lỗi nhập mã:" error="Mã bạn vừa nhập vào không có trong Data_x000a_- Hãykiểm tra lại mã hàng _x000a_- Hoặc cập nhật lại Data" promptTitle="------" prompt="Hãy nhập đúng mã - hoặc chọn mã có sẳn trong list" sqref="C538" xr:uid="{00000000-0002-0000-0100-000002000000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</sheetPr>
  <dimension ref="B1:J988"/>
  <sheetViews>
    <sheetView zoomScale="85" zoomScaleNormal="85" workbookViewId="0">
      <selection activeCell="F10" sqref="F10"/>
    </sheetView>
  </sheetViews>
  <sheetFormatPr defaultColWidth="9.1328125" defaultRowHeight="20.100000000000001" customHeight="1"/>
  <cols>
    <col min="1" max="1" width="0.59765625" style="42" customWidth="1"/>
    <col min="2" max="2" width="8.73046875" style="37" hidden="1" customWidth="1"/>
    <col min="3" max="3" width="10.1328125" style="37" customWidth="1"/>
    <col min="4" max="4" width="13" style="37" customWidth="1"/>
    <col min="5" max="5" width="27.73046875" style="38" customWidth="1"/>
    <col min="6" max="6" width="87.3984375" style="38" bestFit="1" customWidth="1"/>
    <col min="7" max="7" width="13.86328125" style="40" customWidth="1"/>
    <col min="8" max="8" width="16" style="40" customWidth="1"/>
    <col min="9" max="9" width="17.1328125" style="37" customWidth="1"/>
    <col min="10" max="10" width="63.3984375" style="41" customWidth="1"/>
    <col min="11" max="16384" width="9.1328125" style="42"/>
  </cols>
  <sheetData>
    <row r="1" spans="2:10" s="29" customFormat="1" ht="14.25">
      <c r="D1" s="126">
        <f>IFERROR(RIGHT(INDEX($C$3:$C$1048576,COUNTA($C$3:$C$1048576)),4),"1")+1</f>
        <v>3</v>
      </c>
      <c r="E1" s="31"/>
      <c r="F1" s="31"/>
      <c r="G1" s="32"/>
      <c r="H1" s="32"/>
      <c r="I1" s="32"/>
      <c r="J1" s="30"/>
    </row>
    <row r="2" spans="2:10" s="7" customFormat="1" ht="30" customHeight="1">
      <c r="B2" s="6" t="s">
        <v>23</v>
      </c>
      <c r="C2" s="6" t="s">
        <v>49</v>
      </c>
      <c r="D2" s="6" t="s">
        <v>50</v>
      </c>
      <c r="E2" s="6" t="s">
        <v>51</v>
      </c>
      <c r="F2" s="6" t="s">
        <v>52</v>
      </c>
      <c r="G2" s="6" t="s">
        <v>53</v>
      </c>
      <c r="H2" s="35" t="s">
        <v>54</v>
      </c>
      <c r="I2" s="6" t="s">
        <v>55</v>
      </c>
      <c r="J2" s="6" t="s">
        <v>56</v>
      </c>
    </row>
    <row r="3" spans="2:10" ht="20.100000000000001" customHeight="1">
      <c r="B3" s="36"/>
      <c r="C3" s="37" t="s">
        <v>128</v>
      </c>
      <c r="D3" s="37" t="s">
        <v>211</v>
      </c>
      <c r="E3" s="43" t="s">
        <v>59</v>
      </c>
      <c r="F3" s="39" t="s">
        <v>63</v>
      </c>
      <c r="G3" s="40" t="s">
        <v>67</v>
      </c>
      <c r="H3" s="40" t="s">
        <v>70</v>
      </c>
      <c r="I3" s="37" t="s">
        <v>69</v>
      </c>
      <c r="J3" s="41" t="s">
        <v>235</v>
      </c>
    </row>
    <row r="4" spans="2:10" ht="20.100000000000001" customHeight="1">
      <c r="B4" s="36"/>
      <c r="C4" s="37" t="s">
        <v>129</v>
      </c>
      <c r="D4" s="37" t="s">
        <v>211</v>
      </c>
      <c r="E4" s="43" t="s">
        <v>60</v>
      </c>
      <c r="F4" s="39" t="s">
        <v>64</v>
      </c>
      <c r="G4" s="40" t="s">
        <v>68</v>
      </c>
      <c r="H4" s="40" t="s">
        <v>70</v>
      </c>
      <c r="I4" s="37" t="s">
        <v>69</v>
      </c>
    </row>
    <row r="5" spans="2:10" ht="20.100000000000001" customHeight="1">
      <c r="B5" s="36"/>
      <c r="E5" s="43"/>
      <c r="F5" s="39"/>
    </row>
    <row r="6" spans="2:10" ht="20.100000000000001" customHeight="1">
      <c r="B6" s="36"/>
      <c r="E6" s="43"/>
      <c r="F6" s="39"/>
    </row>
    <row r="7" spans="2:10" ht="20.100000000000001" customHeight="1">
      <c r="B7" s="36"/>
      <c r="E7" s="43"/>
      <c r="F7" s="39"/>
    </row>
    <row r="8" spans="2:10" ht="20.100000000000001" customHeight="1">
      <c r="B8" s="36"/>
      <c r="E8" s="43"/>
      <c r="F8" s="39"/>
    </row>
    <row r="9" spans="2:10" ht="20.100000000000001" customHeight="1">
      <c r="B9" s="36"/>
      <c r="E9" s="43"/>
      <c r="F9" s="39"/>
    </row>
    <row r="10" spans="2:10" ht="20.100000000000001" customHeight="1">
      <c r="B10" s="36"/>
      <c r="E10" s="43"/>
      <c r="F10" s="39"/>
    </row>
    <row r="11" spans="2:10" ht="20.100000000000001" customHeight="1">
      <c r="B11" s="36"/>
      <c r="E11" s="43"/>
      <c r="F11" s="39"/>
    </row>
    <row r="12" spans="2:10" ht="20.100000000000001" customHeight="1">
      <c r="B12" s="36"/>
      <c r="E12" s="43"/>
      <c r="F12" s="39"/>
    </row>
    <row r="13" spans="2:10" ht="20.100000000000001" customHeight="1">
      <c r="B13" s="36"/>
      <c r="E13" s="43"/>
      <c r="F13" s="39"/>
    </row>
    <row r="14" spans="2:10" ht="20.100000000000001" customHeight="1">
      <c r="B14" s="36"/>
      <c r="E14" s="43"/>
      <c r="F14" s="39"/>
    </row>
    <row r="15" spans="2:10" ht="20.100000000000001" customHeight="1">
      <c r="B15" s="36"/>
      <c r="E15" s="43"/>
      <c r="F15" s="39"/>
    </row>
    <row r="16" spans="2:10" ht="20.100000000000001" customHeight="1">
      <c r="B16" s="36"/>
      <c r="E16" s="43"/>
      <c r="F16" s="39"/>
    </row>
    <row r="17" spans="2:7" ht="20.100000000000001" customHeight="1">
      <c r="B17" s="36"/>
      <c r="E17" s="43"/>
      <c r="F17" s="39"/>
    </row>
    <row r="18" spans="2:7" ht="20.100000000000001" customHeight="1">
      <c r="B18" s="36"/>
      <c r="E18" s="43"/>
      <c r="F18" s="39"/>
    </row>
    <row r="19" spans="2:7" ht="20.100000000000001" customHeight="1">
      <c r="B19" s="36"/>
      <c r="E19" s="43"/>
      <c r="F19" s="39"/>
    </row>
    <row r="20" spans="2:7" ht="20.100000000000001" customHeight="1">
      <c r="B20" s="36"/>
      <c r="E20" s="43"/>
      <c r="F20" s="39"/>
    </row>
    <row r="21" spans="2:7" ht="20.100000000000001" customHeight="1">
      <c r="B21" s="36"/>
      <c r="E21" s="43"/>
      <c r="F21" s="39"/>
    </row>
    <row r="22" spans="2:7" ht="20.100000000000001" customHeight="1">
      <c r="B22" s="36"/>
      <c r="E22" s="43"/>
      <c r="F22" s="39"/>
    </row>
    <row r="23" spans="2:7" ht="20.100000000000001" customHeight="1">
      <c r="B23" s="36"/>
      <c r="E23" s="43"/>
      <c r="F23" s="39"/>
    </row>
    <row r="24" spans="2:7" ht="20.100000000000001" customHeight="1">
      <c r="B24" s="36"/>
      <c r="E24" s="43"/>
      <c r="F24" s="39"/>
    </row>
    <row r="25" spans="2:7" ht="20.100000000000001" customHeight="1">
      <c r="B25" s="36"/>
      <c r="E25" s="43"/>
      <c r="F25" s="39"/>
    </row>
    <row r="26" spans="2:7" ht="20.100000000000001" customHeight="1">
      <c r="B26" s="36"/>
      <c r="E26" s="43"/>
      <c r="F26" s="39"/>
      <c r="G26" s="37"/>
    </row>
    <row r="27" spans="2:7" ht="20.100000000000001" customHeight="1">
      <c r="B27" s="36"/>
      <c r="E27" s="43"/>
      <c r="F27" s="39"/>
      <c r="G27" s="37"/>
    </row>
    <row r="28" spans="2:7" ht="20.100000000000001" customHeight="1">
      <c r="B28" s="36"/>
      <c r="F28" s="39"/>
    </row>
    <row r="29" spans="2:7" ht="20.100000000000001" customHeight="1">
      <c r="B29" s="36"/>
      <c r="F29" s="39"/>
    </row>
    <row r="30" spans="2:7" ht="20.100000000000001" customHeight="1">
      <c r="B30" s="36"/>
      <c r="F30" s="39"/>
    </row>
    <row r="31" spans="2:7" ht="20.100000000000001" customHeight="1">
      <c r="B31" s="36"/>
      <c r="F31" s="39"/>
    </row>
    <row r="32" spans="2:7" ht="20.100000000000001" customHeight="1">
      <c r="B32" s="36"/>
      <c r="F32" s="39"/>
    </row>
    <row r="33" spans="2:6" ht="20.100000000000001" customHeight="1">
      <c r="B33" s="36"/>
      <c r="F33" s="39"/>
    </row>
    <row r="34" spans="2:6" ht="20.100000000000001" customHeight="1">
      <c r="B34" s="36"/>
      <c r="F34" s="39"/>
    </row>
    <row r="35" spans="2:6" ht="20.100000000000001" customHeight="1">
      <c r="B35" s="36"/>
      <c r="F35" s="39"/>
    </row>
    <row r="36" spans="2:6" ht="20.100000000000001" customHeight="1">
      <c r="B36" s="36"/>
      <c r="F36" s="39"/>
    </row>
    <row r="37" spans="2:6" ht="20.100000000000001" customHeight="1">
      <c r="B37" s="36"/>
      <c r="E37" s="43"/>
      <c r="F37" s="39"/>
    </row>
    <row r="38" spans="2:6" ht="20.100000000000001" customHeight="1">
      <c r="B38" s="36"/>
      <c r="E38" s="43"/>
      <c r="F38" s="39"/>
    </row>
    <row r="39" spans="2:6" ht="20.100000000000001" customHeight="1">
      <c r="B39" s="36"/>
      <c r="E39" s="43"/>
      <c r="F39" s="39"/>
    </row>
    <row r="40" spans="2:6" ht="20.100000000000001" customHeight="1">
      <c r="B40" s="36"/>
      <c r="E40" s="43"/>
      <c r="F40" s="39"/>
    </row>
    <row r="41" spans="2:6" ht="20.100000000000001" customHeight="1">
      <c r="B41" s="36"/>
      <c r="E41" s="43"/>
      <c r="F41" s="39"/>
    </row>
    <row r="42" spans="2:6" ht="20.100000000000001" customHeight="1">
      <c r="B42" s="36"/>
      <c r="E42" s="43"/>
      <c r="F42" s="39"/>
    </row>
    <row r="43" spans="2:6" ht="20.100000000000001" customHeight="1">
      <c r="B43" s="36"/>
      <c r="E43" s="43"/>
      <c r="F43" s="39"/>
    </row>
    <row r="44" spans="2:6" ht="20.100000000000001" customHeight="1">
      <c r="B44" s="36"/>
      <c r="E44" s="43"/>
      <c r="F44" s="39"/>
    </row>
    <row r="45" spans="2:6" ht="20.100000000000001" customHeight="1">
      <c r="B45" s="36"/>
      <c r="E45" s="43"/>
      <c r="F45" s="39"/>
    </row>
    <row r="46" spans="2:6" ht="20.100000000000001" customHeight="1">
      <c r="B46" s="36"/>
      <c r="E46" s="43"/>
      <c r="F46" s="39"/>
    </row>
    <row r="47" spans="2:6" ht="20.100000000000001" customHeight="1">
      <c r="B47" s="36"/>
      <c r="E47" s="43"/>
      <c r="F47" s="39"/>
    </row>
    <row r="48" spans="2:6" ht="20.100000000000001" customHeight="1">
      <c r="B48" s="36"/>
      <c r="E48" s="43"/>
      <c r="F48" s="39"/>
    </row>
    <row r="49" spans="2:7" ht="20.100000000000001" customHeight="1">
      <c r="B49" s="36"/>
      <c r="E49" s="43"/>
      <c r="F49" s="39"/>
    </row>
    <row r="50" spans="2:7" ht="20.100000000000001" customHeight="1">
      <c r="B50" s="36"/>
      <c r="E50" s="43"/>
      <c r="F50" s="39"/>
    </row>
    <row r="51" spans="2:7" ht="20.100000000000001" customHeight="1">
      <c r="B51" s="36"/>
      <c r="E51" s="43"/>
      <c r="F51" s="39"/>
    </row>
    <row r="52" spans="2:7" ht="20.100000000000001" customHeight="1">
      <c r="B52" s="36"/>
      <c r="E52" s="43"/>
      <c r="F52" s="39"/>
    </row>
    <row r="53" spans="2:7" ht="20.100000000000001" customHeight="1">
      <c r="B53" s="36"/>
      <c r="E53" s="43"/>
      <c r="F53" s="39"/>
    </row>
    <row r="54" spans="2:7" ht="20.100000000000001" customHeight="1">
      <c r="B54" s="36"/>
      <c r="E54" s="43"/>
      <c r="F54" s="39"/>
    </row>
    <row r="55" spans="2:7" ht="20.100000000000001" customHeight="1">
      <c r="B55" s="36"/>
      <c r="E55" s="43"/>
      <c r="F55" s="39"/>
    </row>
    <row r="56" spans="2:7" ht="20.100000000000001" customHeight="1">
      <c r="B56" s="36"/>
      <c r="E56" s="43"/>
      <c r="F56" s="39"/>
    </row>
    <row r="57" spans="2:7" ht="20.100000000000001" customHeight="1">
      <c r="B57" s="36"/>
      <c r="E57" s="43"/>
      <c r="F57" s="39"/>
    </row>
    <row r="58" spans="2:7" ht="20.100000000000001" customHeight="1">
      <c r="B58" s="36"/>
      <c r="E58" s="43"/>
      <c r="F58" s="39"/>
    </row>
    <row r="59" spans="2:7" ht="20.100000000000001" customHeight="1">
      <c r="B59" s="36"/>
      <c r="E59" s="43"/>
      <c r="F59" s="39"/>
    </row>
    <row r="60" spans="2:7" ht="20.100000000000001" customHeight="1">
      <c r="B60" s="36"/>
      <c r="E60" s="43"/>
      <c r="F60" s="39"/>
    </row>
    <row r="61" spans="2:7" ht="20.100000000000001" customHeight="1">
      <c r="B61" s="36"/>
      <c r="E61" s="43"/>
      <c r="F61" s="39"/>
    </row>
    <row r="62" spans="2:7" ht="20.100000000000001" customHeight="1">
      <c r="B62" s="36"/>
      <c r="E62" s="43"/>
      <c r="F62" s="39"/>
    </row>
    <row r="63" spans="2:7" ht="20.100000000000001" customHeight="1">
      <c r="B63" s="36"/>
      <c r="E63" s="43"/>
      <c r="F63" s="39"/>
    </row>
    <row r="64" spans="2:7" ht="20.100000000000001" customHeight="1">
      <c r="B64" s="36"/>
      <c r="E64" s="43"/>
      <c r="F64" s="39"/>
      <c r="G64" s="37"/>
    </row>
    <row r="65" spans="2:7" ht="20.100000000000001" customHeight="1">
      <c r="B65" s="36"/>
      <c r="E65" s="43"/>
      <c r="F65" s="39"/>
      <c r="G65" s="37"/>
    </row>
    <row r="66" spans="2:7" ht="20.100000000000001" customHeight="1">
      <c r="B66" s="36"/>
      <c r="F66" s="39"/>
    </row>
    <row r="67" spans="2:7" ht="20.100000000000001" customHeight="1">
      <c r="B67" s="36"/>
      <c r="F67" s="39"/>
    </row>
    <row r="68" spans="2:7" ht="20.100000000000001" customHeight="1">
      <c r="B68" s="36"/>
      <c r="F68" s="39"/>
    </row>
    <row r="69" spans="2:7" ht="20.100000000000001" customHeight="1">
      <c r="B69" s="36"/>
      <c r="F69" s="39"/>
    </row>
    <row r="70" spans="2:7" ht="20.100000000000001" customHeight="1">
      <c r="B70" s="36"/>
      <c r="F70" s="39"/>
    </row>
    <row r="71" spans="2:7" ht="20.100000000000001" customHeight="1">
      <c r="B71" s="36"/>
      <c r="F71" s="39"/>
    </row>
    <row r="72" spans="2:7" ht="20.100000000000001" customHeight="1">
      <c r="B72" s="36"/>
      <c r="F72" s="39"/>
    </row>
    <row r="73" spans="2:7" ht="20.100000000000001" customHeight="1">
      <c r="B73" s="36"/>
      <c r="F73" s="39"/>
    </row>
    <row r="74" spans="2:7" ht="20.100000000000001" customHeight="1">
      <c r="B74" s="36"/>
      <c r="F74" s="39"/>
    </row>
    <row r="75" spans="2:7" ht="20.100000000000001" customHeight="1">
      <c r="B75" s="36"/>
      <c r="E75" s="43"/>
      <c r="F75" s="39"/>
    </row>
    <row r="76" spans="2:7" ht="20.100000000000001" customHeight="1">
      <c r="B76" s="36"/>
      <c r="E76" s="43"/>
      <c r="F76" s="39"/>
    </row>
    <row r="77" spans="2:7" ht="20.100000000000001" customHeight="1">
      <c r="B77" s="36"/>
      <c r="E77" s="43"/>
      <c r="F77" s="39"/>
    </row>
    <row r="78" spans="2:7" ht="20.100000000000001" customHeight="1">
      <c r="B78" s="36"/>
      <c r="E78" s="43"/>
      <c r="F78" s="39"/>
    </row>
    <row r="79" spans="2:7" ht="20.100000000000001" customHeight="1">
      <c r="B79" s="36"/>
      <c r="E79" s="43"/>
      <c r="F79" s="39"/>
    </row>
    <row r="80" spans="2:7" ht="20.100000000000001" customHeight="1">
      <c r="B80" s="36"/>
      <c r="E80" s="43"/>
      <c r="F80" s="39"/>
    </row>
    <row r="81" spans="2:6" ht="20.100000000000001" customHeight="1">
      <c r="B81" s="36"/>
      <c r="E81" s="43"/>
      <c r="F81" s="39"/>
    </row>
    <row r="82" spans="2:6" ht="20.100000000000001" customHeight="1">
      <c r="B82" s="36"/>
      <c r="E82" s="43"/>
      <c r="F82" s="39"/>
    </row>
    <row r="83" spans="2:6" ht="20.100000000000001" customHeight="1">
      <c r="B83" s="36"/>
      <c r="E83" s="43"/>
      <c r="F83" s="39"/>
    </row>
    <row r="84" spans="2:6" ht="20.100000000000001" customHeight="1">
      <c r="B84" s="36"/>
      <c r="E84" s="43"/>
      <c r="F84" s="39"/>
    </row>
    <row r="85" spans="2:6" ht="20.100000000000001" customHeight="1">
      <c r="B85" s="36"/>
      <c r="E85" s="43"/>
      <c r="F85" s="39"/>
    </row>
    <row r="86" spans="2:6" ht="20.100000000000001" customHeight="1">
      <c r="B86" s="36"/>
      <c r="E86" s="43"/>
      <c r="F86" s="39"/>
    </row>
    <row r="87" spans="2:6" ht="20.100000000000001" customHeight="1">
      <c r="B87" s="36"/>
      <c r="E87" s="43"/>
      <c r="F87" s="39"/>
    </row>
    <row r="88" spans="2:6" ht="20.100000000000001" customHeight="1">
      <c r="B88" s="36"/>
      <c r="E88" s="43"/>
      <c r="F88" s="39"/>
    </row>
    <row r="89" spans="2:6" ht="20.100000000000001" customHeight="1">
      <c r="B89" s="36"/>
      <c r="E89" s="43"/>
      <c r="F89" s="39"/>
    </row>
    <row r="90" spans="2:6" ht="20.100000000000001" customHeight="1">
      <c r="B90" s="36"/>
      <c r="E90" s="43"/>
      <c r="F90" s="39"/>
    </row>
    <row r="91" spans="2:6" ht="20.100000000000001" customHeight="1">
      <c r="B91" s="36"/>
      <c r="E91" s="43"/>
      <c r="F91" s="39"/>
    </row>
    <row r="92" spans="2:6" ht="20.100000000000001" customHeight="1">
      <c r="B92" s="36"/>
      <c r="E92" s="43"/>
      <c r="F92" s="39"/>
    </row>
    <row r="93" spans="2:6" ht="20.100000000000001" customHeight="1">
      <c r="B93" s="36"/>
      <c r="E93" s="43"/>
      <c r="F93" s="39"/>
    </row>
    <row r="94" spans="2:6" ht="20.100000000000001" customHeight="1">
      <c r="B94" s="36"/>
      <c r="E94" s="43"/>
      <c r="F94" s="39"/>
    </row>
    <row r="95" spans="2:6" ht="20.100000000000001" customHeight="1">
      <c r="B95" s="36"/>
      <c r="E95" s="43"/>
      <c r="F95" s="39"/>
    </row>
    <row r="96" spans="2:6" ht="20.100000000000001" customHeight="1">
      <c r="B96" s="36"/>
      <c r="E96" s="43"/>
      <c r="F96" s="39"/>
    </row>
    <row r="97" spans="2:7" ht="20.100000000000001" customHeight="1">
      <c r="B97" s="36"/>
      <c r="E97" s="43"/>
      <c r="F97" s="39"/>
    </row>
    <row r="98" spans="2:7" ht="20.100000000000001" customHeight="1">
      <c r="B98" s="36"/>
      <c r="E98" s="43"/>
      <c r="F98" s="39"/>
    </row>
    <row r="99" spans="2:7" ht="20.100000000000001" customHeight="1">
      <c r="B99" s="36"/>
      <c r="E99" s="43"/>
      <c r="F99" s="39"/>
    </row>
    <row r="100" spans="2:7" ht="20.100000000000001" customHeight="1">
      <c r="E100" s="43"/>
      <c r="F100" s="39"/>
    </row>
    <row r="101" spans="2:7" ht="20.100000000000001" customHeight="1">
      <c r="E101" s="43"/>
      <c r="F101" s="39"/>
    </row>
    <row r="102" spans="2:7" ht="20.100000000000001" customHeight="1">
      <c r="E102" s="43"/>
      <c r="F102" s="39"/>
      <c r="G102" s="37"/>
    </row>
    <row r="103" spans="2:7" ht="20.100000000000001" customHeight="1">
      <c r="E103" s="43"/>
      <c r="F103" s="39"/>
      <c r="G103" s="37"/>
    </row>
    <row r="104" spans="2:7" ht="20.100000000000001" customHeight="1">
      <c r="F104" s="39"/>
    </row>
    <row r="105" spans="2:7" ht="20.100000000000001" customHeight="1">
      <c r="F105" s="39"/>
    </row>
    <row r="106" spans="2:7" ht="20.100000000000001" customHeight="1">
      <c r="F106" s="39"/>
    </row>
    <row r="107" spans="2:7" ht="20.100000000000001" customHeight="1">
      <c r="F107" s="39"/>
    </row>
    <row r="108" spans="2:7" ht="20.100000000000001" customHeight="1">
      <c r="F108" s="39"/>
    </row>
    <row r="109" spans="2:7" ht="20.100000000000001" customHeight="1">
      <c r="F109" s="39"/>
    </row>
    <row r="110" spans="2:7" ht="20.100000000000001" customHeight="1">
      <c r="F110" s="39"/>
    </row>
    <row r="111" spans="2:7" ht="20.100000000000001" customHeight="1">
      <c r="F111" s="39"/>
    </row>
    <row r="112" spans="2:7" ht="20.100000000000001" customHeight="1">
      <c r="F112" s="39"/>
    </row>
    <row r="113" spans="5:6" ht="20.100000000000001" customHeight="1">
      <c r="E113" s="43"/>
      <c r="F113" s="39"/>
    </row>
    <row r="114" spans="5:6" ht="20.100000000000001" customHeight="1">
      <c r="E114" s="43"/>
      <c r="F114" s="39"/>
    </row>
    <row r="115" spans="5:6" ht="20.100000000000001" customHeight="1">
      <c r="E115" s="43"/>
      <c r="F115" s="39"/>
    </row>
    <row r="116" spans="5:6" ht="20.100000000000001" customHeight="1">
      <c r="E116" s="43"/>
      <c r="F116" s="39"/>
    </row>
    <row r="117" spans="5:6" ht="20.100000000000001" customHeight="1">
      <c r="E117" s="43"/>
      <c r="F117" s="39"/>
    </row>
    <row r="118" spans="5:6" ht="20.100000000000001" customHeight="1">
      <c r="E118" s="43"/>
      <c r="F118" s="39"/>
    </row>
    <row r="119" spans="5:6" ht="20.100000000000001" customHeight="1">
      <c r="E119" s="43"/>
      <c r="F119" s="39"/>
    </row>
    <row r="120" spans="5:6" ht="20.100000000000001" customHeight="1">
      <c r="E120" s="43"/>
      <c r="F120" s="39"/>
    </row>
    <row r="121" spans="5:6" ht="20.100000000000001" customHeight="1">
      <c r="E121" s="43"/>
      <c r="F121" s="39"/>
    </row>
    <row r="122" spans="5:6" ht="20.100000000000001" customHeight="1">
      <c r="E122" s="43"/>
      <c r="F122" s="39"/>
    </row>
    <row r="123" spans="5:6" ht="20.100000000000001" customHeight="1">
      <c r="E123" s="43"/>
      <c r="F123" s="39"/>
    </row>
    <row r="124" spans="5:6" ht="20.100000000000001" customHeight="1">
      <c r="E124" s="43"/>
      <c r="F124" s="39"/>
    </row>
    <row r="125" spans="5:6" ht="20.100000000000001" customHeight="1">
      <c r="E125" s="43"/>
      <c r="F125" s="39"/>
    </row>
    <row r="126" spans="5:6" ht="20.100000000000001" customHeight="1">
      <c r="E126" s="43"/>
      <c r="F126" s="39"/>
    </row>
    <row r="127" spans="5:6" ht="20.100000000000001" customHeight="1">
      <c r="E127" s="43"/>
      <c r="F127" s="39"/>
    </row>
    <row r="128" spans="5:6" ht="20.100000000000001" customHeight="1">
      <c r="E128" s="43"/>
      <c r="F128" s="39"/>
    </row>
    <row r="129" spans="5:7" ht="20.100000000000001" customHeight="1">
      <c r="E129" s="43"/>
      <c r="F129" s="39"/>
    </row>
    <row r="130" spans="5:7" ht="20.100000000000001" customHeight="1">
      <c r="E130" s="43"/>
      <c r="F130" s="39"/>
    </row>
    <row r="131" spans="5:7" ht="20.100000000000001" customHeight="1">
      <c r="E131" s="43"/>
      <c r="F131" s="39"/>
    </row>
    <row r="132" spans="5:7" ht="20.100000000000001" customHeight="1">
      <c r="E132" s="43"/>
      <c r="F132" s="39"/>
    </row>
    <row r="133" spans="5:7" ht="20.100000000000001" customHeight="1">
      <c r="E133" s="43"/>
      <c r="F133" s="39"/>
    </row>
    <row r="134" spans="5:7" ht="20.100000000000001" customHeight="1">
      <c r="E134" s="43"/>
      <c r="F134" s="39"/>
    </row>
    <row r="135" spans="5:7" ht="20.100000000000001" customHeight="1">
      <c r="E135" s="43"/>
      <c r="F135" s="39"/>
    </row>
    <row r="136" spans="5:7" ht="20.100000000000001" customHeight="1">
      <c r="E136" s="43"/>
      <c r="F136" s="39"/>
    </row>
    <row r="137" spans="5:7" ht="20.100000000000001" customHeight="1">
      <c r="E137" s="43"/>
      <c r="F137" s="39"/>
    </row>
    <row r="138" spans="5:7" ht="20.100000000000001" customHeight="1">
      <c r="E138" s="43"/>
      <c r="F138" s="39"/>
    </row>
    <row r="139" spans="5:7" ht="20.100000000000001" customHeight="1">
      <c r="E139" s="43"/>
      <c r="F139" s="39"/>
    </row>
    <row r="140" spans="5:7" ht="20.100000000000001" customHeight="1">
      <c r="E140" s="43"/>
      <c r="F140" s="39"/>
      <c r="G140" s="37"/>
    </row>
    <row r="141" spans="5:7" ht="20.100000000000001" customHeight="1">
      <c r="E141" s="43"/>
      <c r="F141" s="39"/>
      <c r="G141" s="37"/>
    </row>
    <row r="142" spans="5:7" ht="20.100000000000001" customHeight="1">
      <c r="F142" s="39"/>
    </row>
    <row r="143" spans="5:7" ht="20.100000000000001" customHeight="1">
      <c r="F143" s="39"/>
    </row>
    <row r="144" spans="5:7" ht="20.100000000000001" customHeight="1">
      <c r="F144" s="39"/>
    </row>
    <row r="145" spans="5:6" ht="20.100000000000001" customHeight="1">
      <c r="F145" s="39"/>
    </row>
    <row r="146" spans="5:6" ht="20.100000000000001" customHeight="1">
      <c r="F146" s="39"/>
    </row>
    <row r="147" spans="5:6" ht="20.100000000000001" customHeight="1">
      <c r="F147" s="39"/>
    </row>
    <row r="148" spans="5:6" ht="20.100000000000001" customHeight="1">
      <c r="F148" s="39"/>
    </row>
    <row r="149" spans="5:6" ht="20.100000000000001" customHeight="1">
      <c r="F149" s="39"/>
    </row>
    <row r="150" spans="5:6" ht="20.100000000000001" customHeight="1">
      <c r="F150" s="39"/>
    </row>
    <row r="151" spans="5:6" ht="20.100000000000001" customHeight="1">
      <c r="E151" s="43"/>
      <c r="F151" s="39"/>
    </row>
    <row r="152" spans="5:6" ht="20.100000000000001" customHeight="1">
      <c r="E152" s="43"/>
      <c r="F152" s="39"/>
    </row>
    <row r="153" spans="5:6" ht="20.100000000000001" customHeight="1">
      <c r="E153" s="43"/>
      <c r="F153" s="39"/>
    </row>
    <row r="154" spans="5:6" ht="20.100000000000001" customHeight="1">
      <c r="E154" s="43"/>
      <c r="F154" s="39"/>
    </row>
    <row r="155" spans="5:6" ht="20.100000000000001" customHeight="1">
      <c r="E155" s="43"/>
      <c r="F155" s="39"/>
    </row>
    <row r="156" spans="5:6" ht="20.100000000000001" customHeight="1">
      <c r="E156" s="43"/>
      <c r="F156" s="39"/>
    </row>
    <row r="157" spans="5:6" ht="20.100000000000001" customHeight="1">
      <c r="E157" s="43"/>
      <c r="F157" s="39"/>
    </row>
    <row r="158" spans="5:6" ht="20.100000000000001" customHeight="1">
      <c r="E158" s="43"/>
      <c r="F158" s="39"/>
    </row>
    <row r="159" spans="5:6" ht="20.100000000000001" customHeight="1">
      <c r="E159" s="43"/>
      <c r="F159" s="39"/>
    </row>
    <row r="160" spans="5:6" ht="20.100000000000001" customHeight="1">
      <c r="E160" s="43"/>
      <c r="F160" s="39"/>
    </row>
    <row r="161" spans="5:6" ht="20.100000000000001" customHeight="1">
      <c r="E161" s="43"/>
      <c r="F161" s="39"/>
    </row>
    <row r="162" spans="5:6" ht="20.100000000000001" customHeight="1">
      <c r="E162" s="43"/>
      <c r="F162" s="39"/>
    </row>
    <row r="163" spans="5:6" ht="20.100000000000001" customHeight="1">
      <c r="E163" s="43"/>
      <c r="F163" s="39"/>
    </row>
    <row r="164" spans="5:6" ht="20.100000000000001" customHeight="1">
      <c r="E164" s="43"/>
      <c r="F164" s="39"/>
    </row>
    <row r="165" spans="5:6" ht="20.100000000000001" customHeight="1">
      <c r="E165" s="43"/>
      <c r="F165" s="39"/>
    </row>
    <row r="166" spans="5:6" ht="20.100000000000001" customHeight="1">
      <c r="E166" s="43"/>
      <c r="F166" s="39"/>
    </row>
    <row r="167" spans="5:6" ht="20.100000000000001" customHeight="1">
      <c r="E167" s="43"/>
      <c r="F167" s="39"/>
    </row>
    <row r="168" spans="5:6" ht="20.100000000000001" customHeight="1">
      <c r="E168" s="43"/>
      <c r="F168" s="39"/>
    </row>
    <row r="169" spans="5:6" ht="20.100000000000001" customHeight="1">
      <c r="E169" s="43"/>
      <c r="F169" s="39"/>
    </row>
    <row r="170" spans="5:6" ht="20.100000000000001" customHeight="1">
      <c r="E170" s="43"/>
      <c r="F170" s="39"/>
    </row>
    <row r="171" spans="5:6" ht="20.100000000000001" customHeight="1">
      <c r="E171" s="43"/>
      <c r="F171" s="39"/>
    </row>
    <row r="172" spans="5:6" ht="20.100000000000001" customHeight="1">
      <c r="E172" s="43"/>
      <c r="F172" s="39"/>
    </row>
    <row r="173" spans="5:6" ht="20.100000000000001" customHeight="1">
      <c r="E173" s="43"/>
      <c r="F173" s="39"/>
    </row>
    <row r="174" spans="5:6" ht="20.100000000000001" customHeight="1">
      <c r="E174" s="43"/>
      <c r="F174" s="39"/>
    </row>
    <row r="175" spans="5:6" ht="20.100000000000001" customHeight="1">
      <c r="E175" s="43"/>
      <c r="F175" s="39"/>
    </row>
    <row r="176" spans="5:6" ht="20.100000000000001" customHeight="1">
      <c r="E176" s="43"/>
      <c r="F176" s="39"/>
    </row>
    <row r="177" spans="5:7" ht="20.100000000000001" customHeight="1">
      <c r="E177" s="43"/>
      <c r="F177" s="39"/>
    </row>
    <row r="178" spans="5:7" ht="20.100000000000001" customHeight="1">
      <c r="E178" s="43"/>
      <c r="F178" s="39"/>
      <c r="G178" s="37"/>
    </row>
    <row r="179" spans="5:7" ht="20.100000000000001" customHeight="1">
      <c r="E179" s="43"/>
      <c r="F179" s="39"/>
      <c r="G179" s="37"/>
    </row>
    <row r="180" spans="5:7" ht="20.100000000000001" customHeight="1">
      <c r="F180" s="39"/>
    </row>
    <row r="181" spans="5:7" ht="20.100000000000001" customHeight="1">
      <c r="F181" s="39"/>
    </row>
    <row r="182" spans="5:7" ht="20.100000000000001" customHeight="1">
      <c r="F182" s="39"/>
    </row>
    <row r="183" spans="5:7" ht="20.100000000000001" customHeight="1">
      <c r="F183" s="39"/>
    </row>
    <row r="184" spans="5:7" ht="20.100000000000001" customHeight="1">
      <c r="F184" s="39"/>
    </row>
    <row r="185" spans="5:7" ht="20.100000000000001" customHeight="1">
      <c r="F185" s="39"/>
    </row>
    <row r="186" spans="5:7" ht="20.100000000000001" customHeight="1">
      <c r="F186" s="39"/>
    </row>
    <row r="187" spans="5:7" ht="20.100000000000001" customHeight="1">
      <c r="F187" s="39"/>
    </row>
    <row r="188" spans="5:7" ht="20.100000000000001" customHeight="1">
      <c r="F188" s="39"/>
    </row>
    <row r="189" spans="5:7" ht="20.100000000000001" customHeight="1">
      <c r="E189" s="43"/>
      <c r="F189" s="39"/>
    </row>
    <row r="190" spans="5:7" ht="20.100000000000001" customHeight="1">
      <c r="E190" s="43"/>
      <c r="F190" s="39"/>
    </row>
    <row r="191" spans="5:7" ht="20.100000000000001" customHeight="1">
      <c r="E191" s="43"/>
      <c r="F191" s="39"/>
    </row>
    <row r="192" spans="5:7" ht="20.100000000000001" customHeight="1">
      <c r="E192" s="43"/>
      <c r="F192" s="39"/>
    </row>
    <row r="193" spans="5:6" ht="20.100000000000001" customHeight="1">
      <c r="E193" s="43"/>
      <c r="F193" s="39"/>
    </row>
    <row r="194" spans="5:6" ht="20.100000000000001" customHeight="1">
      <c r="E194" s="43"/>
      <c r="F194" s="39"/>
    </row>
    <row r="195" spans="5:6" ht="20.100000000000001" customHeight="1">
      <c r="E195" s="43"/>
      <c r="F195" s="39"/>
    </row>
    <row r="196" spans="5:6" ht="20.100000000000001" customHeight="1">
      <c r="E196" s="43"/>
      <c r="F196" s="39"/>
    </row>
    <row r="197" spans="5:6" ht="20.100000000000001" customHeight="1">
      <c r="E197" s="43"/>
      <c r="F197" s="39"/>
    </row>
    <row r="198" spans="5:6" ht="20.100000000000001" customHeight="1">
      <c r="E198" s="43"/>
      <c r="F198" s="39"/>
    </row>
    <row r="199" spans="5:6" ht="20.100000000000001" customHeight="1">
      <c r="E199" s="43"/>
      <c r="F199" s="39"/>
    </row>
    <row r="200" spans="5:6" ht="20.100000000000001" customHeight="1">
      <c r="E200" s="43"/>
      <c r="F200" s="39"/>
    </row>
    <row r="201" spans="5:6" ht="20.100000000000001" customHeight="1">
      <c r="E201" s="43"/>
      <c r="F201" s="39"/>
    </row>
    <row r="202" spans="5:6" ht="20.100000000000001" customHeight="1">
      <c r="E202" s="43"/>
      <c r="F202" s="39"/>
    </row>
    <row r="203" spans="5:6" ht="20.100000000000001" customHeight="1">
      <c r="E203" s="43"/>
      <c r="F203" s="39"/>
    </row>
    <row r="204" spans="5:6" ht="20.100000000000001" customHeight="1">
      <c r="E204" s="43"/>
      <c r="F204" s="39"/>
    </row>
    <row r="205" spans="5:6" ht="20.100000000000001" customHeight="1">
      <c r="E205" s="43"/>
      <c r="F205" s="39"/>
    </row>
    <row r="206" spans="5:6" ht="20.100000000000001" customHeight="1">
      <c r="E206" s="43"/>
      <c r="F206" s="39"/>
    </row>
    <row r="207" spans="5:6" ht="20.100000000000001" customHeight="1">
      <c r="E207" s="43"/>
      <c r="F207" s="39"/>
    </row>
    <row r="208" spans="5:6" ht="20.100000000000001" customHeight="1">
      <c r="E208" s="43"/>
      <c r="F208" s="39"/>
    </row>
    <row r="209" spans="5:7" ht="20.100000000000001" customHeight="1">
      <c r="E209" s="43"/>
      <c r="F209" s="39"/>
    </row>
    <row r="210" spans="5:7" ht="20.100000000000001" customHeight="1">
      <c r="E210" s="43"/>
      <c r="F210" s="39"/>
    </row>
    <row r="211" spans="5:7" ht="20.100000000000001" customHeight="1">
      <c r="E211" s="43"/>
      <c r="F211" s="39"/>
    </row>
    <row r="212" spans="5:7" ht="20.100000000000001" customHeight="1">
      <c r="E212" s="43"/>
      <c r="F212" s="39"/>
    </row>
    <row r="213" spans="5:7" ht="20.100000000000001" customHeight="1">
      <c r="E213" s="43"/>
      <c r="F213" s="39"/>
    </row>
    <row r="214" spans="5:7" ht="20.100000000000001" customHeight="1">
      <c r="E214" s="43"/>
      <c r="F214" s="39"/>
    </row>
    <row r="215" spans="5:7" ht="20.100000000000001" customHeight="1">
      <c r="E215" s="43"/>
      <c r="F215" s="39"/>
    </row>
    <row r="216" spans="5:7" ht="20.100000000000001" customHeight="1">
      <c r="E216" s="43"/>
      <c r="F216" s="39"/>
      <c r="G216" s="37"/>
    </row>
    <row r="217" spans="5:7" ht="20.100000000000001" customHeight="1">
      <c r="E217" s="43"/>
      <c r="F217" s="39"/>
      <c r="G217" s="37"/>
    </row>
    <row r="218" spans="5:7" ht="20.100000000000001" customHeight="1">
      <c r="F218" s="39"/>
    </row>
    <row r="219" spans="5:7" ht="20.100000000000001" customHeight="1">
      <c r="F219" s="39"/>
    </row>
    <row r="220" spans="5:7" ht="20.100000000000001" customHeight="1">
      <c r="F220" s="39"/>
    </row>
    <row r="221" spans="5:7" ht="20.100000000000001" customHeight="1">
      <c r="F221" s="39"/>
    </row>
    <row r="222" spans="5:7" ht="20.100000000000001" customHeight="1">
      <c r="F222" s="39"/>
    </row>
    <row r="223" spans="5:7" ht="20.100000000000001" customHeight="1">
      <c r="F223" s="39"/>
    </row>
    <row r="224" spans="5:7" ht="20.100000000000001" customHeight="1">
      <c r="F224" s="39"/>
    </row>
    <row r="225" spans="5:6" ht="20.100000000000001" customHeight="1">
      <c r="F225" s="39"/>
    </row>
    <row r="226" spans="5:6" ht="20.100000000000001" customHeight="1">
      <c r="F226" s="39"/>
    </row>
    <row r="227" spans="5:6" ht="20.100000000000001" customHeight="1">
      <c r="E227" s="43"/>
      <c r="F227" s="39"/>
    </row>
    <row r="228" spans="5:6" ht="20.100000000000001" customHeight="1">
      <c r="E228" s="43"/>
      <c r="F228" s="39"/>
    </row>
    <row r="229" spans="5:6" ht="20.100000000000001" customHeight="1">
      <c r="E229" s="43"/>
      <c r="F229" s="39"/>
    </row>
    <row r="230" spans="5:6" ht="20.100000000000001" customHeight="1">
      <c r="E230" s="43"/>
      <c r="F230" s="39"/>
    </row>
    <row r="231" spans="5:6" ht="20.100000000000001" customHeight="1">
      <c r="E231" s="43"/>
      <c r="F231" s="39"/>
    </row>
    <row r="232" spans="5:6" ht="20.100000000000001" customHeight="1">
      <c r="E232" s="43"/>
      <c r="F232" s="39"/>
    </row>
    <row r="233" spans="5:6" ht="20.100000000000001" customHeight="1">
      <c r="E233" s="43"/>
      <c r="F233" s="39"/>
    </row>
    <row r="234" spans="5:6" ht="20.100000000000001" customHeight="1">
      <c r="E234" s="43"/>
      <c r="F234" s="39"/>
    </row>
    <row r="235" spans="5:6" ht="20.100000000000001" customHeight="1">
      <c r="E235" s="43"/>
      <c r="F235" s="39"/>
    </row>
    <row r="236" spans="5:6" ht="20.100000000000001" customHeight="1">
      <c r="E236" s="43"/>
      <c r="F236" s="39"/>
    </row>
    <row r="237" spans="5:6" ht="20.100000000000001" customHeight="1">
      <c r="E237" s="43"/>
      <c r="F237" s="39"/>
    </row>
    <row r="238" spans="5:6" ht="20.100000000000001" customHeight="1">
      <c r="E238" s="43"/>
      <c r="F238" s="39"/>
    </row>
    <row r="239" spans="5:6" ht="20.100000000000001" customHeight="1">
      <c r="E239" s="43"/>
      <c r="F239" s="39"/>
    </row>
    <row r="240" spans="5:6" ht="20.100000000000001" customHeight="1">
      <c r="E240" s="43"/>
      <c r="F240" s="39"/>
    </row>
    <row r="241" spans="5:7" ht="20.100000000000001" customHeight="1">
      <c r="E241" s="43"/>
      <c r="F241" s="39"/>
    </row>
    <row r="242" spans="5:7" ht="20.100000000000001" customHeight="1">
      <c r="E242" s="43"/>
      <c r="F242" s="39"/>
    </row>
    <row r="243" spans="5:7" ht="20.100000000000001" customHeight="1">
      <c r="E243" s="43"/>
      <c r="F243" s="39"/>
    </row>
    <row r="244" spans="5:7" ht="20.100000000000001" customHeight="1">
      <c r="E244" s="43"/>
      <c r="F244" s="39"/>
    </row>
    <row r="245" spans="5:7" ht="20.100000000000001" customHeight="1">
      <c r="E245" s="43"/>
      <c r="F245" s="39"/>
    </row>
    <row r="246" spans="5:7" ht="20.100000000000001" customHeight="1">
      <c r="E246" s="43"/>
      <c r="F246" s="39"/>
    </row>
    <row r="247" spans="5:7" ht="20.100000000000001" customHeight="1">
      <c r="E247" s="43"/>
      <c r="F247" s="39"/>
    </row>
    <row r="248" spans="5:7" ht="20.100000000000001" customHeight="1">
      <c r="E248" s="43"/>
      <c r="F248" s="39"/>
    </row>
    <row r="249" spans="5:7" ht="20.100000000000001" customHeight="1">
      <c r="E249" s="43"/>
      <c r="F249" s="39"/>
    </row>
    <row r="250" spans="5:7" ht="20.100000000000001" customHeight="1">
      <c r="E250" s="43"/>
      <c r="F250" s="39"/>
    </row>
    <row r="251" spans="5:7" ht="20.100000000000001" customHeight="1">
      <c r="E251" s="43"/>
      <c r="F251" s="39"/>
    </row>
    <row r="252" spans="5:7" ht="20.100000000000001" customHeight="1">
      <c r="E252" s="43"/>
      <c r="F252" s="39"/>
    </row>
    <row r="253" spans="5:7" ht="20.100000000000001" customHeight="1">
      <c r="E253" s="43"/>
      <c r="F253" s="39"/>
    </row>
    <row r="254" spans="5:7" ht="20.100000000000001" customHeight="1">
      <c r="E254" s="43"/>
      <c r="F254" s="39"/>
      <c r="G254" s="37"/>
    </row>
    <row r="255" spans="5:7" ht="20.100000000000001" customHeight="1">
      <c r="E255" s="43"/>
      <c r="F255" s="39"/>
      <c r="G255" s="37"/>
    </row>
    <row r="256" spans="5:7" ht="20.100000000000001" customHeight="1">
      <c r="F256" s="39"/>
    </row>
    <row r="257" spans="5:6" ht="20.100000000000001" customHeight="1">
      <c r="F257" s="39"/>
    </row>
    <row r="258" spans="5:6" ht="20.100000000000001" customHeight="1">
      <c r="F258" s="39"/>
    </row>
    <row r="259" spans="5:6" ht="20.100000000000001" customHeight="1">
      <c r="F259" s="39"/>
    </row>
    <row r="260" spans="5:6" ht="20.100000000000001" customHeight="1">
      <c r="F260" s="39"/>
    </row>
    <row r="261" spans="5:6" ht="20.100000000000001" customHeight="1">
      <c r="F261" s="39"/>
    </row>
    <row r="262" spans="5:6" ht="20.100000000000001" customHeight="1">
      <c r="F262" s="39"/>
    </row>
    <row r="263" spans="5:6" ht="20.100000000000001" customHeight="1">
      <c r="F263" s="39"/>
    </row>
    <row r="264" spans="5:6" ht="20.100000000000001" customHeight="1">
      <c r="F264" s="39"/>
    </row>
    <row r="265" spans="5:6" ht="20.100000000000001" customHeight="1">
      <c r="E265" s="43"/>
      <c r="F265" s="39"/>
    </row>
    <row r="266" spans="5:6" ht="20.100000000000001" customHeight="1">
      <c r="E266" s="43"/>
      <c r="F266" s="39"/>
    </row>
    <row r="267" spans="5:6" ht="20.100000000000001" customHeight="1">
      <c r="E267" s="43"/>
      <c r="F267" s="39"/>
    </row>
    <row r="268" spans="5:6" ht="20.100000000000001" customHeight="1">
      <c r="E268" s="43"/>
      <c r="F268" s="39"/>
    </row>
    <row r="269" spans="5:6" ht="20.100000000000001" customHeight="1">
      <c r="E269" s="43"/>
      <c r="F269" s="39"/>
    </row>
    <row r="270" spans="5:6" ht="20.100000000000001" customHeight="1">
      <c r="E270" s="43"/>
      <c r="F270" s="39"/>
    </row>
    <row r="271" spans="5:6" ht="20.100000000000001" customHeight="1">
      <c r="E271" s="43"/>
      <c r="F271" s="39"/>
    </row>
    <row r="272" spans="5:6" ht="20.100000000000001" customHeight="1">
      <c r="E272" s="43"/>
      <c r="F272" s="39"/>
    </row>
    <row r="273" spans="5:6" ht="20.100000000000001" customHeight="1">
      <c r="E273" s="43"/>
      <c r="F273" s="39"/>
    </row>
    <row r="274" spans="5:6" ht="20.100000000000001" customHeight="1">
      <c r="E274" s="43"/>
      <c r="F274" s="39"/>
    </row>
    <row r="275" spans="5:6" ht="20.100000000000001" customHeight="1">
      <c r="E275" s="43"/>
      <c r="F275" s="39"/>
    </row>
    <row r="276" spans="5:6" ht="20.100000000000001" customHeight="1">
      <c r="E276" s="43"/>
      <c r="F276" s="39"/>
    </row>
    <row r="277" spans="5:6" ht="20.100000000000001" customHeight="1">
      <c r="E277" s="43"/>
      <c r="F277" s="39"/>
    </row>
    <row r="278" spans="5:6" ht="20.100000000000001" customHeight="1">
      <c r="E278" s="43"/>
      <c r="F278" s="39"/>
    </row>
    <row r="279" spans="5:6" ht="20.100000000000001" customHeight="1">
      <c r="E279" s="43"/>
      <c r="F279" s="39"/>
    </row>
    <row r="280" spans="5:6" ht="20.100000000000001" customHeight="1">
      <c r="E280" s="43"/>
      <c r="F280" s="39"/>
    </row>
    <row r="281" spans="5:6" ht="20.100000000000001" customHeight="1">
      <c r="E281" s="43"/>
      <c r="F281" s="39"/>
    </row>
    <row r="282" spans="5:6" ht="20.100000000000001" customHeight="1">
      <c r="E282" s="43"/>
      <c r="F282" s="39"/>
    </row>
    <row r="283" spans="5:6" ht="20.100000000000001" customHeight="1">
      <c r="E283" s="43"/>
      <c r="F283" s="39"/>
    </row>
    <row r="284" spans="5:6" ht="20.100000000000001" customHeight="1">
      <c r="E284" s="43"/>
      <c r="F284" s="39"/>
    </row>
    <row r="285" spans="5:6" ht="20.100000000000001" customHeight="1">
      <c r="E285" s="43"/>
      <c r="F285" s="39"/>
    </row>
    <row r="286" spans="5:6" ht="20.100000000000001" customHeight="1">
      <c r="E286" s="43"/>
      <c r="F286" s="39"/>
    </row>
    <row r="287" spans="5:6" ht="20.100000000000001" customHeight="1">
      <c r="E287" s="43"/>
      <c r="F287" s="39"/>
    </row>
    <row r="288" spans="5:6" ht="20.100000000000001" customHeight="1">
      <c r="E288" s="43"/>
      <c r="F288" s="39"/>
    </row>
    <row r="289" spans="5:7" ht="20.100000000000001" customHeight="1">
      <c r="E289" s="43"/>
      <c r="F289" s="39"/>
    </row>
    <row r="290" spans="5:7" ht="20.100000000000001" customHeight="1">
      <c r="E290" s="43"/>
      <c r="F290" s="39"/>
    </row>
    <row r="291" spans="5:7" ht="20.100000000000001" customHeight="1">
      <c r="E291" s="43"/>
      <c r="F291" s="39"/>
    </row>
    <row r="292" spans="5:7" ht="20.100000000000001" customHeight="1">
      <c r="E292" s="43"/>
      <c r="F292" s="39"/>
      <c r="G292" s="37"/>
    </row>
    <row r="293" spans="5:7" ht="20.100000000000001" customHeight="1">
      <c r="E293" s="43"/>
      <c r="F293" s="39"/>
      <c r="G293" s="37"/>
    </row>
    <row r="294" spans="5:7" ht="20.100000000000001" customHeight="1">
      <c r="F294" s="39"/>
    </row>
    <row r="295" spans="5:7" ht="20.100000000000001" customHeight="1">
      <c r="F295" s="39"/>
    </row>
    <row r="296" spans="5:7" ht="20.100000000000001" customHeight="1">
      <c r="F296" s="39"/>
    </row>
    <row r="297" spans="5:7" ht="20.100000000000001" customHeight="1">
      <c r="F297" s="39"/>
    </row>
    <row r="298" spans="5:7" ht="20.100000000000001" customHeight="1">
      <c r="F298" s="39"/>
    </row>
    <row r="299" spans="5:7" ht="20.100000000000001" customHeight="1">
      <c r="F299" s="39"/>
    </row>
    <row r="300" spans="5:7" ht="20.100000000000001" customHeight="1">
      <c r="F300" s="39"/>
    </row>
    <row r="301" spans="5:7" ht="20.100000000000001" customHeight="1">
      <c r="F301" s="39"/>
    </row>
    <row r="302" spans="5:7" ht="20.100000000000001" customHeight="1">
      <c r="F302" s="39"/>
    </row>
    <row r="303" spans="5:7" ht="20.100000000000001" customHeight="1">
      <c r="E303" s="43"/>
      <c r="F303" s="39"/>
    </row>
    <row r="304" spans="5:7" ht="20.100000000000001" customHeight="1">
      <c r="E304" s="43"/>
      <c r="F304" s="39"/>
    </row>
    <row r="305" spans="5:6" ht="20.100000000000001" customHeight="1">
      <c r="E305" s="43"/>
      <c r="F305" s="39"/>
    </row>
    <row r="306" spans="5:6" ht="20.100000000000001" customHeight="1">
      <c r="E306" s="43"/>
      <c r="F306" s="39"/>
    </row>
    <row r="307" spans="5:6" ht="20.100000000000001" customHeight="1">
      <c r="E307" s="43"/>
      <c r="F307" s="39"/>
    </row>
    <row r="308" spans="5:6" ht="20.100000000000001" customHeight="1">
      <c r="E308" s="43"/>
      <c r="F308" s="39"/>
    </row>
    <row r="309" spans="5:6" ht="20.100000000000001" customHeight="1">
      <c r="E309" s="43"/>
      <c r="F309" s="39"/>
    </row>
    <row r="310" spans="5:6" ht="20.100000000000001" customHeight="1">
      <c r="E310" s="43"/>
      <c r="F310" s="39"/>
    </row>
    <row r="311" spans="5:6" ht="20.100000000000001" customHeight="1">
      <c r="E311" s="43"/>
      <c r="F311" s="39"/>
    </row>
    <row r="312" spans="5:6" ht="20.100000000000001" customHeight="1">
      <c r="E312" s="43"/>
      <c r="F312" s="39"/>
    </row>
    <row r="313" spans="5:6" ht="20.100000000000001" customHeight="1">
      <c r="E313" s="43"/>
      <c r="F313" s="39"/>
    </row>
    <row r="314" spans="5:6" ht="20.100000000000001" customHeight="1">
      <c r="E314" s="43"/>
      <c r="F314" s="39"/>
    </row>
    <row r="315" spans="5:6" ht="20.100000000000001" customHeight="1">
      <c r="E315" s="43"/>
      <c r="F315" s="39"/>
    </row>
    <row r="316" spans="5:6" ht="20.100000000000001" customHeight="1">
      <c r="E316" s="43"/>
      <c r="F316" s="39"/>
    </row>
    <row r="317" spans="5:6" ht="20.100000000000001" customHeight="1">
      <c r="E317" s="43"/>
      <c r="F317" s="39"/>
    </row>
    <row r="318" spans="5:6" ht="20.100000000000001" customHeight="1">
      <c r="E318" s="43"/>
      <c r="F318" s="39"/>
    </row>
    <row r="319" spans="5:6" ht="20.100000000000001" customHeight="1">
      <c r="E319" s="43"/>
      <c r="F319" s="39"/>
    </row>
    <row r="320" spans="5:6" ht="20.100000000000001" customHeight="1">
      <c r="E320" s="43"/>
      <c r="F320" s="39"/>
    </row>
    <row r="321" spans="5:7" ht="20.100000000000001" customHeight="1">
      <c r="E321" s="43"/>
      <c r="F321" s="39"/>
    </row>
    <row r="322" spans="5:7" ht="20.100000000000001" customHeight="1">
      <c r="E322" s="43"/>
      <c r="F322" s="39"/>
    </row>
    <row r="323" spans="5:7" ht="20.100000000000001" customHeight="1">
      <c r="E323" s="43"/>
      <c r="F323" s="39"/>
    </row>
    <row r="324" spans="5:7" ht="20.100000000000001" customHeight="1">
      <c r="E324" s="43"/>
      <c r="F324" s="39"/>
    </row>
    <row r="325" spans="5:7" ht="20.100000000000001" customHeight="1">
      <c r="E325" s="43"/>
      <c r="F325" s="39"/>
    </row>
    <row r="326" spans="5:7" ht="20.100000000000001" customHeight="1">
      <c r="E326" s="43"/>
      <c r="F326" s="39"/>
    </row>
    <row r="327" spans="5:7" ht="20.100000000000001" customHeight="1">
      <c r="E327" s="43"/>
      <c r="F327" s="39"/>
    </row>
    <row r="328" spans="5:7" ht="20.100000000000001" customHeight="1">
      <c r="E328" s="43"/>
      <c r="F328" s="39"/>
    </row>
    <row r="329" spans="5:7" ht="20.100000000000001" customHeight="1">
      <c r="E329" s="43"/>
      <c r="F329" s="39"/>
    </row>
    <row r="330" spans="5:7" ht="20.100000000000001" customHeight="1">
      <c r="E330" s="43"/>
      <c r="F330" s="39"/>
      <c r="G330" s="37"/>
    </row>
    <row r="331" spans="5:7" ht="20.100000000000001" customHeight="1">
      <c r="E331" s="43"/>
      <c r="F331" s="39"/>
      <c r="G331" s="37"/>
    </row>
    <row r="332" spans="5:7" ht="20.100000000000001" customHeight="1">
      <c r="F332" s="39"/>
    </row>
    <row r="333" spans="5:7" ht="20.100000000000001" customHeight="1">
      <c r="F333" s="39"/>
    </row>
    <row r="334" spans="5:7" ht="20.100000000000001" customHeight="1">
      <c r="F334" s="39"/>
    </row>
    <row r="335" spans="5:7" ht="20.100000000000001" customHeight="1">
      <c r="F335" s="39"/>
    </row>
    <row r="336" spans="5:7" ht="20.100000000000001" customHeight="1">
      <c r="F336" s="39"/>
    </row>
    <row r="337" spans="5:6" ht="20.100000000000001" customHeight="1">
      <c r="F337" s="39"/>
    </row>
    <row r="338" spans="5:6" ht="20.100000000000001" customHeight="1">
      <c r="F338" s="39"/>
    </row>
    <row r="339" spans="5:6" ht="20.100000000000001" customHeight="1">
      <c r="F339" s="39"/>
    </row>
    <row r="340" spans="5:6" ht="20.100000000000001" customHeight="1">
      <c r="F340" s="39"/>
    </row>
    <row r="341" spans="5:6" ht="20.100000000000001" customHeight="1">
      <c r="E341" s="43"/>
      <c r="F341" s="39"/>
    </row>
    <row r="342" spans="5:6" ht="20.100000000000001" customHeight="1">
      <c r="E342" s="43"/>
      <c r="F342" s="39"/>
    </row>
    <row r="343" spans="5:6" ht="20.100000000000001" customHeight="1">
      <c r="E343" s="43"/>
      <c r="F343" s="39"/>
    </row>
    <row r="344" spans="5:6" ht="20.100000000000001" customHeight="1">
      <c r="E344" s="43"/>
      <c r="F344" s="39"/>
    </row>
    <row r="345" spans="5:6" ht="20.100000000000001" customHeight="1">
      <c r="E345" s="43"/>
      <c r="F345" s="39"/>
    </row>
    <row r="346" spans="5:6" ht="20.100000000000001" customHeight="1">
      <c r="E346" s="43"/>
      <c r="F346" s="39"/>
    </row>
    <row r="347" spans="5:6" ht="20.100000000000001" customHeight="1">
      <c r="E347" s="43"/>
      <c r="F347" s="39"/>
    </row>
    <row r="348" spans="5:6" ht="20.100000000000001" customHeight="1">
      <c r="E348" s="43"/>
      <c r="F348" s="39"/>
    </row>
    <row r="349" spans="5:6" ht="20.100000000000001" customHeight="1">
      <c r="E349" s="43"/>
      <c r="F349" s="39"/>
    </row>
    <row r="350" spans="5:6" ht="20.100000000000001" customHeight="1">
      <c r="E350" s="43"/>
      <c r="F350" s="39"/>
    </row>
    <row r="351" spans="5:6" ht="20.100000000000001" customHeight="1">
      <c r="E351" s="43"/>
      <c r="F351" s="39"/>
    </row>
    <row r="352" spans="5:6" ht="20.100000000000001" customHeight="1">
      <c r="E352" s="43"/>
      <c r="F352" s="39"/>
    </row>
    <row r="353" spans="5:7" ht="20.100000000000001" customHeight="1">
      <c r="E353" s="43"/>
      <c r="F353" s="39"/>
    </row>
    <row r="354" spans="5:7" ht="20.100000000000001" customHeight="1">
      <c r="E354" s="43"/>
      <c r="F354" s="39"/>
    </row>
    <row r="355" spans="5:7" ht="20.100000000000001" customHeight="1">
      <c r="E355" s="43"/>
      <c r="F355" s="39"/>
    </row>
    <row r="356" spans="5:7" ht="20.100000000000001" customHeight="1">
      <c r="E356" s="43"/>
      <c r="F356" s="39"/>
    </row>
    <row r="357" spans="5:7" ht="20.100000000000001" customHeight="1">
      <c r="E357" s="43"/>
      <c r="F357" s="39"/>
    </row>
    <row r="358" spans="5:7" ht="20.100000000000001" customHeight="1">
      <c r="E358" s="43"/>
      <c r="F358" s="39"/>
    </row>
    <row r="359" spans="5:7" ht="20.100000000000001" customHeight="1">
      <c r="E359" s="43"/>
      <c r="F359" s="39"/>
    </row>
    <row r="360" spans="5:7" ht="20.100000000000001" customHeight="1">
      <c r="E360" s="43"/>
      <c r="F360" s="39"/>
    </row>
    <row r="361" spans="5:7" ht="20.100000000000001" customHeight="1">
      <c r="E361" s="43"/>
      <c r="F361" s="39"/>
    </row>
    <row r="362" spans="5:7" ht="20.100000000000001" customHeight="1">
      <c r="E362" s="43"/>
      <c r="F362" s="39"/>
    </row>
    <row r="363" spans="5:7" ht="20.100000000000001" customHeight="1">
      <c r="E363" s="43"/>
      <c r="F363" s="39"/>
    </row>
    <row r="364" spans="5:7" ht="20.100000000000001" customHeight="1">
      <c r="E364" s="43"/>
      <c r="F364" s="39"/>
    </row>
    <row r="365" spans="5:7" ht="20.100000000000001" customHeight="1">
      <c r="E365" s="43"/>
      <c r="F365" s="39"/>
    </row>
    <row r="366" spans="5:7" ht="20.100000000000001" customHeight="1">
      <c r="E366" s="43"/>
      <c r="F366" s="39"/>
    </row>
    <row r="367" spans="5:7" ht="20.100000000000001" customHeight="1">
      <c r="E367" s="43"/>
      <c r="F367" s="39"/>
    </row>
    <row r="368" spans="5:7" ht="20.100000000000001" customHeight="1">
      <c r="E368" s="43"/>
      <c r="F368" s="39"/>
      <c r="G368" s="37"/>
    </row>
    <row r="369" spans="5:7" ht="20.100000000000001" customHeight="1">
      <c r="E369" s="43"/>
      <c r="F369" s="39"/>
      <c r="G369" s="37"/>
    </row>
    <row r="370" spans="5:7" ht="20.100000000000001" customHeight="1">
      <c r="F370" s="39"/>
    </row>
    <row r="371" spans="5:7" ht="20.100000000000001" customHeight="1">
      <c r="F371" s="39"/>
    </row>
    <row r="372" spans="5:7" ht="20.100000000000001" customHeight="1">
      <c r="F372" s="39"/>
    </row>
    <row r="373" spans="5:7" ht="20.100000000000001" customHeight="1">
      <c r="F373" s="39"/>
    </row>
    <row r="374" spans="5:7" ht="20.100000000000001" customHeight="1">
      <c r="F374" s="39"/>
    </row>
    <row r="375" spans="5:7" ht="20.100000000000001" customHeight="1">
      <c r="F375" s="39"/>
    </row>
    <row r="376" spans="5:7" ht="20.100000000000001" customHeight="1">
      <c r="F376" s="39"/>
    </row>
    <row r="377" spans="5:7" ht="20.100000000000001" customHeight="1">
      <c r="F377" s="39"/>
    </row>
    <row r="378" spans="5:7" ht="20.100000000000001" customHeight="1">
      <c r="F378" s="39"/>
    </row>
    <row r="379" spans="5:7" ht="20.100000000000001" customHeight="1">
      <c r="E379" s="43"/>
      <c r="F379" s="39"/>
    </row>
    <row r="380" spans="5:7" ht="20.100000000000001" customHeight="1">
      <c r="E380" s="43"/>
      <c r="F380" s="39"/>
    </row>
    <row r="381" spans="5:7" ht="20.100000000000001" customHeight="1">
      <c r="E381" s="43"/>
      <c r="F381" s="39"/>
    </row>
    <row r="382" spans="5:7" ht="20.100000000000001" customHeight="1">
      <c r="E382" s="43"/>
      <c r="F382" s="39"/>
    </row>
    <row r="383" spans="5:7" ht="20.100000000000001" customHeight="1">
      <c r="E383" s="43"/>
      <c r="F383" s="39"/>
    </row>
    <row r="384" spans="5:7" ht="20.100000000000001" customHeight="1">
      <c r="E384" s="43"/>
      <c r="F384" s="39"/>
    </row>
    <row r="385" spans="5:6" ht="20.100000000000001" customHeight="1">
      <c r="E385" s="43"/>
      <c r="F385" s="39"/>
    </row>
    <row r="386" spans="5:6" ht="20.100000000000001" customHeight="1">
      <c r="E386" s="43"/>
      <c r="F386" s="39"/>
    </row>
    <row r="387" spans="5:6" ht="20.100000000000001" customHeight="1">
      <c r="E387" s="43"/>
      <c r="F387" s="39"/>
    </row>
    <row r="388" spans="5:6" ht="20.100000000000001" customHeight="1">
      <c r="E388" s="43"/>
      <c r="F388" s="39"/>
    </row>
    <row r="389" spans="5:6" ht="20.100000000000001" customHeight="1">
      <c r="E389" s="43"/>
      <c r="F389" s="39"/>
    </row>
    <row r="390" spans="5:6" ht="20.100000000000001" customHeight="1">
      <c r="E390" s="43"/>
      <c r="F390" s="39"/>
    </row>
    <row r="391" spans="5:6" ht="20.100000000000001" customHeight="1">
      <c r="E391" s="43"/>
      <c r="F391" s="39"/>
    </row>
    <row r="392" spans="5:6" ht="20.100000000000001" customHeight="1">
      <c r="E392" s="43"/>
      <c r="F392" s="39"/>
    </row>
    <row r="393" spans="5:6" ht="20.100000000000001" customHeight="1">
      <c r="E393" s="43"/>
      <c r="F393" s="39"/>
    </row>
    <row r="394" spans="5:6" ht="20.100000000000001" customHeight="1">
      <c r="E394" s="43"/>
      <c r="F394" s="39"/>
    </row>
    <row r="395" spans="5:6" ht="20.100000000000001" customHeight="1">
      <c r="E395" s="43"/>
      <c r="F395" s="39"/>
    </row>
    <row r="396" spans="5:6" ht="20.100000000000001" customHeight="1">
      <c r="E396" s="43"/>
      <c r="F396" s="39"/>
    </row>
    <row r="397" spans="5:6" ht="20.100000000000001" customHeight="1">
      <c r="E397" s="43"/>
      <c r="F397" s="39"/>
    </row>
    <row r="398" spans="5:6" ht="20.100000000000001" customHeight="1">
      <c r="E398" s="43"/>
      <c r="F398" s="39"/>
    </row>
    <row r="399" spans="5:6" ht="20.100000000000001" customHeight="1">
      <c r="E399" s="43"/>
      <c r="F399" s="39"/>
    </row>
    <row r="400" spans="5:6" ht="20.100000000000001" customHeight="1">
      <c r="E400" s="43"/>
      <c r="F400" s="39"/>
    </row>
    <row r="401" spans="5:7" ht="20.100000000000001" customHeight="1">
      <c r="E401" s="43"/>
      <c r="F401" s="39"/>
    </row>
    <row r="402" spans="5:7" ht="20.100000000000001" customHeight="1">
      <c r="E402" s="43"/>
      <c r="F402" s="39"/>
    </row>
    <row r="403" spans="5:7" ht="20.100000000000001" customHeight="1">
      <c r="E403" s="43"/>
      <c r="F403" s="39"/>
    </row>
    <row r="404" spans="5:7" ht="20.100000000000001" customHeight="1">
      <c r="E404" s="43"/>
      <c r="F404" s="39"/>
    </row>
    <row r="405" spans="5:7" ht="20.100000000000001" customHeight="1">
      <c r="E405" s="43"/>
      <c r="F405" s="39"/>
    </row>
    <row r="406" spans="5:7" ht="20.100000000000001" customHeight="1">
      <c r="E406" s="43"/>
      <c r="F406" s="39"/>
      <c r="G406" s="37"/>
    </row>
    <row r="407" spans="5:7" ht="20.100000000000001" customHeight="1">
      <c r="E407" s="43"/>
      <c r="F407" s="39"/>
      <c r="G407" s="37"/>
    </row>
    <row r="408" spans="5:7" ht="20.100000000000001" customHeight="1">
      <c r="F408" s="39"/>
    </row>
    <row r="409" spans="5:7" ht="20.100000000000001" customHeight="1">
      <c r="F409" s="39"/>
    </row>
    <row r="410" spans="5:7" ht="20.100000000000001" customHeight="1">
      <c r="F410" s="39"/>
    </row>
    <row r="411" spans="5:7" ht="20.100000000000001" customHeight="1">
      <c r="F411" s="39"/>
    </row>
    <row r="412" spans="5:7" ht="20.100000000000001" customHeight="1">
      <c r="F412" s="39"/>
    </row>
    <row r="413" spans="5:7" ht="20.100000000000001" customHeight="1">
      <c r="F413" s="39"/>
    </row>
    <row r="414" spans="5:7" ht="20.100000000000001" customHeight="1">
      <c r="F414" s="39"/>
    </row>
    <row r="415" spans="5:7" ht="20.100000000000001" customHeight="1">
      <c r="F415" s="39"/>
    </row>
    <row r="416" spans="5:7" ht="20.100000000000001" customHeight="1">
      <c r="F416" s="39"/>
    </row>
    <row r="417" spans="5:6" ht="20.100000000000001" customHeight="1">
      <c r="E417" s="43"/>
      <c r="F417" s="39"/>
    </row>
    <row r="418" spans="5:6" ht="20.100000000000001" customHeight="1">
      <c r="E418" s="43"/>
      <c r="F418" s="39"/>
    </row>
    <row r="419" spans="5:6" ht="20.100000000000001" customHeight="1">
      <c r="E419" s="43"/>
      <c r="F419" s="39"/>
    </row>
    <row r="420" spans="5:6" ht="20.100000000000001" customHeight="1">
      <c r="E420" s="43"/>
      <c r="F420" s="39"/>
    </row>
    <row r="421" spans="5:6" ht="20.100000000000001" customHeight="1">
      <c r="E421" s="43"/>
      <c r="F421" s="39"/>
    </row>
    <row r="422" spans="5:6" ht="20.100000000000001" customHeight="1">
      <c r="E422" s="43"/>
      <c r="F422" s="39"/>
    </row>
    <row r="423" spans="5:6" ht="20.100000000000001" customHeight="1">
      <c r="E423" s="43"/>
      <c r="F423" s="39"/>
    </row>
    <row r="424" spans="5:6" ht="20.100000000000001" customHeight="1">
      <c r="E424" s="43"/>
      <c r="F424" s="39"/>
    </row>
    <row r="425" spans="5:6" ht="20.100000000000001" customHeight="1">
      <c r="E425" s="43"/>
      <c r="F425" s="39"/>
    </row>
    <row r="426" spans="5:6" ht="20.100000000000001" customHeight="1">
      <c r="E426" s="43"/>
      <c r="F426" s="39"/>
    </row>
    <row r="427" spans="5:6" ht="20.100000000000001" customHeight="1">
      <c r="E427" s="43"/>
      <c r="F427" s="39"/>
    </row>
    <row r="428" spans="5:6" ht="20.100000000000001" customHeight="1">
      <c r="E428" s="43"/>
      <c r="F428" s="39"/>
    </row>
    <row r="429" spans="5:6" ht="20.100000000000001" customHeight="1">
      <c r="E429" s="43"/>
      <c r="F429" s="39"/>
    </row>
    <row r="430" spans="5:6" ht="20.100000000000001" customHeight="1">
      <c r="E430" s="43"/>
      <c r="F430" s="39"/>
    </row>
    <row r="431" spans="5:6" ht="20.100000000000001" customHeight="1">
      <c r="E431" s="43"/>
      <c r="F431" s="39"/>
    </row>
    <row r="432" spans="5:6" ht="20.100000000000001" customHeight="1">
      <c r="E432" s="43"/>
      <c r="F432" s="39"/>
    </row>
    <row r="433" spans="5:7" ht="20.100000000000001" customHeight="1">
      <c r="E433" s="43"/>
      <c r="F433" s="39"/>
    </row>
    <row r="434" spans="5:7" ht="20.100000000000001" customHeight="1">
      <c r="E434" s="43"/>
      <c r="F434" s="39"/>
    </row>
    <row r="435" spans="5:7" ht="20.100000000000001" customHeight="1">
      <c r="E435" s="43"/>
      <c r="F435" s="39"/>
    </row>
    <row r="436" spans="5:7" ht="20.100000000000001" customHeight="1">
      <c r="E436" s="43"/>
      <c r="F436" s="39"/>
    </row>
    <row r="437" spans="5:7" ht="20.100000000000001" customHeight="1">
      <c r="E437" s="43"/>
      <c r="F437" s="39"/>
    </row>
    <row r="438" spans="5:7" ht="20.100000000000001" customHeight="1">
      <c r="E438" s="43"/>
      <c r="F438" s="39"/>
    </row>
    <row r="439" spans="5:7" ht="20.100000000000001" customHeight="1">
      <c r="E439" s="43"/>
      <c r="F439" s="39"/>
    </row>
    <row r="440" spans="5:7" ht="20.100000000000001" customHeight="1">
      <c r="E440" s="43"/>
      <c r="F440" s="39"/>
    </row>
    <row r="441" spans="5:7" ht="20.100000000000001" customHeight="1">
      <c r="E441" s="43"/>
      <c r="F441" s="39"/>
    </row>
    <row r="442" spans="5:7" ht="20.100000000000001" customHeight="1">
      <c r="E442" s="43"/>
      <c r="F442" s="39"/>
    </row>
    <row r="443" spans="5:7" ht="20.100000000000001" customHeight="1">
      <c r="E443" s="43"/>
      <c r="F443" s="39"/>
    </row>
    <row r="444" spans="5:7" ht="20.100000000000001" customHeight="1">
      <c r="E444" s="43"/>
      <c r="F444" s="39"/>
      <c r="G444" s="37"/>
    </row>
    <row r="445" spans="5:7" ht="20.100000000000001" customHeight="1">
      <c r="E445" s="43"/>
      <c r="F445" s="39"/>
      <c r="G445" s="37"/>
    </row>
    <row r="446" spans="5:7" ht="20.100000000000001" customHeight="1">
      <c r="F446" s="39"/>
    </row>
    <row r="447" spans="5:7" ht="20.100000000000001" customHeight="1">
      <c r="F447" s="39"/>
    </row>
    <row r="448" spans="5:7" ht="20.100000000000001" customHeight="1">
      <c r="F448" s="39"/>
    </row>
    <row r="449" spans="5:6" ht="20.100000000000001" customHeight="1">
      <c r="F449" s="39"/>
    </row>
    <row r="450" spans="5:6" ht="20.100000000000001" customHeight="1">
      <c r="F450" s="39"/>
    </row>
    <row r="451" spans="5:6" ht="20.100000000000001" customHeight="1">
      <c r="F451" s="39"/>
    </row>
    <row r="452" spans="5:6" ht="20.100000000000001" customHeight="1">
      <c r="F452" s="39"/>
    </row>
    <row r="453" spans="5:6" ht="20.100000000000001" customHeight="1">
      <c r="F453" s="39"/>
    </row>
    <row r="454" spans="5:6" ht="20.100000000000001" customHeight="1">
      <c r="F454" s="39"/>
    </row>
    <row r="455" spans="5:6" ht="20.100000000000001" customHeight="1">
      <c r="E455" s="43"/>
      <c r="F455" s="39"/>
    </row>
    <row r="456" spans="5:6" ht="20.100000000000001" customHeight="1">
      <c r="E456" s="43"/>
      <c r="F456" s="39"/>
    </row>
    <row r="457" spans="5:6" ht="20.100000000000001" customHeight="1">
      <c r="E457" s="43"/>
      <c r="F457" s="39"/>
    </row>
    <row r="458" spans="5:6" ht="20.100000000000001" customHeight="1">
      <c r="E458" s="43"/>
      <c r="F458" s="39"/>
    </row>
    <row r="459" spans="5:6" ht="20.100000000000001" customHeight="1">
      <c r="E459" s="43"/>
      <c r="F459" s="39"/>
    </row>
    <row r="460" spans="5:6" ht="20.100000000000001" customHeight="1">
      <c r="E460" s="43"/>
      <c r="F460" s="39"/>
    </row>
    <row r="461" spans="5:6" ht="20.100000000000001" customHeight="1">
      <c r="E461" s="43"/>
      <c r="F461" s="39"/>
    </row>
    <row r="462" spans="5:6" ht="20.100000000000001" customHeight="1">
      <c r="E462" s="43"/>
      <c r="F462" s="39"/>
    </row>
    <row r="463" spans="5:6" ht="20.100000000000001" customHeight="1">
      <c r="E463" s="43"/>
      <c r="F463" s="39"/>
    </row>
    <row r="464" spans="5:6" ht="20.100000000000001" customHeight="1">
      <c r="E464" s="43"/>
      <c r="F464" s="39"/>
    </row>
    <row r="465" spans="5:6" ht="20.100000000000001" customHeight="1">
      <c r="E465" s="43"/>
      <c r="F465" s="39"/>
    </row>
    <row r="466" spans="5:6" ht="20.100000000000001" customHeight="1">
      <c r="E466" s="43"/>
      <c r="F466" s="39"/>
    </row>
    <row r="467" spans="5:6" ht="20.100000000000001" customHeight="1">
      <c r="E467" s="43"/>
      <c r="F467" s="39"/>
    </row>
    <row r="468" spans="5:6" ht="20.100000000000001" customHeight="1">
      <c r="E468" s="43"/>
      <c r="F468" s="39"/>
    </row>
    <row r="469" spans="5:6" ht="20.100000000000001" customHeight="1">
      <c r="E469" s="43"/>
      <c r="F469" s="39"/>
    </row>
    <row r="470" spans="5:6" ht="20.100000000000001" customHeight="1">
      <c r="E470" s="43"/>
      <c r="F470" s="39"/>
    </row>
    <row r="471" spans="5:6" ht="20.100000000000001" customHeight="1">
      <c r="E471" s="43"/>
      <c r="F471" s="39"/>
    </row>
    <row r="472" spans="5:6" ht="20.100000000000001" customHeight="1">
      <c r="E472" s="43"/>
      <c r="F472" s="39"/>
    </row>
    <row r="473" spans="5:6" ht="20.100000000000001" customHeight="1">
      <c r="E473" s="43"/>
      <c r="F473" s="39"/>
    </row>
    <row r="474" spans="5:6" ht="20.100000000000001" customHeight="1">
      <c r="E474" s="43"/>
      <c r="F474" s="39"/>
    </row>
    <row r="475" spans="5:6" ht="20.100000000000001" customHeight="1">
      <c r="E475" s="43"/>
      <c r="F475" s="39"/>
    </row>
    <row r="476" spans="5:6" ht="20.100000000000001" customHeight="1">
      <c r="E476" s="43"/>
      <c r="F476" s="39"/>
    </row>
    <row r="477" spans="5:6" ht="20.100000000000001" customHeight="1">
      <c r="E477" s="43"/>
      <c r="F477" s="39"/>
    </row>
    <row r="478" spans="5:6" ht="20.100000000000001" customHeight="1">
      <c r="E478" s="43"/>
      <c r="F478" s="39"/>
    </row>
    <row r="479" spans="5:6" ht="20.100000000000001" customHeight="1">
      <c r="E479" s="43"/>
      <c r="F479" s="39"/>
    </row>
    <row r="480" spans="5:6" ht="20.100000000000001" customHeight="1">
      <c r="E480" s="43"/>
      <c r="F480" s="39"/>
    </row>
    <row r="481" spans="5:7" ht="20.100000000000001" customHeight="1">
      <c r="E481" s="43"/>
      <c r="F481" s="39"/>
    </row>
    <row r="482" spans="5:7" ht="20.100000000000001" customHeight="1">
      <c r="E482" s="43"/>
      <c r="F482" s="39"/>
      <c r="G482" s="37"/>
    </row>
    <row r="483" spans="5:7" ht="20.100000000000001" customHeight="1">
      <c r="E483" s="43"/>
      <c r="F483" s="39"/>
      <c r="G483" s="37"/>
    </row>
    <row r="484" spans="5:7" ht="20.100000000000001" customHeight="1">
      <c r="F484" s="39"/>
    </row>
    <row r="485" spans="5:7" ht="20.100000000000001" customHeight="1">
      <c r="F485" s="39"/>
    </row>
    <row r="486" spans="5:7" ht="20.100000000000001" customHeight="1">
      <c r="F486" s="39"/>
    </row>
    <row r="487" spans="5:7" ht="20.100000000000001" customHeight="1">
      <c r="F487" s="39"/>
    </row>
    <row r="488" spans="5:7" ht="20.100000000000001" customHeight="1">
      <c r="F488" s="39"/>
    </row>
    <row r="489" spans="5:7" ht="20.100000000000001" customHeight="1">
      <c r="F489" s="39"/>
    </row>
    <row r="490" spans="5:7" ht="20.100000000000001" customHeight="1">
      <c r="F490" s="39"/>
    </row>
    <row r="491" spans="5:7" ht="20.100000000000001" customHeight="1">
      <c r="F491" s="39"/>
    </row>
    <row r="492" spans="5:7" ht="20.100000000000001" customHeight="1">
      <c r="F492" s="39"/>
    </row>
    <row r="493" spans="5:7" ht="20.100000000000001" customHeight="1">
      <c r="E493" s="43"/>
      <c r="F493" s="39"/>
    </row>
    <row r="494" spans="5:7" ht="20.100000000000001" customHeight="1">
      <c r="E494" s="43"/>
      <c r="F494" s="39"/>
    </row>
    <row r="495" spans="5:7" ht="20.100000000000001" customHeight="1">
      <c r="E495" s="43"/>
      <c r="F495" s="39"/>
    </row>
    <row r="496" spans="5:7" ht="20.100000000000001" customHeight="1">
      <c r="E496" s="43"/>
      <c r="F496" s="39"/>
    </row>
    <row r="497" spans="5:6" ht="20.100000000000001" customHeight="1">
      <c r="E497" s="43"/>
      <c r="F497" s="39"/>
    </row>
    <row r="498" spans="5:6" ht="20.100000000000001" customHeight="1">
      <c r="E498" s="43"/>
      <c r="F498" s="39"/>
    </row>
    <row r="499" spans="5:6" ht="20.100000000000001" customHeight="1">
      <c r="E499" s="43"/>
      <c r="F499" s="39"/>
    </row>
    <row r="500" spans="5:6" ht="20.100000000000001" customHeight="1">
      <c r="E500" s="43"/>
      <c r="F500" s="39"/>
    </row>
    <row r="501" spans="5:6" ht="20.100000000000001" customHeight="1">
      <c r="E501" s="43"/>
      <c r="F501" s="39"/>
    </row>
    <row r="502" spans="5:6" ht="20.100000000000001" customHeight="1">
      <c r="E502" s="43"/>
      <c r="F502" s="39"/>
    </row>
    <row r="503" spans="5:6" ht="20.100000000000001" customHeight="1">
      <c r="E503" s="43"/>
      <c r="F503" s="39"/>
    </row>
    <row r="504" spans="5:6" ht="20.100000000000001" customHeight="1">
      <c r="E504" s="43"/>
      <c r="F504" s="39"/>
    </row>
    <row r="505" spans="5:6" ht="20.100000000000001" customHeight="1">
      <c r="E505" s="43"/>
      <c r="F505" s="39"/>
    </row>
    <row r="506" spans="5:6" ht="20.100000000000001" customHeight="1">
      <c r="E506" s="43"/>
      <c r="F506" s="39"/>
    </row>
    <row r="507" spans="5:6" ht="20.100000000000001" customHeight="1">
      <c r="E507" s="43"/>
      <c r="F507" s="39"/>
    </row>
    <row r="508" spans="5:6" ht="20.100000000000001" customHeight="1">
      <c r="E508" s="43"/>
      <c r="F508" s="39"/>
    </row>
    <row r="509" spans="5:6" ht="20.100000000000001" customHeight="1">
      <c r="E509" s="43"/>
      <c r="F509" s="39"/>
    </row>
    <row r="510" spans="5:6" ht="20.100000000000001" customHeight="1">
      <c r="E510" s="43"/>
      <c r="F510" s="39"/>
    </row>
    <row r="511" spans="5:6" ht="20.100000000000001" customHeight="1">
      <c r="E511" s="43"/>
      <c r="F511" s="39"/>
    </row>
    <row r="512" spans="5:6" ht="20.100000000000001" customHeight="1">
      <c r="E512" s="43"/>
      <c r="F512" s="39"/>
    </row>
    <row r="513" spans="5:7" ht="20.100000000000001" customHeight="1">
      <c r="E513" s="43"/>
      <c r="F513" s="39"/>
    </row>
    <row r="514" spans="5:7" ht="20.100000000000001" customHeight="1">
      <c r="E514" s="43"/>
      <c r="F514" s="39"/>
    </row>
    <row r="515" spans="5:7" ht="20.100000000000001" customHeight="1">
      <c r="E515" s="43"/>
      <c r="F515" s="39"/>
    </row>
    <row r="516" spans="5:7" ht="20.100000000000001" customHeight="1">
      <c r="E516" s="43"/>
      <c r="F516" s="39"/>
    </row>
    <row r="517" spans="5:7" ht="20.100000000000001" customHeight="1">
      <c r="E517" s="43"/>
      <c r="F517" s="39"/>
    </row>
    <row r="518" spans="5:7" ht="20.100000000000001" customHeight="1">
      <c r="E518" s="43"/>
      <c r="F518" s="39"/>
    </row>
    <row r="519" spans="5:7" ht="20.100000000000001" customHeight="1">
      <c r="E519" s="43"/>
      <c r="F519" s="39"/>
    </row>
    <row r="520" spans="5:7" ht="20.100000000000001" customHeight="1">
      <c r="E520" s="43"/>
      <c r="F520" s="39"/>
      <c r="G520" s="37"/>
    </row>
    <row r="521" spans="5:7" ht="20.100000000000001" customHeight="1">
      <c r="E521" s="43"/>
      <c r="F521" s="39"/>
      <c r="G521" s="37"/>
    </row>
    <row r="522" spans="5:7" ht="20.100000000000001" customHeight="1">
      <c r="F522" s="39"/>
    </row>
    <row r="523" spans="5:7" ht="20.100000000000001" customHeight="1">
      <c r="F523" s="39"/>
    </row>
    <row r="524" spans="5:7" ht="20.100000000000001" customHeight="1">
      <c r="F524" s="39"/>
    </row>
    <row r="525" spans="5:7" ht="20.100000000000001" customHeight="1">
      <c r="F525" s="39"/>
    </row>
    <row r="526" spans="5:7" ht="20.100000000000001" customHeight="1">
      <c r="F526" s="39"/>
    </row>
    <row r="527" spans="5:7" ht="20.100000000000001" customHeight="1">
      <c r="F527" s="39"/>
    </row>
    <row r="528" spans="5:7" ht="20.100000000000001" customHeight="1">
      <c r="F528" s="39"/>
    </row>
    <row r="529" spans="5:6" ht="20.100000000000001" customHeight="1">
      <c r="F529" s="39"/>
    </row>
    <row r="530" spans="5:6" ht="20.100000000000001" customHeight="1">
      <c r="F530" s="39"/>
    </row>
    <row r="531" spans="5:6" ht="20.100000000000001" customHeight="1">
      <c r="E531" s="43"/>
      <c r="F531" s="39"/>
    </row>
    <row r="532" spans="5:6" ht="20.100000000000001" customHeight="1">
      <c r="E532" s="43"/>
      <c r="F532" s="39"/>
    </row>
    <row r="533" spans="5:6" ht="20.100000000000001" customHeight="1">
      <c r="E533" s="43"/>
      <c r="F533" s="39"/>
    </row>
    <row r="534" spans="5:6" ht="20.100000000000001" customHeight="1">
      <c r="E534" s="43"/>
      <c r="F534" s="39"/>
    </row>
    <row r="535" spans="5:6" ht="20.100000000000001" customHeight="1">
      <c r="E535" s="43"/>
      <c r="F535" s="39"/>
    </row>
    <row r="536" spans="5:6" ht="20.100000000000001" customHeight="1">
      <c r="E536" s="43"/>
      <c r="F536" s="39"/>
    </row>
    <row r="537" spans="5:6" ht="20.100000000000001" customHeight="1">
      <c r="E537" s="43"/>
      <c r="F537" s="39"/>
    </row>
    <row r="538" spans="5:6" ht="20.100000000000001" customHeight="1">
      <c r="E538" s="43"/>
      <c r="F538" s="39"/>
    </row>
    <row r="539" spans="5:6" ht="20.100000000000001" customHeight="1">
      <c r="E539" s="43"/>
      <c r="F539" s="39"/>
    </row>
    <row r="540" spans="5:6" ht="20.100000000000001" customHeight="1">
      <c r="E540" s="43"/>
      <c r="F540" s="39"/>
    </row>
    <row r="541" spans="5:6" ht="20.100000000000001" customHeight="1">
      <c r="E541" s="43"/>
      <c r="F541" s="39"/>
    </row>
    <row r="542" spans="5:6" ht="20.100000000000001" customHeight="1">
      <c r="E542" s="43"/>
      <c r="F542" s="39"/>
    </row>
    <row r="543" spans="5:6" ht="20.100000000000001" customHeight="1">
      <c r="E543" s="43"/>
      <c r="F543" s="39"/>
    </row>
    <row r="544" spans="5:6" ht="20.100000000000001" customHeight="1">
      <c r="E544" s="43"/>
      <c r="F544" s="39"/>
    </row>
    <row r="545" spans="5:7" ht="20.100000000000001" customHeight="1">
      <c r="E545" s="43"/>
      <c r="F545" s="39"/>
    </row>
    <row r="546" spans="5:7" ht="20.100000000000001" customHeight="1">
      <c r="E546" s="43"/>
      <c r="F546" s="39"/>
    </row>
    <row r="547" spans="5:7" ht="20.100000000000001" customHeight="1">
      <c r="E547" s="43"/>
      <c r="F547" s="39"/>
    </row>
    <row r="548" spans="5:7" ht="20.100000000000001" customHeight="1">
      <c r="E548" s="43"/>
      <c r="F548" s="39"/>
    </row>
    <row r="549" spans="5:7" ht="20.100000000000001" customHeight="1">
      <c r="E549" s="43"/>
      <c r="F549" s="39"/>
    </row>
    <row r="550" spans="5:7" ht="20.100000000000001" customHeight="1">
      <c r="E550" s="43"/>
      <c r="F550" s="39"/>
    </row>
    <row r="551" spans="5:7" ht="20.100000000000001" customHeight="1">
      <c r="E551" s="43"/>
      <c r="F551" s="39"/>
    </row>
    <row r="552" spans="5:7" ht="20.100000000000001" customHeight="1">
      <c r="E552" s="43"/>
      <c r="F552" s="39"/>
    </row>
    <row r="553" spans="5:7" ht="20.100000000000001" customHeight="1">
      <c r="E553" s="43"/>
      <c r="F553" s="39"/>
    </row>
    <row r="554" spans="5:7" ht="20.100000000000001" customHeight="1">
      <c r="E554" s="43"/>
      <c r="F554" s="39"/>
    </row>
    <row r="555" spans="5:7" ht="20.100000000000001" customHeight="1">
      <c r="E555" s="43"/>
      <c r="F555" s="39"/>
    </row>
    <row r="556" spans="5:7" ht="20.100000000000001" customHeight="1">
      <c r="E556" s="43"/>
      <c r="F556" s="39"/>
    </row>
    <row r="557" spans="5:7" ht="20.100000000000001" customHeight="1">
      <c r="E557" s="43"/>
      <c r="F557" s="39"/>
    </row>
    <row r="558" spans="5:7" ht="20.100000000000001" customHeight="1">
      <c r="E558" s="43"/>
      <c r="F558" s="39"/>
      <c r="G558" s="37"/>
    </row>
    <row r="559" spans="5:7" ht="20.100000000000001" customHeight="1">
      <c r="E559" s="43"/>
      <c r="F559" s="39"/>
      <c r="G559" s="37"/>
    </row>
    <row r="560" spans="5:7" ht="20.100000000000001" customHeight="1">
      <c r="F560" s="39"/>
    </row>
    <row r="561" spans="5:6" ht="20.100000000000001" customHeight="1">
      <c r="F561" s="39"/>
    </row>
    <row r="562" spans="5:6" ht="20.100000000000001" customHeight="1">
      <c r="F562" s="39"/>
    </row>
    <row r="563" spans="5:6" ht="20.100000000000001" customHeight="1">
      <c r="F563" s="39"/>
    </row>
    <row r="564" spans="5:6" ht="20.100000000000001" customHeight="1">
      <c r="F564" s="39"/>
    </row>
    <row r="565" spans="5:6" ht="20.100000000000001" customHeight="1">
      <c r="F565" s="39"/>
    </row>
    <row r="566" spans="5:6" ht="20.100000000000001" customHeight="1">
      <c r="F566" s="39"/>
    </row>
    <row r="567" spans="5:6" ht="20.100000000000001" customHeight="1">
      <c r="F567" s="39"/>
    </row>
    <row r="568" spans="5:6" ht="20.100000000000001" customHeight="1">
      <c r="F568" s="39"/>
    </row>
    <row r="569" spans="5:6" ht="20.100000000000001" customHeight="1">
      <c r="E569" s="43"/>
      <c r="F569" s="39"/>
    </row>
    <row r="570" spans="5:6" ht="20.100000000000001" customHeight="1">
      <c r="E570" s="43"/>
      <c r="F570" s="39"/>
    </row>
    <row r="571" spans="5:6" ht="20.100000000000001" customHeight="1">
      <c r="E571" s="43"/>
      <c r="F571" s="39"/>
    </row>
    <row r="572" spans="5:6" ht="20.100000000000001" customHeight="1">
      <c r="E572" s="43"/>
      <c r="F572" s="39"/>
    </row>
    <row r="573" spans="5:6" ht="20.100000000000001" customHeight="1">
      <c r="E573" s="43"/>
      <c r="F573" s="39"/>
    </row>
    <row r="574" spans="5:6" ht="20.100000000000001" customHeight="1">
      <c r="E574" s="43"/>
      <c r="F574" s="39"/>
    </row>
    <row r="575" spans="5:6" ht="20.100000000000001" customHeight="1">
      <c r="E575" s="43"/>
      <c r="F575" s="39"/>
    </row>
    <row r="576" spans="5:6" ht="20.100000000000001" customHeight="1">
      <c r="E576" s="43"/>
      <c r="F576" s="39"/>
    </row>
    <row r="577" spans="5:6" ht="20.100000000000001" customHeight="1">
      <c r="E577" s="43"/>
      <c r="F577" s="39"/>
    </row>
    <row r="578" spans="5:6" ht="20.100000000000001" customHeight="1">
      <c r="E578" s="43"/>
      <c r="F578" s="39"/>
    </row>
    <row r="579" spans="5:6" ht="20.100000000000001" customHeight="1">
      <c r="E579" s="43"/>
      <c r="F579" s="39"/>
    </row>
    <row r="580" spans="5:6" ht="20.100000000000001" customHeight="1">
      <c r="E580" s="43"/>
      <c r="F580" s="39"/>
    </row>
    <row r="581" spans="5:6" ht="20.100000000000001" customHeight="1">
      <c r="E581" s="43"/>
      <c r="F581" s="39"/>
    </row>
    <row r="582" spans="5:6" ht="20.100000000000001" customHeight="1">
      <c r="E582" s="43"/>
      <c r="F582" s="39"/>
    </row>
    <row r="583" spans="5:6" ht="20.100000000000001" customHeight="1">
      <c r="E583" s="43"/>
      <c r="F583" s="39"/>
    </row>
    <row r="584" spans="5:6" ht="20.100000000000001" customHeight="1">
      <c r="E584" s="43"/>
      <c r="F584" s="39"/>
    </row>
    <row r="585" spans="5:6" ht="20.100000000000001" customHeight="1">
      <c r="E585" s="43"/>
      <c r="F585" s="39"/>
    </row>
    <row r="586" spans="5:6" ht="20.100000000000001" customHeight="1">
      <c r="E586" s="43"/>
      <c r="F586" s="39"/>
    </row>
    <row r="587" spans="5:6" ht="20.100000000000001" customHeight="1">
      <c r="E587" s="43"/>
      <c r="F587" s="39"/>
    </row>
    <row r="588" spans="5:6" ht="20.100000000000001" customHeight="1">
      <c r="E588" s="43"/>
      <c r="F588" s="39"/>
    </row>
    <row r="589" spans="5:6" ht="20.100000000000001" customHeight="1">
      <c r="E589" s="43"/>
      <c r="F589" s="39"/>
    </row>
    <row r="590" spans="5:6" ht="20.100000000000001" customHeight="1">
      <c r="E590" s="43"/>
      <c r="F590" s="39"/>
    </row>
    <row r="591" spans="5:6" ht="20.100000000000001" customHeight="1">
      <c r="E591" s="43"/>
      <c r="F591" s="39"/>
    </row>
    <row r="592" spans="5:6" ht="20.100000000000001" customHeight="1">
      <c r="E592" s="43"/>
      <c r="F592" s="39"/>
    </row>
    <row r="593" spans="5:7" ht="20.100000000000001" customHeight="1">
      <c r="E593" s="43"/>
      <c r="F593" s="39"/>
    </row>
    <row r="594" spans="5:7" ht="20.100000000000001" customHeight="1">
      <c r="E594" s="43"/>
      <c r="F594" s="39"/>
    </row>
    <row r="595" spans="5:7" ht="20.100000000000001" customHeight="1">
      <c r="E595" s="43"/>
      <c r="F595" s="39"/>
    </row>
    <row r="596" spans="5:7" ht="20.100000000000001" customHeight="1">
      <c r="E596" s="43"/>
      <c r="F596" s="39"/>
      <c r="G596" s="37"/>
    </row>
    <row r="597" spans="5:7" ht="20.100000000000001" customHeight="1">
      <c r="E597" s="43"/>
      <c r="F597" s="39"/>
      <c r="G597" s="37"/>
    </row>
    <row r="598" spans="5:7" ht="20.100000000000001" customHeight="1">
      <c r="F598" s="39"/>
    </row>
    <row r="599" spans="5:7" ht="20.100000000000001" customHeight="1">
      <c r="F599" s="39"/>
    </row>
    <row r="600" spans="5:7" ht="20.100000000000001" customHeight="1">
      <c r="F600" s="39"/>
    </row>
    <row r="601" spans="5:7" ht="20.100000000000001" customHeight="1">
      <c r="F601" s="39"/>
    </row>
    <row r="602" spans="5:7" ht="20.100000000000001" customHeight="1">
      <c r="F602" s="39"/>
    </row>
    <row r="603" spans="5:7" ht="20.100000000000001" customHeight="1">
      <c r="F603" s="39"/>
    </row>
    <row r="604" spans="5:7" ht="20.100000000000001" customHeight="1">
      <c r="F604" s="39"/>
    </row>
    <row r="605" spans="5:7" ht="20.100000000000001" customHeight="1">
      <c r="F605" s="39"/>
    </row>
    <row r="606" spans="5:7" ht="20.100000000000001" customHeight="1">
      <c r="F606" s="39"/>
    </row>
    <row r="607" spans="5:7" ht="20.100000000000001" customHeight="1">
      <c r="E607" s="43"/>
      <c r="F607" s="39"/>
    </row>
    <row r="608" spans="5:7" ht="20.100000000000001" customHeight="1">
      <c r="E608" s="43"/>
      <c r="F608" s="39"/>
    </row>
    <row r="609" spans="5:6" ht="20.100000000000001" customHeight="1">
      <c r="E609" s="43"/>
      <c r="F609" s="39"/>
    </row>
    <row r="610" spans="5:6" ht="20.100000000000001" customHeight="1">
      <c r="E610" s="43"/>
      <c r="F610" s="39"/>
    </row>
    <row r="611" spans="5:6" ht="20.100000000000001" customHeight="1">
      <c r="E611" s="43"/>
      <c r="F611" s="39"/>
    </row>
    <row r="612" spans="5:6" ht="20.100000000000001" customHeight="1">
      <c r="E612" s="43"/>
      <c r="F612" s="39"/>
    </row>
    <row r="613" spans="5:6" ht="20.100000000000001" customHeight="1">
      <c r="E613" s="43"/>
      <c r="F613" s="39"/>
    </row>
    <row r="614" spans="5:6" ht="20.100000000000001" customHeight="1">
      <c r="E614" s="43"/>
      <c r="F614" s="39"/>
    </row>
    <row r="615" spans="5:6" ht="20.100000000000001" customHeight="1">
      <c r="E615" s="43"/>
      <c r="F615" s="39"/>
    </row>
    <row r="616" spans="5:6" ht="20.100000000000001" customHeight="1">
      <c r="E616" s="43"/>
      <c r="F616" s="39"/>
    </row>
    <row r="617" spans="5:6" ht="20.100000000000001" customHeight="1">
      <c r="E617" s="43"/>
      <c r="F617" s="39"/>
    </row>
    <row r="618" spans="5:6" ht="20.100000000000001" customHeight="1">
      <c r="E618" s="43"/>
      <c r="F618" s="39"/>
    </row>
    <row r="619" spans="5:6" ht="20.100000000000001" customHeight="1">
      <c r="E619" s="43"/>
      <c r="F619" s="39"/>
    </row>
    <row r="620" spans="5:6" ht="20.100000000000001" customHeight="1">
      <c r="E620" s="43"/>
      <c r="F620" s="39"/>
    </row>
    <row r="621" spans="5:6" ht="20.100000000000001" customHeight="1">
      <c r="E621" s="43"/>
      <c r="F621" s="39"/>
    </row>
    <row r="622" spans="5:6" ht="20.100000000000001" customHeight="1">
      <c r="E622" s="43"/>
      <c r="F622" s="39"/>
    </row>
    <row r="623" spans="5:6" ht="20.100000000000001" customHeight="1">
      <c r="E623" s="43"/>
      <c r="F623" s="39"/>
    </row>
    <row r="624" spans="5:6" ht="20.100000000000001" customHeight="1">
      <c r="E624" s="43"/>
      <c r="F624" s="39"/>
    </row>
    <row r="625" spans="5:7" ht="20.100000000000001" customHeight="1">
      <c r="E625" s="43"/>
      <c r="F625" s="39"/>
    </row>
    <row r="626" spans="5:7" ht="20.100000000000001" customHeight="1">
      <c r="E626" s="43"/>
      <c r="F626" s="39"/>
    </row>
    <row r="627" spans="5:7" ht="20.100000000000001" customHeight="1">
      <c r="E627" s="43"/>
      <c r="F627" s="39"/>
    </row>
    <row r="628" spans="5:7" ht="20.100000000000001" customHeight="1">
      <c r="E628" s="43"/>
      <c r="F628" s="39"/>
    </row>
    <row r="629" spans="5:7" ht="20.100000000000001" customHeight="1">
      <c r="E629" s="43"/>
      <c r="F629" s="39"/>
    </row>
    <row r="630" spans="5:7" ht="20.100000000000001" customHeight="1">
      <c r="E630" s="43"/>
      <c r="F630" s="39"/>
    </row>
    <row r="631" spans="5:7" ht="20.100000000000001" customHeight="1">
      <c r="E631" s="43"/>
      <c r="F631" s="39"/>
    </row>
    <row r="632" spans="5:7" ht="20.100000000000001" customHeight="1">
      <c r="E632" s="43"/>
      <c r="F632" s="39"/>
    </row>
    <row r="633" spans="5:7" ht="20.100000000000001" customHeight="1">
      <c r="E633" s="43"/>
      <c r="F633" s="39"/>
    </row>
    <row r="634" spans="5:7" ht="20.100000000000001" customHeight="1">
      <c r="E634" s="43"/>
      <c r="F634" s="39"/>
      <c r="G634" s="37"/>
    </row>
    <row r="635" spans="5:7" ht="20.100000000000001" customHeight="1">
      <c r="E635" s="43"/>
      <c r="F635" s="39"/>
      <c r="G635" s="37"/>
    </row>
    <row r="636" spans="5:7" ht="20.100000000000001" customHeight="1">
      <c r="F636" s="39"/>
    </row>
    <row r="637" spans="5:7" ht="20.100000000000001" customHeight="1">
      <c r="F637" s="39"/>
    </row>
    <row r="638" spans="5:7" ht="20.100000000000001" customHeight="1">
      <c r="F638" s="39"/>
    </row>
    <row r="639" spans="5:7" ht="20.100000000000001" customHeight="1">
      <c r="F639" s="39"/>
    </row>
    <row r="640" spans="5:7" ht="20.100000000000001" customHeight="1">
      <c r="F640" s="39"/>
    </row>
    <row r="641" spans="5:6" ht="20.100000000000001" customHeight="1">
      <c r="F641" s="39"/>
    </row>
    <row r="642" spans="5:6" ht="20.100000000000001" customHeight="1">
      <c r="F642" s="39"/>
    </row>
    <row r="643" spans="5:6" ht="20.100000000000001" customHeight="1">
      <c r="F643" s="39"/>
    </row>
    <row r="644" spans="5:6" ht="20.100000000000001" customHeight="1">
      <c r="F644" s="39"/>
    </row>
    <row r="645" spans="5:6" ht="20.100000000000001" customHeight="1">
      <c r="E645" s="43"/>
      <c r="F645" s="39"/>
    </row>
    <row r="646" spans="5:6" ht="20.100000000000001" customHeight="1">
      <c r="E646" s="43"/>
      <c r="F646" s="39"/>
    </row>
    <row r="647" spans="5:6" ht="20.100000000000001" customHeight="1">
      <c r="E647" s="43"/>
      <c r="F647" s="39"/>
    </row>
    <row r="648" spans="5:6" ht="20.100000000000001" customHeight="1">
      <c r="E648" s="43"/>
      <c r="F648" s="39"/>
    </row>
    <row r="649" spans="5:6" ht="20.100000000000001" customHeight="1">
      <c r="E649" s="43"/>
      <c r="F649" s="39"/>
    </row>
    <row r="650" spans="5:6" ht="20.100000000000001" customHeight="1">
      <c r="E650" s="43"/>
      <c r="F650" s="39"/>
    </row>
    <row r="651" spans="5:6" ht="20.100000000000001" customHeight="1">
      <c r="E651" s="43"/>
      <c r="F651" s="39"/>
    </row>
    <row r="652" spans="5:6" ht="20.100000000000001" customHeight="1">
      <c r="E652" s="43"/>
      <c r="F652" s="39"/>
    </row>
    <row r="653" spans="5:6" ht="20.100000000000001" customHeight="1">
      <c r="E653" s="43"/>
      <c r="F653" s="39"/>
    </row>
    <row r="654" spans="5:6" ht="20.100000000000001" customHeight="1">
      <c r="E654" s="43"/>
      <c r="F654" s="39"/>
    </row>
    <row r="655" spans="5:6" ht="20.100000000000001" customHeight="1">
      <c r="E655" s="43"/>
      <c r="F655" s="39"/>
    </row>
    <row r="656" spans="5:6" ht="20.100000000000001" customHeight="1">
      <c r="E656" s="43"/>
      <c r="F656" s="39"/>
    </row>
    <row r="657" spans="5:7" ht="20.100000000000001" customHeight="1">
      <c r="E657" s="43"/>
      <c r="F657" s="39"/>
    </row>
    <row r="658" spans="5:7" ht="20.100000000000001" customHeight="1">
      <c r="E658" s="43"/>
      <c r="F658" s="39"/>
    </row>
    <row r="659" spans="5:7" ht="20.100000000000001" customHeight="1">
      <c r="E659" s="43"/>
      <c r="F659" s="39"/>
    </row>
    <row r="660" spans="5:7" ht="20.100000000000001" customHeight="1">
      <c r="E660" s="43"/>
      <c r="F660" s="39"/>
    </row>
    <row r="661" spans="5:7" ht="20.100000000000001" customHeight="1">
      <c r="E661" s="43"/>
      <c r="F661" s="39"/>
    </row>
    <row r="662" spans="5:7" ht="20.100000000000001" customHeight="1">
      <c r="E662" s="43"/>
      <c r="F662" s="39"/>
    </row>
    <row r="663" spans="5:7" ht="20.100000000000001" customHeight="1">
      <c r="E663" s="43"/>
      <c r="F663" s="39"/>
    </row>
    <row r="664" spans="5:7" ht="20.100000000000001" customHeight="1">
      <c r="E664" s="43"/>
      <c r="F664" s="39"/>
    </row>
    <row r="665" spans="5:7" ht="20.100000000000001" customHeight="1">
      <c r="E665" s="43"/>
      <c r="F665" s="39"/>
    </row>
    <row r="666" spans="5:7" ht="20.100000000000001" customHeight="1">
      <c r="E666" s="43"/>
      <c r="F666" s="39"/>
    </row>
    <row r="667" spans="5:7" ht="20.100000000000001" customHeight="1">
      <c r="E667" s="43"/>
      <c r="F667" s="39"/>
    </row>
    <row r="668" spans="5:7" ht="20.100000000000001" customHeight="1">
      <c r="E668" s="43"/>
      <c r="F668" s="39"/>
    </row>
    <row r="669" spans="5:7" ht="20.100000000000001" customHeight="1">
      <c r="E669" s="43"/>
      <c r="F669" s="39"/>
    </row>
    <row r="670" spans="5:7" ht="20.100000000000001" customHeight="1">
      <c r="E670" s="43"/>
      <c r="F670" s="39"/>
    </row>
    <row r="671" spans="5:7" ht="20.100000000000001" customHeight="1">
      <c r="E671" s="43"/>
      <c r="F671" s="39"/>
    </row>
    <row r="672" spans="5:7" ht="20.100000000000001" customHeight="1">
      <c r="E672" s="43"/>
      <c r="F672" s="39"/>
      <c r="G672" s="37"/>
    </row>
    <row r="673" spans="5:7" ht="20.100000000000001" customHeight="1">
      <c r="E673" s="43"/>
      <c r="F673" s="39"/>
      <c r="G673" s="37"/>
    </row>
    <row r="674" spans="5:7" ht="20.100000000000001" customHeight="1">
      <c r="F674" s="39"/>
    </row>
    <row r="675" spans="5:7" ht="20.100000000000001" customHeight="1">
      <c r="F675" s="39"/>
    </row>
    <row r="676" spans="5:7" ht="20.100000000000001" customHeight="1">
      <c r="F676" s="39"/>
    </row>
    <row r="677" spans="5:7" ht="20.100000000000001" customHeight="1">
      <c r="F677" s="39"/>
    </row>
    <row r="678" spans="5:7" ht="20.100000000000001" customHeight="1">
      <c r="F678" s="39"/>
    </row>
    <row r="679" spans="5:7" ht="20.100000000000001" customHeight="1">
      <c r="F679" s="39"/>
    </row>
    <row r="680" spans="5:7" ht="20.100000000000001" customHeight="1">
      <c r="F680" s="39"/>
    </row>
    <row r="681" spans="5:7" ht="20.100000000000001" customHeight="1">
      <c r="F681" s="39"/>
    </row>
    <row r="682" spans="5:7" ht="20.100000000000001" customHeight="1">
      <c r="F682" s="39"/>
    </row>
    <row r="683" spans="5:7" ht="20.100000000000001" customHeight="1">
      <c r="E683" s="43"/>
      <c r="F683" s="39"/>
    </row>
    <row r="684" spans="5:7" ht="20.100000000000001" customHeight="1">
      <c r="E684" s="43"/>
      <c r="F684" s="39"/>
    </row>
    <row r="685" spans="5:7" ht="20.100000000000001" customHeight="1">
      <c r="E685" s="43"/>
      <c r="F685" s="39"/>
    </row>
    <row r="686" spans="5:7" ht="20.100000000000001" customHeight="1">
      <c r="E686" s="43"/>
      <c r="F686" s="39"/>
    </row>
    <row r="687" spans="5:7" ht="20.100000000000001" customHeight="1">
      <c r="E687" s="43"/>
      <c r="F687" s="39"/>
    </row>
    <row r="688" spans="5:7" ht="20.100000000000001" customHeight="1">
      <c r="E688" s="43"/>
      <c r="F688" s="39"/>
    </row>
    <row r="689" spans="5:6" ht="20.100000000000001" customHeight="1">
      <c r="E689" s="43"/>
      <c r="F689" s="39"/>
    </row>
    <row r="690" spans="5:6" ht="20.100000000000001" customHeight="1">
      <c r="E690" s="43"/>
      <c r="F690" s="39"/>
    </row>
    <row r="691" spans="5:6" ht="20.100000000000001" customHeight="1">
      <c r="E691" s="43"/>
      <c r="F691" s="39"/>
    </row>
    <row r="692" spans="5:6" ht="20.100000000000001" customHeight="1">
      <c r="E692" s="43"/>
      <c r="F692" s="39"/>
    </row>
    <row r="693" spans="5:6" ht="20.100000000000001" customHeight="1">
      <c r="E693" s="43"/>
      <c r="F693" s="39"/>
    </row>
    <row r="694" spans="5:6" ht="20.100000000000001" customHeight="1">
      <c r="E694" s="43"/>
      <c r="F694" s="39"/>
    </row>
    <row r="695" spans="5:6" ht="20.100000000000001" customHeight="1">
      <c r="E695" s="43"/>
      <c r="F695" s="39"/>
    </row>
    <row r="696" spans="5:6" ht="20.100000000000001" customHeight="1">
      <c r="E696" s="43"/>
      <c r="F696" s="39"/>
    </row>
    <row r="697" spans="5:6" ht="20.100000000000001" customHeight="1">
      <c r="E697" s="43"/>
      <c r="F697" s="39"/>
    </row>
    <row r="698" spans="5:6" ht="20.100000000000001" customHeight="1">
      <c r="E698" s="43"/>
      <c r="F698" s="39"/>
    </row>
    <row r="699" spans="5:6" ht="20.100000000000001" customHeight="1">
      <c r="E699" s="43"/>
      <c r="F699" s="39"/>
    </row>
    <row r="700" spans="5:6" ht="20.100000000000001" customHeight="1">
      <c r="E700" s="43"/>
      <c r="F700" s="39"/>
    </row>
    <row r="701" spans="5:6" ht="20.100000000000001" customHeight="1">
      <c r="E701" s="43"/>
      <c r="F701" s="39"/>
    </row>
    <row r="702" spans="5:6" ht="20.100000000000001" customHeight="1">
      <c r="E702" s="43"/>
      <c r="F702" s="39"/>
    </row>
    <row r="703" spans="5:6" ht="20.100000000000001" customHeight="1">
      <c r="E703" s="43"/>
      <c r="F703" s="39"/>
    </row>
    <row r="704" spans="5:6" ht="20.100000000000001" customHeight="1">
      <c r="E704" s="43"/>
      <c r="F704" s="39"/>
    </row>
    <row r="705" spans="5:7" ht="20.100000000000001" customHeight="1">
      <c r="E705" s="43"/>
      <c r="F705" s="39"/>
    </row>
    <row r="706" spans="5:7" ht="20.100000000000001" customHeight="1">
      <c r="E706" s="43"/>
      <c r="F706" s="39"/>
    </row>
    <row r="707" spans="5:7" ht="20.100000000000001" customHeight="1">
      <c r="E707" s="43"/>
      <c r="F707" s="39"/>
    </row>
    <row r="708" spans="5:7" ht="20.100000000000001" customHeight="1">
      <c r="E708" s="43"/>
      <c r="F708" s="39"/>
    </row>
    <row r="709" spans="5:7" ht="20.100000000000001" customHeight="1">
      <c r="E709" s="43"/>
      <c r="F709" s="39"/>
    </row>
    <row r="710" spans="5:7" ht="20.100000000000001" customHeight="1">
      <c r="E710" s="43"/>
      <c r="F710" s="39"/>
      <c r="G710" s="37"/>
    </row>
    <row r="711" spans="5:7" ht="20.100000000000001" customHeight="1">
      <c r="E711" s="43"/>
      <c r="F711" s="39"/>
      <c r="G711" s="37"/>
    </row>
    <row r="712" spans="5:7" ht="20.100000000000001" customHeight="1">
      <c r="F712" s="39"/>
    </row>
    <row r="713" spans="5:7" ht="20.100000000000001" customHeight="1">
      <c r="F713" s="39"/>
    </row>
    <row r="714" spans="5:7" ht="20.100000000000001" customHeight="1">
      <c r="F714" s="39"/>
    </row>
    <row r="715" spans="5:7" ht="20.100000000000001" customHeight="1">
      <c r="F715" s="39"/>
    </row>
    <row r="716" spans="5:7" ht="20.100000000000001" customHeight="1">
      <c r="F716" s="39"/>
    </row>
    <row r="717" spans="5:7" ht="20.100000000000001" customHeight="1">
      <c r="F717" s="39"/>
    </row>
    <row r="718" spans="5:7" ht="20.100000000000001" customHeight="1">
      <c r="F718" s="39"/>
    </row>
    <row r="719" spans="5:7" ht="20.100000000000001" customHeight="1">
      <c r="F719" s="39"/>
    </row>
    <row r="720" spans="5:7" ht="20.100000000000001" customHeight="1">
      <c r="F720" s="39"/>
    </row>
    <row r="721" spans="5:6" ht="20.100000000000001" customHeight="1">
      <c r="E721" s="43"/>
      <c r="F721" s="39"/>
    </row>
    <row r="722" spans="5:6" ht="20.100000000000001" customHeight="1">
      <c r="E722" s="43"/>
      <c r="F722" s="39"/>
    </row>
    <row r="723" spans="5:6" ht="20.100000000000001" customHeight="1">
      <c r="E723" s="43"/>
      <c r="F723" s="39"/>
    </row>
    <row r="724" spans="5:6" ht="20.100000000000001" customHeight="1">
      <c r="E724" s="43"/>
      <c r="F724" s="39"/>
    </row>
    <row r="725" spans="5:6" ht="20.100000000000001" customHeight="1">
      <c r="E725" s="43"/>
      <c r="F725" s="39"/>
    </row>
    <row r="726" spans="5:6" ht="20.100000000000001" customHeight="1">
      <c r="E726" s="43"/>
      <c r="F726" s="39"/>
    </row>
    <row r="727" spans="5:6" ht="20.100000000000001" customHeight="1">
      <c r="E727" s="43"/>
      <c r="F727" s="39"/>
    </row>
    <row r="728" spans="5:6" ht="20.100000000000001" customHeight="1">
      <c r="E728" s="43"/>
      <c r="F728" s="39"/>
    </row>
    <row r="729" spans="5:6" ht="20.100000000000001" customHeight="1">
      <c r="E729" s="43"/>
      <c r="F729" s="39"/>
    </row>
    <row r="730" spans="5:6" ht="20.100000000000001" customHeight="1">
      <c r="E730" s="43"/>
      <c r="F730" s="39"/>
    </row>
    <row r="731" spans="5:6" ht="20.100000000000001" customHeight="1">
      <c r="E731" s="43"/>
      <c r="F731" s="39"/>
    </row>
    <row r="732" spans="5:6" ht="20.100000000000001" customHeight="1">
      <c r="E732" s="43"/>
      <c r="F732" s="39"/>
    </row>
    <row r="733" spans="5:6" ht="20.100000000000001" customHeight="1">
      <c r="E733" s="43"/>
      <c r="F733" s="39"/>
    </row>
    <row r="734" spans="5:6" ht="20.100000000000001" customHeight="1">
      <c r="E734" s="43"/>
      <c r="F734" s="39"/>
    </row>
    <row r="735" spans="5:6" ht="20.100000000000001" customHeight="1">
      <c r="E735" s="43"/>
      <c r="F735" s="39"/>
    </row>
    <row r="736" spans="5:6" ht="20.100000000000001" customHeight="1">
      <c r="E736" s="43"/>
      <c r="F736" s="39"/>
    </row>
    <row r="737" spans="5:7" ht="20.100000000000001" customHeight="1">
      <c r="E737" s="43"/>
      <c r="F737" s="39"/>
    </row>
    <row r="738" spans="5:7" ht="20.100000000000001" customHeight="1">
      <c r="E738" s="43"/>
      <c r="F738" s="39"/>
    </row>
    <row r="739" spans="5:7" ht="20.100000000000001" customHeight="1">
      <c r="E739" s="43"/>
      <c r="F739" s="39"/>
    </row>
    <row r="740" spans="5:7" ht="20.100000000000001" customHeight="1">
      <c r="E740" s="43"/>
      <c r="F740" s="39"/>
    </row>
    <row r="741" spans="5:7" ht="20.100000000000001" customHeight="1">
      <c r="E741" s="43"/>
      <c r="F741" s="39"/>
    </row>
    <row r="742" spans="5:7" ht="20.100000000000001" customHeight="1">
      <c r="E742" s="43"/>
      <c r="F742" s="39"/>
    </row>
    <row r="743" spans="5:7" ht="20.100000000000001" customHeight="1">
      <c r="E743" s="43"/>
      <c r="F743" s="39"/>
    </row>
    <row r="744" spans="5:7" ht="20.100000000000001" customHeight="1">
      <c r="E744" s="43"/>
      <c r="F744" s="39"/>
    </row>
    <row r="745" spans="5:7" ht="20.100000000000001" customHeight="1">
      <c r="E745" s="43"/>
      <c r="F745" s="39"/>
    </row>
    <row r="746" spans="5:7" ht="20.100000000000001" customHeight="1">
      <c r="E746" s="43"/>
      <c r="F746" s="39"/>
    </row>
    <row r="747" spans="5:7" ht="20.100000000000001" customHeight="1">
      <c r="E747" s="43"/>
      <c r="F747" s="39"/>
    </row>
    <row r="748" spans="5:7" ht="20.100000000000001" customHeight="1">
      <c r="E748" s="43"/>
      <c r="F748" s="39"/>
      <c r="G748" s="37"/>
    </row>
    <row r="749" spans="5:7" ht="20.100000000000001" customHeight="1">
      <c r="E749" s="43"/>
      <c r="F749" s="39"/>
      <c r="G749" s="37"/>
    </row>
    <row r="750" spans="5:7" ht="20.100000000000001" customHeight="1">
      <c r="F750" s="39"/>
    </row>
    <row r="751" spans="5:7" ht="20.100000000000001" customHeight="1">
      <c r="F751" s="39"/>
    </row>
    <row r="752" spans="5:7" ht="20.100000000000001" customHeight="1">
      <c r="F752" s="39"/>
    </row>
    <row r="753" spans="5:6" ht="20.100000000000001" customHeight="1">
      <c r="F753" s="39"/>
    </row>
    <row r="754" spans="5:6" ht="20.100000000000001" customHeight="1">
      <c r="F754" s="39"/>
    </row>
    <row r="755" spans="5:6" ht="20.100000000000001" customHeight="1">
      <c r="F755" s="39"/>
    </row>
    <row r="756" spans="5:6" ht="20.100000000000001" customHeight="1">
      <c r="F756" s="39"/>
    </row>
    <row r="757" spans="5:6" ht="20.100000000000001" customHeight="1">
      <c r="F757" s="39"/>
    </row>
    <row r="758" spans="5:6" ht="20.100000000000001" customHeight="1">
      <c r="F758" s="39"/>
    </row>
    <row r="759" spans="5:6" ht="20.100000000000001" customHeight="1">
      <c r="E759" s="43"/>
      <c r="F759" s="39"/>
    </row>
    <row r="760" spans="5:6" ht="20.100000000000001" customHeight="1">
      <c r="E760" s="43"/>
      <c r="F760" s="39"/>
    </row>
    <row r="761" spans="5:6" ht="20.100000000000001" customHeight="1">
      <c r="E761" s="43"/>
      <c r="F761" s="39"/>
    </row>
    <row r="762" spans="5:6" ht="20.100000000000001" customHeight="1">
      <c r="E762" s="43"/>
      <c r="F762" s="39"/>
    </row>
    <row r="763" spans="5:6" ht="20.100000000000001" customHeight="1">
      <c r="E763" s="43"/>
      <c r="F763" s="39"/>
    </row>
    <row r="764" spans="5:6" ht="20.100000000000001" customHeight="1">
      <c r="E764" s="43"/>
      <c r="F764" s="39"/>
    </row>
    <row r="765" spans="5:6" ht="20.100000000000001" customHeight="1">
      <c r="E765" s="43"/>
      <c r="F765" s="39"/>
    </row>
    <row r="766" spans="5:6" ht="20.100000000000001" customHeight="1">
      <c r="E766" s="43"/>
      <c r="F766" s="39"/>
    </row>
    <row r="767" spans="5:6" ht="20.100000000000001" customHeight="1">
      <c r="E767" s="43"/>
      <c r="F767" s="39"/>
    </row>
    <row r="768" spans="5:6" ht="20.100000000000001" customHeight="1">
      <c r="E768" s="43"/>
      <c r="F768" s="39"/>
    </row>
    <row r="769" spans="5:6" ht="20.100000000000001" customHeight="1">
      <c r="E769" s="43"/>
      <c r="F769" s="39"/>
    </row>
    <row r="770" spans="5:6" ht="20.100000000000001" customHeight="1">
      <c r="E770" s="43"/>
      <c r="F770" s="39"/>
    </row>
    <row r="771" spans="5:6" ht="20.100000000000001" customHeight="1">
      <c r="E771" s="43"/>
      <c r="F771" s="39"/>
    </row>
    <row r="772" spans="5:6" ht="20.100000000000001" customHeight="1">
      <c r="E772" s="43"/>
      <c r="F772" s="39"/>
    </row>
    <row r="773" spans="5:6" ht="20.100000000000001" customHeight="1">
      <c r="E773" s="43"/>
      <c r="F773" s="39"/>
    </row>
    <row r="774" spans="5:6" ht="20.100000000000001" customHeight="1">
      <c r="E774" s="43"/>
      <c r="F774" s="39"/>
    </row>
    <row r="775" spans="5:6" ht="20.100000000000001" customHeight="1">
      <c r="E775" s="43"/>
      <c r="F775" s="39"/>
    </row>
    <row r="776" spans="5:6" ht="20.100000000000001" customHeight="1">
      <c r="E776" s="43"/>
      <c r="F776" s="39"/>
    </row>
    <row r="777" spans="5:6" ht="20.100000000000001" customHeight="1">
      <c r="E777" s="43"/>
      <c r="F777" s="39"/>
    </row>
    <row r="778" spans="5:6" ht="20.100000000000001" customHeight="1">
      <c r="E778" s="43"/>
      <c r="F778" s="39"/>
    </row>
    <row r="779" spans="5:6" ht="20.100000000000001" customHeight="1">
      <c r="E779" s="43"/>
      <c r="F779" s="39"/>
    </row>
    <row r="780" spans="5:6" ht="20.100000000000001" customHeight="1">
      <c r="E780" s="43"/>
      <c r="F780" s="39"/>
    </row>
    <row r="781" spans="5:6" ht="20.100000000000001" customHeight="1">
      <c r="E781" s="43"/>
      <c r="F781" s="39"/>
    </row>
    <row r="782" spans="5:6" ht="20.100000000000001" customHeight="1">
      <c r="E782" s="43"/>
      <c r="F782" s="39"/>
    </row>
    <row r="783" spans="5:6" ht="20.100000000000001" customHeight="1">
      <c r="E783" s="43"/>
      <c r="F783" s="39"/>
    </row>
    <row r="784" spans="5:6" ht="20.100000000000001" customHeight="1">
      <c r="E784" s="43"/>
      <c r="F784" s="39"/>
    </row>
    <row r="785" spans="5:7" ht="20.100000000000001" customHeight="1">
      <c r="E785" s="43"/>
      <c r="F785" s="39"/>
    </row>
    <row r="786" spans="5:7" ht="20.100000000000001" customHeight="1">
      <c r="E786" s="43"/>
      <c r="F786" s="39"/>
      <c r="G786" s="37"/>
    </row>
    <row r="787" spans="5:7" ht="20.100000000000001" customHeight="1">
      <c r="E787" s="43"/>
      <c r="F787" s="39"/>
      <c r="G787" s="37"/>
    </row>
    <row r="788" spans="5:7" ht="20.100000000000001" customHeight="1">
      <c r="F788" s="39"/>
    </row>
    <row r="789" spans="5:7" ht="20.100000000000001" customHeight="1">
      <c r="F789" s="39"/>
    </row>
    <row r="790" spans="5:7" ht="20.100000000000001" customHeight="1">
      <c r="F790" s="39"/>
    </row>
    <row r="791" spans="5:7" ht="20.100000000000001" customHeight="1">
      <c r="F791" s="39"/>
    </row>
    <row r="792" spans="5:7" ht="20.100000000000001" customHeight="1">
      <c r="F792" s="39"/>
    </row>
    <row r="793" spans="5:7" ht="20.100000000000001" customHeight="1">
      <c r="F793" s="39"/>
    </row>
    <row r="794" spans="5:7" ht="20.100000000000001" customHeight="1">
      <c r="F794" s="39"/>
    </row>
    <row r="795" spans="5:7" ht="20.100000000000001" customHeight="1">
      <c r="F795" s="39"/>
    </row>
    <row r="796" spans="5:7" ht="20.100000000000001" customHeight="1">
      <c r="F796" s="39"/>
    </row>
    <row r="797" spans="5:7" ht="20.100000000000001" customHeight="1">
      <c r="E797" s="43"/>
      <c r="F797" s="39"/>
    </row>
    <row r="798" spans="5:7" ht="20.100000000000001" customHeight="1">
      <c r="E798" s="43"/>
      <c r="F798" s="39"/>
    </row>
    <row r="799" spans="5:7" ht="20.100000000000001" customHeight="1">
      <c r="E799" s="43"/>
      <c r="F799" s="39"/>
    </row>
    <row r="800" spans="5:7" ht="20.100000000000001" customHeight="1">
      <c r="E800" s="43"/>
      <c r="F800" s="39"/>
    </row>
    <row r="801" spans="5:6" ht="20.100000000000001" customHeight="1">
      <c r="E801" s="43"/>
      <c r="F801" s="39"/>
    </row>
    <row r="802" spans="5:6" ht="20.100000000000001" customHeight="1">
      <c r="E802" s="43"/>
      <c r="F802" s="39"/>
    </row>
    <row r="803" spans="5:6" ht="20.100000000000001" customHeight="1">
      <c r="E803" s="43"/>
      <c r="F803" s="39"/>
    </row>
    <row r="804" spans="5:6" ht="20.100000000000001" customHeight="1">
      <c r="E804" s="43"/>
      <c r="F804" s="39"/>
    </row>
    <row r="805" spans="5:6" ht="20.100000000000001" customHeight="1">
      <c r="E805" s="43"/>
      <c r="F805" s="39"/>
    </row>
    <row r="806" spans="5:6" ht="20.100000000000001" customHeight="1">
      <c r="E806" s="43"/>
      <c r="F806" s="39"/>
    </row>
    <row r="807" spans="5:6" ht="20.100000000000001" customHeight="1">
      <c r="E807" s="43"/>
      <c r="F807" s="39"/>
    </row>
    <row r="808" spans="5:6" ht="20.100000000000001" customHeight="1">
      <c r="E808" s="43"/>
      <c r="F808" s="39"/>
    </row>
    <row r="809" spans="5:6" ht="20.100000000000001" customHeight="1">
      <c r="E809" s="43"/>
      <c r="F809" s="39"/>
    </row>
    <row r="810" spans="5:6" ht="20.100000000000001" customHeight="1">
      <c r="E810" s="43"/>
      <c r="F810" s="39"/>
    </row>
    <row r="811" spans="5:6" ht="20.100000000000001" customHeight="1">
      <c r="E811" s="43"/>
      <c r="F811" s="39"/>
    </row>
    <row r="812" spans="5:6" ht="20.100000000000001" customHeight="1">
      <c r="E812" s="43"/>
      <c r="F812" s="39"/>
    </row>
    <row r="813" spans="5:6" ht="20.100000000000001" customHeight="1">
      <c r="E813" s="43"/>
      <c r="F813" s="39"/>
    </row>
    <row r="814" spans="5:6" ht="20.100000000000001" customHeight="1">
      <c r="E814" s="43"/>
      <c r="F814" s="39"/>
    </row>
    <row r="815" spans="5:6" ht="20.100000000000001" customHeight="1">
      <c r="E815" s="43"/>
      <c r="F815" s="39"/>
    </row>
    <row r="816" spans="5:6" ht="20.100000000000001" customHeight="1">
      <c r="E816" s="43"/>
      <c r="F816" s="39"/>
    </row>
    <row r="817" spans="5:7" ht="20.100000000000001" customHeight="1">
      <c r="E817" s="43"/>
      <c r="F817" s="39"/>
    </row>
    <row r="818" spans="5:7" ht="20.100000000000001" customHeight="1">
      <c r="E818" s="43"/>
      <c r="F818" s="39"/>
    </row>
    <row r="819" spans="5:7" ht="20.100000000000001" customHeight="1">
      <c r="E819" s="43"/>
      <c r="F819" s="39"/>
    </row>
    <row r="820" spans="5:7" ht="20.100000000000001" customHeight="1">
      <c r="E820" s="43"/>
      <c r="F820" s="39"/>
    </row>
    <row r="821" spans="5:7" ht="20.100000000000001" customHeight="1">
      <c r="E821" s="43"/>
      <c r="F821" s="39"/>
    </row>
    <row r="822" spans="5:7" ht="20.100000000000001" customHeight="1">
      <c r="E822" s="43"/>
      <c r="F822" s="39"/>
    </row>
    <row r="823" spans="5:7" ht="20.100000000000001" customHeight="1">
      <c r="E823" s="43"/>
      <c r="F823" s="39"/>
    </row>
    <row r="824" spans="5:7" ht="20.100000000000001" customHeight="1">
      <c r="E824" s="43"/>
      <c r="F824" s="39"/>
      <c r="G824" s="37"/>
    </row>
    <row r="825" spans="5:7" ht="20.100000000000001" customHeight="1">
      <c r="E825" s="43"/>
      <c r="F825" s="39"/>
      <c r="G825" s="37"/>
    </row>
    <row r="826" spans="5:7" ht="20.100000000000001" customHeight="1">
      <c r="F826" s="39"/>
    </row>
    <row r="827" spans="5:7" ht="20.100000000000001" customHeight="1">
      <c r="F827" s="39"/>
    </row>
    <row r="828" spans="5:7" ht="20.100000000000001" customHeight="1">
      <c r="F828" s="39"/>
    </row>
    <row r="829" spans="5:7" ht="20.100000000000001" customHeight="1">
      <c r="F829" s="39"/>
    </row>
    <row r="830" spans="5:7" ht="20.100000000000001" customHeight="1">
      <c r="F830" s="39"/>
    </row>
    <row r="831" spans="5:7" ht="20.100000000000001" customHeight="1">
      <c r="F831" s="39"/>
    </row>
    <row r="832" spans="5:7" ht="20.100000000000001" customHeight="1">
      <c r="F832" s="39"/>
    </row>
    <row r="833" spans="5:6" ht="20.100000000000001" customHeight="1">
      <c r="F833" s="39"/>
    </row>
    <row r="834" spans="5:6" ht="20.100000000000001" customHeight="1">
      <c r="F834" s="39"/>
    </row>
    <row r="835" spans="5:6" ht="20.100000000000001" customHeight="1">
      <c r="E835" s="43"/>
      <c r="F835" s="39"/>
    </row>
    <row r="836" spans="5:6" ht="20.100000000000001" customHeight="1">
      <c r="E836" s="43"/>
      <c r="F836" s="39"/>
    </row>
    <row r="837" spans="5:6" ht="20.100000000000001" customHeight="1">
      <c r="E837" s="43"/>
      <c r="F837" s="39"/>
    </row>
    <row r="838" spans="5:6" ht="20.100000000000001" customHeight="1">
      <c r="E838" s="43"/>
      <c r="F838" s="39"/>
    </row>
    <row r="839" spans="5:6" ht="20.100000000000001" customHeight="1">
      <c r="E839" s="43"/>
      <c r="F839" s="39"/>
    </row>
    <row r="840" spans="5:6" ht="20.100000000000001" customHeight="1">
      <c r="E840" s="43"/>
      <c r="F840" s="39"/>
    </row>
    <row r="841" spans="5:6" ht="20.100000000000001" customHeight="1">
      <c r="E841" s="43"/>
      <c r="F841" s="39"/>
    </row>
    <row r="842" spans="5:6" ht="20.100000000000001" customHeight="1">
      <c r="E842" s="43"/>
      <c r="F842" s="39"/>
    </row>
    <row r="843" spans="5:6" ht="20.100000000000001" customHeight="1">
      <c r="E843" s="43"/>
      <c r="F843" s="39"/>
    </row>
    <row r="844" spans="5:6" ht="20.100000000000001" customHeight="1">
      <c r="E844" s="43"/>
      <c r="F844" s="39"/>
    </row>
    <row r="845" spans="5:6" ht="20.100000000000001" customHeight="1">
      <c r="E845" s="43"/>
      <c r="F845" s="39"/>
    </row>
    <row r="846" spans="5:6" ht="20.100000000000001" customHeight="1">
      <c r="E846" s="43"/>
      <c r="F846" s="39"/>
    </row>
    <row r="847" spans="5:6" ht="20.100000000000001" customHeight="1">
      <c r="E847" s="43"/>
      <c r="F847" s="39"/>
    </row>
    <row r="848" spans="5:6" ht="20.100000000000001" customHeight="1">
      <c r="E848" s="43"/>
      <c r="F848" s="39"/>
    </row>
    <row r="849" spans="5:7" ht="20.100000000000001" customHeight="1">
      <c r="E849" s="43"/>
      <c r="F849" s="39"/>
    </row>
    <row r="850" spans="5:7" ht="20.100000000000001" customHeight="1">
      <c r="E850" s="43"/>
      <c r="F850" s="39"/>
    </row>
    <row r="851" spans="5:7" ht="20.100000000000001" customHeight="1">
      <c r="E851" s="43"/>
      <c r="F851" s="39"/>
    </row>
    <row r="852" spans="5:7" ht="20.100000000000001" customHeight="1">
      <c r="E852" s="43"/>
      <c r="F852" s="39"/>
    </row>
    <row r="853" spans="5:7" ht="20.100000000000001" customHeight="1">
      <c r="E853" s="43"/>
      <c r="F853" s="39"/>
    </row>
    <row r="854" spans="5:7" ht="20.100000000000001" customHeight="1">
      <c r="E854" s="43"/>
      <c r="F854" s="39"/>
    </row>
    <row r="855" spans="5:7" ht="20.100000000000001" customHeight="1">
      <c r="E855" s="43"/>
      <c r="F855" s="39"/>
    </row>
    <row r="856" spans="5:7" ht="20.100000000000001" customHeight="1">
      <c r="E856" s="43"/>
      <c r="F856" s="39"/>
    </row>
    <row r="857" spans="5:7" ht="20.100000000000001" customHeight="1">
      <c r="E857" s="43"/>
      <c r="F857" s="39"/>
    </row>
    <row r="858" spans="5:7" ht="20.100000000000001" customHeight="1">
      <c r="E858" s="43"/>
      <c r="F858" s="39"/>
    </row>
    <row r="859" spans="5:7" ht="20.100000000000001" customHeight="1">
      <c r="E859" s="43"/>
      <c r="F859" s="39"/>
    </row>
    <row r="860" spans="5:7" ht="20.100000000000001" customHeight="1">
      <c r="E860" s="43"/>
      <c r="F860" s="39"/>
    </row>
    <row r="861" spans="5:7" ht="20.100000000000001" customHeight="1">
      <c r="E861" s="43"/>
      <c r="F861" s="39"/>
    </row>
    <row r="862" spans="5:7" ht="20.100000000000001" customHeight="1">
      <c r="E862" s="43"/>
      <c r="F862" s="39"/>
      <c r="G862" s="37"/>
    </row>
    <row r="863" spans="5:7" ht="20.100000000000001" customHeight="1">
      <c r="E863" s="43"/>
      <c r="F863" s="39"/>
      <c r="G863" s="37"/>
    </row>
    <row r="864" spans="5:7" ht="20.100000000000001" customHeight="1">
      <c r="F864" s="39"/>
    </row>
    <row r="865" spans="5:6" ht="20.100000000000001" customHeight="1">
      <c r="F865" s="39"/>
    </row>
    <row r="866" spans="5:6" ht="20.100000000000001" customHeight="1">
      <c r="F866" s="39"/>
    </row>
    <row r="867" spans="5:6" ht="20.100000000000001" customHeight="1">
      <c r="F867" s="39"/>
    </row>
    <row r="868" spans="5:6" ht="20.100000000000001" customHeight="1">
      <c r="F868" s="39"/>
    </row>
    <row r="869" spans="5:6" ht="20.100000000000001" customHeight="1">
      <c r="F869" s="39"/>
    </row>
    <row r="870" spans="5:6" ht="20.100000000000001" customHeight="1">
      <c r="F870" s="39"/>
    </row>
    <row r="871" spans="5:6" ht="20.100000000000001" customHeight="1">
      <c r="F871" s="39"/>
    </row>
    <row r="872" spans="5:6" ht="20.100000000000001" customHeight="1">
      <c r="F872" s="39"/>
    </row>
    <row r="873" spans="5:6" ht="20.100000000000001" customHeight="1">
      <c r="E873" s="43"/>
      <c r="F873" s="39"/>
    </row>
    <row r="874" spans="5:6" ht="20.100000000000001" customHeight="1">
      <c r="E874" s="43"/>
      <c r="F874" s="39"/>
    </row>
    <row r="875" spans="5:6" ht="20.100000000000001" customHeight="1">
      <c r="E875" s="43"/>
      <c r="F875" s="39"/>
    </row>
    <row r="876" spans="5:6" ht="20.100000000000001" customHeight="1">
      <c r="E876" s="43"/>
      <c r="F876" s="39"/>
    </row>
    <row r="877" spans="5:6" ht="20.100000000000001" customHeight="1">
      <c r="E877" s="43"/>
      <c r="F877" s="39"/>
    </row>
    <row r="878" spans="5:6" ht="20.100000000000001" customHeight="1">
      <c r="E878" s="43"/>
      <c r="F878" s="39"/>
    </row>
    <row r="879" spans="5:6" ht="20.100000000000001" customHeight="1">
      <c r="E879" s="43"/>
      <c r="F879" s="39"/>
    </row>
    <row r="880" spans="5:6" ht="20.100000000000001" customHeight="1">
      <c r="E880" s="43"/>
      <c r="F880" s="39"/>
    </row>
    <row r="881" spans="5:6" ht="20.100000000000001" customHeight="1">
      <c r="E881" s="43"/>
      <c r="F881" s="39"/>
    </row>
    <row r="882" spans="5:6" ht="20.100000000000001" customHeight="1">
      <c r="E882" s="43"/>
      <c r="F882" s="39"/>
    </row>
    <row r="883" spans="5:6" ht="20.100000000000001" customHeight="1">
      <c r="E883" s="43"/>
      <c r="F883" s="39"/>
    </row>
    <row r="884" spans="5:6" ht="20.100000000000001" customHeight="1">
      <c r="E884" s="43"/>
      <c r="F884" s="39"/>
    </row>
    <row r="885" spans="5:6" ht="20.100000000000001" customHeight="1">
      <c r="E885" s="43"/>
      <c r="F885" s="39"/>
    </row>
    <row r="886" spans="5:6" ht="20.100000000000001" customHeight="1">
      <c r="E886" s="43"/>
      <c r="F886" s="39"/>
    </row>
    <row r="887" spans="5:6" ht="20.100000000000001" customHeight="1">
      <c r="E887" s="43"/>
      <c r="F887" s="39"/>
    </row>
    <row r="888" spans="5:6" ht="20.100000000000001" customHeight="1">
      <c r="E888" s="43"/>
      <c r="F888" s="39"/>
    </row>
    <row r="889" spans="5:6" ht="20.100000000000001" customHeight="1">
      <c r="E889" s="43"/>
      <c r="F889" s="39"/>
    </row>
    <row r="890" spans="5:6" ht="20.100000000000001" customHeight="1">
      <c r="E890" s="43"/>
      <c r="F890" s="39"/>
    </row>
    <row r="891" spans="5:6" ht="20.100000000000001" customHeight="1">
      <c r="E891" s="43"/>
      <c r="F891" s="39"/>
    </row>
    <row r="892" spans="5:6" ht="20.100000000000001" customHeight="1">
      <c r="E892" s="43"/>
      <c r="F892" s="39"/>
    </row>
    <row r="893" spans="5:6" ht="20.100000000000001" customHeight="1">
      <c r="E893" s="43"/>
      <c r="F893" s="39"/>
    </row>
    <row r="894" spans="5:6" ht="20.100000000000001" customHeight="1">
      <c r="E894" s="43"/>
      <c r="F894" s="39"/>
    </row>
    <row r="895" spans="5:6" ht="20.100000000000001" customHeight="1">
      <c r="E895" s="43"/>
      <c r="F895" s="39"/>
    </row>
    <row r="896" spans="5:6" ht="20.100000000000001" customHeight="1">
      <c r="E896" s="43"/>
      <c r="F896" s="39"/>
    </row>
    <row r="897" spans="5:7" ht="20.100000000000001" customHeight="1">
      <c r="E897" s="43"/>
      <c r="F897" s="39"/>
    </row>
    <row r="898" spans="5:7" ht="20.100000000000001" customHeight="1">
      <c r="E898" s="43"/>
      <c r="F898" s="39"/>
    </row>
    <row r="899" spans="5:7" ht="20.100000000000001" customHeight="1">
      <c r="E899" s="43"/>
      <c r="F899" s="39"/>
    </row>
    <row r="900" spans="5:7" ht="20.100000000000001" customHeight="1">
      <c r="E900" s="43"/>
      <c r="F900" s="39"/>
      <c r="G900" s="37"/>
    </row>
    <row r="901" spans="5:7" ht="20.100000000000001" customHeight="1">
      <c r="E901" s="43"/>
      <c r="F901" s="39"/>
      <c r="G901" s="37"/>
    </row>
    <row r="902" spans="5:7" ht="20.100000000000001" customHeight="1">
      <c r="F902" s="39"/>
    </row>
    <row r="903" spans="5:7" ht="20.100000000000001" customHeight="1">
      <c r="F903" s="39"/>
    </row>
    <row r="904" spans="5:7" ht="20.100000000000001" customHeight="1">
      <c r="F904" s="39"/>
    </row>
    <row r="905" spans="5:7" ht="20.100000000000001" customHeight="1">
      <c r="F905" s="39"/>
    </row>
    <row r="906" spans="5:7" ht="20.100000000000001" customHeight="1">
      <c r="F906" s="39"/>
    </row>
    <row r="907" spans="5:7" ht="20.100000000000001" customHeight="1">
      <c r="F907" s="39"/>
    </row>
    <row r="908" spans="5:7" ht="20.100000000000001" customHeight="1">
      <c r="F908" s="39"/>
    </row>
    <row r="909" spans="5:7" ht="20.100000000000001" customHeight="1">
      <c r="F909" s="39"/>
    </row>
    <row r="910" spans="5:7" ht="20.100000000000001" customHeight="1">
      <c r="F910" s="39"/>
    </row>
    <row r="911" spans="5:7" ht="20.100000000000001" customHeight="1">
      <c r="E911" s="43"/>
      <c r="F911" s="39"/>
    </row>
    <row r="912" spans="5:7" ht="20.100000000000001" customHeight="1">
      <c r="E912" s="43"/>
      <c r="F912" s="39"/>
    </row>
    <row r="913" spans="5:6" ht="20.100000000000001" customHeight="1">
      <c r="E913" s="43"/>
      <c r="F913" s="39"/>
    </row>
    <row r="914" spans="5:6" ht="20.100000000000001" customHeight="1">
      <c r="E914" s="43"/>
      <c r="F914" s="39"/>
    </row>
    <row r="915" spans="5:6" ht="20.100000000000001" customHeight="1">
      <c r="E915" s="43"/>
      <c r="F915" s="39"/>
    </row>
    <row r="916" spans="5:6" ht="20.100000000000001" customHeight="1">
      <c r="E916" s="43"/>
      <c r="F916" s="39"/>
    </row>
    <row r="917" spans="5:6" ht="20.100000000000001" customHeight="1">
      <c r="E917" s="43"/>
      <c r="F917" s="39"/>
    </row>
    <row r="918" spans="5:6" ht="20.100000000000001" customHeight="1">
      <c r="E918" s="43"/>
      <c r="F918" s="39"/>
    </row>
    <row r="919" spans="5:6" ht="20.100000000000001" customHeight="1">
      <c r="E919" s="43"/>
      <c r="F919" s="39"/>
    </row>
    <row r="920" spans="5:6" ht="20.100000000000001" customHeight="1">
      <c r="E920" s="43"/>
      <c r="F920" s="39"/>
    </row>
    <row r="921" spans="5:6" ht="20.100000000000001" customHeight="1">
      <c r="E921" s="43"/>
      <c r="F921" s="39"/>
    </row>
    <row r="922" spans="5:6" ht="20.100000000000001" customHeight="1">
      <c r="E922" s="43"/>
      <c r="F922" s="39"/>
    </row>
    <row r="923" spans="5:6" ht="20.100000000000001" customHeight="1">
      <c r="E923" s="43"/>
      <c r="F923" s="39"/>
    </row>
    <row r="924" spans="5:6" ht="20.100000000000001" customHeight="1">
      <c r="E924" s="43"/>
      <c r="F924" s="39"/>
    </row>
    <row r="925" spans="5:6" ht="20.100000000000001" customHeight="1">
      <c r="E925" s="43"/>
      <c r="F925" s="39"/>
    </row>
    <row r="926" spans="5:6" ht="20.100000000000001" customHeight="1">
      <c r="E926" s="43"/>
      <c r="F926" s="39"/>
    </row>
    <row r="927" spans="5:6" ht="20.100000000000001" customHeight="1">
      <c r="E927" s="43"/>
      <c r="F927" s="39"/>
    </row>
    <row r="928" spans="5:6" ht="20.100000000000001" customHeight="1">
      <c r="E928" s="43"/>
      <c r="F928" s="39"/>
    </row>
    <row r="929" spans="5:7" ht="20.100000000000001" customHeight="1">
      <c r="E929" s="43"/>
      <c r="F929" s="39"/>
    </row>
    <row r="930" spans="5:7" ht="20.100000000000001" customHeight="1">
      <c r="E930" s="43"/>
      <c r="F930" s="39"/>
    </row>
    <row r="931" spans="5:7" ht="20.100000000000001" customHeight="1">
      <c r="E931" s="43"/>
      <c r="F931" s="39"/>
    </row>
    <row r="932" spans="5:7" ht="20.100000000000001" customHeight="1">
      <c r="E932" s="43"/>
      <c r="F932" s="39"/>
    </row>
    <row r="933" spans="5:7" ht="20.100000000000001" customHeight="1">
      <c r="E933" s="43"/>
      <c r="F933" s="39"/>
    </row>
    <row r="934" spans="5:7" ht="20.100000000000001" customHeight="1">
      <c r="E934" s="43"/>
      <c r="F934" s="39"/>
    </row>
    <row r="935" spans="5:7" ht="20.100000000000001" customHeight="1">
      <c r="E935" s="43"/>
      <c r="F935" s="39"/>
    </row>
    <row r="936" spans="5:7" ht="20.100000000000001" customHeight="1">
      <c r="E936" s="43"/>
      <c r="F936" s="39"/>
    </row>
    <row r="937" spans="5:7" ht="20.100000000000001" customHeight="1">
      <c r="E937" s="43"/>
      <c r="F937" s="39"/>
    </row>
    <row r="938" spans="5:7" ht="20.100000000000001" customHeight="1">
      <c r="E938" s="43"/>
      <c r="F938" s="39"/>
      <c r="G938" s="37"/>
    </row>
    <row r="939" spans="5:7" ht="20.100000000000001" customHeight="1">
      <c r="E939" s="43"/>
      <c r="F939" s="39"/>
      <c r="G939" s="37"/>
    </row>
    <row r="940" spans="5:7" ht="20.100000000000001" customHeight="1">
      <c r="F940" s="39"/>
    </row>
    <row r="941" spans="5:7" ht="20.100000000000001" customHeight="1">
      <c r="F941" s="39"/>
    </row>
    <row r="942" spans="5:7" ht="20.100000000000001" customHeight="1">
      <c r="F942" s="39"/>
    </row>
    <row r="943" spans="5:7" ht="20.100000000000001" customHeight="1">
      <c r="F943" s="39"/>
    </row>
    <row r="944" spans="5:7" ht="20.100000000000001" customHeight="1">
      <c r="F944" s="39"/>
    </row>
    <row r="945" spans="5:6" ht="20.100000000000001" customHeight="1">
      <c r="F945" s="39"/>
    </row>
    <row r="946" spans="5:6" ht="20.100000000000001" customHeight="1">
      <c r="F946" s="39"/>
    </row>
    <row r="947" spans="5:6" ht="20.100000000000001" customHeight="1">
      <c r="F947" s="39"/>
    </row>
    <row r="948" spans="5:6" ht="20.100000000000001" customHeight="1">
      <c r="F948" s="39"/>
    </row>
    <row r="949" spans="5:6" ht="20.100000000000001" customHeight="1">
      <c r="E949" s="43"/>
      <c r="F949" s="39"/>
    </row>
    <row r="950" spans="5:6" ht="20.100000000000001" customHeight="1">
      <c r="E950" s="43"/>
      <c r="F950" s="39"/>
    </row>
    <row r="951" spans="5:6" ht="20.100000000000001" customHeight="1">
      <c r="E951" s="43"/>
      <c r="F951" s="39"/>
    </row>
    <row r="952" spans="5:6" ht="20.100000000000001" customHeight="1">
      <c r="E952" s="43"/>
      <c r="F952" s="39"/>
    </row>
    <row r="953" spans="5:6" ht="20.100000000000001" customHeight="1">
      <c r="E953" s="43"/>
      <c r="F953" s="39"/>
    </row>
    <row r="954" spans="5:6" ht="20.100000000000001" customHeight="1">
      <c r="E954" s="43"/>
      <c r="F954" s="39"/>
    </row>
    <row r="955" spans="5:6" ht="20.100000000000001" customHeight="1">
      <c r="E955" s="43"/>
      <c r="F955" s="39"/>
    </row>
    <row r="956" spans="5:6" ht="20.100000000000001" customHeight="1">
      <c r="E956" s="43"/>
      <c r="F956" s="39"/>
    </row>
    <row r="957" spans="5:6" ht="20.100000000000001" customHeight="1">
      <c r="E957" s="43"/>
      <c r="F957" s="39"/>
    </row>
    <row r="958" spans="5:6" ht="20.100000000000001" customHeight="1">
      <c r="E958" s="43"/>
      <c r="F958" s="39"/>
    </row>
    <row r="959" spans="5:6" ht="20.100000000000001" customHeight="1">
      <c r="E959" s="43"/>
      <c r="F959" s="39"/>
    </row>
    <row r="960" spans="5:6" ht="20.100000000000001" customHeight="1">
      <c r="E960" s="43"/>
      <c r="F960" s="39"/>
    </row>
    <row r="961" spans="5:7" ht="20.100000000000001" customHeight="1">
      <c r="E961" s="43"/>
      <c r="F961" s="39"/>
    </row>
    <row r="962" spans="5:7" ht="20.100000000000001" customHeight="1">
      <c r="E962" s="43"/>
      <c r="F962" s="39"/>
    </row>
    <row r="963" spans="5:7" ht="20.100000000000001" customHeight="1">
      <c r="E963" s="43"/>
      <c r="F963" s="39"/>
    </row>
    <row r="964" spans="5:7" ht="20.100000000000001" customHeight="1">
      <c r="E964" s="43"/>
      <c r="F964" s="39"/>
    </row>
    <row r="965" spans="5:7" ht="20.100000000000001" customHeight="1">
      <c r="E965" s="43"/>
      <c r="F965" s="39"/>
    </row>
    <row r="966" spans="5:7" ht="20.100000000000001" customHeight="1">
      <c r="E966" s="43"/>
      <c r="F966" s="39"/>
    </row>
    <row r="967" spans="5:7" ht="20.100000000000001" customHeight="1">
      <c r="E967" s="43"/>
      <c r="F967" s="39"/>
    </row>
    <row r="968" spans="5:7" ht="20.100000000000001" customHeight="1">
      <c r="E968" s="43"/>
      <c r="F968" s="39"/>
    </row>
    <row r="969" spans="5:7" ht="20.100000000000001" customHeight="1">
      <c r="E969" s="43"/>
      <c r="F969" s="39"/>
    </row>
    <row r="970" spans="5:7" ht="20.100000000000001" customHeight="1">
      <c r="E970" s="43"/>
      <c r="F970" s="39"/>
    </row>
    <row r="971" spans="5:7" ht="20.100000000000001" customHeight="1">
      <c r="E971" s="43"/>
      <c r="F971" s="39"/>
    </row>
    <row r="972" spans="5:7" ht="20.100000000000001" customHeight="1">
      <c r="E972" s="43"/>
      <c r="F972" s="39"/>
    </row>
    <row r="973" spans="5:7" ht="20.100000000000001" customHeight="1">
      <c r="E973" s="43"/>
      <c r="F973" s="39"/>
    </row>
    <row r="974" spans="5:7" ht="20.100000000000001" customHeight="1">
      <c r="E974" s="43"/>
      <c r="F974" s="39"/>
    </row>
    <row r="975" spans="5:7" ht="20.100000000000001" customHeight="1">
      <c r="E975" s="43"/>
      <c r="F975" s="39"/>
    </row>
    <row r="976" spans="5:7" ht="20.100000000000001" customHeight="1">
      <c r="E976" s="43"/>
      <c r="F976" s="39"/>
      <c r="G976" s="37"/>
    </row>
    <row r="977" spans="5:7" ht="20.100000000000001" customHeight="1">
      <c r="E977" s="43"/>
      <c r="F977" s="39"/>
      <c r="G977" s="37"/>
    </row>
    <row r="978" spans="5:7" ht="20.100000000000001" customHeight="1">
      <c r="F978" s="39"/>
    </row>
    <row r="979" spans="5:7" ht="20.100000000000001" customHeight="1">
      <c r="F979" s="39"/>
    </row>
    <row r="980" spans="5:7" ht="20.100000000000001" customHeight="1">
      <c r="F980" s="39"/>
    </row>
    <row r="981" spans="5:7" ht="20.100000000000001" customHeight="1">
      <c r="F981" s="39"/>
    </row>
    <row r="982" spans="5:7" ht="20.100000000000001" customHeight="1">
      <c r="F982" s="39"/>
    </row>
    <row r="983" spans="5:7" ht="20.100000000000001" customHeight="1">
      <c r="F983" s="39"/>
    </row>
    <row r="984" spans="5:7" ht="20.100000000000001" customHeight="1">
      <c r="F984" s="39"/>
    </row>
    <row r="985" spans="5:7" ht="20.100000000000001" customHeight="1">
      <c r="F985" s="39"/>
    </row>
    <row r="986" spans="5:7" ht="20.100000000000001" customHeight="1">
      <c r="F986" s="39"/>
    </row>
    <row r="987" spans="5:7" ht="20.100000000000001" customHeight="1">
      <c r="E987" s="43"/>
      <c r="F987" s="39"/>
    </row>
    <row r="988" spans="5:7" ht="20.100000000000001" customHeight="1">
      <c r="E988" s="43"/>
      <c r="F988" s="39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6"/>
  </sheetPr>
  <dimension ref="B1:E96"/>
  <sheetViews>
    <sheetView zoomScaleNormal="100" workbookViewId="0">
      <selection activeCell="E9" sqref="E9"/>
    </sheetView>
  </sheetViews>
  <sheetFormatPr defaultColWidth="9.1328125" defaultRowHeight="14.25"/>
  <cols>
    <col min="1" max="1" width="0.59765625" style="120" customWidth="1"/>
    <col min="2" max="2" width="8.265625" style="120" hidden="1" customWidth="1"/>
    <col min="3" max="3" width="15.1328125" style="121" customWidth="1"/>
    <col min="4" max="4" width="42.86328125" style="121" customWidth="1"/>
    <col min="5" max="5" width="74" style="121" customWidth="1"/>
    <col min="6" max="16384" width="9.1328125" style="120"/>
  </cols>
  <sheetData>
    <row r="1" spans="2:5" s="13" customFormat="1">
      <c r="C1" s="25" t="e">
        <f>DM_KhoHang!C3:C96</f>
        <v>#VALUE!</v>
      </c>
      <c r="D1" s="25"/>
    </row>
    <row r="2" spans="2:5" s="7" customFormat="1" ht="30" customHeight="1">
      <c r="B2" s="6" t="s">
        <v>23</v>
      </c>
      <c r="C2" s="26" t="s">
        <v>150</v>
      </c>
      <c r="D2" s="26" t="s">
        <v>151</v>
      </c>
      <c r="E2" s="33" t="s">
        <v>152</v>
      </c>
    </row>
    <row r="3" spans="2:5" s="17" customFormat="1" ht="20.100000000000001" customHeight="1">
      <c r="B3" s="14"/>
      <c r="C3" s="28" t="s">
        <v>153</v>
      </c>
      <c r="D3" s="27" t="s">
        <v>232</v>
      </c>
      <c r="E3" s="28" t="s">
        <v>157</v>
      </c>
    </row>
    <row r="4" spans="2:5" s="17" customFormat="1" ht="20.100000000000001" customHeight="1">
      <c r="B4" s="14"/>
      <c r="C4" s="28"/>
      <c r="D4" s="27"/>
      <c r="E4" s="28"/>
    </row>
    <row r="5" spans="2:5" s="17" customFormat="1" ht="20.100000000000001" customHeight="1">
      <c r="B5" s="14"/>
      <c r="C5" s="28"/>
      <c r="D5" s="27"/>
      <c r="E5" s="28"/>
    </row>
    <row r="6" spans="2:5" s="17" customFormat="1" ht="20.100000000000001" customHeight="1">
      <c r="B6" s="14"/>
      <c r="C6" s="28"/>
      <c r="D6" s="27"/>
      <c r="E6" s="28"/>
    </row>
    <row r="7" spans="2:5" s="17" customFormat="1" ht="20.100000000000001" customHeight="1">
      <c r="B7" s="14"/>
      <c r="C7" s="28"/>
      <c r="D7" s="27"/>
      <c r="E7" s="28"/>
    </row>
    <row r="8" spans="2:5" s="17" customFormat="1" ht="20.100000000000001" customHeight="1">
      <c r="B8" s="14"/>
      <c r="C8" s="28"/>
      <c r="D8" s="27"/>
      <c r="E8" s="28"/>
    </row>
    <row r="9" spans="2:5" s="17" customFormat="1" ht="20.100000000000001" customHeight="1">
      <c r="B9" s="14"/>
      <c r="C9" s="28"/>
      <c r="D9" s="27"/>
      <c r="E9" s="28" t="s">
        <v>234</v>
      </c>
    </row>
    <row r="10" spans="2:5" s="17" customFormat="1" ht="20.100000000000001" customHeight="1">
      <c r="B10" s="14"/>
      <c r="C10" s="28"/>
      <c r="D10" s="27"/>
      <c r="E10" s="28"/>
    </row>
    <row r="11" spans="2:5" s="17" customFormat="1" ht="20.100000000000001" customHeight="1">
      <c r="B11" s="14"/>
      <c r="C11" s="28"/>
      <c r="D11" s="27"/>
      <c r="E11" s="28"/>
    </row>
    <row r="12" spans="2:5" s="17" customFormat="1" ht="20.100000000000001" customHeight="1">
      <c r="B12" s="14"/>
      <c r="C12" s="28"/>
      <c r="D12" s="27"/>
      <c r="E12" s="28"/>
    </row>
    <row r="13" spans="2:5" s="17" customFormat="1" ht="20.100000000000001" customHeight="1">
      <c r="B13" s="14"/>
      <c r="C13" s="28"/>
      <c r="D13" s="27"/>
      <c r="E13" s="28"/>
    </row>
    <row r="14" spans="2:5" s="17" customFormat="1" ht="20.100000000000001" customHeight="1">
      <c r="B14" s="14"/>
      <c r="C14" s="28"/>
      <c r="D14" s="27"/>
      <c r="E14" s="28"/>
    </row>
    <row r="15" spans="2:5" s="17" customFormat="1" ht="20.100000000000001" customHeight="1">
      <c r="B15" s="14"/>
      <c r="C15" s="28"/>
      <c r="D15" s="27"/>
      <c r="E15" s="28"/>
    </row>
    <row r="16" spans="2:5" s="17" customFormat="1" ht="20.100000000000001" customHeight="1">
      <c r="B16" s="14"/>
      <c r="C16" s="28"/>
      <c r="D16" s="27"/>
      <c r="E16" s="28"/>
    </row>
    <row r="17" spans="2:5" s="17" customFormat="1" ht="20.100000000000001" customHeight="1">
      <c r="B17" s="14"/>
      <c r="C17" s="28"/>
      <c r="D17" s="27"/>
      <c r="E17" s="28"/>
    </row>
    <row r="18" spans="2:5" s="17" customFormat="1" ht="20.100000000000001" customHeight="1">
      <c r="B18" s="14"/>
      <c r="C18" s="28"/>
      <c r="D18" s="27"/>
      <c r="E18" s="28"/>
    </row>
    <row r="19" spans="2:5" s="17" customFormat="1" ht="20.100000000000001" customHeight="1">
      <c r="B19" s="14"/>
      <c r="C19" s="28"/>
      <c r="D19" s="27"/>
      <c r="E19" s="28"/>
    </row>
    <row r="20" spans="2:5" s="17" customFormat="1" ht="20.100000000000001" customHeight="1">
      <c r="B20" s="14"/>
      <c r="C20" s="28"/>
      <c r="D20" s="27"/>
      <c r="E20" s="28"/>
    </row>
    <row r="21" spans="2:5" s="17" customFormat="1" ht="20.100000000000001" customHeight="1">
      <c r="B21" s="14"/>
      <c r="C21" s="28"/>
      <c r="D21" s="27"/>
      <c r="E21" s="28"/>
    </row>
    <row r="22" spans="2:5" s="17" customFormat="1" ht="20.100000000000001" customHeight="1">
      <c r="B22" s="14"/>
      <c r="C22" s="28"/>
      <c r="D22" s="27"/>
      <c r="E22" s="28"/>
    </row>
    <row r="23" spans="2:5" s="17" customFormat="1" ht="20.100000000000001" customHeight="1">
      <c r="B23" s="14"/>
      <c r="C23" s="28"/>
      <c r="D23" s="27"/>
      <c r="E23" s="28"/>
    </row>
    <row r="24" spans="2:5" s="17" customFormat="1" ht="20.100000000000001" customHeight="1">
      <c r="B24" s="14"/>
      <c r="C24" s="28"/>
      <c r="D24" s="27"/>
      <c r="E24" s="28"/>
    </row>
    <row r="25" spans="2:5" s="17" customFormat="1" ht="20.100000000000001" customHeight="1">
      <c r="B25" s="14"/>
      <c r="C25" s="28"/>
      <c r="D25" s="27"/>
      <c r="E25" s="28"/>
    </row>
    <row r="26" spans="2:5" s="17" customFormat="1" ht="20.100000000000001" customHeight="1">
      <c r="B26" s="14"/>
      <c r="C26" s="28"/>
      <c r="D26" s="27"/>
      <c r="E26" s="28"/>
    </row>
    <row r="27" spans="2:5" s="17" customFormat="1" ht="20.100000000000001" customHeight="1">
      <c r="B27" s="14"/>
      <c r="C27" s="28"/>
      <c r="D27" s="27"/>
      <c r="E27" s="28"/>
    </row>
    <row r="28" spans="2:5" s="17" customFormat="1" ht="20.100000000000001" customHeight="1">
      <c r="B28" s="14"/>
      <c r="C28" s="28"/>
      <c r="D28" s="27"/>
      <c r="E28" s="28"/>
    </row>
    <row r="29" spans="2:5" s="17" customFormat="1" ht="20.100000000000001" customHeight="1">
      <c r="B29" s="14"/>
      <c r="C29" s="28"/>
      <c r="D29" s="27"/>
      <c r="E29" s="28"/>
    </row>
    <row r="30" spans="2:5" s="17" customFormat="1" ht="20.100000000000001" customHeight="1">
      <c r="B30" s="14"/>
      <c r="C30" s="28"/>
      <c r="D30" s="27"/>
      <c r="E30" s="28"/>
    </row>
    <row r="31" spans="2:5" s="17" customFormat="1" ht="20.100000000000001" customHeight="1">
      <c r="B31" s="14"/>
      <c r="C31" s="28"/>
      <c r="D31" s="27"/>
      <c r="E31" s="28"/>
    </row>
    <row r="32" spans="2:5" s="17" customFormat="1" ht="20.100000000000001" customHeight="1">
      <c r="B32" s="14"/>
      <c r="C32" s="28"/>
      <c r="D32" s="27"/>
      <c r="E32" s="28"/>
    </row>
    <row r="33" spans="2:5" s="17" customFormat="1" ht="20.100000000000001" customHeight="1">
      <c r="B33" s="14"/>
      <c r="C33" s="28"/>
      <c r="D33" s="27"/>
      <c r="E33" s="28"/>
    </row>
    <row r="34" spans="2:5" s="17" customFormat="1" ht="20.100000000000001" customHeight="1">
      <c r="B34" s="14"/>
      <c r="C34" s="28"/>
      <c r="D34" s="27"/>
      <c r="E34" s="28"/>
    </row>
    <row r="35" spans="2:5" s="17" customFormat="1" ht="20.100000000000001" customHeight="1">
      <c r="B35" s="14"/>
      <c r="C35" s="28"/>
      <c r="D35" s="27"/>
      <c r="E35" s="28"/>
    </row>
    <row r="36" spans="2:5" s="17" customFormat="1" ht="20.100000000000001" customHeight="1">
      <c r="B36" s="14"/>
      <c r="C36" s="28"/>
      <c r="D36" s="27"/>
      <c r="E36" s="28"/>
    </row>
    <row r="37" spans="2:5" s="17" customFormat="1" ht="20.100000000000001" customHeight="1">
      <c r="B37" s="14"/>
      <c r="C37" s="28"/>
      <c r="D37" s="27"/>
      <c r="E37" s="28"/>
    </row>
    <row r="38" spans="2:5" s="17" customFormat="1" ht="20.100000000000001" customHeight="1">
      <c r="B38" s="14"/>
      <c r="C38" s="28"/>
      <c r="D38" s="27"/>
      <c r="E38" s="28"/>
    </row>
    <row r="39" spans="2:5" s="17" customFormat="1" ht="20.100000000000001" customHeight="1">
      <c r="B39" s="14"/>
      <c r="C39" s="28"/>
      <c r="D39" s="27"/>
      <c r="E39" s="28"/>
    </row>
    <row r="40" spans="2:5" s="17" customFormat="1" ht="20.100000000000001" customHeight="1">
      <c r="B40" s="14"/>
      <c r="C40" s="28"/>
      <c r="D40" s="27"/>
      <c r="E40" s="28"/>
    </row>
    <row r="41" spans="2:5" s="17" customFormat="1" ht="20.100000000000001" customHeight="1">
      <c r="B41" s="14"/>
      <c r="C41" s="28"/>
      <c r="D41" s="27"/>
      <c r="E41" s="28"/>
    </row>
    <row r="42" spans="2:5" s="17" customFormat="1" ht="20.100000000000001" customHeight="1">
      <c r="B42" s="14"/>
      <c r="C42" s="28"/>
      <c r="D42" s="27"/>
      <c r="E42" s="28"/>
    </row>
    <row r="43" spans="2:5" s="17" customFormat="1" ht="20.100000000000001" customHeight="1">
      <c r="B43" s="14"/>
      <c r="C43" s="28"/>
      <c r="D43" s="27"/>
      <c r="E43" s="28"/>
    </row>
    <row r="44" spans="2:5" s="17" customFormat="1" ht="20.100000000000001" customHeight="1">
      <c r="B44" s="14"/>
      <c r="C44" s="28"/>
      <c r="D44" s="27"/>
      <c r="E44" s="28"/>
    </row>
    <row r="45" spans="2:5" s="17" customFormat="1" ht="20.100000000000001" customHeight="1">
      <c r="B45" s="14"/>
      <c r="C45" s="28"/>
      <c r="D45" s="27"/>
      <c r="E45" s="28"/>
    </row>
    <row r="46" spans="2:5" s="17" customFormat="1" ht="20.100000000000001" customHeight="1">
      <c r="B46" s="14"/>
      <c r="C46" s="28"/>
      <c r="D46" s="27"/>
      <c r="E46" s="28"/>
    </row>
    <row r="47" spans="2:5" s="17" customFormat="1" ht="20.100000000000001" customHeight="1">
      <c r="B47" s="14"/>
      <c r="C47" s="28"/>
      <c r="D47" s="27"/>
      <c r="E47" s="28"/>
    </row>
    <row r="48" spans="2:5" s="17" customFormat="1" ht="20.100000000000001" customHeight="1">
      <c r="B48" s="14"/>
      <c r="C48" s="28"/>
      <c r="D48" s="27"/>
      <c r="E48" s="28"/>
    </row>
    <row r="49" spans="2:5" s="17" customFormat="1" ht="20.100000000000001" customHeight="1">
      <c r="B49" s="14"/>
      <c r="C49" s="28"/>
      <c r="D49" s="27"/>
      <c r="E49" s="28"/>
    </row>
    <row r="50" spans="2:5" s="17" customFormat="1" ht="20.100000000000001" customHeight="1">
      <c r="B50" s="14"/>
      <c r="C50" s="28"/>
      <c r="D50" s="27"/>
      <c r="E50" s="28"/>
    </row>
    <row r="51" spans="2:5" s="17" customFormat="1" ht="20.100000000000001" customHeight="1">
      <c r="B51" s="14"/>
      <c r="C51" s="28"/>
      <c r="D51" s="27"/>
      <c r="E51" s="28"/>
    </row>
    <row r="52" spans="2:5" s="17" customFormat="1" ht="20.100000000000001" customHeight="1">
      <c r="B52" s="14"/>
      <c r="C52" s="28"/>
      <c r="D52" s="27"/>
      <c r="E52" s="28"/>
    </row>
    <row r="53" spans="2:5" s="17" customFormat="1" ht="20.100000000000001" customHeight="1">
      <c r="B53" s="14"/>
      <c r="C53" s="28"/>
      <c r="D53" s="27"/>
      <c r="E53" s="28"/>
    </row>
    <row r="54" spans="2:5" s="17" customFormat="1" ht="20.100000000000001" customHeight="1">
      <c r="B54" s="14"/>
      <c r="C54" s="28"/>
      <c r="D54" s="27"/>
      <c r="E54" s="28"/>
    </row>
    <row r="55" spans="2:5" s="17" customFormat="1" ht="20.100000000000001" customHeight="1">
      <c r="B55" s="14"/>
      <c r="C55" s="28"/>
      <c r="D55" s="27"/>
      <c r="E55" s="28"/>
    </row>
    <row r="56" spans="2:5" s="17" customFormat="1" ht="20.100000000000001" customHeight="1">
      <c r="B56" s="14"/>
      <c r="C56" s="28"/>
      <c r="D56" s="27"/>
      <c r="E56" s="28"/>
    </row>
    <row r="57" spans="2:5" s="17" customFormat="1" ht="20.100000000000001" customHeight="1">
      <c r="B57" s="14"/>
      <c r="C57" s="28"/>
      <c r="D57" s="27"/>
      <c r="E57" s="28"/>
    </row>
    <row r="58" spans="2:5" s="17" customFormat="1" ht="20.100000000000001" customHeight="1">
      <c r="B58" s="14"/>
      <c r="C58" s="28"/>
      <c r="D58" s="27"/>
      <c r="E58" s="28"/>
    </row>
    <row r="59" spans="2:5" s="17" customFormat="1" ht="20.100000000000001" customHeight="1">
      <c r="B59" s="14"/>
      <c r="C59" s="28"/>
      <c r="D59" s="27"/>
      <c r="E59" s="28"/>
    </row>
    <row r="60" spans="2:5" s="17" customFormat="1" ht="20.100000000000001" customHeight="1">
      <c r="B60" s="14"/>
      <c r="C60" s="28"/>
      <c r="D60" s="27"/>
      <c r="E60" s="28"/>
    </row>
    <row r="61" spans="2:5" s="17" customFormat="1" ht="20.100000000000001" customHeight="1">
      <c r="B61" s="14"/>
      <c r="C61" s="28"/>
      <c r="D61" s="27"/>
      <c r="E61" s="28"/>
    </row>
    <row r="62" spans="2:5" s="17" customFormat="1" ht="20.100000000000001" customHeight="1">
      <c r="B62" s="14"/>
      <c r="C62" s="28"/>
      <c r="D62" s="27"/>
      <c r="E62" s="28"/>
    </row>
    <row r="63" spans="2:5" s="17" customFormat="1" ht="20.100000000000001" customHeight="1">
      <c r="B63" s="14"/>
      <c r="C63" s="28"/>
      <c r="D63" s="27"/>
      <c r="E63" s="28"/>
    </row>
    <row r="64" spans="2:5" s="17" customFormat="1" ht="20.100000000000001" customHeight="1">
      <c r="B64" s="14"/>
      <c r="C64" s="28"/>
      <c r="D64" s="27"/>
      <c r="E64" s="28"/>
    </row>
    <row r="65" spans="2:5" s="17" customFormat="1" ht="20.100000000000001" customHeight="1">
      <c r="B65" s="14"/>
      <c r="C65" s="28"/>
      <c r="D65" s="27"/>
      <c r="E65" s="28"/>
    </row>
    <row r="66" spans="2:5" s="17" customFormat="1" ht="20.100000000000001" customHeight="1">
      <c r="B66" s="14"/>
      <c r="C66" s="28"/>
      <c r="D66" s="27"/>
      <c r="E66" s="28"/>
    </row>
    <row r="67" spans="2:5" s="17" customFormat="1" ht="20.100000000000001" customHeight="1">
      <c r="B67" s="14"/>
      <c r="C67" s="28"/>
      <c r="D67" s="27"/>
      <c r="E67" s="28"/>
    </row>
    <row r="68" spans="2:5" s="17" customFormat="1" ht="20.100000000000001" customHeight="1">
      <c r="B68" s="14"/>
      <c r="C68" s="28"/>
      <c r="D68" s="27"/>
      <c r="E68" s="28"/>
    </row>
    <row r="69" spans="2:5" s="17" customFormat="1" ht="20.100000000000001" customHeight="1">
      <c r="B69" s="14"/>
      <c r="C69" s="28"/>
      <c r="D69" s="27"/>
      <c r="E69" s="28"/>
    </row>
    <row r="70" spans="2:5" s="17" customFormat="1" ht="20.100000000000001" customHeight="1">
      <c r="B70" s="14"/>
      <c r="C70" s="28"/>
      <c r="D70" s="27"/>
      <c r="E70" s="28"/>
    </row>
    <row r="71" spans="2:5" s="17" customFormat="1" ht="20.100000000000001" customHeight="1">
      <c r="B71" s="14"/>
      <c r="C71" s="28"/>
      <c r="D71" s="27"/>
      <c r="E71" s="28"/>
    </row>
    <row r="72" spans="2:5" s="17" customFormat="1" ht="20.100000000000001" customHeight="1">
      <c r="B72" s="14"/>
      <c r="C72" s="28"/>
      <c r="D72" s="27"/>
      <c r="E72" s="28"/>
    </row>
    <row r="73" spans="2:5" s="17" customFormat="1" ht="20.100000000000001" customHeight="1">
      <c r="B73" s="14"/>
      <c r="C73" s="28"/>
      <c r="D73" s="27"/>
      <c r="E73" s="28"/>
    </row>
    <row r="74" spans="2:5" s="17" customFormat="1" ht="20.100000000000001" customHeight="1">
      <c r="B74" s="14"/>
      <c r="C74" s="28"/>
      <c r="D74" s="27"/>
      <c r="E74" s="28"/>
    </row>
    <row r="75" spans="2:5" s="17" customFormat="1" ht="20.100000000000001" customHeight="1">
      <c r="B75" s="14"/>
      <c r="C75" s="28"/>
      <c r="D75" s="27"/>
      <c r="E75" s="28"/>
    </row>
    <row r="76" spans="2:5" s="17" customFormat="1" ht="20.100000000000001" customHeight="1">
      <c r="B76" s="14"/>
      <c r="C76" s="28"/>
      <c r="D76" s="27"/>
      <c r="E76" s="28"/>
    </row>
    <row r="77" spans="2:5" s="17" customFormat="1" ht="20.100000000000001" customHeight="1">
      <c r="B77" s="14"/>
      <c r="C77" s="28"/>
      <c r="D77" s="27"/>
      <c r="E77" s="28"/>
    </row>
    <row r="78" spans="2:5" s="17" customFormat="1" ht="20.100000000000001" customHeight="1">
      <c r="B78" s="14"/>
      <c r="C78" s="28"/>
      <c r="D78" s="27"/>
      <c r="E78" s="28"/>
    </row>
    <row r="79" spans="2:5" s="17" customFormat="1" ht="20.100000000000001" customHeight="1">
      <c r="B79" s="14"/>
      <c r="C79" s="28"/>
      <c r="D79" s="27"/>
      <c r="E79" s="28"/>
    </row>
    <row r="80" spans="2:5" s="17" customFormat="1" ht="20.100000000000001" customHeight="1">
      <c r="B80" s="14"/>
      <c r="C80" s="28"/>
      <c r="D80" s="27"/>
      <c r="E80" s="28"/>
    </row>
    <row r="81" spans="2:5" s="17" customFormat="1" ht="20.100000000000001" customHeight="1">
      <c r="B81" s="14"/>
      <c r="C81" s="28"/>
      <c r="D81" s="27"/>
      <c r="E81" s="28"/>
    </row>
    <row r="82" spans="2:5" s="17" customFormat="1" ht="20.100000000000001" customHeight="1">
      <c r="B82" s="14"/>
      <c r="C82" s="28"/>
      <c r="D82" s="27"/>
      <c r="E82" s="28"/>
    </row>
    <row r="83" spans="2:5" s="17" customFormat="1" ht="20.100000000000001" customHeight="1">
      <c r="B83" s="14"/>
      <c r="C83" s="28"/>
      <c r="D83" s="27"/>
      <c r="E83" s="28"/>
    </row>
    <row r="84" spans="2:5" s="17" customFormat="1" ht="20.100000000000001" customHeight="1">
      <c r="B84" s="14"/>
      <c r="C84" s="28"/>
      <c r="D84" s="27"/>
      <c r="E84" s="28"/>
    </row>
    <row r="85" spans="2:5" s="17" customFormat="1" ht="20.100000000000001" customHeight="1">
      <c r="B85" s="14"/>
      <c r="C85" s="28"/>
      <c r="D85" s="27"/>
      <c r="E85" s="28"/>
    </row>
    <row r="86" spans="2:5" s="17" customFormat="1" ht="20.100000000000001" customHeight="1">
      <c r="B86" s="14"/>
      <c r="C86" s="28"/>
      <c r="D86" s="27"/>
      <c r="E86" s="28"/>
    </row>
    <row r="87" spans="2:5" s="17" customFormat="1" ht="20.100000000000001" customHeight="1">
      <c r="B87" s="14"/>
      <c r="C87" s="28"/>
      <c r="D87" s="27"/>
      <c r="E87" s="28"/>
    </row>
    <row r="88" spans="2:5" s="17" customFormat="1" ht="20.100000000000001" customHeight="1">
      <c r="B88" s="14"/>
      <c r="C88" s="28"/>
      <c r="D88" s="27"/>
      <c r="E88" s="28"/>
    </row>
    <row r="89" spans="2:5" s="17" customFormat="1" ht="20.100000000000001" customHeight="1">
      <c r="B89" s="14"/>
      <c r="C89" s="28"/>
      <c r="D89" s="27"/>
      <c r="E89" s="28"/>
    </row>
    <row r="90" spans="2:5" s="17" customFormat="1" ht="20.100000000000001" customHeight="1">
      <c r="B90" s="14"/>
      <c r="C90" s="28"/>
      <c r="D90" s="27"/>
      <c r="E90" s="28"/>
    </row>
    <row r="91" spans="2:5" s="17" customFormat="1" ht="20.100000000000001" customHeight="1">
      <c r="B91" s="14"/>
      <c r="C91" s="28"/>
      <c r="D91" s="27"/>
      <c r="E91" s="28"/>
    </row>
    <row r="92" spans="2:5" s="17" customFormat="1" ht="20.100000000000001" customHeight="1">
      <c r="B92" s="14"/>
      <c r="C92" s="28"/>
      <c r="D92" s="27"/>
      <c r="E92" s="28"/>
    </row>
    <row r="93" spans="2:5" s="17" customFormat="1" ht="20.100000000000001" customHeight="1">
      <c r="B93" s="14"/>
      <c r="C93" s="28"/>
      <c r="D93" s="27"/>
      <c r="E93" s="28"/>
    </row>
    <row r="94" spans="2:5" s="17" customFormat="1" ht="20.100000000000001" customHeight="1">
      <c r="B94" s="14"/>
      <c r="C94" s="28"/>
      <c r="D94" s="27"/>
      <c r="E94" s="28"/>
    </row>
    <row r="95" spans="2:5" s="17" customFormat="1" ht="20.100000000000001" customHeight="1">
      <c r="B95" s="14"/>
      <c r="C95" s="28"/>
      <c r="D95" s="27"/>
      <c r="E95" s="28"/>
    </row>
    <row r="96" spans="2:5" s="17" customFormat="1" ht="20.100000000000001" customHeight="1">
      <c r="B96" s="119"/>
      <c r="C96" s="28"/>
      <c r="D96" s="27"/>
      <c r="E96" s="28"/>
    </row>
  </sheetData>
  <conditionalFormatting sqref="C3:C96">
    <cfRule type="duplicateValues" dxfId="7" priority="25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</sheetPr>
  <dimension ref="B1:L1278"/>
  <sheetViews>
    <sheetView zoomScale="85" zoomScaleNormal="85" workbookViewId="0">
      <selection activeCell="A8" sqref="A8"/>
    </sheetView>
  </sheetViews>
  <sheetFormatPr defaultColWidth="9.1328125" defaultRowHeight="14.25"/>
  <cols>
    <col min="1" max="1" width="0.59765625" style="42" customWidth="1"/>
    <col min="2" max="2" width="8.73046875" style="37" hidden="1" customWidth="1"/>
    <col min="3" max="3" width="10.1328125" style="37" customWidth="1"/>
    <col min="4" max="4" width="13" style="37" customWidth="1"/>
    <col min="5" max="5" width="27.73046875" style="38" customWidth="1"/>
    <col min="6" max="6" width="87.3984375" style="38" bestFit="1" customWidth="1"/>
    <col min="7" max="7" width="13.86328125" style="40" customWidth="1"/>
    <col min="8" max="8" width="20.1328125" style="40" customWidth="1"/>
    <col min="9" max="9" width="42.265625" style="40" customWidth="1"/>
    <col min="10" max="10" width="20.1328125" style="40" customWidth="1"/>
    <col min="11" max="11" width="17.1328125" style="37" customWidth="1"/>
    <col min="12" max="12" width="63.3984375" style="41" customWidth="1"/>
    <col min="13" max="16384" width="9.1328125" style="42"/>
  </cols>
  <sheetData>
    <row r="1" spans="2:12" s="29" customFormat="1">
      <c r="D1" s="34">
        <f>IFERROR(RIGHT(INDEX($C$3:$C$1048576,COUNTA($C$3:$C$1048576)),4),"1")+1</f>
        <v>5</v>
      </c>
      <c r="E1" s="31"/>
      <c r="F1" s="31"/>
      <c r="G1" s="32"/>
      <c r="H1" s="32"/>
      <c r="I1" s="32"/>
      <c r="J1" s="32"/>
      <c r="K1" s="32"/>
      <c r="L1" s="30"/>
    </row>
    <row r="2" spans="2:12" s="7" customFormat="1" ht="30" customHeight="1">
      <c r="B2" s="6" t="s">
        <v>23</v>
      </c>
      <c r="C2" s="6" t="s">
        <v>87</v>
      </c>
      <c r="D2" s="6" t="s">
        <v>88</v>
      </c>
      <c r="E2" s="6" t="s">
        <v>89</v>
      </c>
      <c r="F2" s="6" t="s">
        <v>90</v>
      </c>
      <c r="G2" s="6" t="s">
        <v>91</v>
      </c>
      <c r="H2" s="6" t="s">
        <v>92</v>
      </c>
      <c r="I2" s="6" t="s">
        <v>93</v>
      </c>
      <c r="J2" s="35" t="s">
        <v>54</v>
      </c>
      <c r="K2" s="6" t="s">
        <v>55</v>
      </c>
      <c r="L2" s="6" t="s">
        <v>56</v>
      </c>
    </row>
    <row r="3" spans="2:12" ht="20.100000000000001" customHeight="1">
      <c r="B3" s="36"/>
      <c r="C3" s="37" t="s">
        <v>94</v>
      </c>
      <c r="D3" s="37" t="s">
        <v>223</v>
      </c>
      <c r="E3" s="38" t="s">
        <v>57</v>
      </c>
      <c r="F3" s="39" t="s">
        <v>61</v>
      </c>
      <c r="G3" s="40" t="s">
        <v>65</v>
      </c>
      <c r="H3" s="40" t="s">
        <v>235</v>
      </c>
      <c r="I3" s="40" t="s">
        <v>235</v>
      </c>
      <c r="J3" s="40" t="s">
        <v>70</v>
      </c>
      <c r="K3" s="37" t="s">
        <v>198</v>
      </c>
      <c r="L3" s="41" t="s">
        <v>235</v>
      </c>
    </row>
    <row r="4" spans="2:12" ht="20.100000000000001" customHeight="1">
      <c r="B4" s="36"/>
      <c r="C4" s="37" t="s">
        <v>95</v>
      </c>
      <c r="D4" s="37" t="s">
        <v>223</v>
      </c>
      <c r="E4" s="38" t="s">
        <v>58</v>
      </c>
      <c r="F4" s="39" t="s">
        <v>62</v>
      </c>
      <c r="G4" s="40" t="s">
        <v>66</v>
      </c>
      <c r="J4" s="40" t="s">
        <v>70</v>
      </c>
      <c r="K4" s="37" t="s">
        <v>69</v>
      </c>
    </row>
    <row r="5" spans="2:12" ht="20.100000000000001" customHeight="1">
      <c r="B5" s="36"/>
      <c r="E5" s="43"/>
      <c r="F5" s="39"/>
    </row>
    <row r="6" spans="2:12" ht="20.100000000000001" customHeight="1">
      <c r="B6" s="36"/>
      <c r="E6" s="43"/>
      <c r="F6" s="39"/>
    </row>
    <row r="7" spans="2:12" ht="20.100000000000001" customHeight="1">
      <c r="B7" s="36"/>
      <c r="E7" s="43"/>
      <c r="F7" s="39"/>
    </row>
    <row r="8" spans="2:12" ht="20.100000000000001" customHeight="1">
      <c r="B8" s="36"/>
      <c r="E8" s="43"/>
      <c r="F8" s="39"/>
    </row>
    <row r="9" spans="2:12" ht="20.100000000000001" customHeight="1">
      <c r="B9" s="36"/>
      <c r="E9" s="43"/>
      <c r="F9" s="39"/>
    </row>
    <row r="10" spans="2:12" ht="20.100000000000001" customHeight="1">
      <c r="B10" s="36"/>
      <c r="E10" s="43"/>
      <c r="F10" s="39"/>
    </row>
    <row r="11" spans="2:12" ht="20.100000000000001" customHeight="1">
      <c r="B11" s="36"/>
      <c r="E11" s="43"/>
      <c r="F11" s="39"/>
    </row>
    <row r="12" spans="2:12" ht="20.100000000000001" customHeight="1">
      <c r="B12" s="36"/>
      <c r="E12" s="43"/>
      <c r="F12" s="39"/>
    </row>
    <row r="13" spans="2:12" ht="20.100000000000001" customHeight="1">
      <c r="B13" s="36"/>
      <c r="E13" s="43"/>
      <c r="F13" s="39"/>
    </row>
    <row r="14" spans="2:12" ht="20.100000000000001" customHeight="1">
      <c r="B14" s="36"/>
      <c r="E14" s="43"/>
      <c r="F14" s="39"/>
    </row>
    <row r="15" spans="2:12" ht="20.100000000000001" customHeight="1">
      <c r="B15" s="36"/>
      <c r="E15" s="43"/>
      <c r="F15" s="39"/>
    </row>
    <row r="16" spans="2:12" ht="20.100000000000001" customHeight="1">
      <c r="B16" s="36"/>
      <c r="E16" s="43"/>
      <c r="F16" s="39"/>
    </row>
    <row r="17" spans="2:9" ht="20.100000000000001" customHeight="1">
      <c r="B17" s="36"/>
      <c r="E17" s="43"/>
      <c r="F17" s="39"/>
    </row>
    <row r="18" spans="2:9" ht="20.100000000000001" customHeight="1">
      <c r="B18" s="36"/>
      <c r="E18" s="43"/>
      <c r="F18" s="39"/>
    </row>
    <row r="19" spans="2:9" ht="20.100000000000001" customHeight="1">
      <c r="B19" s="36"/>
      <c r="E19" s="43"/>
      <c r="F19" s="39"/>
    </row>
    <row r="20" spans="2:9" ht="20.100000000000001" customHeight="1">
      <c r="B20" s="36"/>
      <c r="E20" s="43"/>
      <c r="F20" s="39"/>
    </row>
    <row r="21" spans="2:9" ht="20.100000000000001" customHeight="1">
      <c r="B21" s="36"/>
      <c r="E21" s="43"/>
      <c r="F21" s="39"/>
    </row>
    <row r="22" spans="2:9" ht="20.100000000000001" customHeight="1">
      <c r="B22" s="36"/>
      <c r="E22" s="43"/>
      <c r="F22" s="39"/>
    </row>
    <row r="23" spans="2:9" ht="20.100000000000001" customHeight="1">
      <c r="B23" s="36"/>
      <c r="E23" s="43"/>
      <c r="F23" s="39"/>
    </row>
    <row r="24" spans="2:9" ht="20.100000000000001" customHeight="1">
      <c r="B24" s="36"/>
      <c r="E24" s="43"/>
      <c r="F24" s="39"/>
    </row>
    <row r="25" spans="2:9" ht="20.100000000000001" customHeight="1">
      <c r="B25" s="36"/>
      <c r="E25" s="43"/>
      <c r="F25" s="39"/>
    </row>
    <row r="26" spans="2:9" ht="20.100000000000001" customHeight="1">
      <c r="B26" s="36"/>
      <c r="E26" s="43"/>
      <c r="F26" s="39"/>
    </row>
    <row r="27" spans="2:9" ht="20.100000000000001" customHeight="1">
      <c r="B27" s="36"/>
      <c r="E27" s="43"/>
      <c r="F27" s="39"/>
    </row>
    <row r="28" spans="2:9" ht="20.100000000000001" customHeight="1">
      <c r="B28" s="36"/>
      <c r="E28" s="43"/>
      <c r="F28" s="39"/>
    </row>
    <row r="29" spans="2:9" ht="20.100000000000001" customHeight="1">
      <c r="B29" s="36"/>
      <c r="E29" s="43"/>
      <c r="F29" s="39"/>
    </row>
    <row r="30" spans="2:9" ht="20.100000000000001" customHeight="1">
      <c r="B30" s="36"/>
      <c r="E30" s="43"/>
      <c r="F30" s="39"/>
    </row>
    <row r="31" spans="2:9" ht="20.100000000000001" customHeight="1">
      <c r="B31" s="36"/>
      <c r="E31" s="43"/>
      <c r="F31" s="39"/>
    </row>
    <row r="32" spans="2:9" ht="20.100000000000001" customHeight="1">
      <c r="B32" s="36"/>
      <c r="E32" s="43"/>
      <c r="F32" s="39"/>
      <c r="G32" s="37"/>
      <c r="H32" s="37"/>
      <c r="I32" s="37"/>
    </row>
    <row r="33" spans="2:9" ht="20.100000000000001" customHeight="1">
      <c r="B33" s="36"/>
      <c r="E33" s="43"/>
      <c r="F33" s="39"/>
      <c r="G33" s="37"/>
      <c r="H33" s="37"/>
      <c r="I33" s="37"/>
    </row>
    <row r="34" spans="2:9" ht="20.100000000000001" customHeight="1">
      <c r="B34" s="36"/>
      <c r="F34" s="39"/>
    </row>
    <row r="35" spans="2:9" ht="20.100000000000001" customHeight="1">
      <c r="B35" s="36"/>
      <c r="F35" s="39"/>
    </row>
    <row r="36" spans="2:9" ht="20.100000000000001" customHeight="1">
      <c r="B36" s="36"/>
      <c r="F36" s="39"/>
    </row>
    <row r="37" spans="2:9" ht="20.100000000000001" customHeight="1">
      <c r="B37" s="36"/>
      <c r="F37" s="39"/>
    </row>
    <row r="38" spans="2:9" ht="20.100000000000001" customHeight="1">
      <c r="B38" s="36"/>
      <c r="F38" s="39"/>
    </row>
    <row r="39" spans="2:9" ht="20.100000000000001" customHeight="1">
      <c r="B39" s="36"/>
      <c r="F39" s="39"/>
    </row>
    <row r="40" spans="2:9" ht="20.100000000000001" customHeight="1">
      <c r="B40" s="36"/>
      <c r="F40" s="39"/>
    </row>
    <row r="41" spans="2:9" ht="20.100000000000001" customHeight="1">
      <c r="B41" s="36"/>
      <c r="F41" s="39"/>
    </row>
    <row r="42" spans="2:9" ht="20.100000000000001" customHeight="1">
      <c r="B42" s="36"/>
      <c r="F42" s="39"/>
    </row>
    <row r="43" spans="2:9" ht="20.100000000000001" customHeight="1">
      <c r="B43" s="36"/>
      <c r="E43" s="43"/>
      <c r="F43" s="39"/>
    </row>
    <row r="44" spans="2:9" ht="20.100000000000001" customHeight="1">
      <c r="B44" s="36"/>
      <c r="E44" s="43"/>
      <c r="F44" s="39"/>
    </row>
    <row r="45" spans="2:9" ht="20.100000000000001" customHeight="1">
      <c r="B45" s="36"/>
      <c r="E45" s="43"/>
      <c r="F45" s="39"/>
    </row>
    <row r="46" spans="2:9" ht="20.100000000000001" customHeight="1">
      <c r="B46" s="36"/>
      <c r="E46" s="43"/>
      <c r="F46" s="39"/>
    </row>
    <row r="47" spans="2:9" ht="20.100000000000001" customHeight="1">
      <c r="B47" s="36"/>
      <c r="E47" s="43"/>
      <c r="F47" s="39"/>
    </row>
    <row r="48" spans="2:9" ht="20.100000000000001" customHeight="1">
      <c r="B48" s="36"/>
      <c r="E48" s="43"/>
      <c r="F48" s="39"/>
    </row>
    <row r="49" spans="2:6" ht="20.100000000000001" customHeight="1">
      <c r="B49" s="36"/>
      <c r="E49" s="43"/>
      <c r="F49" s="39"/>
    </row>
    <row r="50" spans="2:6" ht="20.100000000000001" customHeight="1">
      <c r="B50" s="36"/>
      <c r="E50" s="43"/>
      <c r="F50" s="39"/>
    </row>
    <row r="51" spans="2:6" ht="20.100000000000001" customHeight="1">
      <c r="B51" s="36"/>
      <c r="E51" s="43"/>
      <c r="F51" s="39"/>
    </row>
    <row r="52" spans="2:6" ht="20.100000000000001" customHeight="1">
      <c r="B52" s="36"/>
      <c r="E52" s="43"/>
      <c r="F52" s="39"/>
    </row>
    <row r="53" spans="2:6" ht="20.100000000000001" customHeight="1">
      <c r="B53" s="36"/>
      <c r="E53" s="43"/>
      <c r="F53" s="39"/>
    </row>
    <row r="54" spans="2:6" ht="20.100000000000001" customHeight="1">
      <c r="B54" s="36"/>
      <c r="E54" s="43"/>
      <c r="F54" s="39"/>
    </row>
    <row r="55" spans="2:6" ht="20.100000000000001" customHeight="1">
      <c r="B55" s="36"/>
      <c r="E55" s="43"/>
      <c r="F55" s="39"/>
    </row>
    <row r="56" spans="2:6" ht="20.100000000000001" customHeight="1">
      <c r="B56" s="36"/>
      <c r="E56" s="43"/>
      <c r="F56" s="39"/>
    </row>
    <row r="57" spans="2:6" ht="20.100000000000001" customHeight="1">
      <c r="B57" s="36"/>
      <c r="E57" s="43"/>
      <c r="F57" s="39"/>
    </row>
    <row r="58" spans="2:6" ht="20.100000000000001" customHeight="1">
      <c r="B58" s="36"/>
      <c r="E58" s="43"/>
      <c r="F58" s="39"/>
    </row>
    <row r="59" spans="2:6" ht="20.100000000000001" customHeight="1">
      <c r="B59" s="36"/>
      <c r="E59" s="43"/>
      <c r="F59" s="39"/>
    </row>
    <row r="60" spans="2:6" ht="20.100000000000001" customHeight="1">
      <c r="B60" s="36"/>
      <c r="E60" s="43"/>
      <c r="F60" s="39"/>
    </row>
    <row r="61" spans="2:6" ht="20.100000000000001" customHeight="1">
      <c r="B61" s="36"/>
      <c r="E61" s="43"/>
      <c r="F61" s="39"/>
    </row>
    <row r="62" spans="2:6" ht="20.100000000000001" customHeight="1">
      <c r="B62" s="36"/>
      <c r="E62" s="43"/>
      <c r="F62" s="39"/>
    </row>
    <row r="63" spans="2:6" ht="20.100000000000001" customHeight="1">
      <c r="B63" s="36"/>
      <c r="E63" s="43"/>
      <c r="F63" s="39"/>
    </row>
    <row r="64" spans="2:6" ht="20.100000000000001" customHeight="1">
      <c r="B64" s="36"/>
      <c r="E64" s="43"/>
      <c r="F64" s="39"/>
    </row>
    <row r="65" spans="2:9" ht="20.100000000000001" customHeight="1">
      <c r="B65" s="36"/>
      <c r="E65" s="43"/>
      <c r="F65" s="39"/>
    </row>
    <row r="66" spans="2:9" ht="20.100000000000001" customHeight="1">
      <c r="B66" s="36"/>
      <c r="E66" s="43"/>
      <c r="F66" s="39"/>
    </row>
    <row r="67" spans="2:9" ht="20.100000000000001" customHeight="1">
      <c r="B67" s="36"/>
      <c r="E67" s="43"/>
      <c r="F67" s="39"/>
    </row>
    <row r="68" spans="2:9" ht="20.100000000000001" customHeight="1">
      <c r="B68" s="36"/>
      <c r="E68" s="43"/>
      <c r="F68" s="39"/>
    </row>
    <row r="69" spans="2:9" ht="20.100000000000001" customHeight="1">
      <c r="B69" s="36"/>
      <c r="E69" s="43"/>
      <c r="F69" s="39"/>
    </row>
    <row r="70" spans="2:9" ht="20.100000000000001" customHeight="1">
      <c r="B70" s="36"/>
      <c r="E70" s="43"/>
      <c r="F70" s="39"/>
      <c r="G70" s="37"/>
      <c r="H70" s="37"/>
      <c r="I70" s="37"/>
    </row>
    <row r="71" spans="2:9" ht="20.100000000000001" customHeight="1">
      <c r="B71" s="36"/>
      <c r="E71" s="43"/>
      <c r="F71" s="39"/>
      <c r="G71" s="37"/>
      <c r="H71" s="37"/>
      <c r="I71" s="37"/>
    </row>
    <row r="72" spans="2:9" ht="20.100000000000001" customHeight="1">
      <c r="B72" s="36"/>
      <c r="F72" s="39"/>
    </row>
    <row r="73" spans="2:9" ht="20.100000000000001" customHeight="1">
      <c r="B73" s="36"/>
      <c r="F73" s="39"/>
    </row>
    <row r="74" spans="2:9" ht="20.100000000000001" customHeight="1">
      <c r="B74" s="36"/>
      <c r="F74" s="39"/>
    </row>
    <row r="75" spans="2:9" ht="20.100000000000001" customHeight="1">
      <c r="B75" s="36"/>
      <c r="F75" s="39"/>
    </row>
    <row r="76" spans="2:9" ht="20.100000000000001" customHeight="1">
      <c r="B76" s="36"/>
      <c r="F76" s="39"/>
    </row>
    <row r="77" spans="2:9" ht="20.100000000000001" customHeight="1">
      <c r="B77" s="36"/>
      <c r="F77" s="39"/>
    </row>
    <row r="78" spans="2:9" ht="20.100000000000001" customHeight="1">
      <c r="B78" s="36"/>
      <c r="F78" s="39"/>
    </row>
    <row r="79" spans="2:9" ht="20.100000000000001" customHeight="1">
      <c r="B79" s="36"/>
      <c r="F79" s="39"/>
    </row>
    <row r="80" spans="2:9" ht="20.100000000000001" customHeight="1">
      <c r="B80" s="36"/>
      <c r="F80" s="39"/>
    </row>
    <row r="81" spans="2:6" ht="20.100000000000001" customHeight="1">
      <c r="B81" s="36"/>
      <c r="E81" s="43"/>
      <c r="F81" s="39"/>
    </row>
    <row r="82" spans="2:6" ht="20.100000000000001" customHeight="1">
      <c r="B82" s="36"/>
      <c r="E82" s="43"/>
      <c r="F82" s="39"/>
    </row>
    <row r="83" spans="2:6" ht="20.100000000000001" customHeight="1">
      <c r="B83" s="36"/>
      <c r="E83" s="43"/>
      <c r="F83" s="39"/>
    </row>
    <row r="84" spans="2:6" ht="20.100000000000001" customHeight="1">
      <c r="B84" s="36"/>
      <c r="E84" s="43"/>
      <c r="F84" s="39"/>
    </row>
    <row r="85" spans="2:6" ht="20.100000000000001" customHeight="1">
      <c r="B85" s="36"/>
      <c r="E85" s="43"/>
      <c r="F85" s="39"/>
    </row>
    <row r="86" spans="2:6" ht="20.100000000000001" customHeight="1">
      <c r="B86" s="36"/>
      <c r="E86" s="43"/>
      <c r="F86" s="39"/>
    </row>
    <row r="87" spans="2:6" ht="20.100000000000001" customHeight="1">
      <c r="B87" s="36"/>
      <c r="E87" s="43"/>
      <c r="F87" s="39"/>
    </row>
    <row r="88" spans="2:6" ht="20.100000000000001" customHeight="1">
      <c r="B88" s="36"/>
      <c r="E88" s="43"/>
      <c r="F88" s="39"/>
    </row>
    <row r="89" spans="2:6" ht="20.100000000000001" customHeight="1">
      <c r="B89" s="36"/>
      <c r="E89" s="43"/>
      <c r="F89" s="39"/>
    </row>
    <row r="90" spans="2:6" ht="20.100000000000001" customHeight="1">
      <c r="B90" s="36"/>
      <c r="E90" s="43"/>
      <c r="F90" s="39"/>
    </row>
    <row r="91" spans="2:6" ht="20.100000000000001" customHeight="1">
      <c r="B91" s="36"/>
      <c r="E91" s="43"/>
      <c r="F91" s="39"/>
    </row>
    <row r="92" spans="2:6" ht="20.100000000000001" customHeight="1">
      <c r="B92" s="36"/>
      <c r="E92" s="43"/>
      <c r="F92" s="39"/>
    </row>
    <row r="93" spans="2:6" ht="20.100000000000001" customHeight="1">
      <c r="B93" s="36"/>
      <c r="E93" s="43"/>
      <c r="F93" s="39"/>
    </row>
    <row r="94" spans="2:6" ht="20.100000000000001" customHeight="1">
      <c r="B94" s="36"/>
      <c r="E94" s="43"/>
      <c r="F94" s="39"/>
    </row>
    <row r="95" spans="2:6" ht="20.100000000000001" customHeight="1">
      <c r="B95" s="36"/>
      <c r="E95" s="43"/>
      <c r="F95" s="39"/>
    </row>
    <row r="96" spans="2:6" ht="20.100000000000001" customHeight="1">
      <c r="B96" s="36"/>
      <c r="E96" s="43"/>
      <c r="F96" s="39"/>
    </row>
    <row r="97" spans="2:9" ht="20.100000000000001" customHeight="1">
      <c r="B97" s="36"/>
      <c r="E97" s="43"/>
      <c r="F97" s="39"/>
    </row>
    <row r="98" spans="2:9" ht="20.100000000000001" customHeight="1">
      <c r="B98" s="36"/>
      <c r="E98" s="43"/>
      <c r="F98" s="39"/>
    </row>
    <row r="99" spans="2:9" ht="20.100000000000001" customHeight="1">
      <c r="B99" s="36"/>
      <c r="E99" s="43"/>
      <c r="F99" s="39"/>
    </row>
    <row r="100" spans="2:9" ht="20.100000000000001" customHeight="1">
      <c r="B100" s="36"/>
      <c r="E100" s="43"/>
      <c r="F100" s="39"/>
    </row>
    <row r="101" spans="2:9" ht="20.100000000000001" customHeight="1">
      <c r="B101" s="36"/>
      <c r="E101" s="43"/>
      <c r="F101" s="39"/>
    </row>
    <row r="102" spans="2:9" ht="20.100000000000001" customHeight="1">
      <c r="B102" s="36"/>
      <c r="E102" s="43"/>
      <c r="F102" s="39"/>
    </row>
    <row r="103" spans="2:9" ht="20.100000000000001" customHeight="1">
      <c r="B103" s="36"/>
      <c r="E103" s="43"/>
      <c r="F103" s="39"/>
    </row>
    <row r="104" spans="2:9" ht="20.100000000000001" customHeight="1">
      <c r="B104" s="36"/>
      <c r="E104" s="43"/>
      <c r="F104" s="39"/>
    </row>
    <row r="105" spans="2:9" ht="20.100000000000001" customHeight="1">
      <c r="B105" s="36"/>
      <c r="E105" s="43"/>
      <c r="F105" s="39"/>
    </row>
    <row r="106" spans="2:9" ht="20.100000000000001" customHeight="1">
      <c r="B106" s="36"/>
      <c r="E106" s="43"/>
      <c r="F106" s="39"/>
    </row>
    <row r="107" spans="2:9" ht="20.100000000000001" customHeight="1">
      <c r="B107" s="36"/>
      <c r="E107" s="43"/>
      <c r="F107" s="39"/>
    </row>
    <row r="108" spans="2:9" ht="20.100000000000001" customHeight="1">
      <c r="B108" s="36"/>
      <c r="E108" s="43"/>
      <c r="F108" s="39"/>
      <c r="G108" s="37"/>
      <c r="H108" s="37"/>
      <c r="I108" s="37"/>
    </row>
    <row r="109" spans="2:9" ht="20.100000000000001" customHeight="1">
      <c r="B109" s="36"/>
      <c r="E109" s="43"/>
      <c r="F109" s="39"/>
      <c r="G109" s="37"/>
      <c r="H109" s="37"/>
      <c r="I109" s="37"/>
    </row>
    <row r="110" spans="2:9" ht="20.100000000000001" customHeight="1">
      <c r="B110" s="36"/>
      <c r="F110" s="39"/>
    </row>
    <row r="111" spans="2:9" ht="20.100000000000001" customHeight="1">
      <c r="B111" s="36"/>
      <c r="F111" s="39"/>
    </row>
    <row r="112" spans="2:9" ht="20.100000000000001" customHeight="1">
      <c r="B112" s="36"/>
      <c r="F112" s="39"/>
    </row>
    <row r="113" spans="2:6" ht="20.100000000000001" customHeight="1">
      <c r="B113" s="36"/>
      <c r="F113" s="39"/>
    </row>
    <row r="114" spans="2:6" ht="20.100000000000001" customHeight="1">
      <c r="B114" s="36"/>
      <c r="F114" s="39"/>
    </row>
    <row r="115" spans="2:6" ht="20.100000000000001" customHeight="1">
      <c r="B115" s="36"/>
      <c r="F115" s="39"/>
    </row>
    <row r="116" spans="2:6" ht="20.100000000000001" customHeight="1">
      <c r="B116" s="36"/>
      <c r="F116" s="39"/>
    </row>
    <row r="117" spans="2:6" ht="20.100000000000001" customHeight="1">
      <c r="B117" s="36"/>
      <c r="F117" s="39"/>
    </row>
    <row r="118" spans="2:6" ht="20.100000000000001" customHeight="1">
      <c r="B118" s="36"/>
      <c r="F118" s="39"/>
    </row>
    <row r="119" spans="2:6" ht="20.100000000000001" customHeight="1">
      <c r="B119" s="36"/>
      <c r="E119" s="43"/>
      <c r="F119" s="39"/>
    </row>
    <row r="120" spans="2:6" ht="20.100000000000001" customHeight="1">
      <c r="B120" s="36"/>
      <c r="E120" s="43"/>
      <c r="F120" s="39"/>
    </row>
    <row r="121" spans="2:6" ht="20.100000000000001" customHeight="1">
      <c r="B121" s="36"/>
      <c r="E121" s="43"/>
      <c r="F121" s="39"/>
    </row>
    <row r="122" spans="2:6" ht="20.100000000000001" customHeight="1">
      <c r="B122" s="36"/>
      <c r="E122" s="43"/>
      <c r="F122" s="39"/>
    </row>
    <row r="123" spans="2:6" ht="20.100000000000001" customHeight="1">
      <c r="B123" s="36"/>
      <c r="E123" s="43"/>
      <c r="F123" s="39"/>
    </row>
    <row r="124" spans="2:6" ht="20.100000000000001" customHeight="1">
      <c r="B124" s="36"/>
      <c r="E124" s="43"/>
      <c r="F124" s="39"/>
    </row>
    <row r="125" spans="2:6" ht="20.100000000000001" customHeight="1">
      <c r="B125" s="36"/>
      <c r="E125" s="43"/>
      <c r="F125" s="39"/>
    </row>
    <row r="126" spans="2:6" ht="20.100000000000001" customHeight="1">
      <c r="B126" s="36"/>
      <c r="E126" s="43"/>
      <c r="F126" s="39"/>
    </row>
    <row r="127" spans="2:6" ht="20.100000000000001" customHeight="1">
      <c r="B127" s="36"/>
      <c r="E127" s="43"/>
      <c r="F127" s="39"/>
    </row>
    <row r="128" spans="2:6" ht="20.100000000000001" customHeight="1">
      <c r="B128" s="36"/>
      <c r="E128" s="43"/>
      <c r="F128" s="39"/>
    </row>
    <row r="129" spans="2:6" ht="20.100000000000001" customHeight="1">
      <c r="B129" s="36"/>
      <c r="E129" s="43"/>
      <c r="F129" s="39"/>
    </row>
    <row r="130" spans="2:6" ht="20.100000000000001" customHeight="1">
      <c r="B130" s="36"/>
      <c r="E130" s="43"/>
      <c r="F130" s="39"/>
    </row>
    <row r="131" spans="2:6" ht="20.100000000000001" customHeight="1">
      <c r="B131" s="36"/>
      <c r="E131" s="43"/>
      <c r="F131" s="39"/>
    </row>
    <row r="132" spans="2:6" ht="20.100000000000001" customHeight="1">
      <c r="B132" s="36"/>
      <c r="E132" s="43"/>
      <c r="F132" s="39"/>
    </row>
    <row r="133" spans="2:6" ht="20.100000000000001" customHeight="1">
      <c r="B133" s="36"/>
      <c r="E133" s="43"/>
      <c r="F133" s="39"/>
    </row>
    <row r="134" spans="2:6" ht="20.100000000000001" customHeight="1">
      <c r="B134" s="36"/>
      <c r="E134" s="43"/>
      <c r="F134" s="39"/>
    </row>
    <row r="135" spans="2:6" ht="20.100000000000001" customHeight="1">
      <c r="B135" s="36"/>
      <c r="E135" s="43"/>
      <c r="F135" s="39"/>
    </row>
    <row r="136" spans="2:6" ht="20.100000000000001" customHeight="1">
      <c r="B136" s="36"/>
      <c r="E136" s="43"/>
      <c r="F136" s="39"/>
    </row>
    <row r="137" spans="2:6" ht="20.100000000000001" customHeight="1">
      <c r="B137" s="36"/>
      <c r="E137" s="43"/>
      <c r="F137" s="39"/>
    </row>
    <row r="138" spans="2:6" ht="20.100000000000001" customHeight="1">
      <c r="B138" s="36"/>
      <c r="E138" s="43"/>
      <c r="F138" s="39"/>
    </row>
    <row r="139" spans="2:6" ht="20.100000000000001" customHeight="1">
      <c r="B139" s="36"/>
      <c r="E139" s="43"/>
      <c r="F139" s="39"/>
    </row>
    <row r="140" spans="2:6" ht="20.100000000000001" customHeight="1">
      <c r="B140" s="36"/>
      <c r="E140" s="43"/>
      <c r="F140" s="39"/>
    </row>
    <row r="141" spans="2:6" ht="20.100000000000001" customHeight="1">
      <c r="B141" s="36"/>
      <c r="E141" s="43"/>
      <c r="F141" s="39"/>
    </row>
    <row r="142" spans="2:6" ht="20.100000000000001" customHeight="1">
      <c r="B142" s="36"/>
      <c r="E142" s="43"/>
      <c r="F142" s="39"/>
    </row>
    <row r="143" spans="2:6" ht="20.100000000000001" customHeight="1">
      <c r="B143" s="36"/>
      <c r="E143" s="43"/>
      <c r="F143" s="39"/>
    </row>
    <row r="144" spans="2:6" ht="20.100000000000001" customHeight="1">
      <c r="B144" s="36"/>
      <c r="E144" s="43"/>
      <c r="F144" s="39"/>
    </row>
    <row r="145" spans="2:9" ht="20.100000000000001" customHeight="1">
      <c r="B145" s="36"/>
      <c r="E145" s="43"/>
      <c r="F145" s="39"/>
    </row>
    <row r="146" spans="2:9" ht="20.100000000000001" customHeight="1">
      <c r="B146" s="36"/>
      <c r="E146" s="43"/>
      <c r="F146" s="39"/>
      <c r="G146" s="37"/>
      <c r="H146" s="37"/>
      <c r="I146" s="37"/>
    </row>
    <row r="147" spans="2:9" ht="20.100000000000001" customHeight="1">
      <c r="B147" s="36"/>
      <c r="E147" s="43"/>
      <c r="F147" s="39"/>
      <c r="G147" s="37"/>
      <c r="H147" s="37"/>
      <c r="I147" s="37"/>
    </row>
    <row r="148" spans="2:9" ht="20.100000000000001" customHeight="1">
      <c r="B148" s="36"/>
      <c r="F148" s="39"/>
    </row>
    <row r="149" spans="2:9" ht="20.100000000000001" customHeight="1">
      <c r="B149" s="36"/>
      <c r="F149" s="39"/>
    </row>
    <row r="150" spans="2:9" ht="20.100000000000001" customHeight="1">
      <c r="B150" s="36"/>
      <c r="F150" s="39"/>
    </row>
    <row r="151" spans="2:9" ht="20.100000000000001" customHeight="1">
      <c r="B151" s="36"/>
      <c r="F151" s="39"/>
    </row>
    <row r="152" spans="2:9" ht="20.100000000000001" customHeight="1">
      <c r="B152" s="36"/>
      <c r="F152" s="39"/>
    </row>
    <row r="153" spans="2:9" ht="20.100000000000001" customHeight="1">
      <c r="B153" s="36"/>
      <c r="F153" s="39"/>
    </row>
    <row r="154" spans="2:9" ht="20.100000000000001" customHeight="1">
      <c r="B154" s="36"/>
      <c r="F154" s="39"/>
    </row>
    <row r="155" spans="2:9" ht="20.100000000000001" customHeight="1">
      <c r="B155" s="36"/>
      <c r="F155" s="39"/>
    </row>
    <row r="156" spans="2:9" ht="20.100000000000001" customHeight="1">
      <c r="B156" s="36"/>
      <c r="F156" s="39"/>
    </row>
    <row r="157" spans="2:9" ht="20.100000000000001" customHeight="1">
      <c r="B157" s="36"/>
      <c r="E157" s="43"/>
      <c r="F157" s="39"/>
    </row>
    <row r="158" spans="2:9" ht="20.100000000000001" customHeight="1">
      <c r="B158" s="36"/>
      <c r="E158" s="43"/>
      <c r="F158" s="39"/>
    </row>
    <row r="159" spans="2:9" ht="20.100000000000001" customHeight="1">
      <c r="B159" s="36"/>
      <c r="E159" s="43"/>
      <c r="F159" s="39"/>
    </row>
    <row r="160" spans="2:9" ht="20.100000000000001" customHeight="1">
      <c r="B160" s="36"/>
      <c r="E160" s="43"/>
      <c r="F160" s="39"/>
    </row>
    <row r="161" spans="2:6" ht="20.100000000000001" customHeight="1">
      <c r="B161" s="36"/>
      <c r="E161" s="43"/>
      <c r="F161" s="39"/>
    </row>
    <row r="162" spans="2:6" ht="20.100000000000001" customHeight="1">
      <c r="B162" s="36"/>
      <c r="E162" s="43"/>
      <c r="F162" s="39"/>
    </row>
    <row r="163" spans="2:6" ht="20.100000000000001" customHeight="1">
      <c r="B163" s="36"/>
      <c r="E163" s="43"/>
      <c r="F163" s="39"/>
    </row>
    <row r="164" spans="2:6" ht="20.100000000000001" customHeight="1">
      <c r="B164" s="36"/>
      <c r="E164" s="43"/>
      <c r="F164" s="39"/>
    </row>
    <row r="165" spans="2:6" ht="20.100000000000001" customHeight="1">
      <c r="B165" s="36"/>
      <c r="E165" s="43"/>
      <c r="F165" s="39"/>
    </row>
    <row r="166" spans="2:6" ht="20.100000000000001" customHeight="1">
      <c r="B166" s="36"/>
      <c r="E166" s="43"/>
      <c r="F166" s="39"/>
    </row>
    <row r="167" spans="2:6" ht="20.100000000000001" customHeight="1">
      <c r="B167" s="36"/>
      <c r="E167" s="43"/>
      <c r="F167" s="39"/>
    </row>
    <row r="168" spans="2:6" ht="20.100000000000001" customHeight="1">
      <c r="B168" s="36"/>
      <c r="E168" s="43"/>
      <c r="F168" s="39"/>
    </row>
    <row r="169" spans="2:6" ht="20.100000000000001" customHeight="1">
      <c r="B169" s="36"/>
      <c r="E169" s="43"/>
      <c r="F169" s="39"/>
    </row>
    <row r="170" spans="2:6" ht="20.100000000000001" customHeight="1">
      <c r="B170" s="36"/>
      <c r="E170" s="43"/>
      <c r="F170" s="39"/>
    </row>
    <row r="171" spans="2:6" ht="20.100000000000001" customHeight="1">
      <c r="B171" s="36"/>
      <c r="E171" s="43"/>
      <c r="F171" s="39"/>
    </row>
    <row r="172" spans="2:6" ht="20.100000000000001" customHeight="1">
      <c r="B172" s="36"/>
      <c r="E172" s="43"/>
      <c r="F172" s="39"/>
    </row>
    <row r="173" spans="2:6" ht="20.100000000000001" customHeight="1">
      <c r="B173" s="36"/>
      <c r="E173" s="43"/>
      <c r="F173" s="39"/>
    </row>
    <row r="174" spans="2:6" ht="20.100000000000001" customHeight="1">
      <c r="B174" s="36"/>
      <c r="E174" s="43"/>
      <c r="F174" s="39"/>
    </row>
    <row r="175" spans="2:6" ht="20.100000000000001" customHeight="1">
      <c r="B175" s="36"/>
      <c r="E175" s="43"/>
      <c r="F175" s="39"/>
    </row>
    <row r="176" spans="2:6" ht="20.100000000000001" customHeight="1">
      <c r="B176" s="36"/>
      <c r="E176" s="43"/>
      <c r="F176" s="39"/>
    </row>
    <row r="177" spans="2:9" ht="20.100000000000001" customHeight="1">
      <c r="B177" s="36"/>
      <c r="E177" s="43"/>
      <c r="F177" s="39"/>
    </row>
    <row r="178" spans="2:9" ht="20.100000000000001" customHeight="1">
      <c r="B178" s="36"/>
      <c r="E178" s="43"/>
      <c r="F178" s="39"/>
    </row>
    <row r="179" spans="2:9" ht="20.100000000000001" customHeight="1">
      <c r="B179" s="36"/>
      <c r="E179" s="43"/>
      <c r="F179" s="39"/>
    </row>
    <row r="180" spans="2:9" ht="20.100000000000001" customHeight="1">
      <c r="B180" s="36"/>
      <c r="E180" s="43"/>
      <c r="F180" s="39"/>
    </row>
    <row r="181" spans="2:9" ht="20.100000000000001" customHeight="1">
      <c r="B181" s="36"/>
      <c r="E181" s="43"/>
      <c r="F181" s="39"/>
    </row>
    <row r="182" spans="2:9" ht="20.100000000000001" customHeight="1">
      <c r="B182" s="36"/>
      <c r="E182" s="43"/>
      <c r="F182" s="39"/>
    </row>
    <row r="183" spans="2:9" ht="20.100000000000001" customHeight="1">
      <c r="B183" s="36"/>
      <c r="E183" s="43"/>
      <c r="F183" s="39"/>
    </row>
    <row r="184" spans="2:9" ht="20.100000000000001" customHeight="1">
      <c r="B184" s="36"/>
      <c r="E184" s="43"/>
      <c r="F184" s="39"/>
      <c r="G184" s="37"/>
      <c r="H184" s="37"/>
      <c r="I184" s="37"/>
    </row>
    <row r="185" spans="2:9" ht="20.100000000000001" customHeight="1">
      <c r="B185" s="36"/>
      <c r="E185" s="43"/>
      <c r="F185" s="39"/>
      <c r="G185" s="37"/>
      <c r="H185" s="37"/>
      <c r="I185" s="37"/>
    </row>
    <row r="186" spans="2:9" ht="20.100000000000001" customHeight="1">
      <c r="B186" s="36"/>
      <c r="F186" s="39"/>
    </row>
    <row r="187" spans="2:9" ht="20.100000000000001" customHeight="1">
      <c r="B187" s="36"/>
      <c r="F187" s="39"/>
    </row>
    <row r="188" spans="2:9" ht="20.100000000000001" customHeight="1">
      <c r="B188" s="36"/>
      <c r="F188" s="39"/>
    </row>
    <row r="189" spans="2:9" ht="20.100000000000001" customHeight="1">
      <c r="B189" s="36"/>
      <c r="F189" s="39"/>
    </row>
    <row r="190" spans="2:9" ht="20.100000000000001" customHeight="1">
      <c r="B190" s="36"/>
      <c r="F190" s="39"/>
    </row>
    <row r="191" spans="2:9" ht="20.100000000000001" customHeight="1">
      <c r="B191" s="36"/>
      <c r="F191" s="39"/>
    </row>
    <row r="192" spans="2:9" ht="20.100000000000001" customHeight="1">
      <c r="B192" s="36"/>
      <c r="F192" s="39"/>
    </row>
    <row r="193" spans="2:6" ht="20.100000000000001" customHeight="1">
      <c r="B193" s="36"/>
      <c r="F193" s="39"/>
    </row>
    <row r="194" spans="2:6" ht="20.100000000000001" customHeight="1">
      <c r="B194" s="36"/>
      <c r="F194" s="39"/>
    </row>
    <row r="195" spans="2:6" ht="20.100000000000001" customHeight="1">
      <c r="B195" s="36"/>
      <c r="E195" s="43"/>
      <c r="F195" s="39"/>
    </row>
    <row r="196" spans="2:6" ht="20.100000000000001" customHeight="1">
      <c r="B196" s="36"/>
      <c r="E196" s="43"/>
      <c r="F196" s="39"/>
    </row>
    <row r="197" spans="2:6" ht="20.100000000000001" customHeight="1">
      <c r="B197" s="36"/>
      <c r="E197" s="43"/>
      <c r="F197" s="39"/>
    </row>
    <row r="198" spans="2:6" ht="20.100000000000001" customHeight="1">
      <c r="B198" s="36"/>
      <c r="E198" s="43"/>
      <c r="F198" s="39"/>
    </row>
    <row r="199" spans="2:6" ht="20.100000000000001" customHeight="1">
      <c r="B199" s="36"/>
      <c r="E199" s="43"/>
      <c r="F199" s="39"/>
    </row>
    <row r="200" spans="2:6" ht="20.100000000000001" customHeight="1">
      <c r="B200" s="36"/>
      <c r="E200" s="43"/>
      <c r="F200" s="39"/>
    </row>
    <row r="201" spans="2:6" ht="20.100000000000001" customHeight="1">
      <c r="B201" s="36"/>
      <c r="E201" s="43"/>
      <c r="F201" s="39"/>
    </row>
    <row r="202" spans="2:6" ht="20.100000000000001" customHeight="1">
      <c r="B202" s="36"/>
      <c r="E202" s="43"/>
      <c r="F202" s="39"/>
    </row>
    <row r="203" spans="2:6" ht="20.100000000000001" customHeight="1">
      <c r="B203" s="36"/>
      <c r="E203" s="43"/>
      <c r="F203" s="39"/>
    </row>
    <row r="204" spans="2:6" ht="20.100000000000001" customHeight="1">
      <c r="B204" s="36"/>
      <c r="E204" s="43"/>
      <c r="F204" s="39"/>
    </row>
    <row r="205" spans="2:6" ht="20.100000000000001" customHeight="1">
      <c r="B205" s="36"/>
      <c r="E205" s="43"/>
      <c r="F205" s="39"/>
    </row>
    <row r="206" spans="2:6" ht="20.100000000000001" customHeight="1">
      <c r="B206" s="36"/>
      <c r="E206" s="43"/>
      <c r="F206" s="39"/>
    </row>
    <row r="207" spans="2:6" ht="20.100000000000001" customHeight="1">
      <c r="B207" s="36"/>
      <c r="E207" s="43"/>
      <c r="F207" s="39"/>
    </row>
    <row r="208" spans="2:6" ht="20.100000000000001" customHeight="1">
      <c r="B208" s="36"/>
      <c r="E208" s="43"/>
      <c r="F208" s="39"/>
    </row>
    <row r="209" spans="2:9" ht="20.100000000000001" customHeight="1">
      <c r="B209" s="36"/>
      <c r="E209" s="43"/>
      <c r="F209" s="39"/>
    </row>
    <row r="210" spans="2:9" ht="20.100000000000001" customHeight="1">
      <c r="B210" s="36"/>
      <c r="E210" s="43"/>
      <c r="F210" s="39"/>
    </row>
    <row r="211" spans="2:9" ht="20.100000000000001" customHeight="1">
      <c r="B211" s="36"/>
      <c r="E211" s="43"/>
      <c r="F211" s="39"/>
    </row>
    <row r="212" spans="2:9" ht="20.100000000000001" customHeight="1">
      <c r="B212" s="36"/>
      <c r="E212" s="43"/>
      <c r="F212" s="39"/>
    </row>
    <row r="213" spans="2:9" ht="20.100000000000001" customHeight="1">
      <c r="B213" s="36"/>
      <c r="E213" s="43"/>
      <c r="F213" s="39"/>
    </row>
    <row r="214" spans="2:9" ht="20.100000000000001" customHeight="1">
      <c r="B214" s="36"/>
      <c r="E214" s="43"/>
      <c r="F214" s="39"/>
    </row>
    <row r="215" spans="2:9" ht="20.100000000000001" customHeight="1">
      <c r="B215" s="36"/>
      <c r="E215" s="43"/>
      <c r="F215" s="39"/>
    </row>
    <row r="216" spans="2:9" ht="20.100000000000001" customHeight="1">
      <c r="B216" s="36"/>
      <c r="E216" s="43"/>
      <c r="F216" s="39"/>
    </row>
    <row r="217" spans="2:9" ht="20.100000000000001" customHeight="1">
      <c r="B217" s="36"/>
      <c r="E217" s="43"/>
      <c r="F217" s="39"/>
    </row>
    <row r="218" spans="2:9" ht="20.100000000000001" customHeight="1">
      <c r="B218" s="36"/>
      <c r="E218" s="43"/>
      <c r="F218" s="39"/>
    </row>
    <row r="219" spans="2:9" ht="20.100000000000001" customHeight="1">
      <c r="B219" s="36"/>
      <c r="E219" s="43"/>
      <c r="F219" s="39"/>
    </row>
    <row r="220" spans="2:9" ht="20.100000000000001" customHeight="1">
      <c r="B220" s="36"/>
      <c r="E220" s="43"/>
      <c r="F220" s="39"/>
    </row>
    <row r="221" spans="2:9" ht="20.100000000000001" customHeight="1">
      <c r="B221" s="36"/>
      <c r="E221" s="43"/>
      <c r="F221" s="39"/>
    </row>
    <row r="222" spans="2:9" ht="20.100000000000001" customHeight="1">
      <c r="B222" s="36"/>
      <c r="E222" s="43"/>
      <c r="F222" s="39"/>
      <c r="G222" s="37"/>
      <c r="H222" s="37"/>
      <c r="I222" s="37"/>
    </row>
    <row r="223" spans="2:9" ht="20.100000000000001" customHeight="1">
      <c r="B223" s="36"/>
      <c r="E223" s="43"/>
      <c r="F223" s="39"/>
      <c r="G223" s="37"/>
      <c r="H223" s="37"/>
      <c r="I223" s="37"/>
    </row>
    <row r="224" spans="2:9" ht="20.100000000000001" customHeight="1">
      <c r="B224" s="36"/>
      <c r="F224" s="39"/>
    </row>
    <row r="225" spans="2:6" ht="20.100000000000001" customHeight="1">
      <c r="B225" s="36"/>
      <c r="F225" s="39"/>
    </row>
    <row r="226" spans="2:6" ht="20.100000000000001" customHeight="1">
      <c r="B226" s="36"/>
      <c r="F226" s="39"/>
    </row>
    <row r="227" spans="2:6" ht="20.100000000000001" customHeight="1">
      <c r="B227" s="36"/>
      <c r="F227" s="39"/>
    </row>
    <row r="228" spans="2:6" ht="20.100000000000001" customHeight="1">
      <c r="B228" s="36"/>
      <c r="F228" s="39"/>
    </row>
    <row r="229" spans="2:6" ht="20.100000000000001" customHeight="1">
      <c r="B229" s="36"/>
      <c r="F229" s="39"/>
    </row>
    <row r="230" spans="2:6" ht="20.100000000000001" customHeight="1">
      <c r="B230" s="36"/>
      <c r="F230" s="39"/>
    </row>
    <row r="231" spans="2:6" ht="20.100000000000001" customHeight="1">
      <c r="B231" s="36"/>
      <c r="F231" s="39"/>
    </row>
    <row r="232" spans="2:6" ht="20.100000000000001" customHeight="1">
      <c r="B232" s="36"/>
      <c r="F232" s="39"/>
    </row>
    <row r="233" spans="2:6" ht="20.100000000000001" customHeight="1">
      <c r="B233" s="36"/>
      <c r="E233" s="43"/>
      <c r="F233" s="39"/>
    </row>
    <row r="234" spans="2:6" ht="20.100000000000001" customHeight="1">
      <c r="B234" s="36"/>
      <c r="E234" s="43"/>
      <c r="F234" s="39"/>
    </row>
    <row r="235" spans="2:6" ht="20.100000000000001" customHeight="1">
      <c r="B235" s="36"/>
      <c r="E235" s="43"/>
      <c r="F235" s="39"/>
    </row>
    <row r="236" spans="2:6" ht="20.100000000000001" customHeight="1">
      <c r="B236" s="36"/>
      <c r="E236" s="43"/>
      <c r="F236" s="39"/>
    </row>
    <row r="237" spans="2:6" ht="20.100000000000001" customHeight="1">
      <c r="B237" s="36"/>
      <c r="E237" s="43"/>
      <c r="F237" s="39"/>
    </row>
    <row r="238" spans="2:6" ht="20.100000000000001" customHeight="1">
      <c r="B238" s="36"/>
      <c r="E238" s="43"/>
      <c r="F238" s="39"/>
    </row>
    <row r="239" spans="2:6" ht="20.100000000000001" customHeight="1">
      <c r="B239" s="36"/>
      <c r="E239" s="43"/>
      <c r="F239" s="39"/>
    </row>
    <row r="240" spans="2:6" ht="20.100000000000001" customHeight="1">
      <c r="B240" s="36"/>
      <c r="E240" s="43"/>
      <c r="F240" s="39"/>
    </row>
    <row r="241" spans="2:6" ht="20.100000000000001" customHeight="1">
      <c r="B241" s="36"/>
      <c r="E241" s="43"/>
      <c r="F241" s="39"/>
    </row>
    <row r="242" spans="2:6" ht="20.100000000000001" customHeight="1">
      <c r="B242" s="36"/>
      <c r="E242" s="43"/>
      <c r="F242" s="39"/>
    </row>
    <row r="243" spans="2:6" ht="20.100000000000001" customHeight="1">
      <c r="B243" s="36"/>
      <c r="E243" s="43"/>
      <c r="F243" s="39"/>
    </row>
    <row r="244" spans="2:6" ht="20.100000000000001" customHeight="1">
      <c r="B244" s="36"/>
      <c r="E244" s="43"/>
      <c r="F244" s="39"/>
    </row>
    <row r="245" spans="2:6" ht="20.100000000000001" customHeight="1">
      <c r="B245" s="36"/>
      <c r="E245" s="43"/>
      <c r="F245" s="39"/>
    </row>
    <row r="246" spans="2:6" ht="20.100000000000001" customHeight="1">
      <c r="B246" s="36"/>
      <c r="E246" s="43"/>
      <c r="F246" s="39"/>
    </row>
    <row r="247" spans="2:6" ht="20.100000000000001" customHeight="1">
      <c r="B247" s="36"/>
      <c r="E247" s="43"/>
      <c r="F247" s="39"/>
    </row>
    <row r="248" spans="2:6" ht="20.100000000000001" customHeight="1">
      <c r="B248" s="36"/>
      <c r="E248" s="43"/>
      <c r="F248" s="39"/>
    </row>
    <row r="249" spans="2:6" ht="20.100000000000001" customHeight="1">
      <c r="B249" s="36"/>
      <c r="E249" s="43"/>
      <c r="F249" s="39"/>
    </row>
    <row r="250" spans="2:6" ht="20.100000000000001" customHeight="1">
      <c r="B250" s="36"/>
      <c r="E250" s="43"/>
      <c r="F250" s="39"/>
    </row>
    <row r="251" spans="2:6" ht="20.100000000000001" customHeight="1">
      <c r="B251" s="36"/>
      <c r="E251" s="43"/>
      <c r="F251" s="39"/>
    </row>
    <row r="252" spans="2:6" ht="20.100000000000001" customHeight="1">
      <c r="B252" s="36"/>
      <c r="E252" s="43"/>
      <c r="F252" s="39"/>
    </row>
    <row r="253" spans="2:6" ht="20.100000000000001" customHeight="1">
      <c r="B253" s="36"/>
      <c r="E253" s="43"/>
      <c r="F253" s="39"/>
    </row>
    <row r="254" spans="2:6" ht="20.100000000000001" customHeight="1">
      <c r="B254" s="36"/>
      <c r="E254" s="43"/>
      <c r="F254" s="39"/>
    </row>
    <row r="255" spans="2:6" ht="20.100000000000001" customHeight="1">
      <c r="B255" s="36"/>
      <c r="E255" s="43"/>
      <c r="F255" s="39"/>
    </row>
    <row r="256" spans="2:6" ht="20.100000000000001" customHeight="1">
      <c r="B256" s="36"/>
      <c r="E256" s="43"/>
      <c r="F256" s="39"/>
    </row>
    <row r="257" spans="2:9" ht="20.100000000000001" customHeight="1">
      <c r="B257" s="36"/>
      <c r="E257" s="43"/>
      <c r="F257" s="39"/>
    </row>
    <row r="258" spans="2:9" ht="20.100000000000001" customHeight="1">
      <c r="B258" s="36"/>
      <c r="E258" s="43"/>
      <c r="F258" s="39"/>
    </row>
    <row r="259" spans="2:9" ht="20.100000000000001" customHeight="1">
      <c r="B259" s="36"/>
      <c r="E259" s="43"/>
      <c r="F259" s="39"/>
    </row>
    <row r="260" spans="2:9" ht="20.100000000000001" customHeight="1">
      <c r="B260" s="36"/>
      <c r="E260" s="43"/>
      <c r="F260" s="39"/>
      <c r="G260" s="37"/>
      <c r="H260" s="37"/>
      <c r="I260" s="37"/>
    </row>
    <row r="261" spans="2:9" ht="20.100000000000001" customHeight="1">
      <c r="B261" s="36"/>
      <c r="E261" s="43"/>
      <c r="F261" s="39"/>
      <c r="G261" s="37"/>
      <c r="H261" s="37"/>
      <c r="I261" s="37"/>
    </row>
    <row r="262" spans="2:9" ht="20.100000000000001" customHeight="1">
      <c r="B262" s="36"/>
      <c r="F262" s="39"/>
    </row>
    <row r="263" spans="2:9" ht="20.100000000000001" customHeight="1">
      <c r="B263" s="36"/>
      <c r="F263" s="39"/>
    </row>
    <row r="264" spans="2:9" ht="20.100000000000001" customHeight="1">
      <c r="B264" s="36"/>
      <c r="F264" s="39"/>
    </row>
    <row r="265" spans="2:9" ht="20.100000000000001" customHeight="1">
      <c r="B265" s="36"/>
      <c r="F265" s="39"/>
    </row>
    <row r="266" spans="2:9" ht="20.100000000000001" customHeight="1">
      <c r="B266" s="36"/>
      <c r="F266" s="39"/>
    </row>
    <row r="267" spans="2:9" ht="20.100000000000001" customHeight="1">
      <c r="B267" s="36"/>
      <c r="F267" s="39"/>
    </row>
    <row r="268" spans="2:9" ht="20.100000000000001" customHeight="1">
      <c r="B268" s="36"/>
      <c r="F268" s="39"/>
    </row>
    <row r="269" spans="2:9" ht="20.100000000000001" customHeight="1">
      <c r="B269" s="36"/>
      <c r="F269" s="39"/>
    </row>
    <row r="270" spans="2:9" ht="20.100000000000001" customHeight="1">
      <c r="B270" s="36"/>
      <c r="F270" s="39"/>
    </row>
    <row r="271" spans="2:9" ht="20.100000000000001" customHeight="1">
      <c r="B271" s="36"/>
      <c r="E271" s="43"/>
      <c r="F271" s="39"/>
    </row>
    <row r="272" spans="2:9" ht="20.100000000000001" customHeight="1">
      <c r="B272" s="36"/>
      <c r="E272" s="43"/>
      <c r="F272" s="39"/>
    </row>
    <row r="273" spans="2:6" ht="20.100000000000001" customHeight="1">
      <c r="B273" s="36"/>
      <c r="E273" s="43"/>
      <c r="F273" s="39"/>
    </row>
    <row r="274" spans="2:6" ht="20.100000000000001" customHeight="1">
      <c r="B274" s="36"/>
      <c r="E274" s="43"/>
      <c r="F274" s="39"/>
    </row>
    <row r="275" spans="2:6" ht="20.100000000000001" customHeight="1">
      <c r="B275" s="36"/>
      <c r="E275" s="43"/>
      <c r="F275" s="39"/>
    </row>
    <row r="276" spans="2:6" ht="20.100000000000001" customHeight="1">
      <c r="B276" s="36"/>
      <c r="E276" s="43"/>
      <c r="F276" s="39"/>
    </row>
    <row r="277" spans="2:6" ht="20.100000000000001" customHeight="1">
      <c r="B277" s="36"/>
      <c r="E277" s="43"/>
      <c r="F277" s="39"/>
    </row>
    <row r="278" spans="2:6" ht="20.100000000000001" customHeight="1">
      <c r="B278" s="36"/>
      <c r="E278" s="43"/>
      <c r="F278" s="39"/>
    </row>
    <row r="279" spans="2:6" ht="20.100000000000001" customHeight="1">
      <c r="B279" s="36"/>
      <c r="E279" s="43"/>
      <c r="F279" s="39"/>
    </row>
    <row r="280" spans="2:6" ht="20.100000000000001" customHeight="1">
      <c r="B280" s="36"/>
      <c r="E280" s="43"/>
      <c r="F280" s="39"/>
    </row>
    <row r="281" spans="2:6" ht="20.100000000000001" customHeight="1">
      <c r="B281" s="36"/>
      <c r="E281" s="43"/>
      <c r="F281" s="39"/>
    </row>
    <row r="282" spans="2:6" ht="20.100000000000001" customHeight="1">
      <c r="B282" s="36"/>
      <c r="E282" s="43"/>
      <c r="F282" s="39"/>
    </row>
    <row r="283" spans="2:6" ht="20.100000000000001" customHeight="1">
      <c r="B283" s="36"/>
      <c r="E283" s="43"/>
      <c r="F283" s="39"/>
    </row>
    <row r="284" spans="2:6" ht="20.100000000000001" customHeight="1">
      <c r="B284" s="36"/>
      <c r="E284" s="43"/>
      <c r="F284" s="39"/>
    </row>
    <row r="285" spans="2:6" ht="20.100000000000001" customHeight="1">
      <c r="B285" s="36"/>
      <c r="E285" s="43"/>
      <c r="F285" s="39"/>
    </row>
    <row r="286" spans="2:6" ht="20.100000000000001" customHeight="1">
      <c r="B286" s="36"/>
      <c r="E286" s="43"/>
      <c r="F286" s="39"/>
    </row>
    <row r="287" spans="2:6" ht="20.100000000000001" customHeight="1">
      <c r="B287" s="36"/>
      <c r="E287" s="43"/>
      <c r="F287" s="39"/>
    </row>
    <row r="288" spans="2:6" ht="20.100000000000001" customHeight="1">
      <c r="B288" s="36"/>
      <c r="E288" s="43"/>
      <c r="F288" s="39"/>
    </row>
    <row r="289" spans="2:9" ht="20.100000000000001" customHeight="1">
      <c r="B289" s="36"/>
      <c r="E289" s="43"/>
      <c r="F289" s="39"/>
    </row>
    <row r="290" spans="2:9" ht="20.100000000000001" customHeight="1">
      <c r="B290" s="36"/>
      <c r="E290" s="43"/>
      <c r="F290" s="39"/>
    </row>
    <row r="291" spans="2:9" ht="20.100000000000001" customHeight="1">
      <c r="B291" s="36"/>
      <c r="E291" s="43"/>
      <c r="F291" s="39"/>
    </row>
    <row r="292" spans="2:9" ht="20.100000000000001" customHeight="1">
      <c r="B292" s="36"/>
      <c r="E292" s="43"/>
      <c r="F292" s="39"/>
    </row>
    <row r="293" spans="2:9" ht="20.100000000000001" customHeight="1">
      <c r="B293" s="36"/>
      <c r="E293" s="43"/>
      <c r="F293" s="39"/>
    </row>
    <row r="294" spans="2:9" ht="20.100000000000001" customHeight="1">
      <c r="B294" s="36"/>
      <c r="E294" s="43"/>
      <c r="F294" s="39"/>
    </row>
    <row r="295" spans="2:9" ht="20.100000000000001" customHeight="1">
      <c r="B295" s="36"/>
      <c r="E295" s="43"/>
      <c r="F295" s="39"/>
    </row>
    <row r="296" spans="2:9" ht="20.100000000000001" customHeight="1">
      <c r="B296" s="36"/>
      <c r="E296" s="43"/>
      <c r="F296" s="39"/>
    </row>
    <row r="297" spans="2:9" ht="20.100000000000001" customHeight="1">
      <c r="B297" s="36"/>
      <c r="E297" s="43"/>
      <c r="F297" s="39"/>
    </row>
    <row r="298" spans="2:9" ht="20.100000000000001" customHeight="1">
      <c r="B298" s="36"/>
      <c r="E298" s="43"/>
      <c r="F298" s="39"/>
      <c r="G298" s="37"/>
      <c r="H298" s="37"/>
      <c r="I298" s="37"/>
    </row>
    <row r="299" spans="2:9" ht="20.100000000000001" customHeight="1">
      <c r="B299" s="36"/>
      <c r="E299" s="43"/>
      <c r="F299" s="39"/>
      <c r="G299" s="37"/>
      <c r="H299" s="37"/>
      <c r="I299" s="37"/>
    </row>
    <row r="300" spans="2:9" ht="20.100000000000001" customHeight="1">
      <c r="B300" s="36"/>
      <c r="F300" s="39"/>
    </row>
    <row r="301" spans="2:9" ht="20.100000000000001" customHeight="1">
      <c r="B301" s="36"/>
      <c r="F301" s="39"/>
    </row>
    <row r="302" spans="2:9" ht="20.100000000000001" customHeight="1">
      <c r="B302" s="36"/>
      <c r="F302" s="39"/>
    </row>
    <row r="303" spans="2:9" ht="20.100000000000001" customHeight="1">
      <c r="B303" s="36"/>
      <c r="F303" s="39"/>
    </row>
    <row r="304" spans="2:9" ht="20.100000000000001" customHeight="1">
      <c r="B304" s="36"/>
      <c r="F304" s="39"/>
    </row>
    <row r="305" spans="2:6" ht="20.100000000000001" customHeight="1">
      <c r="B305" s="36"/>
      <c r="F305" s="39"/>
    </row>
    <row r="306" spans="2:6" ht="20.100000000000001" customHeight="1">
      <c r="B306" s="36"/>
      <c r="F306" s="39"/>
    </row>
    <row r="307" spans="2:6" ht="20.100000000000001" customHeight="1">
      <c r="B307" s="36"/>
      <c r="F307" s="39"/>
    </row>
    <row r="308" spans="2:6" ht="20.100000000000001" customHeight="1">
      <c r="B308" s="36"/>
      <c r="F308" s="39"/>
    </row>
    <row r="309" spans="2:6" ht="20.100000000000001" customHeight="1">
      <c r="B309" s="36"/>
      <c r="E309" s="43"/>
      <c r="F309" s="39"/>
    </row>
    <row r="310" spans="2:6" ht="20.100000000000001" customHeight="1">
      <c r="B310" s="36"/>
      <c r="E310" s="43"/>
      <c r="F310" s="39"/>
    </row>
    <row r="311" spans="2:6" ht="20.100000000000001" customHeight="1">
      <c r="B311" s="36"/>
      <c r="E311" s="43"/>
      <c r="F311" s="39"/>
    </row>
    <row r="312" spans="2:6" ht="20.100000000000001" customHeight="1">
      <c r="B312" s="36"/>
      <c r="E312" s="43"/>
      <c r="F312" s="39"/>
    </row>
    <row r="313" spans="2:6" ht="20.100000000000001" customHeight="1">
      <c r="B313" s="36"/>
      <c r="E313" s="43"/>
      <c r="F313" s="39"/>
    </row>
    <row r="314" spans="2:6" ht="20.100000000000001" customHeight="1">
      <c r="B314" s="36"/>
      <c r="E314" s="43"/>
      <c r="F314" s="39"/>
    </row>
    <row r="315" spans="2:6" ht="20.100000000000001" customHeight="1">
      <c r="B315" s="36"/>
      <c r="E315" s="43"/>
      <c r="F315" s="39"/>
    </row>
    <row r="316" spans="2:6" ht="20.100000000000001" customHeight="1">
      <c r="B316" s="36"/>
      <c r="E316" s="43"/>
      <c r="F316" s="39"/>
    </row>
    <row r="317" spans="2:6" ht="20.100000000000001" customHeight="1">
      <c r="B317" s="36"/>
      <c r="E317" s="43"/>
      <c r="F317" s="39"/>
    </row>
    <row r="318" spans="2:6" ht="20.100000000000001" customHeight="1">
      <c r="B318" s="36"/>
      <c r="E318" s="43"/>
      <c r="F318" s="39"/>
    </row>
    <row r="319" spans="2:6" ht="20.100000000000001" customHeight="1">
      <c r="B319" s="36"/>
      <c r="E319" s="43"/>
      <c r="F319" s="39"/>
    </row>
    <row r="320" spans="2:6" ht="20.100000000000001" customHeight="1">
      <c r="B320" s="36"/>
      <c r="E320" s="43"/>
      <c r="F320" s="39"/>
    </row>
    <row r="321" spans="2:9" ht="20.100000000000001" customHeight="1">
      <c r="B321" s="36"/>
      <c r="E321" s="43"/>
      <c r="F321" s="39"/>
    </row>
    <row r="322" spans="2:9" ht="20.100000000000001" customHeight="1">
      <c r="B322" s="36"/>
      <c r="E322" s="43"/>
      <c r="F322" s="39"/>
    </row>
    <row r="323" spans="2:9" ht="20.100000000000001" customHeight="1">
      <c r="B323" s="36"/>
      <c r="E323" s="43"/>
      <c r="F323" s="39"/>
    </row>
    <row r="324" spans="2:9" ht="20.100000000000001" customHeight="1">
      <c r="B324" s="36"/>
      <c r="E324" s="43"/>
      <c r="F324" s="39"/>
    </row>
    <row r="325" spans="2:9" ht="20.100000000000001" customHeight="1">
      <c r="B325" s="36"/>
      <c r="E325" s="43"/>
      <c r="F325" s="39"/>
    </row>
    <row r="326" spans="2:9" ht="20.100000000000001" customHeight="1">
      <c r="B326" s="36"/>
      <c r="E326" s="43"/>
      <c r="F326" s="39"/>
    </row>
    <row r="327" spans="2:9" ht="20.100000000000001" customHeight="1">
      <c r="B327" s="36"/>
      <c r="E327" s="43"/>
      <c r="F327" s="39"/>
    </row>
    <row r="328" spans="2:9" ht="20.100000000000001" customHeight="1">
      <c r="B328" s="36"/>
      <c r="E328" s="43"/>
      <c r="F328" s="39"/>
    </row>
    <row r="329" spans="2:9" ht="20.100000000000001" customHeight="1">
      <c r="B329" s="36"/>
      <c r="E329" s="43"/>
      <c r="F329" s="39"/>
    </row>
    <row r="330" spans="2:9" ht="20.100000000000001" customHeight="1">
      <c r="B330" s="36"/>
      <c r="E330" s="43"/>
      <c r="F330" s="39"/>
    </row>
    <row r="331" spans="2:9" ht="20.100000000000001" customHeight="1">
      <c r="B331" s="36"/>
      <c r="E331" s="43"/>
      <c r="F331" s="39"/>
    </row>
    <row r="332" spans="2:9" ht="20.100000000000001" customHeight="1">
      <c r="B332" s="36"/>
      <c r="E332" s="43"/>
      <c r="F332" s="39"/>
    </row>
    <row r="333" spans="2:9" ht="20.100000000000001" customHeight="1">
      <c r="B333" s="36"/>
      <c r="E333" s="43"/>
      <c r="F333" s="39"/>
    </row>
    <row r="334" spans="2:9" ht="20.100000000000001" customHeight="1">
      <c r="B334" s="36"/>
      <c r="E334" s="43"/>
      <c r="F334" s="39"/>
    </row>
    <row r="335" spans="2:9" ht="20.100000000000001" customHeight="1">
      <c r="B335" s="36"/>
      <c r="E335" s="43"/>
      <c r="F335" s="39"/>
    </row>
    <row r="336" spans="2:9" ht="20.100000000000001" customHeight="1">
      <c r="B336" s="36"/>
      <c r="E336" s="43"/>
      <c r="F336" s="39"/>
      <c r="G336" s="37"/>
      <c r="H336" s="37"/>
      <c r="I336" s="37"/>
    </row>
    <row r="337" spans="2:9" ht="20.100000000000001" customHeight="1">
      <c r="B337" s="36"/>
      <c r="E337" s="43"/>
      <c r="F337" s="39"/>
      <c r="G337" s="37"/>
      <c r="H337" s="37"/>
      <c r="I337" s="37"/>
    </row>
    <row r="338" spans="2:9" ht="20.100000000000001" customHeight="1">
      <c r="B338" s="36"/>
      <c r="F338" s="39"/>
    </row>
    <row r="339" spans="2:9" ht="20.100000000000001" customHeight="1">
      <c r="B339" s="36"/>
      <c r="F339" s="39"/>
    </row>
    <row r="340" spans="2:9" ht="20.100000000000001" customHeight="1">
      <c r="B340" s="36"/>
      <c r="F340" s="39"/>
    </row>
    <row r="341" spans="2:9" ht="20.100000000000001" customHeight="1">
      <c r="B341" s="36"/>
      <c r="F341" s="39"/>
    </row>
    <row r="342" spans="2:9" ht="20.100000000000001" customHeight="1">
      <c r="B342" s="36"/>
      <c r="F342" s="39"/>
    </row>
    <row r="343" spans="2:9" ht="20.100000000000001" customHeight="1">
      <c r="B343" s="36"/>
      <c r="F343" s="39"/>
    </row>
    <row r="344" spans="2:9" ht="20.100000000000001" customHeight="1">
      <c r="B344" s="36"/>
      <c r="F344" s="39"/>
    </row>
    <row r="345" spans="2:9" ht="20.100000000000001" customHeight="1">
      <c r="B345" s="36"/>
      <c r="F345" s="39"/>
    </row>
    <row r="346" spans="2:9" ht="20.100000000000001" customHeight="1">
      <c r="B346" s="36"/>
      <c r="F346" s="39"/>
    </row>
    <row r="347" spans="2:9" ht="20.100000000000001" customHeight="1">
      <c r="B347" s="36"/>
      <c r="E347" s="43"/>
      <c r="F347" s="39"/>
    </row>
    <row r="348" spans="2:9" ht="20.100000000000001" customHeight="1">
      <c r="B348" s="36"/>
      <c r="E348" s="43"/>
      <c r="F348" s="39"/>
    </row>
    <row r="349" spans="2:9" ht="20.100000000000001" customHeight="1">
      <c r="B349" s="36"/>
      <c r="E349" s="43"/>
      <c r="F349" s="39"/>
    </row>
    <row r="350" spans="2:9" ht="20.100000000000001" customHeight="1">
      <c r="B350" s="36"/>
      <c r="E350" s="43"/>
      <c r="F350" s="39"/>
    </row>
    <row r="351" spans="2:9" ht="20.100000000000001" customHeight="1">
      <c r="B351" s="36"/>
      <c r="E351" s="43"/>
      <c r="F351" s="39"/>
    </row>
    <row r="352" spans="2:9" ht="20.100000000000001" customHeight="1">
      <c r="B352" s="36"/>
      <c r="E352" s="43"/>
      <c r="F352" s="39"/>
    </row>
    <row r="353" spans="2:6" ht="20.100000000000001" customHeight="1">
      <c r="B353" s="36"/>
      <c r="E353" s="43"/>
      <c r="F353" s="39"/>
    </row>
    <row r="354" spans="2:6" ht="20.100000000000001" customHeight="1">
      <c r="B354" s="36"/>
      <c r="E354" s="43"/>
      <c r="F354" s="39"/>
    </row>
    <row r="355" spans="2:6" ht="20.100000000000001" customHeight="1">
      <c r="B355" s="36"/>
      <c r="E355" s="43"/>
      <c r="F355" s="39"/>
    </row>
    <row r="356" spans="2:6" ht="20.100000000000001" customHeight="1">
      <c r="B356" s="36"/>
      <c r="E356" s="43"/>
      <c r="F356" s="39"/>
    </row>
    <row r="357" spans="2:6" ht="20.100000000000001" customHeight="1">
      <c r="B357" s="36"/>
      <c r="E357" s="43"/>
      <c r="F357" s="39"/>
    </row>
    <row r="358" spans="2:6" ht="20.100000000000001" customHeight="1">
      <c r="B358" s="36"/>
      <c r="E358" s="43"/>
      <c r="F358" s="39"/>
    </row>
    <row r="359" spans="2:6" ht="20.100000000000001" customHeight="1">
      <c r="B359" s="36"/>
      <c r="E359" s="43"/>
      <c r="F359" s="39"/>
    </row>
    <row r="360" spans="2:6" ht="20.100000000000001" customHeight="1">
      <c r="B360" s="36"/>
      <c r="E360" s="43"/>
      <c r="F360" s="39"/>
    </row>
    <row r="361" spans="2:6" ht="20.100000000000001" customHeight="1">
      <c r="B361" s="36"/>
      <c r="E361" s="43"/>
      <c r="F361" s="39"/>
    </row>
    <row r="362" spans="2:6" ht="20.100000000000001" customHeight="1">
      <c r="B362" s="36"/>
      <c r="E362" s="43"/>
      <c r="F362" s="39"/>
    </row>
    <row r="363" spans="2:6" ht="20.100000000000001" customHeight="1">
      <c r="B363" s="36"/>
      <c r="E363" s="43"/>
      <c r="F363" s="39"/>
    </row>
    <row r="364" spans="2:6" ht="20.100000000000001" customHeight="1">
      <c r="B364" s="36"/>
      <c r="E364" s="43"/>
      <c r="F364" s="39"/>
    </row>
    <row r="365" spans="2:6" ht="20.100000000000001" customHeight="1">
      <c r="B365" s="36"/>
      <c r="E365" s="43"/>
      <c r="F365" s="39"/>
    </row>
    <row r="366" spans="2:6" ht="20.100000000000001" customHeight="1">
      <c r="B366" s="36"/>
      <c r="E366" s="43"/>
      <c r="F366" s="39"/>
    </row>
    <row r="367" spans="2:6" ht="20.100000000000001" customHeight="1">
      <c r="B367" s="36"/>
      <c r="E367" s="43"/>
      <c r="F367" s="39"/>
    </row>
    <row r="368" spans="2:6" ht="20.100000000000001" customHeight="1">
      <c r="B368" s="36"/>
      <c r="E368" s="43"/>
      <c r="F368" s="39"/>
    </row>
    <row r="369" spans="2:9" ht="20.100000000000001" customHeight="1">
      <c r="B369" s="36"/>
      <c r="E369" s="43"/>
      <c r="F369" s="39"/>
    </row>
    <row r="370" spans="2:9" ht="20.100000000000001" customHeight="1">
      <c r="B370" s="36"/>
      <c r="E370" s="43"/>
      <c r="F370" s="39"/>
    </row>
    <row r="371" spans="2:9" ht="20.100000000000001" customHeight="1">
      <c r="B371" s="36"/>
      <c r="E371" s="43"/>
      <c r="F371" s="39"/>
    </row>
    <row r="372" spans="2:9" ht="20.100000000000001" customHeight="1">
      <c r="B372" s="36"/>
      <c r="E372" s="43"/>
      <c r="F372" s="39"/>
    </row>
    <row r="373" spans="2:9" ht="20.100000000000001" customHeight="1">
      <c r="B373" s="36"/>
      <c r="E373" s="43"/>
      <c r="F373" s="39"/>
    </row>
    <row r="374" spans="2:9" ht="20.100000000000001" customHeight="1">
      <c r="B374" s="36"/>
      <c r="E374" s="43"/>
      <c r="F374" s="39"/>
      <c r="G374" s="37"/>
      <c r="H374" s="37"/>
      <c r="I374" s="37"/>
    </row>
    <row r="375" spans="2:9" ht="20.100000000000001" customHeight="1">
      <c r="B375" s="36"/>
      <c r="E375" s="43"/>
      <c r="F375" s="39"/>
      <c r="G375" s="37"/>
      <c r="H375" s="37"/>
      <c r="I375" s="37"/>
    </row>
    <row r="376" spans="2:9" ht="20.100000000000001" customHeight="1">
      <c r="B376" s="36"/>
      <c r="F376" s="39"/>
    </row>
    <row r="377" spans="2:9" ht="20.100000000000001" customHeight="1">
      <c r="B377" s="36"/>
      <c r="F377" s="39"/>
    </row>
    <row r="378" spans="2:9" ht="20.100000000000001" customHeight="1">
      <c r="B378" s="36"/>
      <c r="F378" s="39"/>
    </row>
    <row r="379" spans="2:9" ht="20.100000000000001" customHeight="1">
      <c r="B379" s="36"/>
      <c r="F379" s="39"/>
    </row>
    <row r="380" spans="2:9" ht="20.100000000000001" customHeight="1">
      <c r="B380" s="36"/>
      <c r="F380" s="39"/>
    </row>
    <row r="381" spans="2:9" ht="20.100000000000001" customHeight="1">
      <c r="B381" s="36"/>
      <c r="F381" s="39"/>
    </row>
    <row r="382" spans="2:9" ht="20.100000000000001" customHeight="1">
      <c r="B382" s="36"/>
      <c r="F382" s="39"/>
    </row>
    <row r="383" spans="2:9" ht="20.100000000000001" customHeight="1">
      <c r="B383" s="36"/>
      <c r="F383" s="39"/>
    </row>
    <row r="384" spans="2:9" ht="20.100000000000001" customHeight="1">
      <c r="B384" s="36"/>
      <c r="F384" s="39"/>
    </row>
    <row r="385" spans="2:6" ht="20.100000000000001" customHeight="1">
      <c r="B385" s="36"/>
      <c r="E385" s="43"/>
      <c r="F385" s="39"/>
    </row>
    <row r="386" spans="2:6" ht="20.100000000000001" customHeight="1">
      <c r="B386" s="36"/>
      <c r="E386" s="43"/>
      <c r="F386" s="39"/>
    </row>
    <row r="387" spans="2:6" ht="20.100000000000001" customHeight="1">
      <c r="B387" s="36"/>
      <c r="E387" s="43"/>
      <c r="F387" s="39"/>
    </row>
    <row r="388" spans="2:6" ht="20.100000000000001" customHeight="1">
      <c r="B388" s="36"/>
      <c r="E388" s="43"/>
      <c r="F388" s="39"/>
    </row>
    <row r="389" spans="2:6" ht="20.100000000000001" customHeight="1">
      <c r="B389" s="36"/>
      <c r="E389" s="43"/>
      <c r="F389" s="39"/>
    </row>
    <row r="390" spans="2:6" ht="20.100000000000001" customHeight="1">
      <c r="B390" s="36"/>
      <c r="E390" s="43"/>
      <c r="F390" s="39"/>
    </row>
    <row r="391" spans="2:6" ht="20.100000000000001" customHeight="1">
      <c r="B391" s="36"/>
      <c r="E391" s="43"/>
      <c r="F391" s="39"/>
    </row>
    <row r="392" spans="2:6" ht="20.100000000000001" customHeight="1">
      <c r="B392" s="36"/>
      <c r="E392" s="43"/>
      <c r="F392" s="39"/>
    </row>
    <row r="393" spans="2:6" ht="20.100000000000001" customHeight="1">
      <c r="B393" s="36"/>
      <c r="E393" s="43"/>
      <c r="F393" s="39"/>
    </row>
    <row r="394" spans="2:6" ht="20.100000000000001" customHeight="1">
      <c r="B394" s="36"/>
      <c r="E394" s="43"/>
      <c r="F394" s="39"/>
    </row>
    <row r="395" spans="2:6" ht="20.100000000000001" customHeight="1">
      <c r="B395" s="36"/>
      <c r="E395" s="43"/>
      <c r="F395" s="39"/>
    </row>
    <row r="396" spans="2:6" ht="20.100000000000001" customHeight="1">
      <c r="B396" s="36"/>
      <c r="E396" s="43"/>
      <c r="F396" s="39"/>
    </row>
    <row r="397" spans="2:6" ht="20.100000000000001" customHeight="1">
      <c r="B397" s="36"/>
      <c r="E397" s="43"/>
      <c r="F397" s="39"/>
    </row>
    <row r="398" spans="2:6" ht="20.100000000000001" customHeight="1">
      <c r="B398" s="36"/>
      <c r="E398" s="43"/>
      <c r="F398" s="39"/>
    </row>
    <row r="399" spans="2:6" ht="20.100000000000001" customHeight="1">
      <c r="B399" s="36"/>
      <c r="E399" s="43"/>
      <c r="F399" s="39"/>
    </row>
    <row r="400" spans="2:6" ht="20.100000000000001" customHeight="1">
      <c r="B400" s="36"/>
      <c r="E400" s="43"/>
      <c r="F400" s="39"/>
    </row>
    <row r="401" spans="2:9" ht="20.100000000000001" customHeight="1">
      <c r="B401" s="36"/>
      <c r="E401" s="43"/>
      <c r="F401" s="39"/>
    </row>
    <row r="402" spans="2:9" ht="20.100000000000001" customHeight="1">
      <c r="B402" s="36"/>
      <c r="E402" s="43"/>
      <c r="F402" s="39"/>
    </row>
    <row r="403" spans="2:9" ht="20.100000000000001" customHeight="1">
      <c r="B403" s="36"/>
      <c r="E403" s="43"/>
      <c r="F403" s="39"/>
    </row>
    <row r="404" spans="2:9" ht="20.100000000000001" customHeight="1">
      <c r="B404" s="36"/>
      <c r="E404" s="43"/>
      <c r="F404" s="39"/>
    </row>
    <row r="405" spans="2:9" ht="20.100000000000001" customHeight="1">
      <c r="B405" s="36"/>
      <c r="E405" s="43"/>
      <c r="F405" s="39"/>
    </row>
    <row r="406" spans="2:9" ht="20.100000000000001" customHeight="1">
      <c r="B406" s="36"/>
      <c r="E406" s="43"/>
      <c r="F406" s="39"/>
    </row>
    <row r="407" spans="2:9" ht="20.100000000000001" customHeight="1">
      <c r="B407" s="36"/>
      <c r="E407" s="43"/>
      <c r="F407" s="39"/>
    </row>
    <row r="408" spans="2:9" ht="20.100000000000001" customHeight="1">
      <c r="B408" s="36"/>
      <c r="E408" s="43"/>
      <c r="F408" s="39"/>
    </row>
    <row r="409" spans="2:9" ht="20.100000000000001" customHeight="1">
      <c r="B409" s="36"/>
      <c r="E409" s="43"/>
      <c r="F409" s="39"/>
    </row>
    <row r="410" spans="2:9" ht="20.100000000000001" customHeight="1">
      <c r="B410" s="36"/>
      <c r="E410" s="43"/>
      <c r="F410" s="39"/>
    </row>
    <row r="411" spans="2:9" ht="20.100000000000001" customHeight="1">
      <c r="B411" s="36"/>
      <c r="E411" s="43"/>
      <c r="F411" s="39"/>
    </row>
    <row r="412" spans="2:9" ht="20.100000000000001" customHeight="1">
      <c r="B412" s="36"/>
      <c r="E412" s="43"/>
      <c r="F412" s="39"/>
      <c r="G412" s="37"/>
      <c r="H412" s="37"/>
      <c r="I412" s="37"/>
    </row>
    <row r="413" spans="2:9" ht="20.100000000000001" customHeight="1">
      <c r="B413" s="36"/>
      <c r="E413" s="43"/>
      <c r="F413" s="39"/>
      <c r="G413" s="37"/>
      <c r="H413" s="37"/>
      <c r="I413" s="37"/>
    </row>
    <row r="414" spans="2:9" ht="20.100000000000001" customHeight="1">
      <c r="B414" s="36"/>
      <c r="F414" s="39"/>
    </row>
    <row r="415" spans="2:9" ht="20.100000000000001" customHeight="1">
      <c r="B415" s="36"/>
      <c r="F415" s="39"/>
    </row>
    <row r="416" spans="2:9" ht="20.100000000000001" customHeight="1">
      <c r="B416" s="36"/>
      <c r="F416" s="39"/>
    </row>
    <row r="417" spans="2:6" ht="20.100000000000001" customHeight="1">
      <c r="B417" s="36"/>
      <c r="F417" s="39"/>
    </row>
    <row r="418" spans="2:6" ht="20.100000000000001" customHeight="1">
      <c r="B418" s="36"/>
      <c r="F418" s="39"/>
    </row>
    <row r="419" spans="2:6" ht="20.100000000000001" customHeight="1">
      <c r="B419" s="36"/>
      <c r="F419" s="39"/>
    </row>
    <row r="420" spans="2:6" ht="20.100000000000001" customHeight="1">
      <c r="B420" s="36"/>
      <c r="F420" s="39"/>
    </row>
    <row r="421" spans="2:6" ht="20.100000000000001" customHeight="1">
      <c r="B421" s="36"/>
      <c r="F421" s="39"/>
    </row>
    <row r="422" spans="2:6" ht="20.100000000000001" customHeight="1">
      <c r="B422" s="36"/>
      <c r="F422" s="39"/>
    </row>
    <row r="423" spans="2:6" ht="20.100000000000001" customHeight="1">
      <c r="B423" s="36"/>
      <c r="E423" s="43"/>
      <c r="F423" s="39"/>
    </row>
    <row r="424" spans="2:6" ht="20.100000000000001" customHeight="1">
      <c r="B424" s="36"/>
      <c r="E424" s="43"/>
      <c r="F424" s="39"/>
    </row>
    <row r="425" spans="2:6" ht="20.100000000000001" customHeight="1">
      <c r="B425" s="36"/>
      <c r="E425" s="43"/>
      <c r="F425" s="39"/>
    </row>
    <row r="426" spans="2:6" ht="20.100000000000001" customHeight="1">
      <c r="B426" s="36"/>
      <c r="E426" s="43"/>
      <c r="F426" s="39"/>
    </row>
    <row r="427" spans="2:6" ht="20.100000000000001" customHeight="1">
      <c r="B427" s="36"/>
      <c r="E427" s="43"/>
      <c r="F427" s="39"/>
    </row>
    <row r="428" spans="2:6" ht="20.100000000000001" customHeight="1">
      <c r="B428" s="36"/>
      <c r="E428" s="43"/>
      <c r="F428" s="39"/>
    </row>
    <row r="429" spans="2:6" ht="20.100000000000001" customHeight="1">
      <c r="B429" s="36"/>
      <c r="E429" s="43"/>
      <c r="F429" s="39"/>
    </row>
    <row r="430" spans="2:6" ht="20.100000000000001" customHeight="1">
      <c r="B430" s="36"/>
      <c r="E430" s="43"/>
      <c r="F430" s="39"/>
    </row>
    <row r="431" spans="2:6" ht="20.100000000000001" customHeight="1">
      <c r="B431" s="36"/>
      <c r="E431" s="43"/>
      <c r="F431" s="39"/>
    </row>
    <row r="432" spans="2:6" ht="20.100000000000001" customHeight="1">
      <c r="B432" s="36"/>
      <c r="E432" s="43"/>
      <c r="F432" s="39"/>
    </row>
    <row r="433" spans="2:6" ht="20.100000000000001" customHeight="1">
      <c r="B433" s="36"/>
      <c r="E433" s="43"/>
      <c r="F433" s="39"/>
    </row>
    <row r="434" spans="2:6" ht="20.100000000000001" customHeight="1">
      <c r="B434" s="36"/>
      <c r="E434" s="43"/>
      <c r="F434" s="39"/>
    </row>
    <row r="435" spans="2:6" ht="20.100000000000001" customHeight="1">
      <c r="B435" s="36"/>
      <c r="E435" s="43"/>
      <c r="F435" s="39"/>
    </row>
    <row r="436" spans="2:6" ht="20.100000000000001" customHeight="1">
      <c r="B436" s="36"/>
      <c r="E436" s="43"/>
      <c r="F436" s="39"/>
    </row>
    <row r="437" spans="2:6" ht="20.100000000000001" customHeight="1">
      <c r="B437" s="36"/>
      <c r="E437" s="43"/>
      <c r="F437" s="39"/>
    </row>
    <row r="438" spans="2:6" ht="20.100000000000001" customHeight="1">
      <c r="B438" s="36"/>
      <c r="E438" s="43"/>
      <c r="F438" s="39"/>
    </row>
    <row r="439" spans="2:6" ht="20.100000000000001" customHeight="1">
      <c r="B439" s="36"/>
      <c r="E439" s="43"/>
      <c r="F439" s="39"/>
    </row>
    <row r="440" spans="2:6" ht="20.100000000000001" customHeight="1">
      <c r="B440" s="36"/>
      <c r="E440" s="43"/>
      <c r="F440" s="39"/>
    </row>
    <row r="441" spans="2:6" ht="20.100000000000001" customHeight="1">
      <c r="B441" s="36"/>
      <c r="E441" s="43"/>
      <c r="F441" s="39"/>
    </row>
    <row r="442" spans="2:6" ht="20.100000000000001" customHeight="1">
      <c r="B442" s="36"/>
      <c r="E442" s="43"/>
      <c r="F442" s="39"/>
    </row>
    <row r="443" spans="2:6" ht="20.100000000000001" customHeight="1">
      <c r="B443" s="36"/>
      <c r="E443" s="43"/>
      <c r="F443" s="39"/>
    </row>
    <row r="444" spans="2:6" ht="20.100000000000001" customHeight="1">
      <c r="B444" s="36"/>
      <c r="E444" s="43"/>
      <c r="F444" s="39"/>
    </row>
    <row r="445" spans="2:6" ht="20.100000000000001" customHeight="1">
      <c r="B445" s="36"/>
      <c r="E445" s="43"/>
      <c r="F445" s="39"/>
    </row>
    <row r="446" spans="2:6" ht="20.100000000000001" customHeight="1">
      <c r="B446" s="36"/>
      <c r="E446" s="43"/>
      <c r="F446" s="39"/>
    </row>
    <row r="447" spans="2:6" ht="20.100000000000001" customHeight="1">
      <c r="B447" s="36"/>
      <c r="E447" s="43"/>
      <c r="F447" s="39"/>
    </row>
    <row r="448" spans="2:6" ht="20.100000000000001" customHeight="1">
      <c r="B448" s="36"/>
      <c r="E448" s="43"/>
      <c r="F448" s="39"/>
    </row>
    <row r="449" spans="2:9" ht="20.100000000000001" customHeight="1">
      <c r="B449" s="36"/>
      <c r="E449" s="43"/>
      <c r="F449" s="39"/>
    </row>
    <row r="450" spans="2:9" ht="20.100000000000001" customHeight="1">
      <c r="B450" s="36"/>
      <c r="E450" s="43"/>
      <c r="F450" s="39"/>
      <c r="G450" s="37"/>
      <c r="H450" s="37"/>
      <c r="I450" s="37"/>
    </row>
    <row r="451" spans="2:9" ht="20.100000000000001" customHeight="1">
      <c r="B451" s="36"/>
      <c r="E451" s="43"/>
      <c r="F451" s="39"/>
      <c r="G451" s="37"/>
      <c r="H451" s="37"/>
      <c r="I451" s="37"/>
    </row>
    <row r="452" spans="2:9" ht="20.100000000000001" customHeight="1">
      <c r="B452" s="36"/>
      <c r="F452" s="39"/>
    </row>
    <row r="453" spans="2:9" ht="20.100000000000001" customHeight="1">
      <c r="B453" s="36"/>
      <c r="F453" s="39"/>
    </row>
    <row r="454" spans="2:9" ht="20.100000000000001" customHeight="1">
      <c r="B454" s="36"/>
      <c r="F454" s="39"/>
    </row>
    <row r="455" spans="2:9" ht="20.100000000000001" customHeight="1">
      <c r="B455" s="36"/>
      <c r="F455" s="39"/>
    </row>
    <row r="456" spans="2:9" ht="20.100000000000001" customHeight="1">
      <c r="B456" s="36"/>
      <c r="F456" s="39"/>
    </row>
    <row r="457" spans="2:9" ht="20.100000000000001" customHeight="1">
      <c r="B457" s="36"/>
      <c r="F457" s="39"/>
    </row>
    <row r="458" spans="2:9" ht="20.100000000000001" customHeight="1">
      <c r="B458" s="36"/>
      <c r="F458" s="39"/>
    </row>
    <row r="459" spans="2:9" ht="20.100000000000001" customHeight="1">
      <c r="B459" s="36"/>
      <c r="F459" s="39"/>
    </row>
    <row r="460" spans="2:9" ht="20.100000000000001" customHeight="1">
      <c r="B460" s="36"/>
      <c r="F460" s="39"/>
    </row>
    <row r="461" spans="2:9" ht="20.100000000000001" customHeight="1">
      <c r="B461" s="36"/>
      <c r="E461" s="43"/>
      <c r="F461" s="39"/>
    </row>
    <row r="462" spans="2:9" ht="20.100000000000001" customHeight="1">
      <c r="B462" s="36"/>
      <c r="E462" s="43"/>
      <c r="F462" s="39"/>
    </row>
    <row r="463" spans="2:9" ht="20.100000000000001" customHeight="1">
      <c r="B463" s="36"/>
      <c r="E463" s="43"/>
      <c r="F463" s="39"/>
    </row>
    <row r="464" spans="2:9" ht="20.100000000000001" customHeight="1">
      <c r="B464" s="36"/>
      <c r="E464" s="43"/>
      <c r="F464" s="39"/>
    </row>
    <row r="465" spans="2:6" ht="20.100000000000001" customHeight="1">
      <c r="B465" s="36"/>
      <c r="E465" s="43"/>
      <c r="F465" s="39"/>
    </row>
    <row r="466" spans="2:6" ht="20.100000000000001" customHeight="1">
      <c r="B466" s="36"/>
      <c r="E466" s="43"/>
      <c r="F466" s="39"/>
    </row>
    <row r="467" spans="2:6" ht="20.100000000000001" customHeight="1">
      <c r="B467" s="36"/>
      <c r="E467" s="43"/>
      <c r="F467" s="39"/>
    </row>
    <row r="468" spans="2:6" ht="20.100000000000001" customHeight="1">
      <c r="B468" s="36"/>
      <c r="E468" s="43"/>
      <c r="F468" s="39"/>
    </row>
    <row r="469" spans="2:6" ht="20.100000000000001" customHeight="1">
      <c r="B469" s="36"/>
      <c r="E469" s="43"/>
      <c r="F469" s="39"/>
    </row>
    <row r="470" spans="2:6" ht="20.100000000000001" customHeight="1">
      <c r="B470" s="36"/>
      <c r="E470" s="43"/>
      <c r="F470" s="39"/>
    </row>
    <row r="471" spans="2:6" ht="20.100000000000001" customHeight="1">
      <c r="B471" s="36"/>
      <c r="E471" s="43"/>
      <c r="F471" s="39"/>
    </row>
    <row r="472" spans="2:6" ht="20.100000000000001" customHeight="1">
      <c r="B472" s="36"/>
      <c r="E472" s="43"/>
      <c r="F472" s="39"/>
    </row>
    <row r="473" spans="2:6" ht="20.100000000000001" customHeight="1">
      <c r="B473" s="36"/>
      <c r="E473" s="43"/>
      <c r="F473" s="39"/>
    </row>
    <row r="474" spans="2:6" ht="20.100000000000001" customHeight="1">
      <c r="B474" s="36"/>
      <c r="E474" s="43"/>
      <c r="F474" s="39"/>
    </row>
    <row r="475" spans="2:6" ht="20.100000000000001" customHeight="1">
      <c r="B475" s="36"/>
      <c r="E475" s="43"/>
      <c r="F475" s="39"/>
    </row>
    <row r="476" spans="2:6" ht="20.100000000000001" customHeight="1">
      <c r="B476" s="36"/>
      <c r="E476" s="43"/>
      <c r="F476" s="39"/>
    </row>
    <row r="477" spans="2:6" ht="20.100000000000001" customHeight="1">
      <c r="B477" s="36"/>
      <c r="E477" s="43"/>
      <c r="F477" s="39"/>
    </row>
    <row r="478" spans="2:6" ht="20.100000000000001" customHeight="1">
      <c r="B478" s="36"/>
      <c r="E478" s="43"/>
      <c r="F478" s="39"/>
    </row>
    <row r="479" spans="2:6" ht="20.100000000000001" customHeight="1">
      <c r="B479" s="36"/>
      <c r="E479" s="43"/>
      <c r="F479" s="39"/>
    </row>
    <row r="480" spans="2:6" ht="20.100000000000001" customHeight="1">
      <c r="B480" s="36"/>
      <c r="E480" s="43"/>
      <c r="F480" s="39"/>
    </row>
    <row r="481" spans="2:9" ht="20.100000000000001" customHeight="1">
      <c r="B481" s="36"/>
      <c r="E481" s="43"/>
      <c r="F481" s="39"/>
    </row>
    <row r="482" spans="2:9" ht="20.100000000000001" customHeight="1">
      <c r="B482" s="36"/>
      <c r="E482" s="43"/>
      <c r="F482" s="39"/>
    </row>
    <row r="483" spans="2:9" ht="20.100000000000001" customHeight="1">
      <c r="B483" s="36"/>
      <c r="E483" s="43"/>
      <c r="F483" s="39"/>
    </row>
    <row r="484" spans="2:9" ht="20.100000000000001" customHeight="1">
      <c r="B484" s="36"/>
      <c r="E484" s="43"/>
      <c r="F484" s="39"/>
    </row>
    <row r="485" spans="2:9" ht="20.100000000000001" customHeight="1">
      <c r="B485" s="36"/>
      <c r="E485" s="43"/>
      <c r="F485" s="39"/>
    </row>
    <row r="486" spans="2:9" ht="20.100000000000001" customHeight="1">
      <c r="B486" s="36"/>
      <c r="E486" s="43"/>
      <c r="F486" s="39"/>
    </row>
    <row r="487" spans="2:9" ht="20.100000000000001" customHeight="1">
      <c r="B487" s="36"/>
      <c r="E487" s="43"/>
      <c r="F487" s="39"/>
    </row>
    <row r="488" spans="2:9" ht="20.100000000000001" customHeight="1">
      <c r="B488" s="36"/>
      <c r="E488" s="43"/>
      <c r="F488" s="39"/>
      <c r="G488" s="37"/>
      <c r="H488" s="37"/>
      <c r="I488" s="37"/>
    </row>
    <row r="489" spans="2:9" ht="20.100000000000001" customHeight="1">
      <c r="B489" s="36"/>
      <c r="E489" s="43"/>
      <c r="F489" s="39"/>
      <c r="G489" s="37"/>
      <c r="H489" s="37"/>
      <c r="I489" s="37"/>
    </row>
    <row r="490" spans="2:9" ht="20.100000000000001" customHeight="1">
      <c r="B490" s="36"/>
      <c r="F490" s="39"/>
    </row>
    <row r="491" spans="2:9" ht="20.100000000000001" customHeight="1">
      <c r="B491" s="36"/>
      <c r="F491" s="39"/>
    </row>
    <row r="492" spans="2:9" ht="20.100000000000001" customHeight="1">
      <c r="B492" s="36"/>
      <c r="F492" s="39"/>
    </row>
    <row r="493" spans="2:9" ht="20.100000000000001" customHeight="1">
      <c r="B493" s="36"/>
      <c r="F493" s="39"/>
    </row>
    <row r="494" spans="2:9" ht="20.100000000000001" customHeight="1">
      <c r="B494" s="36"/>
      <c r="F494" s="39"/>
    </row>
    <row r="495" spans="2:9" ht="20.100000000000001" customHeight="1">
      <c r="B495" s="36"/>
      <c r="F495" s="39"/>
    </row>
    <row r="496" spans="2:9" ht="20.100000000000001" customHeight="1">
      <c r="B496" s="36"/>
      <c r="F496" s="39"/>
    </row>
    <row r="497" spans="2:6" ht="20.100000000000001" customHeight="1">
      <c r="B497" s="36"/>
      <c r="F497" s="39"/>
    </row>
    <row r="498" spans="2:6" ht="20.100000000000001" customHeight="1">
      <c r="B498" s="36"/>
      <c r="F498" s="39"/>
    </row>
    <row r="499" spans="2:6" ht="20.100000000000001" customHeight="1">
      <c r="B499" s="36"/>
      <c r="E499" s="43"/>
      <c r="F499" s="39"/>
    </row>
    <row r="500" spans="2:6" ht="20.100000000000001" customHeight="1">
      <c r="B500" s="36"/>
      <c r="E500" s="43"/>
      <c r="F500" s="39"/>
    </row>
    <row r="501" spans="2:6" ht="20.100000000000001" customHeight="1">
      <c r="B501" s="36"/>
      <c r="E501" s="43"/>
      <c r="F501" s="39"/>
    </row>
    <row r="502" spans="2:6" ht="20.100000000000001" customHeight="1">
      <c r="B502" s="36"/>
      <c r="E502" s="43"/>
      <c r="F502" s="39"/>
    </row>
    <row r="503" spans="2:6" ht="20.100000000000001" customHeight="1">
      <c r="B503" s="36"/>
      <c r="E503" s="43"/>
      <c r="F503" s="39"/>
    </row>
    <row r="504" spans="2:6" ht="20.100000000000001" customHeight="1">
      <c r="B504" s="36"/>
      <c r="E504" s="43"/>
      <c r="F504" s="39"/>
    </row>
    <row r="505" spans="2:6" ht="20.100000000000001" customHeight="1">
      <c r="B505" s="36"/>
      <c r="E505" s="43"/>
      <c r="F505" s="39"/>
    </row>
    <row r="506" spans="2:6" ht="20.100000000000001" customHeight="1">
      <c r="B506" s="36"/>
      <c r="E506" s="43"/>
      <c r="F506" s="39"/>
    </row>
    <row r="507" spans="2:6" ht="20.100000000000001" customHeight="1">
      <c r="B507" s="36"/>
      <c r="E507" s="43"/>
      <c r="F507" s="39"/>
    </row>
    <row r="508" spans="2:6" ht="20.100000000000001" customHeight="1">
      <c r="B508" s="36"/>
      <c r="E508" s="43"/>
      <c r="F508" s="39"/>
    </row>
    <row r="509" spans="2:6" ht="20.100000000000001" customHeight="1">
      <c r="B509" s="36"/>
      <c r="E509" s="43"/>
      <c r="F509" s="39"/>
    </row>
    <row r="510" spans="2:6" ht="20.100000000000001" customHeight="1">
      <c r="B510" s="36"/>
      <c r="E510" s="43"/>
      <c r="F510" s="39"/>
    </row>
    <row r="511" spans="2:6" ht="20.100000000000001" customHeight="1">
      <c r="B511" s="36"/>
      <c r="E511" s="43"/>
      <c r="F511" s="39"/>
    </row>
    <row r="512" spans="2:6" ht="20.100000000000001" customHeight="1">
      <c r="B512" s="36"/>
      <c r="E512" s="43"/>
      <c r="F512" s="39"/>
    </row>
    <row r="513" spans="2:9" ht="20.100000000000001" customHeight="1">
      <c r="B513" s="36"/>
      <c r="E513" s="43"/>
      <c r="F513" s="39"/>
    </row>
    <row r="514" spans="2:9" ht="20.100000000000001" customHeight="1">
      <c r="B514" s="36"/>
      <c r="E514" s="43"/>
      <c r="F514" s="39"/>
    </row>
    <row r="515" spans="2:9" ht="20.100000000000001" customHeight="1">
      <c r="B515" s="36"/>
      <c r="E515" s="43"/>
      <c r="F515" s="39"/>
    </row>
    <row r="516" spans="2:9" ht="20.100000000000001" customHeight="1">
      <c r="B516" s="36"/>
      <c r="E516" s="43"/>
      <c r="F516" s="39"/>
    </row>
    <row r="517" spans="2:9" ht="20.100000000000001" customHeight="1">
      <c r="B517" s="36"/>
      <c r="E517" s="43"/>
      <c r="F517" s="39"/>
    </row>
    <row r="518" spans="2:9" ht="20.100000000000001" customHeight="1">
      <c r="B518" s="36"/>
      <c r="E518" s="43"/>
      <c r="F518" s="39"/>
    </row>
    <row r="519" spans="2:9" ht="20.100000000000001" customHeight="1">
      <c r="B519" s="36"/>
      <c r="E519" s="43"/>
      <c r="F519" s="39"/>
    </row>
    <row r="520" spans="2:9" ht="20.100000000000001" customHeight="1">
      <c r="B520" s="36"/>
      <c r="E520" s="43"/>
      <c r="F520" s="39"/>
    </row>
    <row r="521" spans="2:9" ht="20.100000000000001" customHeight="1">
      <c r="B521" s="36"/>
      <c r="E521" s="43"/>
      <c r="F521" s="39"/>
    </row>
    <row r="522" spans="2:9" ht="20.100000000000001" customHeight="1">
      <c r="B522" s="36"/>
      <c r="E522" s="43"/>
      <c r="F522" s="39"/>
    </row>
    <row r="523" spans="2:9" ht="20.100000000000001" customHeight="1">
      <c r="B523" s="36"/>
      <c r="E523" s="43"/>
      <c r="F523" s="39"/>
    </row>
    <row r="524" spans="2:9" ht="20.100000000000001" customHeight="1">
      <c r="B524" s="36"/>
      <c r="E524" s="43"/>
      <c r="F524" s="39"/>
    </row>
    <row r="525" spans="2:9" ht="20.100000000000001" customHeight="1">
      <c r="B525" s="36"/>
      <c r="E525" s="43"/>
      <c r="F525" s="39"/>
    </row>
    <row r="526" spans="2:9" ht="20.100000000000001" customHeight="1">
      <c r="B526" s="36"/>
      <c r="E526" s="43"/>
      <c r="F526" s="39"/>
      <c r="G526" s="37"/>
      <c r="H526" s="37"/>
      <c r="I526" s="37"/>
    </row>
    <row r="527" spans="2:9" ht="20.100000000000001" customHeight="1">
      <c r="B527" s="36"/>
      <c r="E527" s="43"/>
      <c r="F527" s="39"/>
      <c r="G527" s="37"/>
      <c r="H527" s="37"/>
      <c r="I527" s="37"/>
    </row>
    <row r="528" spans="2:9" ht="20.100000000000001" customHeight="1">
      <c r="B528" s="36"/>
      <c r="F528" s="39"/>
    </row>
    <row r="529" spans="2:6" ht="20.100000000000001" customHeight="1">
      <c r="B529" s="36"/>
      <c r="F529" s="39"/>
    </row>
    <row r="530" spans="2:6" ht="20.100000000000001" customHeight="1">
      <c r="B530" s="36"/>
      <c r="F530" s="39"/>
    </row>
    <row r="531" spans="2:6" ht="20.100000000000001" customHeight="1">
      <c r="B531" s="36"/>
      <c r="F531" s="39"/>
    </row>
    <row r="532" spans="2:6" ht="20.100000000000001" customHeight="1">
      <c r="B532" s="36"/>
      <c r="F532" s="39"/>
    </row>
    <row r="533" spans="2:6" ht="20.100000000000001" customHeight="1">
      <c r="B533" s="36"/>
      <c r="F533" s="39"/>
    </row>
    <row r="534" spans="2:6" ht="20.100000000000001" customHeight="1">
      <c r="B534" s="36"/>
      <c r="F534" s="39"/>
    </row>
    <row r="535" spans="2:6" ht="20.100000000000001" customHeight="1">
      <c r="B535" s="36"/>
      <c r="F535" s="39"/>
    </row>
    <row r="536" spans="2:6" ht="20.100000000000001" customHeight="1">
      <c r="B536" s="36"/>
      <c r="F536" s="39"/>
    </row>
    <row r="537" spans="2:6" ht="20.100000000000001" customHeight="1">
      <c r="B537" s="36"/>
      <c r="E537" s="43"/>
      <c r="F537" s="39"/>
    </row>
    <row r="538" spans="2:6" ht="20.100000000000001" customHeight="1">
      <c r="B538" s="36"/>
      <c r="E538" s="43"/>
      <c r="F538" s="39"/>
    </row>
    <row r="539" spans="2:6" ht="20.100000000000001" customHeight="1">
      <c r="B539" s="36"/>
      <c r="E539" s="43"/>
      <c r="F539" s="39"/>
    </row>
    <row r="540" spans="2:6" ht="20.100000000000001" customHeight="1">
      <c r="B540" s="36"/>
      <c r="E540" s="43"/>
      <c r="F540" s="39"/>
    </row>
    <row r="541" spans="2:6" ht="20.100000000000001" customHeight="1">
      <c r="B541" s="36"/>
      <c r="E541" s="43"/>
      <c r="F541" s="39"/>
    </row>
    <row r="542" spans="2:6" ht="20.100000000000001" customHeight="1">
      <c r="B542" s="36"/>
      <c r="E542" s="43"/>
      <c r="F542" s="39"/>
    </row>
    <row r="543" spans="2:6" ht="20.100000000000001" customHeight="1">
      <c r="B543" s="36"/>
      <c r="E543" s="43"/>
      <c r="F543" s="39"/>
    </row>
    <row r="544" spans="2:6" ht="20.100000000000001" customHeight="1">
      <c r="B544" s="36"/>
      <c r="E544" s="43"/>
      <c r="F544" s="39"/>
    </row>
    <row r="545" spans="2:6" ht="20.100000000000001" customHeight="1">
      <c r="B545" s="36"/>
      <c r="E545" s="43"/>
      <c r="F545" s="39"/>
    </row>
    <row r="546" spans="2:6" ht="20.100000000000001" customHeight="1">
      <c r="B546" s="36"/>
      <c r="E546" s="43"/>
      <c r="F546" s="39"/>
    </row>
    <row r="547" spans="2:6" ht="20.100000000000001" customHeight="1">
      <c r="B547" s="36"/>
      <c r="E547" s="43"/>
      <c r="F547" s="39"/>
    </row>
    <row r="548" spans="2:6" ht="20.100000000000001" customHeight="1">
      <c r="B548" s="36"/>
      <c r="E548" s="43"/>
      <c r="F548" s="39"/>
    </row>
    <row r="549" spans="2:6" ht="20.100000000000001" customHeight="1">
      <c r="B549" s="36"/>
      <c r="E549" s="43"/>
      <c r="F549" s="39"/>
    </row>
    <row r="550" spans="2:6" ht="20.100000000000001" customHeight="1">
      <c r="B550" s="36"/>
      <c r="E550" s="43"/>
      <c r="F550" s="39"/>
    </row>
    <row r="551" spans="2:6" ht="20.100000000000001" customHeight="1">
      <c r="B551" s="36"/>
      <c r="E551" s="43"/>
      <c r="F551" s="39"/>
    </row>
    <row r="552" spans="2:6" ht="20.100000000000001" customHeight="1">
      <c r="B552" s="36"/>
      <c r="E552" s="43"/>
      <c r="F552" s="39"/>
    </row>
    <row r="553" spans="2:6" ht="20.100000000000001" customHeight="1">
      <c r="B553" s="36"/>
      <c r="E553" s="43"/>
      <c r="F553" s="39"/>
    </row>
    <row r="554" spans="2:6" ht="20.100000000000001" customHeight="1">
      <c r="B554" s="36"/>
      <c r="E554" s="43"/>
      <c r="F554" s="39"/>
    </row>
    <row r="555" spans="2:6" ht="20.100000000000001" customHeight="1">
      <c r="B555" s="36"/>
      <c r="E555" s="43"/>
      <c r="F555" s="39"/>
    </row>
    <row r="556" spans="2:6" ht="20.100000000000001" customHeight="1">
      <c r="B556" s="36"/>
      <c r="E556" s="43"/>
      <c r="F556" s="39"/>
    </row>
    <row r="557" spans="2:6" ht="20.100000000000001" customHeight="1">
      <c r="B557" s="36"/>
      <c r="E557" s="43"/>
      <c r="F557" s="39"/>
    </row>
    <row r="558" spans="2:6" ht="20.100000000000001" customHeight="1">
      <c r="B558" s="36"/>
      <c r="E558" s="43"/>
      <c r="F558" s="39"/>
    </row>
    <row r="559" spans="2:6" ht="20.100000000000001" customHeight="1">
      <c r="B559" s="36"/>
      <c r="E559" s="43"/>
      <c r="F559" s="39"/>
    </row>
    <row r="560" spans="2:6" ht="20.100000000000001" customHeight="1">
      <c r="B560" s="36"/>
      <c r="E560" s="43"/>
      <c r="F560" s="39"/>
    </row>
    <row r="561" spans="2:9" ht="20.100000000000001" customHeight="1">
      <c r="B561" s="36"/>
      <c r="E561" s="43"/>
      <c r="F561" s="39"/>
    </row>
    <row r="562" spans="2:9" ht="20.100000000000001" customHeight="1">
      <c r="B562" s="36"/>
      <c r="E562" s="43"/>
      <c r="F562" s="39"/>
    </row>
    <row r="563" spans="2:9" ht="20.100000000000001" customHeight="1">
      <c r="B563" s="36"/>
      <c r="E563" s="43"/>
      <c r="F563" s="39"/>
    </row>
    <row r="564" spans="2:9" ht="20.100000000000001" customHeight="1">
      <c r="B564" s="36"/>
      <c r="E564" s="43"/>
      <c r="F564" s="39"/>
      <c r="G564" s="37"/>
      <c r="H564" s="37"/>
      <c r="I564" s="37"/>
    </row>
    <row r="565" spans="2:9" ht="20.100000000000001" customHeight="1">
      <c r="B565" s="36"/>
      <c r="E565" s="43"/>
      <c r="F565" s="39"/>
      <c r="G565" s="37"/>
      <c r="H565" s="37"/>
      <c r="I565" s="37"/>
    </row>
    <row r="566" spans="2:9" ht="20.100000000000001" customHeight="1">
      <c r="B566" s="36"/>
      <c r="F566" s="39"/>
    </row>
    <row r="567" spans="2:9" ht="20.100000000000001" customHeight="1">
      <c r="B567" s="36"/>
      <c r="F567" s="39"/>
    </row>
    <row r="568" spans="2:9" ht="20.100000000000001" customHeight="1">
      <c r="B568" s="36"/>
      <c r="F568" s="39"/>
    </row>
    <row r="569" spans="2:9" ht="20.100000000000001" customHeight="1">
      <c r="B569" s="36"/>
      <c r="F569" s="39"/>
    </row>
    <row r="570" spans="2:9" ht="20.100000000000001" customHeight="1">
      <c r="B570" s="36"/>
      <c r="F570" s="39"/>
    </row>
    <row r="571" spans="2:9" ht="20.100000000000001" customHeight="1">
      <c r="B571" s="36"/>
      <c r="F571" s="39"/>
    </row>
    <row r="572" spans="2:9" ht="20.100000000000001" customHeight="1">
      <c r="B572" s="36"/>
      <c r="F572" s="39"/>
    </row>
    <row r="573" spans="2:9" ht="20.100000000000001" customHeight="1">
      <c r="B573" s="36"/>
      <c r="F573" s="39"/>
    </row>
    <row r="574" spans="2:9" ht="20.100000000000001" customHeight="1">
      <c r="B574" s="36"/>
      <c r="F574" s="39"/>
    </row>
    <row r="575" spans="2:9" ht="20.100000000000001" customHeight="1">
      <c r="B575" s="36"/>
      <c r="E575" s="43"/>
      <c r="F575" s="39"/>
    </row>
    <row r="576" spans="2:9" ht="20.100000000000001" customHeight="1">
      <c r="B576" s="36"/>
      <c r="E576" s="43"/>
      <c r="F576" s="39"/>
    </row>
    <row r="577" spans="2:6" ht="20.100000000000001" customHeight="1">
      <c r="B577" s="36"/>
      <c r="E577" s="43"/>
      <c r="F577" s="39"/>
    </row>
    <row r="578" spans="2:6" ht="20.100000000000001" customHeight="1">
      <c r="B578" s="36"/>
      <c r="E578" s="43"/>
      <c r="F578" s="39"/>
    </row>
    <row r="579" spans="2:6" ht="20.100000000000001" customHeight="1">
      <c r="B579" s="36"/>
      <c r="E579" s="43"/>
      <c r="F579" s="39"/>
    </row>
    <row r="580" spans="2:6" ht="20.100000000000001" customHeight="1">
      <c r="B580" s="36"/>
      <c r="E580" s="43"/>
      <c r="F580" s="39"/>
    </row>
    <row r="581" spans="2:6" ht="20.100000000000001" customHeight="1">
      <c r="B581" s="36"/>
      <c r="E581" s="43"/>
      <c r="F581" s="39"/>
    </row>
    <row r="582" spans="2:6" ht="20.100000000000001" customHeight="1">
      <c r="B582" s="36"/>
      <c r="E582" s="43"/>
      <c r="F582" s="39"/>
    </row>
    <row r="583" spans="2:6" ht="20.100000000000001" customHeight="1">
      <c r="B583" s="36"/>
      <c r="E583" s="43"/>
      <c r="F583" s="39"/>
    </row>
    <row r="584" spans="2:6" ht="20.100000000000001" customHeight="1">
      <c r="B584" s="36"/>
      <c r="E584" s="43"/>
      <c r="F584" s="39"/>
    </row>
    <row r="585" spans="2:6" ht="20.100000000000001" customHeight="1">
      <c r="B585" s="36"/>
      <c r="E585" s="43"/>
      <c r="F585" s="39"/>
    </row>
    <row r="586" spans="2:6" ht="20.100000000000001" customHeight="1">
      <c r="B586" s="36"/>
      <c r="E586" s="43"/>
      <c r="F586" s="39"/>
    </row>
    <row r="587" spans="2:6" ht="20.100000000000001" customHeight="1">
      <c r="B587" s="36"/>
      <c r="E587" s="43"/>
      <c r="F587" s="39"/>
    </row>
    <row r="588" spans="2:6" ht="20.100000000000001" customHeight="1">
      <c r="B588" s="36"/>
      <c r="E588" s="43"/>
      <c r="F588" s="39"/>
    </row>
    <row r="589" spans="2:6" ht="20.100000000000001" customHeight="1">
      <c r="B589" s="36"/>
      <c r="E589" s="43"/>
      <c r="F589" s="39"/>
    </row>
    <row r="590" spans="2:6" ht="20.100000000000001" customHeight="1">
      <c r="B590" s="36"/>
      <c r="E590" s="43"/>
      <c r="F590" s="39"/>
    </row>
    <row r="591" spans="2:6" ht="20.100000000000001" customHeight="1">
      <c r="B591" s="36"/>
      <c r="E591" s="43"/>
      <c r="F591" s="39"/>
    </row>
    <row r="592" spans="2:6" ht="20.100000000000001" customHeight="1">
      <c r="B592" s="36"/>
      <c r="E592" s="43"/>
      <c r="F592" s="39"/>
    </row>
    <row r="593" spans="2:9" ht="20.100000000000001" customHeight="1">
      <c r="B593" s="36"/>
      <c r="E593" s="43"/>
      <c r="F593" s="39"/>
    </row>
    <row r="594" spans="2:9" ht="20.100000000000001" customHeight="1">
      <c r="B594" s="36"/>
      <c r="E594" s="43"/>
      <c r="F594" s="39"/>
    </row>
    <row r="595" spans="2:9" ht="20.100000000000001" customHeight="1">
      <c r="B595" s="36"/>
      <c r="E595" s="43"/>
      <c r="F595" s="39"/>
    </row>
    <row r="596" spans="2:9" ht="20.100000000000001" customHeight="1">
      <c r="B596" s="36"/>
      <c r="E596" s="43"/>
      <c r="F596" s="39"/>
    </row>
    <row r="597" spans="2:9" ht="20.100000000000001" customHeight="1">
      <c r="B597" s="36"/>
      <c r="E597" s="43"/>
      <c r="F597" s="39"/>
    </row>
    <row r="598" spans="2:9" ht="20.100000000000001" customHeight="1">
      <c r="B598" s="36"/>
      <c r="E598" s="43"/>
      <c r="F598" s="39"/>
    </row>
    <row r="599" spans="2:9" ht="20.100000000000001" customHeight="1">
      <c r="B599" s="36"/>
      <c r="E599" s="43"/>
      <c r="F599" s="39"/>
    </row>
    <row r="600" spans="2:9" ht="20.100000000000001" customHeight="1">
      <c r="B600" s="36"/>
      <c r="E600" s="43"/>
      <c r="F600" s="39"/>
    </row>
    <row r="601" spans="2:9" ht="20.100000000000001" customHeight="1">
      <c r="B601" s="36"/>
      <c r="E601" s="43"/>
      <c r="F601" s="39"/>
    </row>
    <row r="602" spans="2:9" ht="20.100000000000001" customHeight="1">
      <c r="B602" s="36"/>
      <c r="E602" s="43"/>
      <c r="F602" s="39"/>
      <c r="G602" s="37"/>
      <c r="H602" s="37"/>
      <c r="I602" s="37"/>
    </row>
    <row r="603" spans="2:9" ht="20.100000000000001" customHeight="1">
      <c r="B603" s="36"/>
      <c r="E603" s="43"/>
      <c r="F603" s="39"/>
      <c r="G603" s="37"/>
      <c r="H603" s="37"/>
      <c r="I603" s="37"/>
    </row>
    <row r="604" spans="2:9" ht="20.100000000000001" customHeight="1">
      <c r="B604" s="36"/>
      <c r="F604" s="39"/>
    </row>
    <row r="605" spans="2:9" ht="20.100000000000001" customHeight="1">
      <c r="B605" s="36"/>
      <c r="F605" s="39"/>
    </row>
    <row r="606" spans="2:9" ht="20.100000000000001" customHeight="1">
      <c r="B606" s="36"/>
      <c r="F606" s="39"/>
    </row>
    <row r="607" spans="2:9" ht="20.100000000000001" customHeight="1">
      <c r="B607" s="36"/>
      <c r="F607" s="39"/>
    </row>
    <row r="608" spans="2:9" ht="20.100000000000001" customHeight="1">
      <c r="B608" s="36"/>
      <c r="F608" s="39"/>
    </row>
    <row r="609" spans="2:6" ht="20.100000000000001" customHeight="1">
      <c r="B609" s="36"/>
      <c r="F609" s="39"/>
    </row>
    <row r="610" spans="2:6" ht="20.100000000000001" customHeight="1">
      <c r="B610" s="36"/>
      <c r="F610" s="39"/>
    </row>
    <row r="611" spans="2:6" ht="20.100000000000001" customHeight="1">
      <c r="B611" s="36"/>
      <c r="F611" s="39"/>
    </row>
    <row r="612" spans="2:6" ht="20.100000000000001" customHeight="1">
      <c r="B612" s="36"/>
      <c r="F612" s="39"/>
    </row>
    <row r="613" spans="2:6" ht="20.100000000000001" customHeight="1">
      <c r="B613" s="36"/>
      <c r="E613" s="43"/>
      <c r="F613" s="39"/>
    </row>
    <row r="614" spans="2:6" ht="20.100000000000001" customHeight="1">
      <c r="B614" s="36"/>
      <c r="E614" s="43"/>
      <c r="F614" s="39"/>
    </row>
    <row r="615" spans="2:6" ht="20.100000000000001" customHeight="1">
      <c r="B615" s="36"/>
      <c r="E615" s="43"/>
      <c r="F615" s="39"/>
    </row>
    <row r="616" spans="2:6" ht="20.100000000000001" customHeight="1">
      <c r="B616" s="36"/>
      <c r="E616" s="43"/>
      <c r="F616" s="39"/>
    </row>
    <row r="617" spans="2:6" ht="20.100000000000001" customHeight="1">
      <c r="B617" s="36"/>
      <c r="E617" s="43"/>
      <c r="F617" s="39"/>
    </row>
    <row r="618" spans="2:6" ht="20.100000000000001" customHeight="1">
      <c r="B618" s="36"/>
      <c r="E618" s="43"/>
      <c r="F618" s="39"/>
    </row>
    <row r="619" spans="2:6" ht="20.100000000000001" customHeight="1">
      <c r="B619" s="36"/>
      <c r="E619" s="43"/>
      <c r="F619" s="39"/>
    </row>
    <row r="620" spans="2:6" ht="20.100000000000001" customHeight="1">
      <c r="B620" s="36"/>
      <c r="E620" s="43"/>
      <c r="F620" s="39"/>
    </row>
    <row r="621" spans="2:6" ht="20.100000000000001" customHeight="1">
      <c r="B621" s="36"/>
      <c r="E621" s="43"/>
      <c r="F621" s="39"/>
    </row>
    <row r="622" spans="2:6" ht="20.100000000000001" customHeight="1">
      <c r="B622" s="36"/>
      <c r="E622" s="43"/>
      <c r="F622" s="39"/>
    </row>
    <row r="623" spans="2:6" ht="20.100000000000001" customHeight="1">
      <c r="B623" s="36"/>
      <c r="E623" s="43"/>
      <c r="F623" s="39"/>
    </row>
    <row r="624" spans="2:6" ht="20.100000000000001" customHeight="1">
      <c r="B624" s="36"/>
      <c r="E624" s="43"/>
      <c r="F624" s="39"/>
    </row>
    <row r="625" spans="2:9" ht="20.100000000000001" customHeight="1">
      <c r="B625" s="36"/>
      <c r="E625" s="43"/>
      <c r="F625" s="39"/>
    </row>
    <row r="626" spans="2:9" ht="20.100000000000001" customHeight="1">
      <c r="B626" s="36"/>
      <c r="E626" s="43"/>
      <c r="F626" s="39"/>
    </row>
    <row r="627" spans="2:9" ht="20.100000000000001" customHeight="1">
      <c r="B627" s="36"/>
      <c r="E627" s="43"/>
      <c r="F627" s="39"/>
    </row>
    <row r="628" spans="2:9" ht="20.100000000000001" customHeight="1">
      <c r="B628" s="36"/>
      <c r="E628" s="43"/>
      <c r="F628" s="39"/>
    </row>
    <row r="629" spans="2:9" ht="20.100000000000001" customHeight="1">
      <c r="B629" s="36"/>
      <c r="E629" s="43"/>
      <c r="F629" s="39"/>
    </row>
    <row r="630" spans="2:9" ht="20.100000000000001" customHeight="1">
      <c r="B630" s="36"/>
      <c r="E630" s="43"/>
      <c r="F630" s="39"/>
    </row>
    <row r="631" spans="2:9" ht="20.100000000000001" customHeight="1">
      <c r="B631" s="36"/>
      <c r="E631" s="43"/>
      <c r="F631" s="39"/>
    </row>
    <row r="632" spans="2:9" ht="20.100000000000001" customHeight="1">
      <c r="B632" s="36"/>
      <c r="E632" s="43"/>
      <c r="F632" s="39"/>
    </row>
    <row r="633" spans="2:9" ht="20.100000000000001" customHeight="1">
      <c r="B633" s="36"/>
      <c r="E633" s="43"/>
      <c r="F633" s="39"/>
    </row>
    <row r="634" spans="2:9" ht="20.100000000000001" customHeight="1">
      <c r="B634" s="36"/>
      <c r="E634" s="43"/>
      <c r="F634" s="39"/>
    </row>
    <row r="635" spans="2:9" ht="20.100000000000001" customHeight="1">
      <c r="B635" s="36"/>
      <c r="E635" s="43"/>
      <c r="F635" s="39"/>
    </row>
    <row r="636" spans="2:9" ht="20.100000000000001" customHeight="1">
      <c r="B636" s="36"/>
      <c r="E636" s="43"/>
      <c r="F636" s="39"/>
    </row>
    <row r="637" spans="2:9" ht="20.100000000000001" customHeight="1">
      <c r="B637" s="36"/>
      <c r="E637" s="43"/>
      <c r="F637" s="39"/>
    </row>
    <row r="638" spans="2:9" ht="20.100000000000001" customHeight="1">
      <c r="B638" s="36"/>
      <c r="E638" s="43"/>
      <c r="F638" s="39"/>
    </row>
    <row r="639" spans="2:9" ht="20.100000000000001" customHeight="1">
      <c r="B639" s="36"/>
      <c r="E639" s="43"/>
      <c r="F639" s="39"/>
    </row>
    <row r="640" spans="2:9" ht="20.100000000000001" customHeight="1">
      <c r="B640" s="36"/>
      <c r="E640" s="43"/>
      <c r="F640" s="39"/>
      <c r="G640" s="37"/>
      <c r="H640" s="37"/>
      <c r="I640" s="37"/>
    </row>
    <row r="641" spans="2:9" ht="20.100000000000001" customHeight="1">
      <c r="B641" s="36"/>
      <c r="E641" s="43"/>
      <c r="F641" s="39"/>
      <c r="G641" s="37"/>
      <c r="H641" s="37"/>
      <c r="I641" s="37"/>
    </row>
    <row r="642" spans="2:9" ht="20.100000000000001" customHeight="1">
      <c r="B642" s="36"/>
      <c r="F642" s="39"/>
    </row>
    <row r="643" spans="2:9" ht="20.100000000000001" customHeight="1">
      <c r="B643" s="36"/>
      <c r="F643" s="39"/>
    </row>
    <row r="644" spans="2:9" ht="20.100000000000001" customHeight="1">
      <c r="B644" s="36"/>
      <c r="F644" s="39"/>
    </row>
    <row r="645" spans="2:9" ht="20.100000000000001" customHeight="1">
      <c r="B645" s="36"/>
      <c r="F645" s="39"/>
    </row>
    <row r="646" spans="2:9" ht="20.100000000000001" customHeight="1">
      <c r="B646" s="36"/>
      <c r="F646" s="39"/>
    </row>
    <row r="647" spans="2:9" ht="20.100000000000001" customHeight="1">
      <c r="B647" s="36"/>
      <c r="F647" s="39"/>
    </row>
    <row r="648" spans="2:9" ht="20.100000000000001" customHeight="1">
      <c r="B648" s="36"/>
      <c r="F648" s="39"/>
    </row>
    <row r="649" spans="2:9" ht="20.100000000000001" customHeight="1">
      <c r="B649" s="36"/>
      <c r="F649" s="39"/>
    </row>
    <row r="650" spans="2:9" ht="20.100000000000001" customHeight="1">
      <c r="B650" s="36"/>
      <c r="F650" s="39"/>
    </row>
    <row r="651" spans="2:9" ht="20.100000000000001" customHeight="1">
      <c r="B651" s="36"/>
      <c r="E651" s="43"/>
      <c r="F651" s="39"/>
    </row>
    <row r="652" spans="2:9" ht="20.100000000000001" customHeight="1">
      <c r="B652" s="36"/>
      <c r="E652" s="43"/>
      <c r="F652" s="39"/>
    </row>
    <row r="653" spans="2:9" ht="20.100000000000001" customHeight="1">
      <c r="B653" s="36"/>
      <c r="E653" s="43"/>
      <c r="F653" s="39"/>
    </row>
    <row r="654" spans="2:9" ht="20.100000000000001" customHeight="1">
      <c r="B654" s="36"/>
      <c r="E654" s="43"/>
      <c r="F654" s="39"/>
    </row>
    <row r="655" spans="2:9" ht="20.100000000000001" customHeight="1">
      <c r="B655" s="36"/>
      <c r="E655" s="43"/>
      <c r="F655" s="39"/>
    </row>
    <row r="656" spans="2:9" ht="20.100000000000001" customHeight="1">
      <c r="B656" s="36"/>
      <c r="E656" s="43"/>
      <c r="F656" s="39"/>
    </row>
    <row r="657" spans="2:6" ht="20.100000000000001" customHeight="1">
      <c r="B657" s="36"/>
      <c r="E657" s="43"/>
      <c r="F657" s="39"/>
    </row>
    <row r="658" spans="2:6" ht="20.100000000000001" customHeight="1">
      <c r="B658" s="36"/>
      <c r="E658" s="43"/>
      <c r="F658" s="39"/>
    </row>
    <row r="659" spans="2:6" ht="20.100000000000001" customHeight="1">
      <c r="B659" s="36"/>
      <c r="E659" s="43"/>
      <c r="F659" s="39"/>
    </row>
    <row r="660" spans="2:6" ht="20.100000000000001" customHeight="1">
      <c r="B660" s="36"/>
      <c r="E660" s="43"/>
      <c r="F660" s="39"/>
    </row>
    <row r="661" spans="2:6" ht="20.100000000000001" customHeight="1">
      <c r="B661" s="36"/>
      <c r="E661" s="43"/>
      <c r="F661" s="39"/>
    </row>
    <row r="662" spans="2:6" ht="20.100000000000001" customHeight="1">
      <c r="B662" s="36"/>
      <c r="E662" s="43"/>
      <c r="F662" s="39"/>
    </row>
    <row r="663" spans="2:6" ht="20.100000000000001" customHeight="1">
      <c r="B663" s="36"/>
      <c r="E663" s="43"/>
      <c r="F663" s="39"/>
    </row>
    <row r="664" spans="2:6" ht="20.100000000000001" customHeight="1">
      <c r="B664" s="36"/>
      <c r="E664" s="43"/>
      <c r="F664" s="39"/>
    </row>
    <row r="665" spans="2:6" ht="20.100000000000001" customHeight="1">
      <c r="B665" s="36"/>
      <c r="E665" s="43"/>
      <c r="F665" s="39"/>
    </row>
    <row r="666" spans="2:6" ht="20.100000000000001" customHeight="1">
      <c r="B666" s="36"/>
      <c r="E666" s="43"/>
      <c r="F666" s="39"/>
    </row>
    <row r="667" spans="2:6" ht="20.100000000000001" customHeight="1">
      <c r="B667" s="36"/>
      <c r="E667" s="43"/>
      <c r="F667" s="39"/>
    </row>
    <row r="668" spans="2:6" ht="20.100000000000001" customHeight="1">
      <c r="B668" s="36"/>
      <c r="E668" s="43"/>
      <c r="F668" s="39"/>
    </row>
    <row r="669" spans="2:6" ht="20.100000000000001" customHeight="1">
      <c r="B669" s="36"/>
      <c r="E669" s="43"/>
      <c r="F669" s="39"/>
    </row>
    <row r="670" spans="2:6" ht="20.100000000000001" customHeight="1">
      <c r="B670" s="36"/>
      <c r="E670" s="43"/>
      <c r="F670" s="39"/>
    </row>
    <row r="671" spans="2:6" ht="20.100000000000001" customHeight="1">
      <c r="B671" s="36"/>
      <c r="E671" s="43"/>
      <c r="F671" s="39"/>
    </row>
    <row r="672" spans="2:6" ht="20.100000000000001" customHeight="1">
      <c r="B672" s="36"/>
      <c r="E672" s="43"/>
      <c r="F672" s="39"/>
    </row>
    <row r="673" spans="2:9" ht="20.100000000000001" customHeight="1">
      <c r="B673" s="36"/>
      <c r="E673" s="43"/>
      <c r="F673" s="39"/>
    </row>
    <row r="674" spans="2:9" ht="20.100000000000001" customHeight="1">
      <c r="B674" s="36"/>
      <c r="E674" s="43"/>
      <c r="F674" s="39"/>
    </row>
    <row r="675" spans="2:9" ht="20.100000000000001" customHeight="1">
      <c r="B675" s="36"/>
      <c r="E675" s="43"/>
      <c r="F675" s="39"/>
    </row>
    <row r="676" spans="2:9" ht="20.100000000000001" customHeight="1">
      <c r="B676" s="36"/>
      <c r="E676" s="43"/>
      <c r="F676" s="39"/>
    </row>
    <row r="677" spans="2:9" ht="20.100000000000001" customHeight="1">
      <c r="B677" s="36"/>
      <c r="E677" s="43"/>
      <c r="F677" s="39"/>
    </row>
    <row r="678" spans="2:9" ht="20.100000000000001" customHeight="1">
      <c r="B678" s="36"/>
      <c r="E678" s="43"/>
      <c r="F678" s="39"/>
      <c r="G678" s="37"/>
      <c r="H678" s="37"/>
      <c r="I678" s="37"/>
    </row>
    <row r="679" spans="2:9" ht="20.100000000000001" customHeight="1">
      <c r="B679" s="36"/>
      <c r="E679" s="43"/>
      <c r="F679" s="39"/>
      <c r="G679" s="37"/>
      <c r="H679" s="37"/>
      <c r="I679" s="37"/>
    </row>
    <row r="680" spans="2:9" ht="20.100000000000001" customHeight="1">
      <c r="B680" s="36"/>
      <c r="F680" s="39"/>
    </row>
    <row r="681" spans="2:9" ht="20.100000000000001" customHeight="1">
      <c r="B681" s="36"/>
      <c r="F681" s="39"/>
    </row>
    <row r="682" spans="2:9" ht="20.100000000000001" customHeight="1">
      <c r="B682" s="36"/>
      <c r="F682" s="39"/>
    </row>
    <row r="683" spans="2:9" ht="20.100000000000001" customHeight="1">
      <c r="B683" s="36"/>
      <c r="F683" s="39"/>
    </row>
    <row r="684" spans="2:9" ht="20.100000000000001" customHeight="1">
      <c r="B684" s="36"/>
      <c r="F684" s="39"/>
    </row>
    <row r="685" spans="2:9" ht="20.100000000000001" customHeight="1">
      <c r="B685" s="36"/>
      <c r="F685" s="39"/>
    </row>
    <row r="686" spans="2:9" ht="20.100000000000001" customHeight="1">
      <c r="B686" s="36"/>
      <c r="F686" s="39"/>
    </row>
    <row r="687" spans="2:9" ht="20.100000000000001" customHeight="1">
      <c r="B687" s="36"/>
      <c r="F687" s="39"/>
    </row>
    <row r="688" spans="2:9" ht="20.100000000000001" customHeight="1">
      <c r="B688" s="36"/>
      <c r="F688" s="39"/>
    </row>
    <row r="689" spans="2:6" ht="20.100000000000001" customHeight="1">
      <c r="B689" s="36"/>
      <c r="E689" s="43"/>
      <c r="F689" s="39"/>
    </row>
    <row r="690" spans="2:6" ht="20.100000000000001" customHeight="1">
      <c r="B690" s="36"/>
      <c r="E690" s="43"/>
      <c r="F690" s="39"/>
    </row>
    <row r="691" spans="2:6" ht="20.100000000000001" customHeight="1">
      <c r="B691" s="36"/>
      <c r="E691" s="43"/>
      <c r="F691" s="39"/>
    </row>
    <row r="692" spans="2:6" ht="20.100000000000001" customHeight="1">
      <c r="B692" s="36"/>
      <c r="E692" s="43"/>
      <c r="F692" s="39"/>
    </row>
    <row r="693" spans="2:6" ht="20.100000000000001" customHeight="1">
      <c r="B693" s="36"/>
      <c r="E693" s="43"/>
      <c r="F693" s="39"/>
    </row>
    <row r="694" spans="2:6" ht="20.100000000000001" customHeight="1">
      <c r="B694" s="36"/>
      <c r="E694" s="43"/>
      <c r="F694" s="39"/>
    </row>
    <row r="695" spans="2:6" ht="20.100000000000001" customHeight="1">
      <c r="B695" s="36"/>
      <c r="E695" s="43"/>
      <c r="F695" s="39"/>
    </row>
    <row r="696" spans="2:6" ht="20.100000000000001" customHeight="1">
      <c r="B696" s="36"/>
      <c r="E696" s="43"/>
      <c r="F696" s="39"/>
    </row>
    <row r="697" spans="2:6" ht="20.100000000000001" customHeight="1">
      <c r="B697" s="36"/>
      <c r="E697" s="43"/>
      <c r="F697" s="39"/>
    </row>
    <row r="698" spans="2:6" ht="20.100000000000001" customHeight="1">
      <c r="B698" s="36"/>
      <c r="E698" s="43"/>
      <c r="F698" s="39"/>
    </row>
    <row r="699" spans="2:6" ht="20.100000000000001" customHeight="1">
      <c r="B699" s="36"/>
      <c r="E699" s="43"/>
      <c r="F699" s="39"/>
    </row>
    <row r="700" spans="2:6" ht="20.100000000000001" customHeight="1">
      <c r="B700" s="36"/>
      <c r="E700" s="43"/>
      <c r="F700" s="39"/>
    </row>
    <row r="701" spans="2:6" ht="20.100000000000001" customHeight="1">
      <c r="B701" s="36"/>
      <c r="E701" s="43"/>
      <c r="F701" s="39"/>
    </row>
    <row r="702" spans="2:6" ht="20.100000000000001" customHeight="1">
      <c r="B702" s="36"/>
      <c r="E702" s="43"/>
      <c r="F702" s="39"/>
    </row>
    <row r="703" spans="2:6" ht="20.100000000000001" customHeight="1">
      <c r="B703" s="36"/>
      <c r="E703" s="43"/>
      <c r="F703" s="39"/>
    </row>
    <row r="704" spans="2:6" ht="20.100000000000001" customHeight="1">
      <c r="B704" s="36"/>
      <c r="E704" s="43"/>
      <c r="F704" s="39"/>
    </row>
    <row r="705" spans="2:9" ht="20.100000000000001" customHeight="1">
      <c r="B705" s="36"/>
      <c r="E705" s="43"/>
      <c r="F705" s="39"/>
    </row>
    <row r="706" spans="2:9" ht="20.100000000000001" customHeight="1">
      <c r="B706" s="36"/>
      <c r="E706" s="43"/>
      <c r="F706" s="39"/>
    </row>
    <row r="707" spans="2:9" ht="20.100000000000001" customHeight="1">
      <c r="B707" s="36"/>
      <c r="E707" s="43"/>
      <c r="F707" s="39"/>
    </row>
    <row r="708" spans="2:9" ht="20.100000000000001" customHeight="1">
      <c r="B708" s="36"/>
      <c r="E708" s="43"/>
      <c r="F708" s="39"/>
    </row>
    <row r="709" spans="2:9" ht="20.100000000000001" customHeight="1">
      <c r="B709" s="36"/>
      <c r="E709" s="43"/>
      <c r="F709" s="39"/>
    </row>
    <row r="710" spans="2:9" ht="20.100000000000001" customHeight="1">
      <c r="B710" s="36"/>
      <c r="E710" s="43"/>
      <c r="F710" s="39"/>
    </row>
    <row r="711" spans="2:9" ht="20.100000000000001" customHeight="1">
      <c r="B711" s="36"/>
      <c r="E711" s="43"/>
      <c r="F711" s="39"/>
    </row>
    <row r="712" spans="2:9" ht="20.100000000000001" customHeight="1">
      <c r="B712" s="36"/>
      <c r="E712" s="43"/>
      <c r="F712" s="39"/>
    </row>
    <row r="713" spans="2:9" ht="20.100000000000001" customHeight="1">
      <c r="B713" s="36"/>
      <c r="E713" s="43"/>
      <c r="F713" s="39"/>
    </row>
    <row r="714" spans="2:9" ht="20.100000000000001" customHeight="1">
      <c r="B714" s="36"/>
      <c r="E714" s="43"/>
      <c r="F714" s="39"/>
    </row>
    <row r="715" spans="2:9" ht="20.100000000000001" customHeight="1">
      <c r="B715" s="36"/>
      <c r="E715" s="43"/>
      <c r="F715" s="39"/>
    </row>
    <row r="716" spans="2:9" ht="20.100000000000001" customHeight="1">
      <c r="B716" s="36"/>
      <c r="E716" s="43"/>
      <c r="F716" s="39"/>
      <c r="G716" s="37"/>
      <c r="H716" s="37"/>
      <c r="I716" s="37"/>
    </row>
    <row r="717" spans="2:9" ht="20.100000000000001" customHeight="1">
      <c r="B717" s="36"/>
      <c r="E717" s="43"/>
      <c r="F717" s="39"/>
      <c r="G717" s="37"/>
      <c r="H717" s="37"/>
      <c r="I717" s="37"/>
    </row>
    <row r="718" spans="2:9" ht="20.100000000000001" customHeight="1">
      <c r="B718" s="36"/>
      <c r="F718" s="39"/>
    </row>
    <row r="719" spans="2:9" ht="20.100000000000001" customHeight="1">
      <c r="B719" s="36"/>
      <c r="F719" s="39"/>
    </row>
    <row r="720" spans="2:9" ht="20.100000000000001" customHeight="1">
      <c r="B720" s="36"/>
      <c r="F720" s="39"/>
    </row>
    <row r="721" spans="2:6" ht="20.100000000000001" customHeight="1">
      <c r="B721" s="36"/>
      <c r="F721" s="39"/>
    </row>
    <row r="722" spans="2:6" ht="20.100000000000001" customHeight="1">
      <c r="B722" s="36"/>
      <c r="F722" s="39"/>
    </row>
    <row r="723" spans="2:6" ht="20.100000000000001" customHeight="1">
      <c r="B723" s="36"/>
      <c r="F723" s="39"/>
    </row>
    <row r="724" spans="2:6" ht="20.100000000000001" customHeight="1">
      <c r="B724" s="36"/>
      <c r="F724" s="39"/>
    </row>
    <row r="725" spans="2:6" ht="20.100000000000001" customHeight="1">
      <c r="B725" s="36"/>
      <c r="F725" s="39"/>
    </row>
    <row r="726" spans="2:6" ht="20.100000000000001" customHeight="1">
      <c r="B726" s="36"/>
      <c r="F726" s="39"/>
    </row>
    <row r="727" spans="2:6" ht="20.100000000000001" customHeight="1">
      <c r="B727" s="36"/>
      <c r="E727" s="43"/>
      <c r="F727" s="39"/>
    </row>
    <row r="728" spans="2:6" ht="20.100000000000001" customHeight="1">
      <c r="B728" s="36"/>
      <c r="E728" s="43"/>
      <c r="F728" s="39"/>
    </row>
    <row r="729" spans="2:6" ht="20.100000000000001" customHeight="1">
      <c r="B729" s="36"/>
      <c r="E729" s="43"/>
      <c r="F729" s="39"/>
    </row>
    <row r="730" spans="2:6" ht="20.100000000000001" customHeight="1">
      <c r="B730" s="36"/>
      <c r="E730" s="43"/>
      <c r="F730" s="39"/>
    </row>
    <row r="731" spans="2:6" ht="20.100000000000001" customHeight="1">
      <c r="B731" s="36"/>
      <c r="E731" s="43"/>
      <c r="F731" s="39"/>
    </row>
    <row r="732" spans="2:6" ht="20.100000000000001" customHeight="1">
      <c r="B732" s="36"/>
      <c r="E732" s="43"/>
      <c r="F732" s="39"/>
    </row>
    <row r="733" spans="2:6" ht="20.100000000000001" customHeight="1">
      <c r="B733" s="36"/>
      <c r="E733" s="43"/>
      <c r="F733" s="39"/>
    </row>
    <row r="734" spans="2:6" ht="20.100000000000001" customHeight="1">
      <c r="B734" s="36"/>
      <c r="E734" s="43"/>
      <c r="F734" s="39"/>
    </row>
    <row r="735" spans="2:6" ht="20.100000000000001" customHeight="1">
      <c r="B735" s="36"/>
      <c r="E735" s="43"/>
      <c r="F735" s="39"/>
    </row>
    <row r="736" spans="2:6" ht="20.100000000000001" customHeight="1">
      <c r="B736" s="36"/>
      <c r="E736" s="43"/>
      <c r="F736" s="39"/>
    </row>
    <row r="737" spans="2:6" ht="20.100000000000001" customHeight="1">
      <c r="B737" s="36"/>
      <c r="E737" s="43"/>
      <c r="F737" s="39"/>
    </row>
    <row r="738" spans="2:6" ht="20.100000000000001" customHeight="1">
      <c r="B738" s="36"/>
      <c r="E738" s="43"/>
      <c r="F738" s="39"/>
    </row>
    <row r="739" spans="2:6" ht="20.100000000000001" customHeight="1">
      <c r="B739" s="36"/>
      <c r="E739" s="43"/>
      <c r="F739" s="39"/>
    </row>
    <row r="740" spans="2:6" ht="20.100000000000001" customHeight="1">
      <c r="B740" s="36"/>
      <c r="E740" s="43"/>
      <c r="F740" s="39"/>
    </row>
    <row r="741" spans="2:6" ht="20.100000000000001" customHeight="1">
      <c r="B741" s="36"/>
      <c r="E741" s="43"/>
      <c r="F741" s="39"/>
    </row>
    <row r="742" spans="2:6" ht="20.100000000000001" customHeight="1">
      <c r="B742" s="36"/>
      <c r="E742" s="43"/>
      <c r="F742" s="39"/>
    </row>
    <row r="743" spans="2:6" ht="20.100000000000001" customHeight="1">
      <c r="B743" s="36"/>
      <c r="E743" s="43"/>
      <c r="F743" s="39"/>
    </row>
    <row r="744" spans="2:6" ht="20.100000000000001" customHeight="1">
      <c r="B744" s="36"/>
      <c r="E744" s="43"/>
      <c r="F744" s="39"/>
    </row>
    <row r="745" spans="2:6" ht="20.100000000000001" customHeight="1">
      <c r="B745" s="36"/>
      <c r="E745" s="43"/>
      <c r="F745" s="39"/>
    </row>
    <row r="746" spans="2:6" ht="20.100000000000001" customHeight="1">
      <c r="B746" s="36"/>
      <c r="E746" s="43"/>
      <c r="F746" s="39"/>
    </row>
    <row r="747" spans="2:6" ht="20.100000000000001" customHeight="1">
      <c r="B747" s="36"/>
      <c r="E747" s="43"/>
      <c r="F747" s="39"/>
    </row>
    <row r="748" spans="2:6" ht="20.100000000000001" customHeight="1">
      <c r="B748" s="36"/>
      <c r="E748" s="43"/>
      <c r="F748" s="39"/>
    </row>
    <row r="749" spans="2:6" ht="20.100000000000001" customHeight="1">
      <c r="B749" s="36"/>
      <c r="E749" s="43"/>
      <c r="F749" s="39"/>
    </row>
    <row r="750" spans="2:6" ht="20.100000000000001" customHeight="1">
      <c r="B750" s="36"/>
      <c r="E750" s="43"/>
      <c r="F750" s="39"/>
    </row>
    <row r="751" spans="2:6" ht="20.100000000000001" customHeight="1">
      <c r="B751" s="36"/>
      <c r="E751" s="43"/>
      <c r="F751" s="39"/>
    </row>
    <row r="752" spans="2:6" ht="20.100000000000001" customHeight="1">
      <c r="B752" s="36"/>
      <c r="E752" s="43"/>
      <c r="F752" s="39"/>
    </row>
    <row r="753" spans="2:9" ht="20.100000000000001" customHeight="1">
      <c r="B753" s="36"/>
      <c r="E753" s="43"/>
      <c r="F753" s="39"/>
    </row>
    <row r="754" spans="2:9" ht="20.100000000000001" customHeight="1">
      <c r="B754" s="36"/>
      <c r="E754" s="43"/>
      <c r="F754" s="39"/>
      <c r="G754" s="37"/>
      <c r="H754" s="37"/>
      <c r="I754" s="37"/>
    </row>
    <row r="755" spans="2:9" ht="20.100000000000001" customHeight="1">
      <c r="B755" s="36"/>
      <c r="E755" s="43"/>
      <c r="F755" s="39"/>
      <c r="G755" s="37"/>
      <c r="H755" s="37"/>
      <c r="I755" s="37"/>
    </row>
    <row r="756" spans="2:9" ht="20.100000000000001" customHeight="1">
      <c r="B756" s="36"/>
      <c r="F756" s="39"/>
    </row>
    <row r="757" spans="2:9" ht="20.100000000000001" customHeight="1">
      <c r="B757" s="36"/>
      <c r="F757" s="39"/>
    </row>
    <row r="758" spans="2:9" ht="20.100000000000001" customHeight="1">
      <c r="B758" s="36"/>
      <c r="F758" s="39"/>
    </row>
    <row r="759" spans="2:9" ht="20.100000000000001" customHeight="1">
      <c r="B759" s="36"/>
      <c r="F759" s="39"/>
    </row>
    <row r="760" spans="2:9" ht="20.100000000000001" customHeight="1">
      <c r="B760" s="36"/>
      <c r="F760" s="39"/>
    </row>
    <row r="761" spans="2:9" ht="20.100000000000001" customHeight="1">
      <c r="B761" s="36"/>
      <c r="F761" s="39"/>
    </row>
    <row r="762" spans="2:9" ht="20.100000000000001" customHeight="1">
      <c r="B762" s="36"/>
      <c r="F762" s="39"/>
    </row>
    <row r="763" spans="2:9" ht="20.100000000000001" customHeight="1">
      <c r="B763" s="36"/>
      <c r="F763" s="39"/>
    </row>
    <row r="764" spans="2:9" ht="20.100000000000001" customHeight="1">
      <c r="B764" s="36"/>
      <c r="F764" s="39"/>
    </row>
    <row r="765" spans="2:9" ht="20.100000000000001" customHeight="1">
      <c r="B765" s="36"/>
      <c r="E765" s="43"/>
      <c r="F765" s="39"/>
    </row>
    <row r="766" spans="2:9" ht="20.100000000000001" customHeight="1">
      <c r="B766" s="36"/>
      <c r="E766" s="43"/>
      <c r="F766" s="39"/>
    </row>
    <row r="767" spans="2:9" ht="20.100000000000001" customHeight="1">
      <c r="B767" s="36"/>
      <c r="E767" s="43"/>
      <c r="F767" s="39"/>
    </row>
    <row r="768" spans="2:9" ht="20.100000000000001" customHeight="1">
      <c r="B768" s="36"/>
      <c r="E768" s="43"/>
      <c r="F768" s="39"/>
    </row>
    <row r="769" spans="2:6" ht="20.100000000000001" customHeight="1">
      <c r="B769" s="36"/>
      <c r="E769" s="43"/>
      <c r="F769" s="39"/>
    </row>
    <row r="770" spans="2:6" ht="20.100000000000001" customHeight="1">
      <c r="B770" s="36"/>
      <c r="E770" s="43"/>
      <c r="F770" s="39"/>
    </row>
    <row r="771" spans="2:6" ht="20.100000000000001" customHeight="1">
      <c r="B771" s="36"/>
      <c r="E771" s="43"/>
      <c r="F771" s="39"/>
    </row>
    <row r="772" spans="2:6" ht="20.100000000000001" customHeight="1">
      <c r="B772" s="36"/>
      <c r="E772" s="43"/>
      <c r="F772" s="39"/>
    </row>
    <row r="773" spans="2:6" ht="20.100000000000001" customHeight="1">
      <c r="B773" s="36"/>
      <c r="E773" s="43"/>
      <c r="F773" s="39"/>
    </row>
    <row r="774" spans="2:6" ht="20.100000000000001" customHeight="1">
      <c r="B774" s="36"/>
      <c r="E774" s="43"/>
      <c r="F774" s="39"/>
    </row>
    <row r="775" spans="2:6" ht="20.100000000000001" customHeight="1">
      <c r="B775" s="36"/>
      <c r="E775" s="43"/>
      <c r="F775" s="39"/>
    </row>
    <row r="776" spans="2:6" ht="20.100000000000001" customHeight="1">
      <c r="B776" s="36"/>
      <c r="E776" s="43"/>
      <c r="F776" s="39"/>
    </row>
    <row r="777" spans="2:6" ht="20.100000000000001" customHeight="1">
      <c r="B777" s="36"/>
      <c r="E777" s="43"/>
      <c r="F777" s="39"/>
    </row>
    <row r="778" spans="2:6" ht="20.100000000000001" customHeight="1">
      <c r="B778" s="36"/>
      <c r="E778" s="43"/>
      <c r="F778" s="39"/>
    </row>
    <row r="779" spans="2:6" ht="20.100000000000001" customHeight="1">
      <c r="B779" s="36"/>
      <c r="E779" s="43"/>
      <c r="F779" s="39"/>
    </row>
    <row r="780" spans="2:6" ht="20.100000000000001" customHeight="1">
      <c r="B780" s="36"/>
      <c r="E780" s="43"/>
      <c r="F780" s="39"/>
    </row>
    <row r="781" spans="2:6" ht="20.100000000000001" customHeight="1">
      <c r="B781" s="36"/>
      <c r="E781" s="43"/>
      <c r="F781" s="39"/>
    </row>
    <row r="782" spans="2:6" ht="20.100000000000001" customHeight="1">
      <c r="B782" s="36"/>
      <c r="E782" s="43"/>
      <c r="F782" s="39"/>
    </row>
    <row r="783" spans="2:6" ht="20.100000000000001" customHeight="1">
      <c r="B783" s="36"/>
      <c r="E783" s="43"/>
      <c r="F783" s="39"/>
    </row>
    <row r="784" spans="2:6" ht="20.100000000000001" customHeight="1">
      <c r="B784" s="36"/>
      <c r="E784" s="43"/>
      <c r="F784" s="39"/>
    </row>
    <row r="785" spans="2:9" ht="20.100000000000001" customHeight="1">
      <c r="B785" s="36"/>
      <c r="E785" s="43"/>
      <c r="F785" s="39"/>
    </row>
    <row r="786" spans="2:9" ht="20.100000000000001" customHeight="1">
      <c r="B786" s="36"/>
      <c r="E786" s="43"/>
      <c r="F786" s="39"/>
    </row>
    <row r="787" spans="2:9" ht="20.100000000000001" customHeight="1">
      <c r="B787" s="36"/>
      <c r="E787" s="43"/>
      <c r="F787" s="39"/>
    </row>
    <row r="788" spans="2:9" ht="20.100000000000001" customHeight="1">
      <c r="B788" s="36"/>
      <c r="E788" s="43"/>
      <c r="F788" s="39"/>
    </row>
    <row r="789" spans="2:9" ht="20.100000000000001" customHeight="1">
      <c r="B789" s="36"/>
      <c r="E789" s="43"/>
      <c r="F789" s="39"/>
    </row>
    <row r="790" spans="2:9" ht="20.100000000000001" customHeight="1">
      <c r="B790" s="36"/>
      <c r="E790" s="43"/>
      <c r="F790" s="39"/>
    </row>
    <row r="791" spans="2:9" ht="20.100000000000001" customHeight="1">
      <c r="B791" s="36"/>
      <c r="E791" s="43"/>
      <c r="F791" s="39"/>
    </row>
    <row r="792" spans="2:9" ht="20.100000000000001" customHeight="1">
      <c r="B792" s="36"/>
      <c r="E792" s="43"/>
      <c r="F792" s="39"/>
      <c r="G792" s="37"/>
      <c r="H792" s="37"/>
      <c r="I792" s="37"/>
    </row>
    <row r="793" spans="2:9" ht="20.100000000000001" customHeight="1">
      <c r="B793" s="36"/>
      <c r="E793" s="43"/>
      <c r="F793" s="39"/>
      <c r="G793" s="37"/>
      <c r="H793" s="37"/>
      <c r="I793" s="37"/>
    </row>
    <row r="794" spans="2:9" ht="20.100000000000001" customHeight="1">
      <c r="B794" s="36"/>
      <c r="F794" s="39"/>
    </row>
    <row r="795" spans="2:9" ht="20.100000000000001" customHeight="1">
      <c r="B795" s="36"/>
      <c r="F795" s="39"/>
    </row>
    <row r="796" spans="2:9" ht="20.100000000000001" customHeight="1">
      <c r="B796" s="36"/>
      <c r="F796" s="39"/>
    </row>
    <row r="797" spans="2:9" ht="20.100000000000001" customHeight="1">
      <c r="B797" s="36"/>
      <c r="F797" s="39"/>
    </row>
    <row r="798" spans="2:9" ht="20.100000000000001" customHeight="1">
      <c r="B798" s="36"/>
      <c r="F798" s="39"/>
    </row>
    <row r="799" spans="2:9" ht="20.100000000000001" customHeight="1">
      <c r="B799" s="36"/>
      <c r="F799" s="39"/>
    </row>
    <row r="800" spans="2:9" ht="20.100000000000001" customHeight="1">
      <c r="B800" s="36"/>
      <c r="F800" s="39"/>
    </row>
    <row r="801" spans="2:6" ht="20.100000000000001" customHeight="1">
      <c r="B801" s="36"/>
      <c r="F801" s="39"/>
    </row>
    <row r="802" spans="2:6" ht="20.100000000000001" customHeight="1">
      <c r="B802" s="36"/>
      <c r="F802" s="39"/>
    </row>
    <row r="803" spans="2:6" ht="20.100000000000001" customHeight="1">
      <c r="B803" s="36"/>
      <c r="E803" s="43"/>
      <c r="F803" s="39"/>
    </row>
    <row r="804" spans="2:6" ht="20.100000000000001" customHeight="1">
      <c r="B804" s="36"/>
      <c r="E804" s="43"/>
      <c r="F804" s="39"/>
    </row>
    <row r="805" spans="2:6" ht="20.100000000000001" customHeight="1">
      <c r="B805" s="36"/>
      <c r="E805" s="43"/>
      <c r="F805" s="39"/>
    </row>
    <row r="806" spans="2:6" ht="20.100000000000001" customHeight="1">
      <c r="B806" s="36"/>
      <c r="E806" s="43"/>
      <c r="F806" s="39"/>
    </row>
    <row r="807" spans="2:6" ht="20.100000000000001" customHeight="1">
      <c r="B807" s="36"/>
      <c r="E807" s="43"/>
      <c r="F807" s="39"/>
    </row>
    <row r="808" spans="2:6" ht="20.100000000000001" customHeight="1">
      <c r="B808" s="36"/>
      <c r="E808" s="43"/>
      <c r="F808" s="39"/>
    </row>
    <row r="809" spans="2:6" ht="20.100000000000001" customHeight="1">
      <c r="B809" s="36"/>
      <c r="E809" s="43"/>
      <c r="F809" s="39"/>
    </row>
    <row r="810" spans="2:6" ht="20.100000000000001" customHeight="1">
      <c r="B810" s="36"/>
      <c r="E810" s="43"/>
      <c r="F810" s="39"/>
    </row>
    <row r="811" spans="2:6" ht="20.100000000000001" customHeight="1">
      <c r="B811" s="36"/>
      <c r="E811" s="43"/>
      <c r="F811" s="39"/>
    </row>
    <row r="812" spans="2:6" ht="20.100000000000001" customHeight="1">
      <c r="B812" s="36"/>
      <c r="E812" s="43"/>
      <c r="F812" s="39"/>
    </row>
    <row r="813" spans="2:6" ht="20.100000000000001" customHeight="1">
      <c r="B813" s="36"/>
      <c r="E813" s="43"/>
      <c r="F813" s="39"/>
    </row>
    <row r="814" spans="2:6" ht="20.100000000000001" customHeight="1">
      <c r="B814" s="36"/>
      <c r="E814" s="43"/>
      <c r="F814" s="39"/>
    </row>
    <row r="815" spans="2:6" ht="20.100000000000001" customHeight="1">
      <c r="B815" s="36"/>
      <c r="E815" s="43"/>
      <c r="F815" s="39"/>
    </row>
    <row r="816" spans="2:6" ht="20.100000000000001" customHeight="1">
      <c r="B816" s="36"/>
      <c r="E816" s="43"/>
      <c r="F816" s="39"/>
    </row>
    <row r="817" spans="2:9" ht="20.100000000000001" customHeight="1">
      <c r="B817" s="36"/>
      <c r="E817" s="43"/>
      <c r="F817" s="39"/>
    </row>
    <row r="818" spans="2:9" ht="20.100000000000001" customHeight="1">
      <c r="B818" s="36"/>
      <c r="E818" s="43"/>
      <c r="F818" s="39"/>
    </row>
    <row r="819" spans="2:9" ht="20.100000000000001" customHeight="1">
      <c r="B819" s="36"/>
      <c r="E819" s="43"/>
      <c r="F819" s="39"/>
    </row>
    <row r="820" spans="2:9" ht="20.100000000000001" customHeight="1">
      <c r="B820" s="36"/>
      <c r="E820" s="43"/>
      <c r="F820" s="39"/>
    </row>
    <row r="821" spans="2:9" ht="20.100000000000001" customHeight="1">
      <c r="B821" s="36"/>
      <c r="E821" s="43"/>
      <c r="F821" s="39"/>
    </row>
    <row r="822" spans="2:9" ht="20.100000000000001" customHeight="1">
      <c r="B822" s="36"/>
      <c r="E822" s="43"/>
      <c r="F822" s="39"/>
    </row>
    <row r="823" spans="2:9" ht="20.100000000000001" customHeight="1">
      <c r="B823" s="36"/>
      <c r="E823" s="43"/>
      <c r="F823" s="39"/>
    </row>
    <row r="824" spans="2:9" ht="20.100000000000001" customHeight="1">
      <c r="B824" s="36"/>
      <c r="E824" s="43"/>
      <c r="F824" s="39"/>
    </row>
    <row r="825" spans="2:9" ht="20.100000000000001" customHeight="1">
      <c r="B825" s="36"/>
      <c r="E825" s="43"/>
      <c r="F825" s="39"/>
    </row>
    <row r="826" spans="2:9" ht="20.100000000000001" customHeight="1">
      <c r="B826" s="36"/>
      <c r="E826" s="43"/>
      <c r="F826" s="39"/>
    </row>
    <row r="827" spans="2:9" ht="20.100000000000001" customHeight="1">
      <c r="B827" s="36"/>
      <c r="E827" s="43"/>
      <c r="F827" s="39"/>
    </row>
    <row r="828" spans="2:9" ht="20.100000000000001" customHeight="1">
      <c r="B828" s="36"/>
      <c r="E828" s="43"/>
      <c r="F828" s="39"/>
    </row>
    <row r="829" spans="2:9" ht="20.100000000000001" customHeight="1">
      <c r="B829" s="36"/>
      <c r="E829" s="43"/>
      <c r="F829" s="39"/>
    </row>
    <row r="830" spans="2:9" ht="20.100000000000001" customHeight="1">
      <c r="B830" s="36"/>
      <c r="E830" s="43"/>
      <c r="F830" s="39"/>
      <c r="G830" s="37"/>
      <c r="H830" s="37"/>
      <c r="I830" s="37"/>
    </row>
    <row r="831" spans="2:9" ht="20.100000000000001" customHeight="1">
      <c r="B831" s="36"/>
      <c r="E831" s="43"/>
      <c r="F831" s="39"/>
      <c r="G831" s="37"/>
      <c r="H831" s="37"/>
      <c r="I831" s="37"/>
    </row>
    <row r="832" spans="2:9" ht="20.100000000000001" customHeight="1">
      <c r="B832" s="36"/>
      <c r="F832" s="39"/>
    </row>
    <row r="833" spans="2:6" ht="20.100000000000001" customHeight="1">
      <c r="B833" s="36"/>
      <c r="F833" s="39"/>
    </row>
    <row r="834" spans="2:6" ht="20.100000000000001" customHeight="1">
      <c r="B834" s="36"/>
      <c r="F834" s="39"/>
    </row>
    <row r="835" spans="2:6" ht="20.100000000000001" customHeight="1">
      <c r="B835" s="36"/>
      <c r="F835" s="39"/>
    </row>
    <row r="836" spans="2:6" ht="20.100000000000001" customHeight="1">
      <c r="B836" s="36"/>
      <c r="F836" s="39"/>
    </row>
    <row r="837" spans="2:6" ht="20.100000000000001" customHeight="1">
      <c r="B837" s="36"/>
      <c r="F837" s="39"/>
    </row>
    <row r="838" spans="2:6" ht="20.100000000000001" customHeight="1">
      <c r="B838" s="36"/>
      <c r="F838" s="39"/>
    </row>
    <row r="839" spans="2:6" ht="20.100000000000001" customHeight="1">
      <c r="B839" s="36"/>
      <c r="F839" s="39"/>
    </row>
    <row r="840" spans="2:6" ht="20.100000000000001" customHeight="1">
      <c r="B840" s="36"/>
      <c r="F840" s="39"/>
    </row>
    <row r="841" spans="2:6" ht="20.100000000000001" customHeight="1">
      <c r="B841" s="36"/>
      <c r="E841" s="43"/>
      <c r="F841" s="39"/>
    </row>
    <row r="842" spans="2:6" ht="20.100000000000001" customHeight="1">
      <c r="B842" s="36"/>
      <c r="E842" s="43"/>
      <c r="F842" s="39"/>
    </row>
    <row r="843" spans="2:6" ht="20.100000000000001" customHeight="1">
      <c r="B843" s="36"/>
      <c r="E843" s="43"/>
      <c r="F843" s="39"/>
    </row>
    <row r="844" spans="2:6" ht="20.100000000000001" customHeight="1">
      <c r="B844" s="36"/>
      <c r="E844" s="43"/>
      <c r="F844" s="39"/>
    </row>
    <row r="845" spans="2:6" ht="20.100000000000001" customHeight="1">
      <c r="B845" s="36"/>
      <c r="E845" s="43"/>
      <c r="F845" s="39"/>
    </row>
    <row r="846" spans="2:6" ht="20.100000000000001" customHeight="1">
      <c r="B846" s="36"/>
      <c r="E846" s="43"/>
      <c r="F846" s="39"/>
    </row>
    <row r="847" spans="2:6" ht="20.100000000000001" customHeight="1">
      <c r="B847" s="36"/>
      <c r="E847" s="43"/>
      <c r="F847" s="39"/>
    </row>
    <row r="848" spans="2:6" ht="20.100000000000001" customHeight="1">
      <c r="B848" s="36"/>
      <c r="E848" s="43"/>
      <c r="F848" s="39"/>
    </row>
    <row r="849" spans="2:6" ht="20.100000000000001" customHeight="1">
      <c r="B849" s="36"/>
      <c r="E849" s="43"/>
      <c r="F849" s="39"/>
    </row>
    <row r="850" spans="2:6" ht="20.100000000000001" customHeight="1">
      <c r="B850" s="36"/>
      <c r="E850" s="43"/>
      <c r="F850" s="39"/>
    </row>
    <row r="851" spans="2:6" ht="20.100000000000001" customHeight="1">
      <c r="B851" s="36"/>
      <c r="E851" s="43"/>
      <c r="F851" s="39"/>
    </row>
    <row r="852" spans="2:6" ht="20.100000000000001" customHeight="1">
      <c r="B852" s="36"/>
      <c r="E852" s="43"/>
      <c r="F852" s="39"/>
    </row>
    <row r="853" spans="2:6" ht="20.100000000000001" customHeight="1">
      <c r="B853" s="36"/>
      <c r="E853" s="43"/>
      <c r="F853" s="39"/>
    </row>
    <row r="854" spans="2:6" ht="20.100000000000001" customHeight="1">
      <c r="B854" s="36"/>
      <c r="E854" s="43"/>
      <c r="F854" s="39"/>
    </row>
    <row r="855" spans="2:6" ht="20.100000000000001" customHeight="1">
      <c r="B855" s="36"/>
      <c r="E855" s="43"/>
      <c r="F855" s="39"/>
    </row>
    <row r="856" spans="2:6" ht="20.100000000000001" customHeight="1">
      <c r="B856" s="36"/>
      <c r="E856" s="43"/>
      <c r="F856" s="39"/>
    </row>
    <row r="857" spans="2:6" ht="20.100000000000001" customHeight="1">
      <c r="B857" s="36"/>
      <c r="E857" s="43"/>
      <c r="F857" s="39"/>
    </row>
    <row r="858" spans="2:6" ht="20.100000000000001" customHeight="1">
      <c r="B858" s="36"/>
      <c r="E858" s="43"/>
      <c r="F858" s="39"/>
    </row>
    <row r="859" spans="2:6" ht="20.100000000000001" customHeight="1">
      <c r="B859" s="36"/>
      <c r="E859" s="43"/>
      <c r="F859" s="39"/>
    </row>
    <row r="860" spans="2:6" ht="20.100000000000001" customHeight="1">
      <c r="B860" s="36"/>
      <c r="E860" s="43"/>
      <c r="F860" s="39"/>
    </row>
    <row r="861" spans="2:6" ht="20.100000000000001" customHeight="1">
      <c r="B861" s="36"/>
      <c r="E861" s="43"/>
      <c r="F861" s="39"/>
    </row>
    <row r="862" spans="2:6" ht="20.100000000000001" customHeight="1">
      <c r="B862" s="36"/>
      <c r="E862" s="43"/>
      <c r="F862" s="39"/>
    </row>
    <row r="863" spans="2:6" ht="20.100000000000001" customHeight="1">
      <c r="B863" s="36"/>
      <c r="E863" s="43"/>
      <c r="F863" s="39"/>
    </row>
    <row r="864" spans="2:6" ht="20.100000000000001" customHeight="1">
      <c r="B864" s="36"/>
      <c r="E864" s="43"/>
      <c r="F864" s="39"/>
    </row>
    <row r="865" spans="2:9" ht="20.100000000000001" customHeight="1">
      <c r="B865" s="36"/>
      <c r="E865" s="43"/>
      <c r="F865" s="39"/>
    </row>
    <row r="866" spans="2:9" ht="20.100000000000001" customHeight="1">
      <c r="B866" s="36"/>
      <c r="E866" s="43"/>
      <c r="F866" s="39"/>
    </row>
    <row r="867" spans="2:9" ht="20.100000000000001" customHeight="1">
      <c r="B867" s="36"/>
      <c r="E867" s="43"/>
      <c r="F867" s="39"/>
    </row>
    <row r="868" spans="2:9" ht="20.100000000000001" customHeight="1">
      <c r="B868" s="36"/>
      <c r="E868" s="43"/>
      <c r="F868" s="39"/>
      <c r="G868" s="37"/>
      <c r="H868" s="37"/>
      <c r="I868" s="37"/>
    </row>
    <row r="869" spans="2:9" ht="20.100000000000001" customHeight="1">
      <c r="B869" s="36"/>
      <c r="E869" s="43"/>
      <c r="F869" s="39"/>
      <c r="G869" s="37"/>
      <c r="H869" s="37"/>
      <c r="I869" s="37"/>
    </row>
    <row r="870" spans="2:9" ht="20.100000000000001" customHeight="1">
      <c r="B870" s="36"/>
      <c r="F870" s="39"/>
    </row>
    <row r="871" spans="2:9" ht="20.100000000000001" customHeight="1">
      <c r="B871" s="36"/>
      <c r="F871" s="39"/>
    </row>
    <row r="872" spans="2:9" ht="20.100000000000001" customHeight="1">
      <c r="B872" s="36"/>
      <c r="F872" s="39"/>
    </row>
    <row r="873" spans="2:9" ht="20.100000000000001" customHeight="1">
      <c r="B873" s="36"/>
      <c r="F873" s="39"/>
    </row>
    <row r="874" spans="2:9" ht="20.100000000000001" customHeight="1">
      <c r="B874" s="36"/>
      <c r="F874" s="39"/>
    </row>
    <row r="875" spans="2:9" ht="20.100000000000001" customHeight="1">
      <c r="B875" s="36"/>
      <c r="F875" s="39"/>
    </row>
    <row r="876" spans="2:9" ht="20.100000000000001" customHeight="1">
      <c r="B876" s="36"/>
      <c r="F876" s="39"/>
    </row>
    <row r="877" spans="2:9" ht="20.100000000000001" customHeight="1">
      <c r="B877" s="36"/>
      <c r="F877" s="39"/>
    </row>
    <row r="878" spans="2:9" ht="20.100000000000001" customHeight="1">
      <c r="B878" s="36"/>
      <c r="F878" s="39"/>
    </row>
    <row r="879" spans="2:9" ht="20.100000000000001" customHeight="1">
      <c r="B879" s="36"/>
      <c r="E879" s="43"/>
      <c r="F879" s="39"/>
    </row>
    <row r="880" spans="2:9" ht="20.100000000000001" customHeight="1">
      <c r="B880" s="36"/>
      <c r="E880" s="43"/>
      <c r="F880" s="39"/>
    </row>
    <row r="881" spans="2:6" ht="20.100000000000001" customHeight="1">
      <c r="B881" s="36"/>
      <c r="E881" s="43"/>
      <c r="F881" s="39"/>
    </row>
    <row r="882" spans="2:6" ht="20.100000000000001" customHeight="1">
      <c r="B882" s="36"/>
      <c r="E882" s="43"/>
      <c r="F882" s="39"/>
    </row>
    <row r="883" spans="2:6" ht="20.100000000000001" customHeight="1">
      <c r="B883" s="36"/>
      <c r="E883" s="43"/>
      <c r="F883" s="39"/>
    </row>
    <row r="884" spans="2:6" ht="20.100000000000001" customHeight="1">
      <c r="B884" s="36"/>
      <c r="E884" s="43"/>
      <c r="F884" s="39"/>
    </row>
    <row r="885" spans="2:6" ht="20.100000000000001" customHeight="1">
      <c r="B885" s="36"/>
      <c r="E885" s="43"/>
      <c r="F885" s="39"/>
    </row>
    <row r="886" spans="2:6" ht="20.100000000000001" customHeight="1">
      <c r="B886" s="36"/>
      <c r="E886" s="43"/>
      <c r="F886" s="39"/>
    </row>
    <row r="887" spans="2:6" ht="20.100000000000001" customHeight="1">
      <c r="B887" s="36"/>
      <c r="E887" s="43"/>
      <c r="F887" s="39"/>
    </row>
    <row r="888" spans="2:6" ht="20.100000000000001" customHeight="1">
      <c r="B888" s="36"/>
      <c r="E888" s="43"/>
      <c r="F888" s="39"/>
    </row>
    <row r="889" spans="2:6" ht="20.100000000000001" customHeight="1">
      <c r="B889" s="36"/>
      <c r="E889" s="43"/>
      <c r="F889" s="39"/>
    </row>
    <row r="890" spans="2:6" ht="20.100000000000001" customHeight="1">
      <c r="B890" s="36"/>
      <c r="E890" s="43"/>
      <c r="F890" s="39"/>
    </row>
    <row r="891" spans="2:6" ht="20.100000000000001" customHeight="1">
      <c r="B891" s="36"/>
      <c r="E891" s="43"/>
      <c r="F891" s="39"/>
    </row>
    <row r="892" spans="2:6" ht="20.100000000000001" customHeight="1">
      <c r="B892" s="36"/>
      <c r="E892" s="43"/>
      <c r="F892" s="39"/>
    </row>
    <row r="893" spans="2:6" ht="20.100000000000001" customHeight="1">
      <c r="B893" s="36"/>
      <c r="E893" s="43"/>
      <c r="F893" s="39"/>
    </row>
    <row r="894" spans="2:6" ht="20.100000000000001" customHeight="1">
      <c r="B894" s="36"/>
      <c r="E894" s="43"/>
      <c r="F894" s="39"/>
    </row>
    <row r="895" spans="2:6" ht="20.100000000000001" customHeight="1">
      <c r="B895" s="36"/>
      <c r="E895" s="43"/>
      <c r="F895" s="39"/>
    </row>
    <row r="896" spans="2:6" ht="20.100000000000001" customHeight="1">
      <c r="B896" s="36"/>
      <c r="E896" s="43"/>
      <c r="F896" s="39"/>
    </row>
    <row r="897" spans="2:9" ht="20.100000000000001" customHeight="1">
      <c r="B897" s="36"/>
      <c r="E897" s="43"/>
      <c r="F897" s="39"/>
    </row>
    <row r="898" spans="2:9" ht="20.100000000000001" customHeight="1">
      <c r="B898" s="36"/>
      <c r="E898" s="43"/>
      <c r="F898" s="39"/>
    </row>
    <row r="899" spans="2:9" ht="20.100000000000001" customHeight="1">
      <c r="B899" s="36"/>
      <c r="E899" s="43"/>
      <c r="F899" s="39"/>
    </row>
    <row r="900" spans="2:9" ht="20.100000000000001" customHeight="1">
      <c r="B900" s="36"/>
      <c r="E900" s="43"/>
      <c r="F900" s="39"/>
    </row>
    <row r="901" spans="2:9" ht="20.100000000000001" customHeight="1">
      <c r="B901" s="36"/>
      <c r="E901" s="43"/>
      <c r="F901" s="39"/>
    </row>
    <row r="902" spans="2:9" ht="20.100000000000001" customHeight="1">
      <c r="B902" s="36"/>
      <c r="E902" s="43"/>
      <c r="F902" s="39"/>
    </row>
    <row r="903" spans="2:9" ht="20.100000000000001" customHeight="1">
      <c r="B903" s="36"/>
      <c r="E903" s="43"/>
      <c r="F903" s="39"/>
    </row>
    <row r="904" spans="2:9" ht="20.100000000000001" customHeight="1">
      <c r="B904" s="36"/>
      <c r="E904" s="43"/>
      <c r="F904" s="39"/>
    </row>
    <row r="905" spans="2:9" ht="20.100000000000001" customHeight="1">
      <c r="B905" s="36"/>
      <c r="E905" s="43"/>
      <c r="F905" s="39"/>
    </row>
    <row r="906" spans="2:9" ht="20.100000000000001" customHeight="1">
      <c r="B906" s="36"/>
      <c r="E906" s="43"/>
      <c r="F906" s="39"/>
      <c r="G906" s="37"/>
      <c r="H906" s="37"/>
      <c r="I906" s="37"/>
    </row>
    <row r="907" spans="2:9" ht="20.100000000000001" customHeight="1">
      <c r="B907" s="36"/>
      <c r="E907" s="43"/>
      <c r="F907" s="39"/>
      <c r="G907" s="37"/>
      <c r="H907" s="37"/>
      <c r="I907" s="37"/>
    </row>
    <row r="908" spans="2:9" ht="20.100000000000001" customHeight="1">
      <c r="B908" s="36"/>
      <c r="F908" s="39"/>
    </row>
    <row r="909" spans="2:9" ht="20.100000000000001" customHeight="1">
      <c r="B909" s="36"/>
      <c r="F909" s="39"/>
    </row>
    <row r="910" spans="2:9" ht="20.100000000000001" customHeight="1">
      <c r="B910" s="36"/>
      <c r="F910" s="39"/>
    </row>
    <row r="911" spans="2:9" ht="20.100000000000001" customHeight="1">
      <c r="B911" s="36"/>
      <c r="F911" s="39"/>
    </row>
    <row r="912" spans="2:9" ht="20.100000000000001" customHeight="1">
      <c r="B912" s="36"/>
      <c r="F912" s="39"/>
    </row>
    <row r="913" spans="2:6" ht="20.100000000000001" customHeight="1">
      <c r="B913" s="36"/>
      <c r="F913" s="39"/>
    </row>
    <row r="914" spans="2:6" ht="20.100000000000001" customHeight="1">
      <c r="B914" s="36"/>
      <c r="F914" s="39"/>
    </row>
    <row r="915" spans="2:6" ht="20.100000000000001" customHeight="1">
      <c r="B915" s="36"/>
      <c r="F915" s="39"/>
    </row>
    <row r="916" spans="2:6" ht="20.100000000000001" customHeight="1">
      <c r="B916" s="36"/>
      <c r="F916" s="39"/>
    </row>
    <row r="917" spans="2:6" ht="20.100000000000001" customHeight="1">
      <c r="B917" s="36"/>
      <c r="E917" s="43"/>
      <c r="F917" s="39"/>
    </row>
    <row r="918" spans="2:6" ht="20.100000000000001" customHeight="1">
      <c r="B918" s="36"/>
      <c r="E918" s="43"/>
      <c r="F918" s="39"/>
    </row>
    <row r="919" spans="2:6" ht="20.100000000000001" customHeight="1">
      <c r="B919" s="36"/>
      <c r="E919" s="43"/>
      <c r="F919" s="39"/>
    </row>
    <row r="920" spans="2:6" ht="20.100000000000001" customHeight="1">
      <c r="B920" s="36"/>
      <c r="E920" s="43"/>
      <c r="F920" s="39"/>
    </row>
    <row r="921" spans="2:6" ht="20.100000000000001" customHeight="1">
      <c r="B921" s="36"/>
      <c r="E921" s="43"/>
      <c r="F921" s="39"/>
    </row>
    <row r="922" spans="2:6" ht="20.100000000000001" customHeight="1">
      <c r="B922" s="36"/>
      <c r="E922" s="43"/>
      <c r="F922" s="39"/>
    </row>
    <row r="923" spans="2:6" ht="20.100000000000001" customHeight="1">
      <c r="B923" s="36"/>
      <c r="E923" s="43"/>
      <c r="F923" s="39"/>
    </row>
    <row r="924" spans="2:6" ht="20.100000000000001" customHeight="1">
      <c r="B924" s="36"/>
      <c r="E924" s="43"/>
      <c r="F924" s="39"/>
    </row>
    <row r="925" spans="2:6" ht="20.100000000000001" customHeight="1">
      <c r="B925" s="36"/>
      <c r="E925" s="43"/>
      <c r="F925" s="39"/>
    </row>
    <row r="926" spans="2:6" ht="20.100000000000001" customHeight="1">
      <c r="B926" s="36"/>
      <c r="E926" s="43"/>
      <c r="F926" s="39"/>
    </row>
    <row r="927" spans="2:6" ht="20.100000000000001" customHeight="1">
      <c r="B927" s="36"/>
      <c r="E927" s="43"/>
      <c r="F927" s="39"/>
    </row>
    <row r="928" spans="2:6" ht="20.100000000000001" customHeight="1">
      <c r="B928" s="36"/>
      <c r="E928" s="43"/>
      <c r="F928" s="39"/>
    </row>
    <row r="929" spans="2:9" ht="20.100000000000001" customHeight="1">
      <c r="B929" s="36"/>
      <c r="E929" s="43"/>
      <c r="F929" s="39"/>
    </row>
    <row r="930" spans="2:9" ht="20.100000000000001" customHeight="1">
      <c r="B930" s="36"/>
      <c r="E930" s="43"/>
      <c r="F930" s="39"/>
    </row>
    <row r="931" spans="2:9" ht="20.100000000000001" customHeight="1">
      <c r="B931" s="36"/>
      <c r="E931" s="43"/>
      <c r="F931" s="39"/>
    </row>
    <row r="932" spans="2:9" ht="20.100000000000001" customHeight="1">
      <c r="B932" s="36"/>
      <c r="E932" s="43"/>
      <c r="F932" s="39"/>
    </row>
    <row r="933" spans="2:9" ht="20.100000000000001" customHeight="1">
      <c r="B933" s="36"/>
      <c r="E933" s="43"/>
      <c r="F933" s="39"/>
    </row>
    <row r="934" spans="2:9" ht="20.100000000000001" customHeight="1">
      <c r="B934" s="36"/>
      <c r="E934" s="43"/>
      <c r="F934" s="39"/>
    </row>
    <row r="935" spans="2:9" ht="20.100000000000001" customHeight="1">
      <c r="B935" s="36"/>
      <c r="E935" s="43"/>
      <c r="F935" s="39"/>
    </row>
    <row r="936" spans="2:9" ht="20.100000000000001" customHeight="1">
      <c r="B936" s="36"/>
      <c r="E936" s="43"/>
      <c r="F936" s="39"/>
    </row>
    <row r="937" spans="2:9" ht="20.100000000000001" customHeight="1">
      <c r="B937" s="36"/>
      <c r="E937" s="43"/>
      <c r="F937" s="39"/>
    </row>
    <row r="938" spans="2:9" ht="20.100000000000001" customHeight="1">
      <c r="B938" s="36"/>
      <c r="E938" s="43"/>
      <c r="F938" s="39"/>
    </row>
    <row r="939" spans="2:9" ht="20.100000000000001" customHeight="1">
      <c r="B939" s="36"/>
      <c r="E939" s="43"/>
      <c r="F939" s="39"/>
    </row>
    <row r="940" spans="2:9" ht="20.100000000000001" customHeight="1">
      <c r="B940" s="36"/>
      <c r="E940" s="43"/>
      <c r="F940" s="39"/>
    </row>
    <row r="941" spans="2:9" ht="20.100000000000001" customHeight="1">
      <c r="B941" s="36"/>
      <c r="E941" s="43"/>
      <c r="F941" s="39"/>
    </row>
    <row r="942" spans="2:9" ht="20.100000000000001" customHeight="1">
      <c r="B942" s="36"/>
      <c r="E942" s="43"/>
      <c r="F942" s="39"/>
    </row>
    <row r="943" spans="2:9" ht="20.100000000000001" customHeight="1">
      <c r="B943" s="36"/>
      <c r="E943" s="43"/>
      <c r="F943" s="39"/>
    </row>
    <row r="944" spans="2:9" ht="20.100000000000001" customHeight="1">
      <c r="B944" s="36"/>
      <c r="E944" s="43"/>
      <c r="F944" s="39"/>
      <c r="G944" s="37"/>
      <c r="H944" s="37"/>
      <c r="I944" s="37"/>
    </row>
    <row r="945" spans="2:9" ht="20.100000000000001" customHeight="1">
      <c r="B945" s="36"/>
      <c r="E945" s="43"/>
      <c r="F945" s="39"/>
      <c r="G945" s="37"/>
      <c r="H945" s="37"/>
      <c r="I945" s="37"/>
    </row>
    <row r="946" spans="2:9" ht="20.100000000000001" customHeight="1">
      <c r="F946" s="39"/>
    </row>
    <row r="947" spans="2:9" ht="20.100000000000001" customHeight="1">
      <c r="F947" s="39"/>
    </row>
    <row r="948" spans="2:9" ht="20.100000000000001" customHeight="1">
      <c r="F948" s="39"/>
    </row>
    <row r="949" spans="2:9" ht="20.100000000000001" customHeight="1">
      <c r="F949" s="39"/>
    </row>
    <row r="950" spans="2:9" ht="20.100000000000001" customHeight="1">
      <c r="F950" s="39"/>
    </row>
    <row r="951" spans="2:9" ht="20.100000000000001" customHeight="1">
      <c r="F951" s="39"/>
    </row>
    <row r="952" spans="2:9" ht="20.100000000000001" customHeight="1">
      <c r="F952" s="39"/>
    </row>
    <row r="953" spans="2:9" ht="20.100000000000001" customHeight="1">
      <c r="F953" s="39"/>
    </row>
    <row r="954" spans="2:9" ht="20.100000000000001" customHeight="1">
      <c r="F954" s="39"/>
    </row>
    <row r="955" spans="2:9" ht="20.100000000000001" customHeight="1">
      <c r="E955" s="43"/>
      <c r="F955" s="39"/>
    </row>
    <row r="956" spans="2:9" ht="20.100000000000001" customHeight="1">
      <c r="E956" s="43"/>
      <c r="F956" s="39"/>
    </row>
    <row r="957" spans="2:9" ht="20.100000000000001" customHeight="1">
      <c r="E957" s="43"/>
      <c r="F957" s="39"/>
    </row>
    <row r="958" spans="2:9" ht="20.100000000000001" customHeight="1">
      <c r="E958" s="43"/>
      <c r="F958" s="39"/>
    </row>
    <row r="959" spans="2:9" ht="20.100000000000001" customHeight="1">
      <c r="E959" s="43"/>
      <c r="F959" s="39"/>
    </row>
    <row r="960" spans="2:9" ht="20.100000000000001" customHeight="1">
      <c r="E960" s="43"/>
      <c r="F960" s="39"/>
    </row>
    <row r="961" spans="5:6" ht="20.100000000000001" customHeight="1">
      <c r="E961" s="43"/>
      <c r="F961" s="39"/>
    </row>
    <row r="962" spans="5:6" ht="20.100000000000001" customHeight="1">
      <c r="E962" s="43"/>
      <c r="F962" s="39"/>
    </row>
    <row r="963" spans="5:6" ht="20.100000000000001" customHeight="1">
      <c r="E963" s="43"/>
      <c r="F963" s="39"/>
    </row>
    <row r="964" spans="5:6" ht="20.100000000000001" customHeight="1">
      <c r="E964" s="43"/>
      <c r="F964" s="39"/>
    </row>
    <row r="965" spans="5:6" ht="20.100000000000001" customHeight="1">
      <c r="E965" s="43"/>
      <c r="F965" s="39"/>
    </row>
    <row r="966" spans="5:6" ht="20.100000000000001" customHeight="1">
      <c r="E966" s="43"/>
      <c r="F966" s="39"/>
    </row>
    <row r="967" spans="5:6" ht="20.100000000000001" customHeight="1">
      <c r="E967" s="43"/>
      <c r="F967" s="39"/>
    </row>
    <row r="968" spans="5:6" ht="20.100000000000001" customHeight="1">
      <c r="E968" s="43"/>
      <c r="F968" s="39"/>
    </row>
    <row r="969" spans="5:6" ht="20.100000000000001" customHeight="1">
      <c r="E969" s="43"/>
      <c r="F969" s="39"/>
    </row>
    <row r="970" spans="5:6" ht="20.100000000000001" customHeight="1">
      <c r="E970" s="43"/>
      <c r="F970" s="39"/>
    </row>
    <row r="971" spans="5:6" ht="20.100000000000001" customHeight="1">
      <c r="E971" s="43"/>
      <c r="F971" s="39"/>
    </row>
    <row r="972" spans="5:6" ht="20.100000000000001" customHeight="1">
      <c r="E972" s="43"/>
      <c r="F972" s="39"/>
    </row>
    <row r="973" spans="5:6" ht="20.100000000000001" customHeight="1">
      <c r="E973" s="43"/>
      <c r="F973" s="39"/>
    </row>
    <row r="974" spans="5:6" ht="20.100000000000001" customHeight="1">
      <c r="E974" s="43"/>
      <c r="F974" s="39"/>
    </row>
    <row r="975" spans="5:6" ht="20.100000000000001" customHeight="1">
      <c r="E975" s="43"/>
      <c r="F975" s="39"/>
    </row>
    <row r="976" spans="5:6" ht="20.100000000000001" customHeight="1">
      <c r="E976" s="43"/>
      <c r="F976" s="39"/>
    </row>
    <row r="977" spans="5:9" ht="20.100000000000001" customHeight="1">
      <c r="E977" s="43"/>
      <c r="F977" s="39"/>
    </row>
    <row r="978" spans="5:9" ht="20.100000000000001" customHeight="1">
      <c r="E978" s="43"/>
      <c r="F978" s="39"/>
    </row>
    <row r="979" spans="5:9" ht="20.100000000000001" customHeight="1">
      <c r="E979" s="43"/>
      <c r="F979" s="39"/>
    </row>
    <row r="980" spans="5:9" ht="20.100000000000001" customHeight="1">
      <c r="E980" s="43"/>
      <c r="F980" s="39"/>
    </row>
    <row r="981" spans="5:9" ht="20.100000000000001" customHeight="1">
      <c r="E981" s="43"/>
      <c r="F981" s="39"/>
    </row>
    <row r="982" spans="5:9" ht="20.100000000000001" customHeight="1">
      <c r="E982" s="43"/>
      <c r="F982" s="39"/>
      <c r="G982" s="37"/>
      <c r="H982" s="37"/>
      <c r="I982" s="37"/>
    </row>
    <row r="983" spans="5:9" ht="20.100000000000001" customHeight="1">
      <c r="E983" s="43"/>
      <c r="F983" s="39"/>
      <c r="G983" s="37"/>
      <c r="H983" s="37"/>
      <c r="I983" s="37"/>
    </row>
    <row r="984" spans="5:9" ht="20.100000000000001" customHeight="1">
      <c r="F984" s="39"/>
    </row>
    <row r="985" spans="5:9" ht="20.100000000000001" customHeight="1">
      <c r="F985" s="39"/>
    </row>
    <row r="986" spans="5:9" ht="20.100000000000001" customHeight="1">
      <c r="F986" s="39"/>
    </row>
    <row r="987" spans="5:9" ht="20.100000000000001" customHeight="1">
      <c r="F987" s="39"/>
    </row>
    <row r="988" spans="5:9" ht="20.100000000000001" customHeight="1">
      <c r="F988" s="39"/>
    </row>
    <row r="989" spans="5:9" ht="20.100000000000001" customHeight="1">
      <c r="F989" s="39"/>
    </row>
    <row r="990" spans="5:9" ht="20.100000000000001" customHeight="1">
      <c r="F990" s="39"/>
    </row>
    <row r="991" spans="5:9" ht="20.100000000000001" customHeight="1">
      <c r="F991" s="39"/>
    </row>
    <row r="992" spans="5:9" ht="20.100000000000001" customHeight="1">
      <c r="F992" s="39"/>
    </row>
    <row r="993" spans="5:6" ht="20.100000000000001" customHeight="1">
      <c r="E993" s="43"/>
      <c r="F993" s="39"/>
    </row>
    <row r="994" spans="5:6" ht="20.100000000000001" customHeight="1">
      <c r="E994" s="43"/>
      <c r="F994" s="39"/>
    </row>
    <row r="995" spans="5:6" ht="20.100000000000001" customHeight="1">
      <c r="E995" s="43"/>
      <c r="F995" s="39"/>
    </row>
    <row r="996" spans="5:6" ht="20.100000000000001" customHeight="1">
      <c r="E996" s="43"/>
      <c r="F996" s="39"/>
    </row>
    <row r="997" spans="5:6" ht="20.100000000000001" customHeight="1">
      <c r="E997" s="43"/>
      <c r="F997" s="39"/>
    </row>
    <row r="998" spans="5:6" ht="20.100000000000001" customHeight="1">
      <c r="E998" s="43"/>
      <c r="F998" s="39"/>
    </row>
    <row r="999" spans="5:6" ht="20.100000000000001" customHeight="1">
      <c r="E999" s="43"/>
      <c r="F999" s="39"/>
    </row>
    <row r="1000" spans="5:6" ht="20.100000000000001" customHeight="1">
      <c r="E1000" s="43"/>
      <c r="F1000" s="39"/>
    </row>
    <row r="1001" spans="5:6" ht="20.100000000000001" customHeight="1">
      <c r="E1001" s="43"/>
      <c r="F1001" s="39"/>
    </row>
    <row r="1002" spans="5:6" ht="20.100000000000001" customHeight="1">
      <c r="E1002" s="43"/>
      <c r="F1002" s="39"/>
    </row>
    <row r="1003" spans="5:6" ht="20.100000000000001" customHeight="1">
      <c r="E1003" s="43"/>
      <c r="F1003" s="39"/>
    </row>
    <row r="1004" spans="5:6" ht="20.100000000000001" customHeight="1">
      <c r="E1004" s="43"/>
      <c r="F1004" s="39"/>
    </row>
    <row r="1005" spans="5:6" ht="20.100000000000001" customHeight="1">
      <c r="E1005" s="43"/>
      <c r="F1005" s="39"/>
    </row>
    <row r="1006" spans="5:6" ht="20.100000000000001" customHeight="1">
      <c r="E1006" s="43"/>
      <c r="F1006" s="39"/>
    </row>
    <row r="1007" spans="5:6" ht="20.100000000000001" customHeight="1">
      <c r="E1007" s="43"/>
      <c r="F1007" s="39"/>
    </row>
    <row r="1008" spans="5:6" ht="20.100000000000001" customHeight="1">
      <c r="E1008" s="43"/>
      <c r="F1008" s="39"/>
    </row>
    <row r="1009" spans="5:9" ht="20.100000000000001" customHeight="1">
      <c r="E1009" s="43"/>
      <c r="F1009" s="39"/>
    </row>
    <row r="1010" spans="5:9" ht="20.100000000000001" customHeight="1">
      <c r="E1010" s="43"/>
      <c r="F1010" s="39"/>
    </row>
    <row r="1011" spans="5:9" ht="20.100000000000001" customHeight="1">
      <c r="E1011" s="43"/>
      <c r="F1011" s="39"/>
      <c r="G1011" s="37"/>
      <c r="H1011" s="37"/>
      <c r="I1011" s="37"/>
    </row>
    <row r="1012" spans="5:9" ht="20.100000000000001" customHeight="1">
      <c r="E1012" s="43"/>
      <c r="F1012" s="39"/>
      <c r="G1012" s="37"/>
      <c r="H1012" s="37"/>
      <c r="I1012" s="37"/>
    </row>
    <row r="1013" spans="5:9" ht="20.100000000000001" customHeight="1">
      <c r="F1013" s="39"/>
    </row>
    <row r="1014" spans="5:9" ht="20.100000000000001" customHeight="1">
      <c r="F1014" s="39"/>
    </row>
    <row r="1015" spans="5:9" ht="20.100000000000001" customHeight="1">
      <c r="F1015" s="39"/>
    </row>
    <row r="1016" spans="5:9" ht="20.100000000000001" customHeight="1">
      <c r="F1016" s="39"/>
    </row>
    <row r="1017" spans="5:9" ht="20.100000000000001" customHeight="1">
      <c r="F1017" s="39"/>
    </row>
    <row r="1018" spans="5:9" ht="20.100000000000001" customHeight="1">
      <c r="F1018" s="39"/>
    </row>
    <row r="1019" spans="5:9" ht="20.100000000000001" customHeight="1">
      <c r="F1019" s="39"/>
    </row>
    <row r="1020" spans="5:9" ht="20.100000000000001" customHeight="1">
      <c r="F1020" s="39"/>
    </row>
    <row r="1021" spans="5:9" ht="20.100000000000001" customHeight="1">
      <c r="F1021" s="39"/>
    </row>
    <row r="1022" spans="5:9" ht="20.100000000000001" customHeight="1">
      <c r="E1022" s="43"/>
      <c r="F1022" s="39"/>
    </row>
    <row r="1023" spans="5:9" ht="20.100000000000001" customHeight="1">
      <c r="E1023" s="43"/>
      <c r="F1023" s="39"/>
    </row>
    <row r="1024" spans="5:9" ht="20.100000000000001" customHeight="1">
      <c r="E1024" s="43"/>
      <c r="F1024" s="39"/>
    </row>
    <row r="1025" spans="5:6" ht="20.100000000000001" customHeight="1">
      <c r="E1025" s="43"/>
      <c r="F1025" s="39"/>
    </row>
    <row r="1026" spans="5:6" ht="20.100000000000001" customHeight="1">
      <c r="E1026" s="43"/>
      <c r="F1026" s="39"/>
    </row>
    <row r="1027" spans="5:6" ht="20.100000000000001" customHeight="1">
      <c r="E1027" s="43"/>
      <c r="F1027" s="39"/>
    </row>
    <row r="1028" spans="5:6" ht="20.100000000000001" customHeight="1">
      <c r="E1028" s="43"/>
      <c r="F1028" s="39"/>
    </row>
    <row r="1029" spans="5:6" ht="20.100000000000001" customHeight="1">
      <c r="E1029" s="43"/>
      <c r="F1029" s="39"/>
    </row>
    <row r="1030" spans="5:6" ht="20.100000000000001" customHeight="1">
      <c r="E1030" s="43"/>
      <c r="F1030" s="39"/>
    </row>
    <row r="1031" spans="5:6" ht="20.100000000000001" customHeight="1">
      <c r="E1031" s="43"/>
      <c r="F1031" s="39"/>
    </row>
    <row r="1032" spans="5:6" ht="20.100000000000001" customHeight="1">
      <c r="E1032" s="43"/>
      <c r="F1032" s="39"/>
    </row>
    <row r="1033" spans="5:6" ht="20.100000000000001" customHeight="1">
      <c r="E1033" s="43"/>
      <c r="F1033" s="39"/>
    </row>
    <row r="1034" spans="5:6" ht="20.100000000000001" customHeight="1">
      <c r="E1034" s="43"/>
      <c r="F1034" s="39"/>
    </row>
    <row r="1035" spans="5:6" ht="20.100000000000001" customHeight="1">
      <c r="E1035" s="43"/>
      <c r="F1035" s="39"/>
    </row>
    <row r="1036" spans="5:6" ht="20.100000000000001" customHeight="1">
      <c r="E1036" s="43"/>
      <c r="F1036" s="39"/>
    </row>
    <row r="1037" spans="5:6" ht="20.100000000000001" customHeight="1">
      <c r="E1037" s="43"/>
      <c r="F1037" s="39"/>
    </row>
    <row r="1038" spans="5:6" ht="20.100000000000001" customHeight="1">
      <c r="E1038" s="43"/>
      <c r="F1038" s="39"/>
    </row>
    <row r="1039" spans="5:6" ht="20.100000000000001" customHeight="1">
      <c r="E1039" s="43"/>
      <c r="F1039" s="39"/>
    </row>
    <row r="1040" spans="5:6" ht="20.100000000000001" customHeight="1">
      <c r="E1040" s="43"/>
      <c r="F1040" s="39"/>
    </row>
    <row r="1041" spans="5:9" ht="20.100000000000001" customHeight="1">
      <c r="E1041" s="43"/>
      <c r="F1041" s="39"/>
    </row>
    <row r="1042" spans="5:9" ht="20.100000000000001" customHeight="1">
      <c r="E1042" s="43"/>
      <c r="F1042" s="39"/>
    </row>
    <row r="1043" spans="5:9" ht="20.100000000000001" customHeight="1">
      <c r="E1043" s="43"/>
      <c r="F1043" s="39"/>
    </row>
    <row r="1044" spans="5:9" ht="20.100000000000001" customHeight="1">
      <c r="E1044" s="43"/>
      <c r="F1044" s="39"/>
    </row>
    <row r="1045" spans="5:9" ht="20.100000000000001" customHeight="1">
      <c r="E1045" s="43"/>
      <c r="F1045" s="39"/>
    </row>
    <row r="1046" spans="5:9" ht="20.100000000000001" customHeight="1">
      <c r="E1046" s="43"/>
      <c r="F1046" s="39"/>
    </row>
    <row r="1047" spans="5:9" ht="20.100000000000001" customHeight="1">
      <c r="E1047" s="43"/>
      <c r="F1047" s="39"/>
    </row>
    <row r="1048" spans="5:9" ht="20.100000000000001" customHeight="1">
      <c r="E1048" s="43"/>
      <c r="F1048" s="39"/>
    </row>
    <row r="1049" spans="5:9" ht="20.100000000000001" customHeight="1">
      <c r="E1049" s="43"/>
      <c r="F1049" s="39"/>
      <c r="G1049" s="37"/>
      <c r="H1049" s="37"/>
      <c r="I1049" s="37"/>
    </row>
    <row r="1050" spans="5:9" ht="20.100000000000001" customHeight="1">
      <c r="E1050" s="43"/>
      <c r="F1050" s="39"/>
      <c r="G1050" s="37"/>
      <c r="H1050" s="37"/>
      <c r="I1050" s="37"/>
    </row>
    <row r="1051" spans="5:9" ht="20.100000000000001" customHeight="1">
      <c r="F1051" s="39"/>
    </row>
    <row r="1052" spans="5:9" ht="20.100000000000001" customHeight="1">
      <c r="F1052" s="39"/>
    </row>
    <row r="1053" spans="5:9" ht="20.100000000000001" customHeight="1">
      <c r="F1053" s="39"/>
    </row>
    <row r="1054" spans="5:9" ht="20.100000000000001" customHeight="1">
      <c r="F1054" s="39"/>
    </row>
    <row r="1055" spans="5:9" ht="20.100000000000001" customHeight="1">
      <c r="F1055" s="39"/>
    </row>
    <row r="1056" spans="5:9" ht="20.100000000000001" customHeight="1">
      <c r="F1056" s="39"/>
    </row>
    <row r="1057" spans="5:6" ht="20.100000000000001" customHeight="1">
      <c r="F1057" s="39"/>
    </row>
    <row r="1058" spans="5:6" ht="20.100000000000001" customHeight="1">
      <c r="F1058" s="39"/>
    </row>
    <row r="1059" spans="5:6" ht="20.100000000000001" customHeight="1">
      <c r="F1059" s="39"/>
    </row>
    <row r="1060" spans="5:6" ht="20.100000000000001" customHeight="1">
      <c r="E1060" s="43"/>
      <c r="F1060" s="39"/>
    </row>
    <row r="1061" spans="5:6" ht="20.100000000000001" customHeight="1">
      <c r="E1061" s="43"/>
      <c r="F1061" s="39"/>
    </row>
    <row r="1062" spans="5:6" ht="20.100000000000001" customHeight="1">
      <c r="E1062" s="43"/>
      <c r="F1062" s="39"/>
    </row>
    <row r="1063" spans="5:6" ht="20.100000000000001" customHeight="1">
      <c r="E1063" s="43"/>
      <c r="F1063" s="39"/>
    </row>
    <row r="1064" spans="5:6" ht="20.100000000000001" customHeight="1">
      <c r="E1064" s="43"/>
      <c r="F1064" s="39"/>
    </row>
    <row r="1065" spans="5:6" ht="20.100000000000001" customHeight="1">
      <c r="E1065" s="43"/>
      <c r="F1065" s="39"/>
    </row>
    <row r="1066" spans="5:6" ht="20.100000000000001" customHeight="1">
      <c r="E1066" s="43"/>
      <c r="F1066" s="39"/>
    </row>
    <row r="1067" spans="5:6" ht="20.100000000000001" customHeight="1">
      <c r="E1067" s="43"/>
      <c r="F1067" s="39"/>
    </row>
    <row r="1068" spans="5:6" ht="20.100000000000001" customHeight="1">
      <c r="E1068" s="43"/>
      <c r="F1068" s="39"/>
    </row>
    <row r="1069" spans="5:6" ht="20.100000000000001" customHeight="1">
      <c r="E1069" s="43"/>
      <c r="F1069" s="39"/>
    </row>
    <row r="1070" spans="5:6" ht="20.100000000000001" customHeight="1">
      <c r="E1070" s="43"/>
      <c r="F1070" s="39"/>
    </row>
    <row r="1071" spans="5:6" ht="20.100000000000001" customHeight="1">
      <c r="E1071" s="43"/>
      <c r="F1071" s="39"/>
    </row>
    <row r="1072" spans="5:6" ht="20.100000000000001" customHeight="1">
      <c r="E1072" s="43"/>
      <c r="F1072" s="39"/>
    </row>
    <row r="1073" spans="5:9" ht="20.100000000000001" customHeight="1">
      <c r="E1073" s="43"/>
      <c r="F1073" s="39"/>
    </row>
    <row r="1074" spans="5:9" ht="20.100000000000001" customHeight="1">
      <c r="E1074" s="43"/>
      <c r="F1074" s="39"/>
    </row>
    <row r="1075" spans="5:9" ht="20.100000000000001" customHeight="1">
      <c r="E1075" s="43"/>
      <c r="F1075" s="39"/>
    </row>
    <row r="1076" spans="5:9" ht="20.100000000000001" customHeight="1">
      <c r="E1076" s="43"/>
      <c r="F1076" s="39"/>
    </row>
    <row r="1077" spans="5:9" ht="20.100000000000001" customHeight="1">
      <c r="E1077" s="43"/>
      <c r="F1077" s="39"/>
    </row>
    <row r="1078" spans="5:9" ht="20.100000000000001" customHeight="1">
      <c r="E1078" s="43"/>
      <c r="F1078" s="39"/>
    </row>
    <row r="1079" spans="5:9" ht="20.100000000000001" customHeight="1">
      <c r="E1079" s="43"/>
      <c r="F1079" s="39"/>
    </row>
    <row r="1080" spans="5:9" ht="20.100000000000001" customHeight="1">
      <c r="E1080" s="43"/>
      <c r="F1080" s="39"/>
    </row>
    <row r="1081" spans="5:9" ht="20.100000000000001" customHeight="1">
      <c r="E1081" s="43"/>
      <c r="F1081" s="39"/>
    </row>
    <row r="1082" spans="5:9" ht="20.100000000000001" customHeight="1">
      <c r="E1082" s="43"/>
      <c r="F1082" s="39"/>
    </row>
    <row r="1083" spans="5:9" ht="20.100000000000001" customHeight="1">
      <c r="E1083" s="43"/>
      <c r="F1083" s="39"/>
    </row>
    <row r="1084" spans="5:9" ht="20.100000000000001" customHeight="1">
      <c r="E1084" s="43"/>
      <c r="F1084" s="39"/>
    </row>
    <row r="1085" spans="5:9" ht="20.100000000000001" customHeight="1">
      <c r="E1085" s="43"/>
      <c r="F1085" s="39"/>
    </row>
    <row r="1086" spans="5:9" ht="20.100000000000001" customHeight="1">
      <c r="E1086" s="43"/>
      <c r="F1086" s="39"/>
    </row>
    <row r="1087" spans="5:9" ht="20.100000000000001" customHeight="1">
      <c r="E1087" s="43"/>
      <c r="F1087" s="39"/>
      <c r="G1087" s="37"/>
      <c r="H1087" s="37"/>
      <c r="I1087" s="37"/>
    </row>
    <row r="1088" spans="5:9" ht="20.100000000000001" customHeight="1">
      <c r="E1088" s="43"/>
      <c r="F1088" s="39"/>
      <c r="G1088" s="37"/>
      <c r="H1088" s="37"/>
      <c r="I1088" s="37"/>
    </row>
    <row r="1089" spans="5:6" ht="20.100000000000001" customHeight="1">
      <c r="F1089" s="39"/>
    </row>
    <row r="1090" spans="5:6" ht="20.100000000000001" customHeight="1">
      <c r="F1090" s="39"/>
    </row>
    <row r="1091" spans="5:6" ht="20.100000000000001" customHeight="1">
      <c r="F1091" s="39"/>
    </row>
    <row r="1092" spans="5:6" ht="20.100000000000001" customHeight="1">
      <c r="F1092" s="39"/>
    </row>
    <row r="1093" spans="5:6" ht="20.100000000000001" customHeight="1">
      <c r="F1093" s="39"/>
    </row>
    <row r="1094" spans="5:6" ht="20.100000000000001" customHeight="1">
      <c r="F1094" s="39"/>
    </row>
    <row r="1095" spans="5:6" ht="20.100000000000001" customHeight="1">
      <c r="F1095" s="39"/>
    </row>
    <row r="1096" spans="5:6" ht="20.100000000000001" customHeight="1">
      <c r="F1096" s="39"/>
    </row>
    <row r="1097" spans="5:6" ht="20.100000000000001" customHeight="1">
      <c r="F1097" s="39"/>
    </row>
    <row r="1098" spans="5:6" ht="20.100000000000001" customHeight="1">
      <c r="E1098" s="43"/>
      <c r="F1098" s="39"/>
    </row>
    <row r="1099" spans="5:6" ht="20.100000000000001" customHeight="1">
      <c r="E1099" s="43"/>
      <c r="F1099" s="39"/>
    </row>
    <row r="1100" spans="5:6" ht="20.100000000000001" customHeight="1">
      <c r="E1100" s="43"/>
      <c r="F1100" s="39"/>
    </row>
    <row r="1101" spans="5:6" ht="20.100000000000001" customHeight="1">
      <c r="E1101" s="43"/>
      <c r="F1101" s="39"/>
    </row>
    <row r="1102" spans="5:6" ht="20.100000000000001" customHeight="1">
      <c r="E1102" s="43"/>
      <c r="F1102" s="39"/>
    </row>
    <row r="1103" spans="5:6" ht="20.100000000000001" customHeight="1">
      <c r="E1103" s="43"/>
      <c r="F1103" s="39"/>
    </row>
    <row r="1104" spans="5:6" ht="20.100000000000001" customHeight="1">
      <c r="E1104" s="43"/>
      <c r="F1104" s="39"/>
    </row>
    <row r="1105" spans="5:6" ht="20.100000000000001" customHeight="1">
      <c r="E1105" s="43"/>
      <c r="F1105" s="39"/>
    </row>
    <row r="1106" spans="5:6" ht="20.100000000000001" customHeight="1">
      <c r="E1106" s="43"/>
      <c r="F1106" s="39"/>
    </row>
    <row r="1107" spans="5:6" ht="20.100000000000001" customHeight="1">
      <c r="E1107" s="43"/>
      <c r="F1107" s="39"/>
    </row>
    <row r="1108" spans="5:6" ht="20.100000000000001" customHeight="1">
      <c r="E1108" s="43"/>
      <c r="F1108" s="39"/>
    </row>
    <row r="1109" spans="5:6" ht="20.100000000000001" customHeight="1">
      <c r="E1109" s="43"/>
      <c r="F1109" s="39"/>
    </row>
    <row r="1110" spans="5:6" ht="20.100000000000001" customHeight="1">
      <c r="E1110" s="43"/>
      <c r="F1110" s="39"/>
    </row>
    <row r="1111" spans="5:6" ht="20.100000000000001" customHeight="1">
      <c r="E1111" s="43"/>
      <c r="F1111" s="39"/>
    </row>
    <row r="1112" spans="5:6" ht="20.100000000000001" customHeight="1">
      <c r="E1112" s="43"/>
      <c r="F1112" s="39"/>
    </row>
    <row r="1113" spans="5:6" ht="20.100000000000001" customHeight="1">
      <c r="E1113" s="43"/>
      <c r="F1113" s="39"/>
    </row>
    <row r="1114" spans="5:6" ht="20.100000000000001" customHeight="1">
      <c r="E1114" s="43"/>
      <c r="F1114" s="39"/>
    </row>
    <row r="1115" spans="5:6" ht="20.100000000000001" customHeight="1">
      <c r="E1115" s="43"/>
      <c r="F1115" s="39"/>
    </row>
    <row r="1116" spans="5:6" ht="20.100000000000001" customHeight="1">
      <c r="E1116" s="43"/>
      <c r="F1116" s="39"/>
    </row>
    <row r="1117" spans="5:6" ht="20.100000000000001" customHeight="1">
      <c r="E1117" s="43"/>
      <c r="F1117" s="39"/>
    </row>
    <row r="1118" spans="5:6" ht="20.100000000000001" customHeight="1">
      <c r="E1118" s="43"/>
      <c r="F1118" s="39"/>
    </row>
    <row r="1119" spans="5:6" ht="20.100000000000001" customHeight="1">
      <c r="E1119" s="43"/>
      <c r="F1119" s="39"/>
    </row>
    <row r="1120" spans="5:6" ht="20.100000000000001" customHeight="1">
      <c r="E1120" s="43"/>
      <c r="F1120" s="39"/>
    </row>
    <row r="1121" spans="5:9" ht="20.100000000000001" customHeight="1">
      <c r="E1121" s="43"/>
      <c r="F1121" s="39"/>
    </row>
    <row r="1122" spans="5:9" ht="20.100000000000001" customHeight="1">
      <c r="E1122" s="43"/>
      <c r="F1122" s="39"/>
    </row>
    <row r="1123" spans="5:9" ht="20.100000000000001" customHeight="1">
      <c r="E1123" s="43"/>
      <c r="F1123" s="39"/>
    </row>
    <row r="1124" spans="5:9" ht="20.100000000000001" customHeight="1">
      <c r="E1124" s="43"/>
      <c r="F1124" s="39"/>
    </row>
    <row r="1125" spans="5:9" ht="20.100000000000001" customHeight="1">
      <c r="E1125" s="43"/>
      <c r="F1125" s="39"/>
      <c r="G1125" s="37"/>
      <c r="H1125" s="37"/>
      <c r="I1125" s="37"/>
    </row>
    <row r="1126" spans="5:9" ht="20.100000000000001" customHeight="1">
      <c r="E1126" s="43"/>
      <c r="F1126" s="39"/>
      <c r="G1126" s="37"/>
      <c r="H1126" s="37"/>
      <c r="I1126" s="37"/>
    </row>
    <row r="1127" spans="5:9" ht="20.100000000000001" customHeight="1">
      <c r="F1127" s="39"/>
    </row>
    <row r="1128" spans="5:9" ht="20.100000000000001" customHeight="1">
      <c r="F1128" s="39"/>
    </row>
    <row r="1129" spans="5:9" ht="20.100000000000001" customHeight="1">
      <c r="F1129" s="39"/>
    </row>
    <row r="1130" spans="5:9" ht="20.100000000000001" customHeight="1">
      <c r="F1130" s="39"/>
    </row>
    <row r="1131" spans="5:9" ht="20.100000000000001" customHeight="1">
      <c r="F1131" s="39"/>
    </row>
    <row r="1132" spans="5:9" ht="20.100000000000001" customHeight="1">
      <c r="F1132" s="39"/>
    </row>
    <row r="1133" spans="5:9" ht="20.100000000000001" customHeight="1">
      <c r="F1133" s="39"/>
    </row>
    <row r="1134" spans="5:9" ht="20.100000000000001" customHeight="1">
      <c r="F1134" s="39"/>
    </row>
    <row r="1135" spans="5:9" ht="20.100000000000001" customHeight="1">
      <c r="F1135" s="39"/>
    </row>
    <row r="1136" spans="5:9" ht="20.100000000000001" customHeight="1">
      <c r="E1136" s="43"/>
      <c r="F1136" s="39"/>
    </row>
    <row r="1137" spans="5:6" ht="20.100000000000001" customHeight="1">
      <c r="E1137" s="43"/>
      <c r="F1137" s="39"/>
    </row>
    <row r="1138" spans="5:6" ht="20.100000000000001" customHeight="1">
      <c r="E1138" s="43"/>
      <c r="F1138" s="39"/>
    </row>
    <row r="1139" spans="5:6" ht="20.100000000000001" customHeight="1">
      <c r="E1139" s="43"/>
      <c r="F1139" s="39"/>
    </row>
    <row r="1140" spans="5:6" ht="20.100000000000001" customHeight="1">
      <c r="E1140" s="43"/>
      <c r="F1140" s="39"/>
    </row>
    <row r="1141" spans="5:6" ht="20.100000000000001" customHeight="1">
      <c r="E1141" s="43"/>
      <c r="F1141" s="39"/>
    </row>
    <row r="1142" spans="5:6" ht="20.100000000000001" customHeight="1">
      <c r="E1142" s="43"/>
      <c r="F1142" s="39"/>
    </row>
    <row r="1143" spans="5:6" ht="20.100000000000001" customHeight="1">
      <c r="E1143" s="43"/>
      <c r="F1143" s="39"/>
    </row>
    <row r="1144" spans="5:6" ht="20.100000000000001" customHeight="1">
      <c r="E1144" s="43"/>
      <c r="F1144" s="39"/>
    </row>
    <row r="1145" spans="5:6" ht="20.100000000000001" customHeight="1">
      <c r="E1145" s="43"/>
      <c r="F1145" s="39"/>
    </row>
    <row r="1146" spans="5:6" ht="20.100000000000001" customHeight="1">
      <c r="E1146" s="43"/>
      <c r="F1146" s="39"/>
    </row>
    <row r="1147" spans="5:6" ht="20.100000000000001" customHeight="1">
      <c r="E1147" s="43"/>
      <c r="F1147" s="39"/>
    </row>
    <row r="1148" spans="5:6" ht="20.100000000000001" customHeight="1">
      <c r="E1148" s="43"/>
      <c r="F1148" s="39"/>
    </row>
    <row r="1149" spans="5:6" ht="20.100000000000001" customHeight="1">
      <c r="E1149" s="43"/>
      <c r="F1149" s="39"/>
    </row>
    <row r="1150" spans="5:6" ht="20.100000000000001" customHeight="1">
      <c r="E1150" s="43"/>
      <c r="F1150" s="39"/>
    </row>
    <row r="1151" spans="5:6" ht="20.100000000000001" customHeight="1">
      <c r="E1151" s="43"/>
      <c r="F1151" s="39"/>
    </row>
    <row r="1152" spans="5:6" ht="20.100000000000001" customHeight="1">
      <c r="E1152" s="43"/>
      <c r="F1152" s="39"/>
    </row>
    <row r="1153" spans="5:9" ht="20.100000000000001" customHeight="1">
      <c r="E1153" s="43"/>
      <c r="F1153" s="39"/>
    </row>
    <row r="1154" spans="5:9" ht="20.100000000000001" customHeight="1">
      <c r="E1154" s="43"/>
      <c r="F1154" s="39"/>
    </row>
    <row r="1155" spans="5:9" ht="20.100000000000001" customHeight="1">
      <c r="E1155" s="43"/>
      <c r="F1155" s="39"/>
    </row>
    <row r="1156" spans="5:9" ht="20.100000000000001" customHeight="1">
      <c r="E1156" s="43"/>
      <c r="F1156" s="39"/>
    </row>
    <row r="1157" spans="5:9" ht="20.100000000000001" customHeight="1">
      <c r="E1157" s="43"/>
      <c r="F1157" s="39"/>
    </row>
    <row r="1158" spans="5:9" ht="20.100000000000001" customHeight="1">
      <c r="E1158" s="43"/>
      <c r="F1158" s="39"/>
    </row>
    <row r="1159" spans="5:9" ht="20.100000000000001" customHeight="1">
      <c r="E1159" s="43"/>
      <c r="F1159" s="39"/>
    </row>
    <row r="1160" spans="5:9" ht="20.100000000000001" customHeight="1">
      <c r="E1160" s="43"/>
      <c r="F1160" s="39"/>
    </row>
    <row r="1161" spans="5:9" ht="20.100000000000001" customHeight="1">
      <c r="E1161" s="43"/>
      <c r="F1161" s="39"/>
    </row>
    <row r="1162" spans="5:9" ht="20.100000000000001" customHeight="1">
      <c r="E1162" s="43"/>
      <c r="F1162" s="39"/>
    </row>
    <row r="1163" spans="5:9" ht="20.100000000000001" customHeight="1">
      <c r="E1163" s="43"/>
      <c r="F1163" s="39"/>
      <c r="G1163" s="37"/>
      <c r="H1163" s="37"/>
      <c r="I1163" s="37"/>
    </row>
    <row r="1164" spans="5:9" ht="20.100000000000001" customHeight="1">
      <c r="E1164" s="43"/>
      <c r="F1164" s="39"/>
      <c r="G1164" s="37"/>
      <c r="H1164" s="37"/>
      <c r="I1164" s="37"/>
    </row>
    <row r="1165" spans="5:9" ht="20.100000000000001" customHeight="1">
      <c r="F1165" s="39"/>
    </row>
    <row r="1166" spans="5:9" ht="20.100000000000001" customHeight="1">
      <c r="F1166" s="39"/>
    </row>
    <row r="1167" spans="5:9" ht="20.100000000000001" customHeight="1">
      <c r="F1167" s="39"/>
    </row>
    <row r="1168" spans="5:9" ht="20.100000000000001" customHeight="1">
      <c r="F1168" s="39"/>
    </row>
    <row r="1169" spans="5:6" ht="20.100000000000001" customHeight="1">
      <c r="F1169" s="39"/>
    </row>
    <row r="1170" spans="5:6" ht="20.100000000000001" customHeight="1">
      <c r="F1170" s="39"/>
    </row>
    <row r="1171" spans="5:6" ht="20.100000000000001" customHeight="1">
      <c r="F1171" s="39"/>
    </row>
    <row r="1172" spans="5:6" ht="20.100000000000001" customHeight="1">
      <c r="F1172" s="39"/>
    </row>
    <row r="1173" spans="5:6" ht="20.100000000000001" customHeight="1">
      <c r="F1173" s="39"/>
    </row>
    <row r="1174" spans="5:6" ht="20.100000000000001" customHeight="1">
      <c r="E1174" s="43"/>
      <c r="F1174" s="39"/>
    </row>
    <row r="1175" spans="5:6" ht="20.100000000000001" customHeight="1">
      <c r="E1175" s="43"/>
      <c r="F1175" s="39"/>
    </row>
    <row r="1176" spans="5:6" ht="20.100000000000001" customHeight="1">
      <c r="E1176" s="43"/>
      <c r="F1176" s="39"/>
    </row>
    <row r="1177" spans="5:6" ht="20.100000000000001" customHeight="1">
      <c r="E1177" s="43"/>
      <c r="F1177" s="39"/>
    </row>
    <row r="1178" spans="5:6" ht="20.100000000000001" customHeight="1">
      <c r="E1178" s="43"/>
      <c r="F1178" s="39"/>
    </row>
    <row r="1179" spans="5:6" ht="20.100000000000001" customHeight="1">
      <c r="E1179" s="43"/>
      <c r="F1179" s="39"/>
    </row>
    <row r="1180" spans="5:6" ht="20.100000000000001" customHeight="1">
      <c r="E1180" s="43"/>
      <c r="F1180" s="39"/>
    </row>
    <row r="1181" spans="5:6" ht="20.100000000000001" customHeight="1">
      <c r="E1181" s="43"/>
      <c r="F1181" s="39"/>
    </row>
    <row r="1182" spans="5:6" ht="20.100000000000001" customHeight="1">
      <c r="E1182" s="43"/>
      <c r="F1182" s="39"/>
    </row>
    <row r="1183" spans="5:6" ht="20.100000000000001" customHeight="1">
      <c r="E1183" s="43"/>
      <c r="F1183" s="39"/>
    </row>
    <row r="1184" spans="5:6" ht="20.100000000000001" customHeight="1">
      <c r="E1184" s="43"/>
      <c r="F1184" s="39"/>
    </row>
    <row r="1185" spans="5:6" ht="20.100000000000001" customHeight="1">
      <c r="E1185" s="43"/>
      <c r="F1185" s="39"/>
    </row>
    <row r="1186" spans="5:6" ht="20.100000000000001" customHeight="1">
      <c r="E1186" s="43"/>
      <c r="F1186" s="39"/>
    </row>
    <row r="1187" spans="5:6" ht="20.100000000000001" customHeight="1">
      <c r="E1187" s="43"/>
      <c r="F1187" s="39"/>
    </row>
    <row r="1188" spans="5:6" ht="20.100000000000001" customHeight="1">
      <c r="E1188" s="43"/>
      <c r="F1188" s="39"/>
    </row>
    <row r="1189" spans="5:6" ht="20.100000000000001" customHeight="1">
      <c r="E1189" s="43"/>
      <c r="F1189" s="39"/>
    </row>
    <row r="1190" spans="5:6" ht="20.100000000000001" customHeight="1">
      <c r="E1190" s="43"/>
      <c r="F1190" s="39"/>
    </row>
    <row r="1191" spans="5:6" ht="20.100000000000001" customHeight="1">
      <c r="E1191" s="43"/>
      <c r="F1191" s="39"/>
    </row>
    <row r="1192" spans="5:6" ht="20.100000000000001" customHeight="1">
      <c r="E1192" s="43"/>
      <c r="F1192" s="39"/>
    </row>
    <row r="1193" spans="5:6" ht="20.100000000000001" customHeight="1">
      <c r="E1193" s="43"/>
      <c r="F1193" s="39"/>
    </row>
    <row r="1194" spans="5:6" ht="20.100000000000001" customHeight="1">
      <c r="E1194" s="43"/>
      <c r="F1194" s="39"/>
    </row>
    <row r="1195" spans="5:6" ht="20.100000000000001" customHeight="1">
      <c r="E1195" s="43"/>
      <c r="F1195" s="39"/>
    </row>
    <row r="1196" spans="5:6" ht="20.100000000000001" customHeight="1">
      <c r="E1196" s="43"/>
      <c r="F1196" s="39"/>
    </row>
    <row r="1197" spans="5:6" ht="20.100000000000001" customHeight="1">
      <c r="E1197" s="43"/>
      <c r="F1197" s="39"/>
    </row>
    <row r="1198" spans="5:6" ht="20.100000000000001" customHeight="1">
      <c r="E1198" s="43"/>
      <c r="F1198" s="39"/>
    </row>
    <row r="1199" spans="5:6" ht="20.100000000000001" customHeight="1">
      <c r="E1199" s="43"/>
      <c r="F1199" s="39"/>
    </row>
    <row r="1200" spans="5:6" ht="20.100000000000001" customHeight="1">
      <c r="E1200" s="43"/>
      <c r="F1200" s="39"/>
    </row>
    <row r="1201" spans="5:9" ht="20.100000000000001" customHeight="1">
      <c r="E1201" s="43"/>
      <c r="F1201" s="39"/>
      <c r="G1201" s="37"/>
      <c r="H1201" s="37"/>
      <c r="I1201" s="37"/>
    </row>
    <row r="1202" spans="5:9" ht="20.100000000000001" customHeight="1">
      <c r="E1202" s="43"/>
      <c r="F1202" s="39"/>
      <c r="G1202" s="37"/>
      <c r="H1202" s="37"/>
      <c r="I1202" s="37"/>
    </row>
    <row r="1203" spans="5:9" ht="20.100000000000001" customHeight="1">
      <c r="F1203" s="39"/>
    </row>
    <row r="1204" spans="5:9" ht="20.100000000000001" customHeight="1">
      <c r="F1204" s="39"/>
    </row>
    <row r="1205" spans="5:9" ht="20.100000000000001" customHeight="1">
      <c r="F1205" s="39"/>
    </row>
    <row r="1206" spans="5:9" ht="20.100000000000001" customHeight="1">
      <c r="F1206" s="39"/>
    </row>
    <row r="1207" spans="5:9" ht="20.100000000000001" customHeight="1">
      <c r="F1207" s="39"/>
    </row>
    <row r="1208" spans="5:9" ht="20.100000000000001" customHeight="1">
      <c r="F1208" s="39"/>
    </row>
    <row r="1209" spans="5:9" ht="20.100000000000001" customHeight="1">
      <c r="F1209" s="39"/>
    </row>
    <row r="1210" spans="5:9" ht="20.100000000000001" customHeight="1">
      <c r="F1210" s="39"/>
    </row>
    <row r="1211" spans="5:9" ht="20.100000000000001" customHeight="1">
      <c r="F1211" s="39"/>
    </row>
    <row r="1212" spans="5:9" ht="20.100000000000001" customHeight="1">
      <c r="E1212" s="43"/>
      <c r="F1212" s="39"/>
    </row>
    <row r="1213" spans="5:9" ht="20.100000000000001" customHeight="1">
      <c r="E1213" s="43"/>
      <c r="F1213" s="39"/>
    </row>
    <row r="1214" spans="5:9" ht="20.100000000000001" customHeight="1">
      <c r="E1214" s="43"/>
      <c r="F1214" s="39"/>
    </row>
    <row r="1215" spans="5:9" ht="20.100000000000001" customHeight="1">
      <c r="E1215" s="43"/>
      <c r="F1215" s="39"/>
    </row>
    <row r="1216" spans="5:9" ht="20.100000000000001" customHeight="1">
      <c r="E1216" s="43"/>
      <c r="F1216" s="39"/>
    </row>
    <row r="1217" spans="5:6" ht="20.100000000000001" customHeight="1">
      <c r="E1217" s="43"/>
      <c r="F1217" s="39"/>
    </row>
    <row r="1218" spans="5:6" ht="20.100000000000001" customHeight="1">
      <c r="E1218" s="43"/>
      <c r="F1218" s="39"/>
    </row>
    <row r="1219" spans="5:6" ht="20.100000000000001" customHeight="1">
      <c r="E1219" s="43"/>
      <c r="F1219" s="39"/>
    </row>
    <row r="1220" spans="5:6" ht="20.100000000000001" customHeight="1">
      <c r="E1220" s="43"/>
      <c r="F1220" s="39"/>
    </row>
    <row r="1221" spans="5:6" ht="20.100000000000001" customHeight="1">
      <c r="E1221" s="43"/>
      <c r="F1221" s="39"/>
    </row>
    <row r="1222" spans="5:6" ht="20.100000000000001" customHeight="1">
      <c r="E1222" s="43"/>
      <c r="F1222" s="39"/>
    </row>
    <row r="1223" spans="5:6" ht="20.100000000000001" customHeight="1">
      <c r="E1223" s="43"/>
      <c r="F1223" s="39"/>
    </row>
    <row r="1224" spans="5:6" ht="20.100000000000001" customHeight="1">
      <c r="E1224" s="43"/>
      <c r="F1224" s="39"/>
    </row>
    <row r="1225" spans="5:6" ht="20.100000000000001" customHeight="1">
      <c r="E1225" s="43"/>
      <c r="F1225" s="39"/>
    </row>
    <row r="1226" spans="5:6" ht="20.100000000000001" customHeight="1">
      <c r="E1226" s="43"/>
      <c r="F1226" s="39"/>
    </row>
    <row r="1227" spans="5:6" ht="20.100000000000001" customHeight="1">
      <c r="E1227" s="43"/>
      <c r="F1227" s="39"/>
    </row>
    <row r="1228" spans="5:6" ht="20.100000000000001" customHeight="1">
      <c r="E1228" s="43"/>
      <c r="F1228" s="39"/>
    </row>
    <row r="1229" spans="5:6" ht="20.100000000000001" customHeight="1">
      <c r="E1229" s="43"/>
      <c r="F1229" s="39"/>
    </row>
    <row r="1230" spans="5:6" ht="20.100000000000001" customHeight="1">
      <c r="E1230" s="43"/>
      <c r="F1230" s="39"/>
    </row>
    <row r="1231" spans="5:6" ht="20.100000000000001" customHeight="1">
      <c r="E1231" s="43"/>
      <c r="F1231" s="39"/>
    </row>
    <row r="1232" spans="5:6" ht="20.100000000000001" customHeight="1">
      <c r="E1232" s="43"/>
      <c r="F1232" s="39"/>
    </row>
    <row r="1233" spans="5:9" ht="20.100000000000001" customHeight="1">
      <c r="E1233" s="43"/>
      <c r="F1233" s="39"/>
    </row>
    <row r="1234" spans="5:9" ht="20.100000000000001" customHeight="1">
      <c r="E1234" s="43"/>
      <c r="F1234" s="39"/>
    </row>
    <row r="1235" spans="5:9" ht="20.100000000000001" customHeight="1">
      <c r="E1235" s="43"/>
      <c r="F1235" s="39"/>
    </row>
    <row r="1236" spans="5:9" ht="20.100000000000001" customHeight="1">
      <c r="E1236" s="43"/>
      <c r="F1236" s="39"/>
    </row>
    <row r="1237" spans="5:9" ht="20.100000000000001" customHeight="1">
      <c r="E1237" s="43"/>
      <c r="F1237" s="39"/>
    </row>
    <row r="1238" spans="5:9" ht="20.100000000000001" customHeight="1">
      <c r="E1238" s="43"/>
      <c r="F1238" s="39"/>
    </row>
    <row r="1239" spans="5:9" ht="20.100000000000001" customHeight="1">
      <c r="E1239" s="43"/>
      <c r="F1239" s="39"/>
      <c r="G1239" s="37"/>
      <c r="H1239" s="37"/>
      <c r="I1239" s="37"/>
    </row>
    <row r="1240" spans="5:9" ht="20.100000000000001" customHeight="1">
      <c r="E1240" s="43"/>
      <c r="F1240" s="39"/>
      <c r="G1240" s="37"/>
      <c r="H1240" s="37"/>
      <c r="I1240" s="37"/>
    </row>
    <row r="1241" spans="5:9" ht="20.100000000000001" customHeight="1">
      <c r="F1241" s="39"/>
    </row>
    <row r="1242" spans="5:9" ht="20.100000000000001" customHeight="1">
      <c r="F1242" s="39"/>
    </row>
    <row r="1243" spans="5:9" ht="20.100000000000001" customHeight="1">
      <c r="F1243" s="39"/>
    </row>
    <row r="1244" spans="5:9" ht="20.100000000000001" customHeight="1">
      <c r="F1244" s="39"/>
    </row>
    <row r="1245" spans="5:9" ht="20.100000000000001" customHeight="1">
      <c r="F1245" s="39"/>
    </row>
    <row r="1246" spans="5:9" ht="20.100000000000001" customHeight="1">
      <c r="F1246" s="39"/>
    </row>
    <row r="1247" spans="5:9" ht="20.100000000000001" customHeight="1">
      <c r="F1247" s="39"/>
    </row>
    <row r="1248" spans="5:9" ht="20.100000000000001" customHeight="1">
      <c r="F1248" s="39"/>
    </row>
    <row r="1249" spans="5:6" ht="20.100000000000001" customHeight="1">
      <c r="F1249" s="39"/>
    </row>
    <row r="1250" spans="5:6" ht="20.100000000000001" customHeight="1">
      <c r="E1250" s="43"/>
      <c r="F1250" s="39"/>
    </row>
    <row r="1251" spans="5:6" ht="20.100000000000001" customHeight="1">
      <c r="E1251" s="43"/>
      <c r="F1251" s="39"/>
    </row>
    <row r="1252" spans="5:6" ht="20.100000000000001" customHeight="1">
      <c r="E1252" s="43"/>
      <c r="F1252" s="39"/>
    </row>
    <row r="1253" spans="5:6" ht="20.100000000000001" customHeight="1">
      <c r="E1253" s="43"/>
      <c r="F1253" s="39"/>
    </row>
    <row r="1254" spans="5:6" ht="20.100000000000001" customHeight="1">
      <c r="E1254" s="43"/>
      <c r="F1254" s="39"/>
    </row>
    <row r="1255" spans="5:6" ht="20.100000000000001" customHeight="1">
      <c r="E1255" s="43"/>
      <c r="F1255" s="39"/>
    </row>
    <row r="1256" spans="5:6" ht="20.100000000000001" customHeight="1">
      <c r="E1256" s="43"/>
      <c r="F1256" s="39"/>
    </row>
    <row r="1257" spans="5:6" ht="20.100000000000001" customHeight="1">
      <c r="E1257" s="43"/>
      <c r="F1257" s="39"/>
    </row>
    <row r="1258" spans="5:6" ht="20.100000000000001" customHeight="1">
      <c r="E1258" s="43"/>
      <c r="F1258" s="39"/>
    </row>
    <row r="1259" spans="5:6" ht="20.100000000000001" customHeight="1">
      <c r="E1259" s="43"/>
      <c r="F1259" s="39"/>
    </row>
    <row r="1260" spans="5:6" ht="20.100000000000001" customHeight="1">
      <c r="E1260" s="43"/>
      <c r="F1260" s="39"/>
    </row>
    <row r="1261" spans="5:6" ht="20.100000000000001" customHeight="1">
      <c r="E1261" s="43"/>
      <c r="F1261" s="39"/>
    </row>
    <row r="1262" spans="5:6" ht="20.100000000000001" customHeight="1">
      <c r="E1262" s="43"/>
      <c r="F1262" s="39"/>
    </row>
    <row r="1263" spans="5:6" ht="20.100000000000001" customHeight="1">
      <c r="E1263" s="43"/>
      <c r="F1263" s="39"/>
    </row>
    <row r="1264" spans="5:6" ht="20.100000000000001" customHeight="1">
      <c r="E1264" s="43"/>
      <c r="F1264" s="39"/>
    </row>
    <row r="1265" spans="5:9" ht="20.100000000000001" customHeight="1">
      <c r="E1265" s="43"/>
      <c r="F1265" s="39"/>
    </row>
    <row r="1266" spans="5:9" ht="20.100000000000001" customHeight="1">
      <c r="E1266" s="43"/>
      <c r="F1266" s="39"/>
    </row>
    <row r="1267" spans="5:9" ht="20.100000000000001" customHeight="1">
      <c r="E1267" s="43"/>
      <c r="F1267" s="39"/>
    </row>
    <row r="1268" spans="5:9" ht="20.100000000000001" customHeight="1">
      <c r="E1268" s="43"/>
      <c r="F1268" s="39"/>
    </row>
    <row r="1269" spans="5:9" ht="20.100000000000001" customHeight="1">
      <c r="E1269" s="43"/>
      <c r="F1269" s="39"/>
    </row>
    <row r="1270" spans="5:9" ht="20.100000000000001" customHeight="1">
      <c r="E1270" s="43"/>
      <c r="F1270" s="39"/>
    </row>
    <row r="1271" spans="5:9" ht="20.100000000000001" customHeight="1">
      <c r="E1271" s="43"/>
      <c r="F1271" s="39"/>
    </row>
    <row r="1272" spans="5:9" ht="20.100000000000001" customHeight="1">
      <c r="E1272" s="43"/>
      <c r="F1272" s="39"/>
    </row>
    <row r="1273" spans="5:9" ht="20.100000000000001" customHeight="1">
      <c r="E1273" s="43"/>
      <c r="F1273" s="39"/>
    </row>
    <row r="1274" spans="5:9" ht="20.100000000000001" customHeight="1">
      <c r="E1274" s="43"/>
      <c r="F1274" s="39"/>
    </row>
    <row r="1275" spans="5:9" ht="20.100000000000001" customHeight="1">
      <c r="E1275" s="43"/>
      <c r="F1275" s="39"/>
    </row>
    <row r="1276" spans="5:9" ht="20.100000000000001" customHeight="1">
      <c r="E1276" s="43"/>
      <c r="F1276" s="39"/>
    </row>
    <row r="1277" spans="5:9" ht="20.100000000000001" customHeight="1">
      <c r="E1277" s="43"/>
      <c r="F1277" s="39"/>
      <c r="G1277" s="37"/>
      <c r="H1277" s="37"/>
      <c r="I1277" s="37"/>
    </row>
    <row r="1278" spans="5:9" ht="20.100000000000001" customHeight="1">
      <c r="E1278" s="43"/>
      <c r="F1278" s="39"/>
      <c r="G1278" s="37"/>
      <c r="H1278" s="37"/>
      <c r="I1278" s="3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5"/>
  </sheetPr>
  <dimension ref="B1:P52"/>
  <sheetViews>
    <sheetView topLeftCell="B1" workbookViewId="0">
      <selection activeCell="F8" sqref="F8"/>
    </sheetView>
  </sheetViews>
  <sheetFormatPr defaultColWidth="9.1328125" defaultRowHeight="20.100000000000001" customHeight="1"/>
  <cols>
    <col min="1" max="1" width="2.3984375" style="2" customWidth="1"/>
    <col min="2" max="2" width="18" style="2" customWidth="1"/>
    <col min="3" max="3" width="2.73046875" style="2" customWidth="1"/>
    <col min="4" max="4" width="18" style="2" customWidth="1"/>
    <col min="5" max="5" width="3.1328125" style="2" customWidth="1"/>
    <col min="6" max="6" width="22.86328125" style="2" customWidth="1"/>
    <col min="7" max="7" width="4.1328125" style="2" customWidth="1"/>
    <col min="8" max="8" width="22.86328125" style="2" customWidth="1"/>
    <col min="9" max="9" width="4" style="2" customWidth="1"/>
    <col min="10" max="10" width="25.86328125" style="2" customWidth="1"/>
    <col min="11" max="11" width="4.73046875" style="2" customWidth="1"/>
    <col min="12" max="12" width="18.73046875" style="125" customWidth="1"/>
    <col min="13" max="13" width="3.3984375" style="2" customWidth="1"/>
    <col min="14" max="14" width="8.86328125" style="2" customWidth="1"/>
    <col min="15" max="16" width="9.3984375" style="2" customWidth="1"/>
    <col min="17" max="16384" width="9.1328125" style="2"/>
  </cols>
  <sheetData>
    <row r="1" spans="2:16" ht="10.5" customHeight="1">
      <c r="L1" s="2"/>
    </row>
    <row r="2" spans="2:16" ht="30" customHeight="1">
      <c r="B2" s="44" t="s">
        <v>108</v>
      </c>
      <c r="D2" s="44" t="s">
        <v>109</v>
      </c>
      <c r="F2" s="44" t="s">
        <v>110</v>
      </c>
      <c r="H2" s="44" t="s">
        <v>111</v>
      </c>
      <c r="J2" s="44" t="s">
        <v>112</v>
      </c>
      <c r="L2" s="44" t="s">
        <v>158</v>
      </c>
      <c r="N2" s="44" t="str">
        <f>IFERROR(RIGHT(INDEX($N$3:$N$1048576,COUNTA($N$3:$N$1048576)),4)+1,"1")</f>
        <v>1</v>
      </c>
      <c r="O2" s="44" t="str">
        <f>IFERROR(RIGHT(INDEX($O$3:$O$1048576,COUNTA($O$3:$O$1048576)),4)+1,"1")</f>
        <v>1</v>
      </c>
      <c r="P2" s="44" t="str">
        <f>IFERROR(RIGHT(INDEX($P$3:$P$1048576,COUNTA($P$3:$P$1048576)),4)+1,"1")</f>
        <v>1</v>
      </c>
    </row>
    <row r="3" spans="2:16" ht="20.100000000000001" customHeight="1">
      <c r="B3" s="27" t="s">
        <v>46</v>
      </c>
      <c r="D3" s="45" t="s">
        <v>220</v>
      </c>
      <c r="F3" s="45" t="s">
        <v>210</v>
      </c>
      <c r="H3" s="45" t="s">
        <v>222</v>
      </c>
      <c r="J3" s="45" t="s">
        <v>198</v>
      </c>
      <c r="L3" s="45" t="s">
        <v>159</v>
      </c>
      <c r="N3" s="45"/>
      <c r="O3" s="45"/>
      <c r="P3" s="45"/>
    </row>
    <row r="4" spans="2:16" ht="20.100000000000001" customHeight="1">
      <c r="B4" s="45"/>
      <c r="D4" s="45" t="s">
        <v>221</v>
      </c>
      <c r="F4" s="45" t="s">
        <v>211</v>
      </c>
      <c r="H4" s="45" t="s">
        <v>223</v>
      </c>
      <c r="J4" s="45" t="s">
        <v>199</v>
      </c>
      <c r="L4" s="45" t="s">
        <v>160</v>
      </c>
      <c r="N4" s="45"/>
      <c r="O4" s="45"/>
      <c r="P4" s="45"/>
    </row>
    <row r="5" spans="2:16" ht="20.100000000000001" customHeight="1">
      <c r="B5" s="45"/>
      <c r="D5" s="45"/>
      <c r="F5" s="45" t="s">
        <v>212</v>
      </c>
      <c r="H5" s="45" t="s">
        <v>224</v>
      </c>
      <c r="J5" s="45" t="s">
        <v>200</v>
      </c>
      <c r="L5" s="45"/>
      <c r="N5" s="45"/>
      <c r="O5" s="45"/>
      <c r="P5" s="45"/>
    </row>
    <row r="6" spans="2:16" ht="20.100000000000001" customHeight="1">
      <c r="B6" s="45"/>
      <c r="D6" s="45"/>
      <c r="F6" s="45" t="s">
        <v>213</v>
      </c>
      <c r="H6" s="45" t="s">
        <v>225</v>
      </c>
      <c r="J6" s="45" t="s">
        <v>201</v>
      </c>
      <c r="N6" s="45"/>
      <c r="O6" s="45"/>
      <c r="P6" s="45"/>
    </row>
    <row r="7" spans="2:16" ht="20.100000000000001" customHeight="1">
      <c r="B7" s="45"/>
      <c r="D7" s="45"/>
      <c r="F7" s="45" t="s">
        <v>214</v>
      </c>
      <c r="H7" s="45" t="s">
        <v>226</v>
      </c>
      <c r="J7" s="45" t="s">
        <v>202</v>
      </c>
      <c r="L7" s="44" t="s">
        <v>158</v>
      </c>
      <c r="N7" s="45"/>
      <c r="O7" s="45"/>
      <c r="P7" s="45"/>
    </row>
    <row r="8" spans="2:16" ht="20.100000000000001" customHeight="1">
      <c r="B8" s="45"/>
      <c r="D8" s="45"/>
      <c r="F8" s="45" t="s">
        <v>215</v>
      </c>
      <c r="H8" s="45" t="s">
        <v>227</v>
      </c>
      <c r="J8" s="45" t="s">
        <v>203</v>
      </c>
      <c r="L8" s="45" t="s">
        <v>279</v>
      </c>
      <c r="N8" s="45"/>
      <c r="O8" s="45"/>
      <c r="P8" s="45"/>
    </row>
    <row r="9" spans="2:16" ht="20.100000000000001" customHeight="1">
      <c r="B9" s="45"/>
      <c r="D9" s="45"/>
      <c r="F9" s="45" t="s">
        <v>216</v>
      </c>
      <c r="H9" s="45" t="s">
        <v>228</v>
      </c>
      <c r="J9" s="45" t="s">
        <v>204</v>
      </c>
      <c r="L9" s="45" t="s">
        <v>287</v>
      </c>
      <c r="N9" s="45"/>
      <c r="O9" s="45"/>
      <c r="P9" s="45"/>
    </row>
    <row r="10" spans="2:16" ht="20.100000000000001" customHeight="1">
      <c r="B10" s="45"/>
      <c r="D10" s="45"/>
      <c r="F10" s="45" t="s">
        <v>217</v>
      </c>
      <c r="H10" s="45" t="s">
        <v>229</v>
      </c>
      <c r="J10" s="45" t="s">
        <v>205</v>
      </c>
      <c r="L10" s="45"/>
      <c r="N10" s="45"/>
      <c r="O10" s="45"/>
      <c r="P10" s="45"/>
    </row>
    <row r="11" spans="2:16" ht="20.100000000000001" customHeight="1">
      <c r="B11" s="45"/>
      <c r="D11" s="45"/>
      <c r="F11" s="45" t="s">
        <v>218</v>
      </c>
      <c r="H11" s="45" t="s">
        <v>230</v>
      </c>
      <c r="J11" s="45" t="s">
        <v>206</v>
      </c>
      <c r="N11" s="45"/>
      <c r="O11" s="45"/>
      <c r="P11" s="45"/>
    </row>
    <row r="12" spans="2:16" ht="20.100000000000001" customHeight="1">
      <c r="B12" s="45"/>
      <c r="D12" s="45"/>
      <c r="F12" s="45" t="s">
        <v>219</v>
      </c>
      <c r="H12" s="45" t="s">
        <v>231</v>
      </c>
      <c r="J12" s="45" t="s">
        <v>207</v>
      </c>
      <c r="L12" s="44" t="s">
        <v>281</v>
      </c>
      <c r="N12" s="45"/>
      <c r="O12" s="45"/>
      <c r="P12" s="45"/>
    </row>
    <row r="13" spans="2:16" ht="20.100000000000001" customHeight="1">
      <c r="B13" s="45"/>
      <c r="D13" s="45"/>
      <c r="F13" s="45"/>
      <c r="H13" s="45"/>
      <c r="J13" s="45" t="s">
        <v>208</v>
      </c>
      <c r="L13" s="45" t="s">
        <v>280</v>
      </c>
      <c r="N13" s="45"/>
      <c r="O13" s="45"/>
      <c r="P13" s="45"/>
    </row>
    <row r="14" spans="2:16" ht="20.100000000000001" customHeight="1">
      <c r="B14" s="45"/>
      <c r="D14" s="45"/>
      <c r="F14" s="45"/>
      <c r="H14" s="45"/>
      <c r="J14" s="45" t="s">
        <v>209</v>
      </c>
      <c r="L14" s="45" t="s">
        <v>263</v>
      </c>
      <c r="N14" s="45"/>
      <c r="O14" s="45"/>
      <c r="P14" s="45"/>
    </row>
    <row r="15" spans="2:16" ht="20.100000000000001" customHeight="1">
      <c r="B15" s="45"/>
      <c r="D15" s="45"/>
      <c r="F15" s="45"/>
      <c r="H15" s="45"/>
      <c r="J15" s="45"/>
      <c r="L15" s="45"/>
      <c r="N15" s="45"/>
      <c r="O15" s="45"/>
      <c r="P15" s="45"/>
    </row>
    <row r="16" spans="2:16" ht="20.100000000000001" customHeight="1">
      <c r="B16" s="45"/>
      <c r="D16" s="45"/>
      <c r="F16" s="45"/>
      <c r="H16" s="45"/>
      <c r="J16" s="45"/>
      <c r="N16" s="45"/>
      <c r="O16" s="45"/>
      <c r="P16" s="45"/>
    </row>
    <row r="17" spans="2:16" ht="20.100000000000001" customHeight="1">
      <c r="B17" s="45"/>
      <c r="D17" s="45"/>
      <c r="F17" s="45"/>
      <c r="H17" s="45"/>
      <c r="J17" s="45"/>
      <c r="L17" s="44" t="s">
        <v>282</v>
      </c>
      <c r="N17" s="45"/>
      <c r="O17" s="45"/>
      <c r="P17" s="45"/>
    </row>
    <row r="18" spans="2:16" ht="20.100000000000001" customHeight="1">
      <c r="B18" s="45"/>
      <c r="D18" s="45"/>
      <c r="F18" s="45"/>
      <c r="H18" s="45"/>
      <c r="J18" s="45"/>
      <c r="L18" s="45" t="s">
        <v>288</v>
      </c>
      <c r="N18" s="45"/>
      <c r="O18" s="45"/>
      <c r="P18" s="45"/>
    </row>
    <row r="19" spans="2:16" ht="20.100000000000001" customHeight="1">
      <c r="B19" s="45"/>
      <c r="D19" s="45"/>
      <c r="F19" s="45"/>
      <c r="H19" s="45"/>
      <c r="J19" s="45"/>
      <c r="L19" s="45" t="str">
        <f>DocSoUni(L18) &amp; " đồng"</f>
        <v>một triệu năm trăm bảy mươi tám nghìn chín trăm bốn mươi bảy đồng</v>
      </c>
      <c r="N19" s="45"/>
      <c r="O19" s="45"/>
      <c r="P19" s="45"/>
    </row>
    <row r="20" spans="2:16" ht="20.100000000000001" customHeight="1">
      <c r="B20" s="45"/>
      <c r="D20" s="45"/>
      <c r="F20" s="45"/>
      <c r="H20" s="45"/>
      <c r="J20" s="45"/>
      <c r="N20" s="45"/>
      <c r="O20" s="45"/>
      <c r="P20" s="45"/>
    </row>
    <row r="21" spans="2:16" ht="20.100000000000001" customHeight="1">
      <c r="B21" s="45"/>
      <c r="D21" s="45"/>
      <c r="F21" s="45"/>
      <c r="H21" s="45"/>
      <c r="J21" s="45"/>
      <c r="N21" s="45"/>
      <c r="O21" s="45"/>
      <c r="P21" s="45"/>
    </row>
    <row r="22" spans="2:16" ht="20.100000000000001" customHeight="1">
      <c r="B22" s="45"/>
      <c r="D22" s="45"/>
      <c r="F22" s="45"/>
      <c r="H22" s="45"/>
      <c r="J22" s="45"/>
      <c r="N22" s="45"/>
      <c r="O22" s="45"/>
      <c r="P22" s="45"/>
    </row>
    <row r="23" spans="2:16" ht="20.100000000000001" customHeight="1">
      <c r="B23" s="45"/>
      <c r="D23" s="45"/>
      <c r="F23" s="45"/>
      <c r="H23" s="45"/>
      <c r="J23" s="45"/>
      <c r="N23" s="45"/>
      <c r="O23" s="45"/>
      <c r="P23" s="45"/>
    </row>
    <row r="24" spans="2:16" ht="20.100000000000001" customHeight="1">
      <c r="B24" s="45"/>
      <c r="D24" s="45"/>
      <c r="F24" s="45"/>
      <c r="H24" s="45"/>
      <c r="J24" s="45"/>
      <c r="N24" s="45"/>
      <c r="O24" s="45"/>
      <c r="P24" s="45"/>
    </row>
    <row r="25" spans="2:16" ht="20.100000000000001" customHeight="1">
      <c r="B25" s="45"/>
      <c r="D25" s="45"/>
      <c r="F25" s="45"/>
      <c r="H25" s="45"/>
      <c r="J25" s="45"/>
      <c r="N25" s="45"/>
      <c r="O25" s="45"/>
      <c r="P25" s="45"/>
    </row>
    <row r="26" spans="2:16" ht="20.100000000000001" customHeight="1">
      <c r="B26" s="45"/>
      <c r="D26" s="45"/>
      <c r="F26" s="45"/>
      <c r="H26" s="45"/>
      <c r="J26" s="45"/>
      <c r="N26" s="45"/>
      <c r="O26" s="45"/>
      <c r="P26" s="45"/>
    </row>
    <row r="27" spans="2:16" ht="20.100000000000001" customHeight="1">
      <c r="B27" s="45"/>
      <c r="D27" s="45"/>
      <c r="F27" s="45"/>
      <c r="H27" s="45"/>
      <c r="J27" s="45"/>
      <c r="N27" s="45"/>
      <c r="O27" s="45"/>
      <c r="P27" s="45"/>
    </row>
    <row r="28" spans="2:16" ht="20.100000000000001" customHeight="1">
      <c r="B28" s="45"/>
      <c r="D28" s="45"/>
      <c r="F28" s="45"/>
      <c r="H28" s="45"/>
      <c r="J28" s="45"/>
      <c r="N28" s="45"/>
      <c r="O28" s="45"/>
      <c r="P28" s="45"/>
    </row>
    <row r="29" spans="2:16" ht="20.100000000000001" customHeight="1">
      <c r="B29" s="45"/>
      <c r="D29" s="45"/>
      <c r="F29" s="45"/>
      <c r="H29" s="45"/>
      <c r="J29" s="45"/>
      <c r="N29" s="45"/>
      <c r="O29" s="45"/>
      <c r="P29" s="45"/>
    </row>
    <row r="30" spans="2:16" ht="20.100000000000001" customHeight="1">
      <c r="B30" s="45"/>
      <c r="D30" s="45"/>
      <c r="F30" s="45"/>
      <c r="H30" s="45"/>
      <c r="J30" s="45"/>
      <c r="N30" s="45"/>
      <c r="O30" s="45"/>
      <c r="P30" s="45"/>
    </row>
    <row r="31" spans="2:16" ht="20.100000000000001" customHeight="1">
      <c r="B31" s="45"/>
      <c r="D31" s="45"/>
      <c r="F31" s="45"/>
      <c r="H31" s="45"/>
      <c r="J31" s="45"/>
      <c r="N31" s="45"/>
      <c r="O31" s="45"/>
      <c r="P31" s="45"/>
    </row>
    <row r="32" spans="2:16" ht="20.100000000000001" customHeight="1">
      <c r="B32" s="45"/>
      <c r="D32" s="45"/>
      <c r="F32" s="45"/>
      <c r="H32" s="45"/>
      <c r="J32" s="45"/>
      <c r="N32" s="45"/>
      <c r="O32" s="45"/>
      <c r="P32" s="45"/>
    </row>
    <row r="33" spans="2:16" ht="20.100000000000001" customHeight="1">
      <c r="B33" s="45"/>
      <c r="D33" s="45"/>
      <c r="F33" s="45"/>
      <c r="H33" s="45"/>
      <c r="J33" s="45"/>
      <c r="N33" s="45"/>
      <c r="O33" s="45"/>
      <c r="P33" s="45"/>
    </row>
    <row r="34" spans="2:16" ht="20.100000000000001" customHeight="1">
      <c r="B34" s="45"/>
      <c r="D34" s="45"/>
      <c r="F34" s="45"/>
      <c r="H34" s="45"/>
      <c r="J34" s="45"/>
      <c r="N34" s="45"/>
      <c r="O34" s="45"/>
      <c r="P34" s="45"/>
    </row>
    <row r="35" spans="2:16" ht="20.100000000000001" customHeight="1">
      <c r="B35" s="45"/>
      <c r="D35" s="45"/>
      <c r="F35" s="45"/>
      <c r="H35" s="45"/>
      <c r="J35" s="45"/>
      <c r="N35" s="45"/>
      <c r="O35" s="45"/>
      <c r="P35" s="45"/>
    </row>
    <row r="36" spans="2:16" ht="20.100000000000001" customHeight="1">
      <c r="B36" s="45"/>
      <c r="D36" s="45"/>
      <c r="F36" s="45"/>
      <c r="H36" s="45"/>
      <c r="J36" s="45"/>
      <c r="N36" s="45"/>
      <c r="O36" s="45"/>
      <c r="P36" s="45"/>
    </row>
    <row r="37" spans="2:16" ht="20.100000000000001" customHeight="1">
      <c r="B37" s="45"/>
      <c r="D37" s="45"/>
      <c r="F37" s="45"/>
      <c r="H37" s="45"/>
      <c r="J37" s="45"/>
      <c r="N37" s="45"/>
      <c r="O37" s="45"/>
      <c r="P37" s="45"/>
    </row>
    <row r="38" spans="2:16" ht="20.100000000000001" customHeight="1">
      <c r="B38" s="45"/>
      <c r="D38" s="45"/>
      <c r="F38" s="45"/>
      <c r="H38" s="45"/>
      <c r="J38" s="45"/>
      <c r="N38" s="45"/>
      <c r="O38" s="45"/>
      <c r="P38" s="45"/>
    </row>
    <row r="39" spans="2:16" ht="20.100000000000001" customHeight="1">
      <c r="B39" s="45"/>
      <c r="D39" s="45"/>
      <c r="F39" s="45"/>
      <c r="H39" s="45"/>
      <c r="J39" s="45"/>
      <c r="N39" s="45"/>
      <c r="O39" s="45"/>
      <c r="P39" s="45"/>
    </row>
    <row r="40" spans="2:16" ht="20.100000000000001" customHeight="1">
      <c r="B40" s="45"/>
      <c r="D40" s="45"/>
      <c r="F40" s="45"/>
      <c r="H40" s="45"/>
      <c r="J40" s="45"/>
      <c r="N40" s="45"/>
      <c r="O40" s="45"/>
      <c r="P40" s="45"/>
    </row>
    <row r="41" spans="2:16" ht="20.100000000000001" customHeight="1">
      <c r="B41" s="45"/>
      <c r="D41" s="45"/>
      <c r="F41" s="45"/>
      <c r="H41" s="45"/>
      <c r="J41" s="45"/>
      <c r="N41" s="45"/>
      <c r="O41" s="45"/>
      <c r="P41" s="45"/>
    </row>
    <row r="42" spans="2:16" ht="20.100000000000001" customHeight="1">
      <c r="B42" s="45"/>
      <c r="D42" s="45"/>
      <c r="F42" s="45"/>
      <c r="H42" s="45"/>
      <c r="J42" s="45"/>
      <c r="N42" s="45"/>
      <c r="O42" s="45"/>
      <c r="P42" s="45"/>
    </row>
    <row r="43" spans="2:16" ht="20.100000000000001" customHeight="1">
      <c r="B43" s="45"/>
      <c r="D43" s="45"/>
      <c r="F43" s="45"/>
      <c r="H43" s="45"/>
      <c r="J43" s="45"/>
      <c r="N43" s="45"/>
      <c r="O43" s="45"/>
      <c r="P43" s="45"/>
    </row>
    <row r="44" spans="2:16" ht="20.100000000000001" customHeight="1">
      <c r="B44" s="45"/>
      <c r="D44" s="45"/>
      <c r="F44" s="45"/>
      <c r="H44" s="45"/>
      <c r="J44" s="45"/>
      <c r="N44" s="45"/>
      <c r="O44" s="45"/>
      <c r="P44" s="45"/>
    </row>
    <row r="45" spans="2:16" ht="20.100000000000001" customHeight="1">
      <c r="B45" s="45"/>
      <c r="D45" s="45"/>
      <c r="F45" s="45"/>
      <c r="H45" s="45"/>
      <c r="J45" s="45"/>
      <c r="N45" s="45"/>
      <c r="O45" s="45"/>
      <c r="P45" s="45"/>
    </row>
    <row r="46" spans="2:16" ht="20.100000000000001" customHeight="1">
      <c r="B46" s="45"/>
      <c r="D46" s="45"/>
      <c r="F46" s="45"/>
      <c r="H46" s="45"/>
      <c r="J46" s="45"/>
      <c r="N46" s="45"/>
      <c r="O46" s="45"/>
      <c r="P46" s="45"/>
    </row>
    <row r="47" spans="2:16" ht="20.100000000000001" customHeight="1">
      <c r="B47" s="45"/>
      <c r="D47" s="45"/>
      <c r="F47" s="45"/>
      <c r="H47" s="45"/>
      <c r="J47" s="45"/>
      <c r="N47" s="45"/>
      <c r="O47" s="45"/>
      <c r="P47" s="45"/>
    </row>
    <row r="48" spans="2:16" ht="20.100000000000001" customHeight="1">
      <c r="B48" s="45"/>
      <c r="D48" s="45"/>
      <c r="F48" s="45"/>
      <c r="H48" s="45"/>
      <c r="J48" s="45"/>
      <c r="N48" s="45"/>
      <c r="O48" s="45"/>
      <c r="P48" s="45"/>
    </row>
    <row r="49" spans="2:16" ht="20.100000000000001" customHeight="1">
      <c r="B49" s="45"/>
      <c r="D49" s="45"/>
      <c r="F49" s="45"/>
      <c r="H49" s="45"/>
      <c r="J49" s="45"/>
      <c r="N49" s="45"/>
      <c r="O49" s="45"/>
      <c r="P49" s="45"/>
    </row>
    <row r="50" spans="2:16" ht="20.100000000000001" customHeight="1">
      <c r="B50" s="45"/>
      <c r="D50" s="45"/>
      <c r="F50" s="45"/>
      <c r="H50" s="45"/>
      <c r="J50" s="45"/>
      <c r="N50" s="45"/>
      <c r="O50" s="45"/>
      <c r="P50" s="45"/>
    </row>
    <row r="51" spans="2:16" ht="20.100000000000001" customHeight="1">
      <c r="B51" s="45"/>
      <c r="D51" s="45"/>
      <c r="F51" s="45"/>
      <c r="H51" s="45"/>
      <c r="J51" s="45"/>
      <c r="N51" s="45"/>
      <c r="O51" s="45"/>
      <c r="P51" s="45"/>
    </row>
    <row r="52" spans="2:16" ht="20.100000000000001" customHeight="1">
      <c r="B52" s="45"/>
      <c r="D52" s="45"/>
      <c r="F52" s="45"/>
      <c r="H52" s="45"/>
      <c r="J52" s="45"/>
      <c r="N52" s="45"/>
      <c r="O52" s="45"/>
      <c r="P52" s="4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7030A0"/>
  </sheetPr>
  <dimension ref="A1:O177"/>
  <sheetViews>
    <sheetView zoomScale="70" zoomScaleNormal="70" workbookViewId="0">
      <pane ySplit="2" topLeftCell="A3" activePane="bottomLeft" state="frozen"/>
      <selection pane="bottomLeft" activeCell="K14" sqref="K14"/>
    </sheetView>
  </sheetViews>
  <sheetFormatPr defaultColWidth="9.1328125" defaultRowHeight="24.95" customHeight="1"/>
  <cols>
    <col min="1" max="1" width="10.59765625" style="157" customWidth="1"/>
    <col min="2" max="2" width="10.1328125" style="164" bestFit="1" customWidth="1"/>
    <col min="3" max="3" width="11.86328125" style="164" customWidth="1"/>
    <col min="4" max="4" width="32.1328125" style="158" customWidth="1"/>
    <col min="5" max="5" width="8.73046875" style="164" customWidth="1"/>
    <col min="6" max="6" width="11.73046875" style="164" customWidth="1"/>
    <col min="7" max="7" width="52.59765625" style="158" customWidth="1"/>
    <col min="8" max="8" width="7.3984375" style="164" customWidth="1"/>
    <col min="9" max="9" width="10.265625" style="164" bestFit="1" customWidth="1"/>
    <col min="10" max="10" width="10.265625" style="174" bestFit="1" customWidth="1"/>
    <col min="11" max="11" width="15.1328125" style="174" customWidth="1"/>
    <col min="12" max="12" width="19.265625" style="169" bestFit="1" customWidth="1"/>
    <col min="13" max="13" width="14.59765625" style="169" bestFit="1" customWidth="1"/>
    <col min="14" max="14" width="16" style="169" customWidth="1"/>
    <col min="15" max="15" width="70.1328125" style="174" customWidth="1"/>
    <col min="16" max="16384" width="9.1328125" style="156"/>
  </cols>
  <sheetData>
    <row r="1" spans="1:15" s="155" customFormat="1" ht="11.65">
      <c r="A1" s="154"/>
      <c r="D1" s="161"/>
      <c r="G1" s="161"/>
      <c r="J1" s="170"/>
      <c r="K1" s="170"/>
      <c r="L1" s="166"/>
      <c r="M1" s="166"/>
      <c r="N1" s="166"/>
      <c r="O1" s="170"/>
    </row>
    <row r="2" spans="1:15" s="165" customFormat="1" ht="30" customHeight="1">
      <c r="A2" s="147" t="s">
        <v>120</v>
      </c>
      <c r="B2" s="122" t="s">
        <v>132</v>
      </c>
      <c r="C2" s="122" t="s">
        <v>131</v>
      </c>
      <c r="D2" s="160" t="s">
        <v>51</v>
      </c>
      <c r="E2" s="122" t="s">
        <v>130</v>
      </c>
      <c r="F2" s="122" t="s">
        <v>121</v>
      </c>
      <c r="G2" s="160" t="s">
        <v>26</v>
      </c>
      <c r="H2" s="122" t="s">
        <v>122</v>
      </c>
      <c r="I2" s="122" t="s">
        <v>123</v>
      </c>
      <c r="J2" s="123" t="s">
        <v>124</v>
      </c>
      <c r="K2" s="123" t="s">
        <v>125</v>
      </c>
      <c r="L2" s="123" t="s">
        <v>184</v>
      </c>
      <c r="M2" s="123" t="s">
        <v>126</v>
      </c>
      <c r="N2" s="124" t="s">
        <v>127</v>
      </c>
      <c r="O2" s="269" t="s">
        <v>56</v>
      </c>
    </row>
    <row r="3" spans="1:15" ht="24.95" customHeight="1">
      <c r="A3" s="159"/>
      <c r="B3" s="162"/>
      <c r="D3" s="163"/>
      <c r="E3" s="162"/>
      <c r="F3" s="162"/>
      <c r="G3" s="163"/>
      <c r="H3" s="162"/>
      <c r="I3" s="162"/>
      <c r="J3" s="173"/>
      <c r="K3" s="173"/>
      <c r="L3" s="168"/>
      <c r="M3" s="168"/>
      <c r="N3" s="168"/>
      <c r="O3" s="270"/>
    </row>
    <row r="4" spans="1:15" ht="24.95" customHeight="1">
      <c r="A4" s="159"/>
      <c r="B4" s="162"/>
      <c r="D4" s="163"/>
      <c r="E4" s="162"/>
      <c r="F4" s="162"/>
      <c r="G4" s="163"/>
      <c r="H4" s="162"/>
      <c r="I4" s="162"/>
      <c r="J4" s="173"/>
      <c r="K4" s="173"/>
      <c r="L4" s="167"/>
      <c r="M4" s="167"/>
      <c r="N4" s="167"/>
      <c r="O4" s="270"/>
    </row>
    <row r="5" spans="1:15" ht="24.95" customHeight="1">
      <c r="A5" s="159"/>
      <c r="B5" s="162"/>
      <c r="D5" s="163"/>
      <c r="E5" s="162"/>
      <c r="F5" s="162"/>
      <c r="G5" s="163"/>
      <c r="H5" s="162"/>
      <c r="I5" s="162"/>
      <c r="J5" s="173"/>
      <c r="K5" s="173"/>
      <c r="L5" s="167"/>
      <c r="M5" s="167"/>
      <c r="N5" s="167"/>
      <c r="O5" s="270"/>
    </row>
    <row r="6" spans="1:15" ht="24.95" customHeight="1">
      <c r="A6" s="159"/>
      <c r="B6" s="162"/>
      <c r="D6" s="163"/>
      <c r="E6" s="162"/>
      <c r="F6" s="162"/>
      <c r="G6" s="163"/>
      <c r="H6" s="162"/>
      <c r="I6" s="162"/>
      <c r="J6" s="173"/>
      <c r="K6" s="173"/>
      <c r="L6" s="167"/>
      <c r="M6" s="167"/>
      <c r="N6" s="167"/>
      <c r="O6" s="270"/>
    </row>
    <row r="7" spans="1:15" ht="24.95" customHeight="1">
      <c r="A7" s="159"/>
      <c r="B7" s="162"/>
      <c r="D7" s="163"/>
      <c r="E7" s="162"/>
      <c r="F7" s="162"/>
      <c r="G7" s="163"/>
      <c r="H7" s="162"/>
      <c r="I7" s="162"/>
      <c r="J7" s="172"/>
      <c r="K7" s="173"/>
      <c r="L7" s="167"/>
      <c r="M7" s="167"/>
      <c r="N7" s="167"/>
      <c r="O7" s="270"/>
    </row>
    <row r="8" spans="1:15" ht="24.95" customHeight="1">
      <c r="A8" s="159"/>
      <c r="B8" s="162"/>
      <c r="D8" s="163"/>
      <c r="E8" s="162"/>
      <c r="F8" s="162"/>
      <c r="G8" s="163"/>
      <c r="H8" s="162"/>
      <c r="I8" s="162"/>
      <c r="J8" s="172"/>
      <c r="K8" s="173"/>
      <c r="L8" s="167"/>
      <c r="M8" s="167"/>
      <c r="N8" s="167"/>
      <c r="O8" s="270"/>
    </row>
    <row r="9" spans="1:15" ht="24.95" customHeight="1">
      <c r="A9" s="159"/>
      <c r="B9" s="162"/>
      <c r="D9" s="163"/>
      <c r="E9" s="162"/>
      <c r="F9" s="162"/>
      <c r="G9" s="163"/>
      <c r="H9" s="162"/>
      <c r="I9" s="162"/>
      <c r="J9" s="172"/>
      <c r="K9" s="173"/>
      <c r="L9" s="167"/>
      <c r="M9" s="167"/>
      <c r="N9" s="167"/>
      <c r="O9" s="270"/>
    </row>
    <row r="10" spans="1:15" ht="24.95" customHeight="1">
      <c r="A10" s="159"/>
      <c r="B10" s="162"/>
      <c r="D10" s="163"/>
      <c r="E10" s="162"/>
      <c r="F10" s="162"/>
      <c r="G10" s="163"/>
      <c r="H10" s="162"/>
      <c r="I10" s="162"/>
      <c r="J10" s="172"/>
      <c r="K10" s="173"/>
      <c r="L10" s="167"/>
      <c r="M10" s="167"/>
      <c r="N10" s="167"/>
      <c r="O10" s="270"/>
    </row>
    <row r="11" spans="1:15" ht="24.95" customHeight="1">
      <c r="J11" s="173"/>
      <c r="K11" s="173"/>
      <c r="L11" s="168"/>
      <c r="N11" s="168"/>
    </row>
    <row r="12" spans="1:15" ht="24.95" customHeight="1">
      <c r="J12" s="173"/>
      <c r="K12" s="173"/>
    </row>
    <row r="13" spans="1:15" ht="24.95" customHeight="1">
      <c r="J13" s="173"/>
      <c r="K13" s="173"/>
    </row>
    <row r="14" spans="1:15" ht="24.95" customHeight="1">
      <c r="A14" s="159"/>
      <c r="B14" s="162"/>
      <c r="C14" s="162"/>
      <c r="D14" s="163"/>
      <c r="E14" s="162"/>
      <c r="F14" s="162"/>
      <c r="G14" s="163"/>
      <c r="H14" s="162"/>
      <c r="I14" s="162"/>
      <c r="J14" s="172"/>
      <c r="K14" s="172"/>
      <c r="L14" s="167"/>
      <c r="M14" s="167"/>
      <c r="N14" s="167"/>
      <c r="O14" s="270"/>
    </row>
    <row r="15" spans="1:15" ht="24.95" customHeight="1">
      <c r="A15" s="159"/>
      <c r="B15" s="162"/>
      <c r="C15" s="162"/>
      <c r="D15" s="163"/>
      <c r="E15" s="162"/>
      <c r="F15" s="162"/>
      <c r="G15" s="163"/>
      <c r="H15" s="162"/>
      <c r="I15" s="162"/>
      <c r="J15" s="172"/>
      <c r="K15" s="172"/>
      <c r="L15" s="167"/>
      <c r="M15" s="167"/>
      <c r="N15" s="167"/>
      <c r="O15" s="270"/>
    </row>
    <row r="16" spans="1:15" ht="24.95" customHeight="1">
      <c r="A16" s="159"/>
      <c r="B16" s="162"/>
      <c r="C16" s="162"/>
      <c r="D16" s="163"/>
      <c r="E16" s="162"/>
      <c r="F16" s="162"/>
      <c r="G16" s="163"/>
      <c r="H16" s="162"/>
      <c r="I16" s="162"/>
      <c r="J16" s="172"/>
      <c r="K16" s="172"/>
      <c r="L16" s="167"/>
      <c r="M16" s="167"/>
      <c r="N16" s="167"/>
      <c r="O16" s="270"/>
    </row>
    <row r="17" spans="1:15" ht="24.95" customHeight="1">
      <c r="A17" s="159"/>
      <c r="B17" s="162"/>
      <c r="C17" s="162"/>
      <c r="D17" s="163"/>
      <c r="E17" s="162"/>
      <c r="F17" s="162"/>
      <c r="G17" s="163"/>
      <c r="H17" s="162"/>
      <c r="I17" s="162"/>
      <c r="J17" s="172"/>
      <c r="K17" s="172"/>
      <c r="L17" s="167"/>
      <c r="M17" s="167"/>
      <c r="N17" s="167"/>
      <c r="O17" s="270"/>
    </row>
    <row r="18" spans="1:15" ht="24.95" customHeight="1">
      <c r="A18" s="159"/>
      <c r="B18" s="162"/>
      <c r="C18" s="162"/>
      <c r="D18" s="163"/>
      <c r="E18" s="162"/>
      <c r="F18" s="162"/>
      <c r="G18" s="163"/>
      <c r="H18" s="162"/>
      <c r="I18" s="162"/>
      <c r="J18" s="172"/>
      <c r="K18" s="172"/>
      <c r="L18" s="167"/>
      <c r="M18" s="167"/>
      <c r="N18" s="167"/>
      <c r="O18" s="270"/>
    </row>
    <row r="19" spans="1:15" ht="24.95" customHeight="1">
      <c r="A19" s="159"/>
      <c r="D19" s="163"/>
      <c r="E19" s="162"/>
      <c r="G19" s="163"/>
      <c r="H19" s="162"/>
      <c r="J19" s="171"/>
      <c r="K19" s="172"/>
      <c r="L19" s="167"/>
      <c r="M19" s="167"/>
      <c r="N19" s="167"/>
      <c r="O19" s="270"/>
    </row>
    <row r="20" spans="1:15" ht="24.95" customHeight="1">
      <c r="A20" s="159"/>
      <c r="D20" s="163"/>
      <c r="E20" s="162"/>
      <c r="G20" s="163"/>
      <c r="H20" s="162"/>
      <c r="J20" s="171"/>
      <c r="K20" s="172"/>
      <c r="L20" s="167"/>
      <c r="M20" s="167"/>
      <c r="N20" s="167"/>
      <c r="O20" s="270"/>
    </row>
    <row r="21" spans="1:15" ht="24.95" customHeight="1">
      <c r="A21" s="159"/>
      <c r="J21" s="173"/>
      <c r="K21" s="173"/>
      <c r="L21" s="168"/>
      <c r="M21" s="168"/>
    </row>
    <row r="22" spans="1:15" ht="24.95" customHeight="1">
      <c r="A22" s="159"/>
      <c r="J22" s="173"/>
      <c r="K22" s="173"/>
      <c r="L22" s="168"/>
      <c r="N22" s="168"/>
    </row>
    <row r="23" spans="1:15" ht="24.95" customHeight="1">
      <c r="A23" s="159"/>
      <c r="J23" s="173"/>
      <c r="K23" s="173"/>
      <c r="L23" s="168"/>
      <c r="M23" s="168"/>
      <c r="N23" s="168"/>
    </row>
    <row r="24" spans="1:15" ht="24.95" customHeight="1">
      <c r="A24" s="159"/>
      <c r="J24" s="173"/>
      <c r="K24" s="173"/>
      <c r="L24" s="168"/>
      <c r="N24" s="168"/>
    </row>
    <row r="25" spans="1:15" ht="24.95" customHeight="1">
      <c r="A25" s="159"/>
      <c r="J25" s="173"/>
      <c r="K25" s="173"/>
      <c r="L25" s="168"/>
      <c r="N25" s="168"/>
    </row>
    <row r="26" spans="1:15" ht="24.95" customHeight="1">
      <c r="A26" s="159"/>
      <c r="J26" s="173"/>
      <c r="K26" s="173"/>
      <c r="L26" s="168"/>
      <c r="M26" s="168"/>
      <c r="N26" s="168"/>
    </row>
    <row r="27" spans="1:15" ht="24.95" customHeight="1">
      <c r="A27" s="159"/>
      <c r="J27" s="173"/>
      <c r="K27" s="173"/>
      <c r="L27" s="168"/>
      <c r="N27" s="168"/>
    </row>
    <row r="28" spans="1:15" ht="24.95" customHeight="1">
      <c r="J28" s="173"/>
      <c r="K28" s="173"/>
      <c r="L28" s="168"/>
      <c r="M28" s="168"/>
    </row>
    <row r="29" spans="1:15" ht="24.95" customHeight="1">
      <c r="J29" s="173"/>
      <c r="K29" s="173"/>
    </row>
    <row r="30" spans="1:15" ht="24.95" customHeight="1">
      <c r="J30" s="173"/>
      <c r="K30" s="173"/>
    </row>
    <row r="31" spans="1:15" ht="24.95" customHeight="1">
      <c r="J31" s="173"/>
      <c r="K31" s="173"/>
      <c r="L31" s="168"/>
      <c r="N31" s="168"/>
    </row>
    <row r="32" spans="1:15" ht="24.95" customHeight="1">
      <c r="J32" s="173"/>
      <c r="K32" s="173"/>
    </row>
    <row r="33" spans="10:14" ht="24.95" customHeight="1">
      <c r="J33" s="173"/>
      <c r="K33" s="173"/>
    </row>
    <row r="34" spans="10:14" ht="24.95" customHeight="1">
      <c r="J34" s="173"/>
      <c r="K34" s="173"/>
      <c r="L34" s="168"/>
      <c r="M34" s="168"/>
    </row>
    <row r="35" spans="10:14" ht="24.95" customHeight="1">
      <c r="J35" s="173"/>
      <c r="K35" s="173"/>
    </row>
    <row r="36" spans="10:14" ht="24.95" customHeight="1">
      <c r="J36" s="173"/>
      <c r="K36" s="173"/>
    </row>
    <row r="37" spans="10:14" ht="24.95" customHeight="1">
      <c r="J37" s="173"/>
      <c r="K37" s="173"/>
      <c r="L37" s="168"/>
      <c r="N37" s="168"/>
    </row>
    <row r="38" spans="10:14" ht="24.95" customHeight="1">
      <c r="J38" s="173"/>
      <c r="K38" s="173"/>
    </row>
    <row r="39" spans="10:14" ht="24.95" customHeight="1">
      <c r="J39" s="173"/>
      <c r="K39" s="173"/>
    </row>
    <row r="40" spans="10:14" ht="24.95" customHeight="1">
      <c r="J40" s="173"/>
      <c r="K40" s="173"/>
      <c r="L40" s="168"/>
      <c r="M40" s="168"/>
      <c r="N40" s="168"/>
    </row>
    <row r="41" spans="10:14" ht="24.95" customHeight="1">
      <c r="J41" s="173"/>
      <c r="K41" s="173"/>
    </row>
    <row r="42" spans="10:14" ht="24.95" customHeight="1">
      <c r="J42" s="173"/>
      <c r="K42" s="173"/>
    </row>
    <row r="43" spans="10:14" ht="24.95" customHeight="1">
      <c r="J43" s="173"/>
      <c r="K43" s="173"/>
      <c r="L43" s="168"/>
      <c r="N43" s="168"/>
    </row>
    <row r="44" spans="10:14" ht="24.95" customHeight="1">
      <c r="J44" s="173"/>
      <c r="K44" s="173"/>
      <c r="L44" s="168"/>
      <c r="N44" s="168"/>
    </row>
    <row r="45" spans="10:14" ht="24.95" customHeight="1">
      <c r="J45" s="173"/>
      <c r="K45" s="173"/>
    </row>
    <row r="46" spans="10:14" ht="24.95" customHeight="1">
      <c r="J46" s="173"/>
      <c r="K46" s="173"/>
      <c r="L46" s="168"/>
      <c r="N46" s="168"/>
    </row>
    <row r="47" spans="10:14" ht="24.95" customHeight="1">
      <c r="J47" s="173"/>
      <c r="K47" s="173"/>
      <c r="L47" s="168"/>
      <c r="N47" s="168"/>
    </row>
    <row r="48" spans="10:14" ht="24.95" customHeight="1">
      <c r="J48" s="173"/>
      <c r="K48" s="173"/>
      <c r="L48" s="168"/>
      <c r="N48" s="168"/>
    </row>
    <row r="49" spans="10:14" ht="24.95" customHeight="1">
      <c r="J49" s="173"/>
      <c r="K49" s="173"/>
    </row>
    <row r="50" spans="10:14" ht="24.95" customHeight="1">
      <c r="J50" s="173"/>
      <c r="K50" s="173"/>
    </row>
    <row r="51" spans="10:14" ht="24.95" customHeight="1">
      <c r="J51" s="173"/>
      <c r="K51" s="173"/>
      <c r="L51" s="168"/>
      <c r="N51" s="168"/>
    </row>
    <row r="52" spans="10:14" ht="24.95" customHeight="1">
      <c r="J52" s="173"/>
      <c r="K52" s="173"/>
    </row>
    <row r="53" spans="10:14" ht="24.95" customHeight="1">
      <c r="J53" s="173"/>
      <c r="K53" s="173"/>
    </row>
    <row r="54" spans="10:14" ht="24.95" customHeight="1">
      <c r="J54" s="173"/>
      <c r="K54" s="173"/>
      <c r="L54" s="168"/>
      <c r="N54" s="168"/>
    </row>
    <row r="55" spans="10:14" ht="24.95" customHeight="1">
      <c r="J55" s="173"/>
      <c r="K55" s="173"/>
    </row>
    <row r="56" spans="10:14" ht="24.95" customHeight="1">
      <c r="J56" s="173"/>
      <c r="K56" s="173"/>
    </row>
    <row r="57" spans="10:14" ht="24.95" customHeight="1">
      <c r="J57" s="173"/>
      <c r="K57" s="173"/>
    </row>
    <row r="58" spans="10:14" ht="24.95" customHeight="1">
      <c r="J58" s="173"/>
      <c r="K58" s="173"/>
    </row>
    <row r="59" spans="10:14" ht="24.95" customHeight="1">
      <c r="J59" s="173"/>
      <c r="K59" s="173"/>
    </row>
    <row r="60" spans="10:14" ht="24.95" customHeight="1">
      <c r="J60" s="173"/>
      <c r="K60" s="173"/>
      <c r="L60" s="168"/>
      <c r="N60" s="168"/>
    </row>
    <row r="61" spans="10:14" ht="24.95" customHeight="1">
      <c r="J61" s="173"/>
      <c r="K61" s="173"/>
      <c r="L61" s="168"/>
      <c r="M61" s="168"/>
      <c r="N61" s="168"/>
    </row>
    <row r="62" spans="10:14" ht="24.95" customHeight="1">
      <c r="J62" s="173"/>
      <c r="K62" s="173"/>
      <c r="L62" s="168"/>
      <c r="N62" s="168"/>
    </row>
    <row r="63" spans="10:14" ht="24.95" customHeight="1">
      <c r="J63" s="173"/>
      <c r="K63" s="173"/>
    </row>
    <row r="64" spans="10:14" ht="24.95" customHeight="1">
      <c r="J64" s="173"/>
      <c r="K64" s="173"/>
    </row>
    <row r="65" spans="10:14" ht="24.95" customHeight="1">
      <c r="J65" s="173"/>
      <c r="K65" s="173"/>
      <c r="L65" s="168"/>
      <c r="M65" s="168"/>
      <c r="N65" s="168"/>
    </row>
    <row r="66" spans="10:14" ht="24.95" customHeight="1">
      <c r="J66" s="173"/>
      <c r="K66" s="173"/>
    </row>
    <row r="67" spans="10:14" ht="24.95" customHeight="1">
      <c r="J67" s="173"/>
      <c r="K67" s="173"/>
    </row>
    <row r="68" spans="10:14" ht="24.95" customHeight="1">
      <c r="J68" s="173"/>
      <c r="K68" s="173"/>
      <c r="L68" s="168"/>
      <c r="M68" s="168"/>
      <c r="N68" s="168"/>
    </row>
    <row r="69" spans="10:14" ht="24.95" customHeight="1">
      <c r="J69" s="173"/>
      <c r="K69" s="173"/>
    </row>
    <row r="70" spans="10:14" ht="24.95" customHeight="1">
      <c r="J70" s="173"/>
      <c r="K70" s="173"/>
    </row>
    <row r="71" spans="10:14" ht="24.95" customHeight="1">
      <c r="J71" s="173"/>
      <c r="K71" s="173"/>
      <c r="L71" s="168"/>
      <c r="M71" s="168"/>
      <c r="N71" s="168"/>
    </row>
    <row r="72" spans="10:14" ht="24.95" customHeight="1">
      <c r="J72" s="173"/>
      <c r="K72" s="173"/>
    </row>
    <row r="73" spans="10:14" ht="24.95" customHeight="1">
      <c r="J73" s="173"/>
      <c r="K73" s="173"/>
      <c r="L73" s="168"/>
      <c r="M73" s="168"/>
      <c r="N73" s="168"/>
    </row>
    <row r="74" spans="10:14" ht="24.95" customHeight="1">
      <c r="J74" s="173"/>
      <c r="K74" s="173"/>
    </row>
    <row r="75" spans="10:14" ht="24.95" customHeight="1">
      <c r="J75" s="173"/>
      <c r="K75" s="173"/>
    </row>
    <row r="76" spans="10:14" ht="24.95" customHeight="1">
      <c r="J76" s="173"/>
      <c r="K76" s="173"/>
    </row>
    <row r="77" spans="10:14" ht="24.95" customHeight="1">
      <c r="J77" s="173"/>
      <c r="K77" s="173"/>
      <c r="L77" s="168"/>
      <c r="N77" s="168"/>
    </row>
    <row r="78" spans="10:14" ht="24.95" customHeight="1">
      <c r="J78" s="173"/>
      <c r="K78" s="173"/>
    </row>
    <row r="79" spans="10:14" ht="24.95" customHeight="1">
      <c r="J79" s="173"/>
      <c r="K79" s="173"/>
    </row>
    <row r="80" spans="10:14" ht="24.95" customHeight="1">
      <c r="J80" s="173"/>
      <c r="K80" s="173"/>
    </row>
    <row r="81" spans="10:14" ht="24.95" customHeight="1">
      <c r="J81" s="173"/>
      <c r="K81" s="173"/>
      <c r="L81" s="168"/>
      <c r="N81" s="168"/>
    </row>
    <row r="82" spans="10:14" ht="24.95" customHeight="1">
      <c r="J82" s="173"/>
      <c r="K82" s="173"/>
    </row>
    <row r="83" spans="10:14" ht="24.95" customHeight="1">
      <c r="J83" s="173"/>
      <c r="K83" s="173"/>
      <c r="L83" s="168"/>
      <c r="M83" s="168"/>
      <c r="N83" s="168"/>
    </row>
    <row r="84" spans="10:14" ht="24.95" customHeight="1">
      <c r="J84" s="173"/>
      <c r="K84" s="173"/>
    </row>
    <row r="85" spans="10:14" ht="24.95" customHeight="1">
      <c r="J85" s="173"/>
      <c r="K85" s="173"/>
    </row>
    <row r="86" spans="10:14" ht="24.95" customHeight="1">
      <c r="J86" s="173"/>
      <c r="K86" s="173"/>
      <c r="L86" s="168"/>
      <c r="N86" s="168"/>
    </row>
    <row r="87" spans="10:14" ht="24.95" customHeight="1">
      <c r="J87" s="173"/>
      <c r="K87" s="173"/>
      <c r="L87" s="168"/>
      <c r="M87" s="168"/>
      <c r="N87" s="168"/>
    </row>
    <row r="88" spans="10:14" ht="24.95" customHeight="1">
      <c r="J88" s="173"/>
      <c r="K88" s="173"/>
      <c r="L88" s="168"/>
      <c r="M88" s="168"/>
      <c r="N88" s="168"/>
    </row>
    <row r="89" spans="10:14" ht="24.95" customHeight="1">
      <c r="J89" s="173"/>
      <c r="K89" s="173"/>
    </row>
    <row r="90" spans="10:14" ht="24.95" customHeight="1">
      <c r="J90" s="173"/>
      <c r="K90" s="173"/>
    </row>
    <row r="91" spans="10:14" ht="24.95" customHeight="1">
      <c r="J91" s="173"/>
      <c r="K91" s="173"/>
      <c r="L91" s="168"/>
      <c r="M91" s="168"/>
    </row>
    <row r="92" spans="10:14" ht="24.95" customHeight="1">
      <c r="J92" s="173"/>
      <c r="K92" s="173"/>
    </row>
    <row r="93" spans="10:14" ht="24.95" customHeight="1">
      <c r="J93" s="173"/>
      <c r="K93" s="173"/>
    </row>
    <row r="94" spans="10:14" ht="24.95" customHeight="1">
      <c r="J94" s="173"/>
      <c r="K94" s="173"/>
    </row>
    <row r="95" spans="10:14" ht="24.95" customHeight="1">
      <c r="J95" s="173"/>
      <c r="K95" s="173"/>
    </row>
    <row r="96" spans="10:14" ht="24.95" customHeight="1">
      <c r="J96" s="173"/>
      <c r="K96" s="173"/>
    </row>
    <row r="97" spans="10:14" ht="24.95" customHeight="1">
      <c r="J97" s="173"/>
      <c r="K97" s="173"/>
    </row>
    <row r="98" spans="10:14" ht="24.95" customHeight="1">
      <c r="J98" s="173"/>
      <c r="K98" s="173"/>
      <c r="L98" s="168"/>
      <c r="M98" s="168"/>
      <c r="N98" s="168"/>
    </row>
    <row r="99" spans="10:14" ht="24.95" customHeight="1">
      <c r="J99" s="173"/>
      <c r="K99" s="173"/>
    </row>
    <row r="100" spans="10:14" ht="24.95" customHeight="1">
      <c r="J100" s="173"/>
      <c r="K100" s="173"/>
    </row>
    <row r="101" spans="10:14" ht="24.95" customHeight="1">
      <c r="J101" s="173"/>
      <c r="K101" s="173"/>
    </row>
    <row r="102" spans="10:14" ht="24.95" customHeight="1">
      <c r="J102" s="173"/>
      <c r="K102" s="173"/>
    </row>
    <row r="103" spans="10:14" ht="24.95" customHeight="1">
      <c r="J103" s="173"/>
      <c r="K103" s="173"/>
    </row>
    <row r="104" spans="10:14" ht="24.95" customHeight="1">
      <c r="J104" s="173"/>
      <c r="K104" s="173"/>
      <c r="L104" s="168"/>
      <c r="M104" s="168"/>
      <c r="N104" s="168"/>
    </row>
    <row r="105" spans="10:14" ht="24.95" customHeight="1">
      <c r="J105" s="173"/>
      <c r="K105" s="173"/>
    </row>
    <row r="106" spans="10:14" ht="24.95" customHeight="1">
      <c r="J106" s="173"/>
      <c r="K106" s="173"/>
    </row>
    <row r="107" spans="10:14" ht="24.95" customHeight="1">
      <c r="J107" s="173"/>
      <c r="K107" s="173"/>
    </row>
    <row r="108" spans="10:14" ht="24.95" customHeight="1">
      <c r="J108" s="173"/>
      <c r="K108" s="173"/>
    </row>
    <row r="109" spans="10:14" ht="24.95" customHeight="1">
      <c r="J109" s="173"/>
      <c r="K109" s="173"/>
      <c r="L109" s="168"/>
      <c r="M109" s="168"/>
    </row>
    <row r="110" spans="10:14" ht="24.95" customHeight="1">
      <c r="M110" s="168"/>
      <c r="N110" s="168"/>
    </row>
    <row r="111" spans="10:14" ht="24.95" customHeight="1">
      <c r="M111" s="168"/>
      <c r="N111" s="168"/>
    </row>
    <row r="112" spans="10:14" ht="24.95" customHeight="1">
      <c r="J112" s="173"/>
      <c r="K112" s="173"/>
      <c r="L112" s="168"/>
      <c r="M112" s="168"/>
      <c r="N112" s="168"/>
    </row>
    <row r="113" spans="10:15" ht="24.95" customHeight="1">
      <c r="J113" s="173"/>
      <c r="K113" s="173"/>
      <c r="O113" s="317"/>
    </row>
    <row r="114" spans="10:15" ht="24.95" customHeight="1">
      <c r="J114" s="173"/>
      <c r="K114" s="173"/>
    </row>
    <row r="115" spans="10:15" ht="24.95" customHeight="1">
      <c r="J115" s="173"/>
      <c r="K115" s="173"/>
    </row>
    <row r="116" spans="10:15" ht="24.95" customHeight="1">
      <c r="J116" s="173"/>
      <c r="K116" s="173"/>
    </row>
    <row r="117" spans="10:15" ht="24.95" customHeight="1">
      <c r="J117" s="173"/>
      <c r="K117" s="173"/>
    </row>
    <row r="118" spans="10:15" ht="24.95" customHeight="1">
      <c r="J118" s="173"/>
      <c r="K118" s="173"/>
      <c r="L118" s="168"/>
      <c r="N118" s="168"/>
    </row>
    <row r="119" spans="10:15" ht="24.95" customHeight="1">
      <c r="M119" s="168"/>
      <c r="N119" s="168"/>
    </row>
    <row r="120" spans="10:15" ht="24.95" customHeight="1">
      <c r="J120" s="173"/>
      <c r="K120" s="173"/>
      <c r="L120" s="168"/>
      <c r="N120" s="168"/>
    </row>
    <row r="121" spans="10:15" ht="24.95" customHeight="1">
      <c r="J121" s="173"/>
      <c r="K121" s="173"/>
    </row>
    <row r="122" spans="10:15" ht="24.95" customHeight="1">
      <c r="J122" s="173"/>
      <c r="K122" s="173"/>
    </row>
    <row r="123" spans="10:15" ht="24.95" customHeight="1">
      <c r="J123" s="173"/>
      <c r="K123" s="173"/>
    </row>
    <row r="124" spans="10:15" ht="24.95" customHeight="1">
      <c r="J124" s="173"/>
      <c r="K124" s="173"/>
      <c r="L124" s="168"/>
      <c r="M124" s="168"/>
      <c r="N124" s="168"/>
    </row>
    <row r="125" spans="10:15" ht="24.95" customHeight="1">
      <c r="J125" s="173"/>
      <c r="K125" s="173"/>
    </row>
    <row r="126" spans="10:15" ht="24.95" customHeight="1">
      <c r="J126" s="173"/>
      <c r="K126" s="173"/>
    </row>
    <row r="127" spans="10:15" ht="24.95" customHeight="1">
      <c r="J127" s="173"/>
      <c r="K127" s="173"/>
      <c r="L127" s="168"/>
      <c r="M127" s="168"/>
      <c r="N127" s="168"/>
    </row>
    <row r="128" spans="10:15" ht="24.95" customHeight="1">
      <c r="J128" s="173"/>
      <c r="K128" s="173"/>
    </row>
    <row r="129" spans="10:14" ht="24.95" customHeight="1">
      <c r="J129" s="173"/>
      <c r="K129" s="173"/>
    </row>
    <row r="130" spans="10:14" ht="24.95" customHeight="1">
      <c r="J130" s="173"/>
      <c r="K130" s="173"/>
    </row>
    <row r="131" spans="10:14" ht="24.95" customHeight="1">
      <c r="J131" s="173"/>
      <c r="K131" s="173"/>
    </row>
    <row r="132" spans="10:14" ht="24.95" customHeight="1">
      <c r="J132" s="173"/>
      <c r="K132" s="173"/>
    </row>
    <row r="133" spans="10:14" ht="24.95" customHeight="1">
      <c r="J133" s="173"/>
      <c r="K133" s="173"/>
    </row>
    <row r="134" spans="10:14" ht="24.95" customHeight="1">
      <c r="J134" s="173"/>
      <c r="K134" s="173"/>
    </row>
    <row r="135" spans="10:14" ht="24.95" customHeight="1">
      <c r="J135" s="173"/>
      <c r="K135" s="173"/>
    </row>
    <row r="136" spans="10:14" ht="24.95" customHeight="1">
      <c r="J136" s="173"/>
      <c r="K136" s="173"/>
    </row>
    <row r="137" spans="10:14" ht="24.95" customHeight="1">
      <c r="J137" s="173"/>
      <c r="K137" s="173"/>
    </row>
    <row r="138" spans="10:14" ht="24.95" customHeight="1">
      <c r="J138" s="173"/>
      <c r="K138" s="173"/>
    </row>
    <row r="139" spans="10:14" ht="24.95" customHeight="1">
      <c r="J139" s="173"/>
      <c r="K139" s="173"/>
    </row>
    <row r="140" spans="10:14" ht="24.95" customHeight="1">
      <c r="J140" s="173"/>
      <c r="K140" s="173"/>
      <c r="L140" s="168"/>
      <c r="M140" s="168"/>
      <c r="N140" s="168"/>
    </row>
    <row r="141" spans="10:14" ht="24.95" customHeight="1">
      <c r="M141" s="168"/>
      <c r="N141" s="168"/>
    </row>
    <row r="142" spans="10:14" ht="24.95" customHeight="1">
      <c r="M142" s="168"/>
      <c r="N142" s="168"/>
    </row>
    <row r="143" spans="10:14" ht="24.95" customHeight="1">
      <c r="M143" s="168"/>
      <c r="N143" s="168"/>
    </row>
    <row r="144" spans="10:14" ht="24.95" customHeight="1">
      <c r="M144" s="168"/>
      <c r="N144" s="168"/>
    </row>
    <row r="145" spans="10:14" ht="24.95" customHeight="1">
      <c r="M145" s="168"/>
      <c r="N145" s="168"/>
    </row>
    <row r="146" spans="10:14" ht="24.95" customHeight="1">
      <c r="M146" s="168"/>
      <c r="N146" s="168"/>
    </row>
    <row r="147" spans="10:14" ht="24.95" customHeight="1">
      <c r="J147" s="173"/>
      <c r="K147" s="173"/>
      <c r="L147" s="168"/>
      <c r="M147" s="168"/>
      <c r="N147" s="168"/>
    </row>
    <row r="148" spans="10:14" ht="24.95" customHeight="1">
      <c r="J148" s="173"/>
      <c r="K148" s="173"/>
    </row>
    <row r="149" spans="10:14" ht="24.95" customHeight="1">
      <c r="J149" s="173"/>
      <c r="K149" s="173"/>
    </row>
    <row r="150" spans="10:14" ht="24.95" customHeight="1">
      <c r="J150" s="173"/>
      <c r="K150" s="173"/>
    </row>
    <row r="151" spans="10:14" ht="24.95" customHeight="1">
      <c r="J151" s="173"/>
      <c r="K151" s="173"/>
    </row>
    <row r="152" spans="10:14" ht="24.95" customHeight="1">
      <c r="J152" s="173"/>
      <c r="K152" s="173"/>
    </row>
    <row r="153" spans="10:14" ht="24.95" customHeight="1">
      <c r="J153" s="173"/>
      <c r="K153" s="173"/>
    </row>
    <row r="154" spans="10:14" ht="24.95" customHeight="1">
      <c r="J154" s="173"/>
      <c r="K154" s="173"/>
    </row>
    <row r="155" spans="10:14" ht="24.95" customHeight="1">
      <c r="J155" s="173"/>
      <c r="K155" s="173"/>
    </row>
    <row r="156" spans="10:14" ht="24.95" customHeight="1">
      <c r="J156" s="173"/>
      <c r="K156" s="173"/>
    </row>
    <row r="157" spans="10:14" ht="24.95" customHeight="1">
      <c r="J157" s="173"/>
      <c r="K157" s="173"/>
    </row>
    <row r="158" spans="10:14" ht="24.95" customHeight="1">
      <c r="J158" s="173"/>
      <c r="K158" s="173"/>
    </row>
    <row r="159" spans="10:14" ht="24.95" customHeight="1">
      <c r="J159" s="173"/>
      <c r="K159" s="173"/>
    </row>
    <row r="160" spans="10:14" ht="24.95" customHeight="1">
      <c r="J160" s="173"/>
      <c r="K160" s="173"/>
    </row>
    <row r="161" spans="10:14" ht="24.95" customHeight="1">
      <c r="J161" s="173"/>
      <c r="K161" s="173"/>
    </row>
    <row r="162" spans="10:14" ht="24.95" customHeight="1">
      <c r="J162" s="173"/>
      <c r="K162" s="173"/>
    </row>
    <row r="163" spans="10:14" ht="24.95" customHeight="1">
      <c r="J163" s="173"/>
      <c r="K163" s="173"/>
    </row>
    <row r="164" spans="10:14" ht="24.95" customHeight="1">
      <c r="J164" s="173"/>
      <c r="K164" s="173"/>
    </row>
    <row r="165" spans="10:14" ht="24.95" customHeight="1">
      <c r="J165" s="173"/>
      <c r="K165" s="173"/>
    </row>
    <row r="166" spans="10:14" ht="24.95" customHeight="1">
      <c r="J166" s="173"/>
      <c r="K166" s="173"/>
    </row>
    <row r="167" spans="10:14" ht="24.95" customHeight="1">
      <c r="M167" s="168"/>
      <c r="N167" s="168"/>
    </row>
    <row r="168" spans="10:14" ht="24.95" customHeight="1">
      <c r="J168" s="173"/>
      <c r="K168" s="173"/>
      <c r="L168" s="168"/>
      <c r="N168" s="168"/>
    </row>
    <row r="169" spans="10:14" ht="24.95" customHeight="1">
      <c r="J169" s="173"/>
      <c r="K169" s="173"/>
    </row>
    <row r="170" spans="10:14" ht="24.95" customHeight="1">
      <c r="J170" s="173"/>
      <c r="K170" s="173"/>
    </row>
    <row r="171" spans="10:14" ht="24.95" customHeight="1">
      <c r="J171" s="173"/>
      <c r="K171" s="173"/>
    </row>
    <row r="172" spans="10:14" ht="24.95" customHeight="1">
      <c r="J172" s="173"/>
      <c r="K172" s="173"/>
      <c r="L172" s="168"/>
      <c r="N172" s="168"/>
    </row>
    <row r="173" spans="10:14" ht="24.95" customHeight="1">
      <c r="J173" s="173"/>
      <c r="K173" s="173"/>
    </row>
    <row r="174" spans="10:14" ht="24.95" customHeight="1">
      <c r="J174" s="173"/>
      <c r="K174" s="173"/>
    </row>
    <row r="175" spans="10:14" ht="24.95" customHeight="1">
      <c r="J175" s="173"/>
      <c r="K175" s="173"/>
    </row>
    <row r="176" spans="10:14" ht="24.95" customHeight="1">
      <c r="J176" s="173"/>
      <c r="K176" s="173"/>
      <c r="L176" s="168"/>
      <c r="N176" s="168"/>
    </row>
    <row r="177" spans="10:14" ht="24.95" customHeight="1">
      <c r="J177" s="173"/>
      <c r="K177" s="173"/>
      <c r="L177" s="168"/>
      <c r="N177" s="168"/>
    </row>
  </sheetData>
  <sortState xmlns:xlrd2="http://schemas.microsoft.com/office/spreadsheetml/2017/richdata2" ref="A3:O42">
    <sortCondition ref="A3:A4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9" tint="-0.249977111117893"/>
    <pageSetUpPr fitToPage="1"/>
  </sheetPr>
  <dimension ref="A1:BH10153"/>
  <sheetViews>
    <sheetView view="pageBreakPreview" zoomScaleNormal="100" zoomScaleSheetLayoutView="100" workbookViewId="0">
      <selection activeCell="M20" sqref="M20"/>
    </sheetView>
  </sheetViews>
  <sheetFormatPr defaultColWidth="9.1328125" defaultRowHeight="14.25" zeroHeight="1"/>
  <cols>
    <col min="1" max="1" width="5.265625" style="46" customWidth="1"/>
    <col min="2" max="2" width="10.265625" style="46" customWidth="1"/>
    <col min="3" max="3" width="15.1328125" style="46" customWidth="1"/>
    <col min="4" max="4" width="10" style="46" bestFit="1" customWidth="1"/>
    <col min="5" max="5" width="13.59765625" style="46" customWidth="1"/>
    <col min="6" max="6" width="6.3984375" style="46" bestFit="1" customWidth="1"/>
    <col min="7" max="8" width="7.73046875" style="46" customWidth="1"/>
    <col min="9" max="9" width="13.1328125" style="46" customWidth="1"/>
    <col min="10" max="10" width="20.1328125" style="46" bestFit="1" customWidth="1"/>
    <col min="11" max="11" width="2.265625" style="47" customWidth="1"/>
    <col min="12" max="12" width="18.86328125" style="47" customWidth="1"/>
    <col min="13" max="14" width="9.1328125" style="47" customWidth="1"/>
    <col min="15" max="15" width="7.73046875" style="47" customWidth="1"/>
    <col min="16" max="16" width="9.1328125" style="47" customWidth="1"/>
    <col min="17" max="18" width="9.1328125" style="48" customWidth="1"/>
    <col min="19" max="46" width="9.1328125" style="47" customWidth="1"/>
    <col min="47" max="47" width="11.265625" style="47" customWidth="1"/>
    <col min="48" max="74" width="9.1328125" style="47" customWidth="1"/>
    <col min="75" max="16384" width="9.1328125" style="47"/>
  </cols>
  <sheetData>
    <row r="1" spans="1:19" ht="9" customHeight="1">
      <c r="S1" s="49"/>
    </row>
    <row r="2" spans="1:19" ht="12.75" customHeight="1">
      <c r="B2" s="50"/>
      <c r="C2" s="51" t="str">
        <f>"Tên công ty"&amp;" : "&amp;KhaiBaoThongTinDN!C3</f>
        <v>Tên công ty : CÔNG TY CỔ PHẦN BÓNG ĐÈN ĐIỆN QUANG</v>
      </c>
      <c r="D2" s="51"/>
      <c r="E2" s="52"/>
      <c r="F2" s="53"/>
      <c r="G2" s="53"/>
      <c r="H2" s="53"/>
      <c r="L2" s="338" t="s">
        <v>133</v>
      </c>
      <c r="M2" s="340" t="s">
        <v>301</v>
      </c>
      <c r="N2" s="341"/>
      <c r="O2" s="341"/>
      <c r="P2" s="342"/>
      <c r="R2" s="54" t="str">
        <f>IF(LEFT(J7,2)="PX","PHIẾU XUẤT KHO",IF(LEFT(J7,2)="PN","PHIẾU NHẬP KHO",""))</f>
        <v>PHIẾU NHẬP KHO</v>
      </c>
      <c r="S2" s="49"/>
    </row>
    <row r="3" spans="1:19" ht="12.75" customHeight="1">
      <c r="C3" s="55" t="str">
        <f>"Địa chỉ"&amp;" : "&amp;KhaiBaoThongTinDN!C4</f>
        <v>Địa chỉ : 32 Linh trung , Thủ Đức , TP HCM</v>
      </c>
      <c r="D3" s="55"/>
      <c r="E3" s="56"/>
      <c r="F3" s="56"/>
      <c r="G3" s="56"/>
      <c r="H3" s="57"/>
      <c r="L3" s="339"/>
      <c r="M3" s="343"/>
      <c r="N3" s="344"/>
      <c r="O3" s="344"/>
      <c r="P3" s="345"/>
      <c r="R3" s="54" t="str">
        <f>IF(LEFT(J7,2)="PN","Mã NCC :",IF(LEFT(J7,2)="PX","Mã KH :",""))</f>
        <v>Mã NCC :</v>
      </c>
      <c r="S3" s="49"/>
    </row>
    <row r="4" spans="1:19" ht="12.75" customHeight="1">
      <c r="C4" s="58" t="str">
        <f>"Số điện thoại"&amp;" : "&amp;KhaiBaoThongTinDN!C5</f>
        <v>Số điện thoại : 0773447837</v>
      </c>
      <c r="D4" s="58"/>
      <c r="E4" s="53"/>
      <c r="F4" s="53"/>
      <c r="G4" s="53"/>
      <c r="H4" s="53"/>
      <c r="L4" s="346"/>
      <c r="M4" s="347"/>
      <c r="N4" s="347"/>
      <c r="O4" s="347"/>
      <c r="P4" s="348"/>
      <c r="R4" s="54" t="str">
        <f>IF(LEFT(J7,2)="PN","Tên NCC :",IF(LEFT(J7,2)="PX","Tên KH :",""))</f>
        <v>Tên NCC :</v>
      </c>
      <c r="S4" s="49"/>
    </row>
    <row r="5" spans="1:19" ht="12.75" customHeight="1">
      <c r="C5" s="58" t="str">
        <f>"Mã số thuế"&amp;" : "&amp;KhaiBaoThongTinDN!C7</f>
        <v>Mã số thuế : 5645645645645</v>
      </c>
      <c r="D5" s="58"/>
      <c r="E5" s="53"/>
      <c r="F5" s="53"/>
      <c r="G5" s="53"/>
      <c r="H5" s="53"/>
      <c r="L5" s="349"/>
      <c r="M5" s="350"/>
      <c r="N5" s="350"/>
      <c r="O5" s="350"/>
      <c r="P5" s="351"/>
      <c r="R5" s="54" t="str">
        <f>IF(LEFT(J7,2)="PN","Nhập Kho :",IF(LEFT(J7,2)="PX","Kho Xuất :",""))</f>
        <v>Nhập Kho :</v>
      </c>
      <c r="S5" s="49"/>
    </row>
    <row r="6" spans="1:19" ht="12.75" customHeight="1">
      <c r="A6" s="59"/>
      <c r="B6" s="60"/>
      <c r="C6" s="61"/>
      <c r="D6" s="61"/>
      <c r="E6" s="62"/>
      <c r="F6" s="62"/>
      <c r="G6" s="62"/>
      <c r="H6" s="63"/>
      <c r="I6" s="355"/>
      <c r="J6" s="355"/>
      <c r="L6" s="349"/>
      <c r="M6" s="350"/>
      <c r="N6" s="350"/>
      <c r="O6" s="350"/>
      <c r="P6" s="351"/>
      <c r="R6" s="54" t="str">
        <f>IF(LEFT(J7,2)="PN","Thực nhập",IF(LEFT(J7,2)="PX","Thực xuất",""))</f>
        <v>Thực nhập</v>
      </c>
      <c r="S6" s="49"/>
    </row>
    <row r="7" spans="1:19" ht="12.95" customHeight="1">
      <c r="A7" s="64"/>
      <c r="B7" s="64"/>
      <c r="C7" s="64"/>
      <c r="D7" s="64"/>
      <c r="E7" s="64"/>
      <c r="F7" s="64"/>
      <c r="G7" s="64"/>
      <c r="H7" s="64"/>
      <c r="I7" s="65" t="s">
        <v>134</v>
      </c>
      <c r="J7" s="66" t="str">
        <f>M2</f>
        <v>PN0001</v>
      </c>
      <c r="L7" s="349"/>
      <c r="M7" s="350"/>
      <c r="N7" s="350"/>
      <c r="O7" s="350"/>
      <c r="P7" s="351"/>
      <c r="S7" s="49"/>
    </row>
    <row r="8" spans="1:19" ht="12.95" customHeight="1">
      <c r="A8" s="64"/>
      <c r="B8" s="64"/>
      <c r="C8" s="64"/>
      <c r="D8" s="64"/>
      <c r="E8" s="64"/>
      <c r="F8" s="64"/>
      <c r="G8" s="64"/>
      <c r="H8" s="64"/>
      <c r="I8" s="67" t="s">
        <v>135</v>
      </c>
      <c r="J8" s="68"/>
      <c r="L8" s="349"/>
      <c r="M8" s="350"/>
      <c r="N8" s="350"/>
      <c r="O8" s="350"/>
      <c r="P8" s="351"/>
      <c r="S8" s="49"/>
    </row>
    <row r="9" spans="1:19" ht="12.95" customHeight="1">
      <c r="A9" s="64"/>
      <c r="B9" s="64"/>
      <c r="C9" s="64"/>
      <c r="D9" s="64"/>
      <c r="E9" s="64"/>
      <c r="F9" s="64"/>
      <c r="G9" s="64"/>
      <c r="H9" s="64"/>
      <c r="I9" s="67" t="s">
        <v>136</v>
      </c>
      <c r="J9" s="68"/>
      <c r="L9" s="352"/>
      <c r="M9" s="353"/>
      <c r="N9" s="353"/>
      <c r="O9" s="353"/>
      <c r="P9" s="354"/>
      <c r="S9" s="49"/>
    </row>
    <row r="10" spans="1:19" ht="16.899999999999999">
      <c r="A10" s="69"/>
      <c r="B10" s="69"/>
      <c r="C10" s="70"/>
      <c r="D10" s="70"/>
      <c r="E10" s="71"/>
      <c r="F10" s="72"/>
      <c r="G10" s="72"/>
      <c r="H10" s="70"/>
      <c r="M10" s="73"/>
      <c r="N10" s="73"/>
      <c r="O10" s="73"/>
      <c r="P10" s="73"/>
      <c r="S10" s="49"/>
    </row>
    <row r="11" spans="1:19" ht="6" customHeight="1">
      <c r="A11" s="69"/>
      <c r="B11" s="69"/>
      <c r="C11" s="74"/>
      <c r="D11" s="74"/>
      <c r="E11" s="70"/>
      <c r="F11" s="75"/>
      <c r="G11" s="70"/>
      <c r="H11" s="76"/>
      <c r="M11" s="77"/>
      <c r="N11" s="77"/>
      <c r="O11" s="77"/>
      <c r="P11" s="77"/>
      <c r="S11" s="49"/>
    </row>
    <row r="12" spans="1:19" ht="14.1" customHeight="1">
      <c r="A12" s="78"/>
      <c r="B12" s="79" t="str">
        <f>R3</f>
        <v>Mã NCC :</v>
      </c>
      <c r="C12" s="80" t="s">
        <v>94</v>
      </c>
      <c r="D12" s="79" t="str">
        <f>R4</f>
        <v>Tên NCC :</v>
      </c>
      <c r="E12" s="80" t="str">
        <f>IF(LEFT(J7,2)="PN",VLOOKUP(C12,DM_NhaCungCap!$C$3:$L$1048576,3,0),IF(LEFT(J7,2)="PX",VLOOKUP(C12,DM_KhachHang!$C$3:$J$1048576,3,0),""))</f>
        <v>Sử Duy Tín</v>
      </c>
      <c r="F12" s="81"/>
      <c r="G12" s="81"/>
      <c r="H12" s="81"/>
      <c r="I12" s="81"/>
      <c r="J12" s="81"/>
      <c r="M12" s="82"/>
      <c r="N12" s="82"/>
    </row>
    <row r="13" spans="1:19" ht="14.1" customHeight="1">
      <c r="A13" s="78"/>
      <c r="B13" s="83" t="s">
        <v>2</v>
      </c>
      <c r="C13" s="118" t="str">
        <f>IF(LEFT(J7,2)="PN",VLOOKUP(C12,DM_NhaCungCap!$C$3:$L$1048576,4,0),IF(LEFT(J7,2)="PX",VLOOKUP(C12,DM_KhachHang!$C$3:$J$1048576,4,0),""))</f>
        <v>Lô 11 - KCN Tân tạo - Phường Tân Tạo - Quận Bình Tân - TP. Hồ Chí Minh</v>
      </c>
      <c r="D13" s="84"/>
      <c r="E13" s="85"/>
      <c r="F13" s="86"/>
      <c r="G13" s="86"/>
      <c r="H13" s="86"/>
      <c r="I13" s="86"/>
      <c r="J13" s="86"/>
      <c r="M13" s="87"/>
      <c r="N13" s="87"/>
    </row>
    <row r="14" spans="1:19" ht="14.1" customHeight="1">
      <c r="A14" s="78"/>
      <c r="B14" s="79" t="str">
        <f>R5</f>
        <v>Nhập Kho :</v>
      </c>
      <c r="C14" s="88" t="s">
        <v>153</v>
      </c>
      <c r="D14" s="89" t="s">
        <v>137</v>
      </c>
      <c r="E14" s="90" t="str">
        <f>IF(LEFT(J7,2)="PN",VLOOKUP(C12,DM_NhaCungCap!$C$3:$L$1048576,5,0),IF(LEFT(J7,2)="PX",VLOOKUP(C12,DM_KhachHang!$C$3:$J$1048576,5,0),""))</f>
        <v>0981115341</v>
      </c>
      <c r="F14" s="91"/>
      <c r="G14" s="91"/>
      <c r="H14" s="92"/>
      <c r="I14" s="92"/>
      <c r="J14" s="92"/>
    </row>
    <row r="15" spans="1:19" ht="14.1" customHeight="1">
      <c r="A15" s="78"/>
      <c r="B15" s="83" t="s">
        <v>138</v>
      </c>
      <c r="C15" s="93" t="str">
        <f>IFERROR(VLOOKUP(PHIEU_X_N!$J$7,DATA_NX!$B:$O,14,0),"")</f>
        <v/>
      </c>
      <c r="D15" s="94"/>
      <c r="E15" s="95"/>
      <c r="F15" s="95"/>
      <c r="G15" s="95"/>
      <c r="H15" s="95"/>
      <c r="I15" s="95"/>
      <c r="J15" s="95"/>
    </row>
    <row r="16" spans="1:19" ht="15.4">
      <c r="A16" s="74"/>
      <c r="B16" s="96"/>
      <c r="C16" s="97"/>
      <c r="D16" s="97"/>
      <c r="E16" s="97"/>
      <c r="F16" s="97"/>
      <c r="G16" s="97"/>
      <c r="H16" s="97"/>
      <c r="I16" s="74"/>
      <c r="J16" s="74"/>
    </row>
    <row r="17" spans="1:18" ht="15" customHeight="1">
      <c r="A17" s="356" t="s">
        <v>139</v>
      </c>
      <c r="B17" s="356" t="s">
        <v>140</v>
      </c>
      <c r="C17" s="356" t="s">
        <v>141</v>
      </c>
      <c r="D17" s="356"/>
      <c r="E17" s="356"/>
      <c r="F17" s="357" t="s">
        <v>122</v>
      </c>
      <c r="G17" s="98" t="s">
        <v>123</v>
      </c>
      <c r="H17" s="98"/>
      <c r="I17" s="289" t="s">
        <v>123</v>
      </c>
      <c r="J17" s="290"/>
    </row>
    <row r="18" spans="1:18" ht="26.25">
      <c r="A18" s="356"/>
      <c r="B18" s="356"/>
      <c r="C18" s="356"/>
      <c r="D18" s="356"/>
      <c r="E18" s="356"/>
      <c r="F18" s="358"/>
      <c r="G18" s="291" t="s">
        <v>142</v>
      </c>
      <c r="H18" s="292" t="str">
        <f>R6</f>
        <v>Thực nhập</v>
      </c>
      <c r="I18" s="293" t="s">
        <v>124</v>
      </c>
      <c r="J18" s="293" t="s">
        <v>125</v>
      </c>
    </row>
    <row r="19" spans="1:18">
      <c r="A19" s="99" t="s">
        <v>143</v>
      </c>
      <c r="B19" s="99" t="s">
        <v>144</v>
      </c>
      <c r="C19" s="337" t="s">
        <v>145</v>
      </c>
      <c r="D19" s="337"/>
      <c r="E19" s="337"/>
      <c r="F19" s="99" t="s">
        <v>146</v>
      </c>
      <c r="G19" s="99">
        <v>1</v>
      </c>
      <c r="H19" s="99">
        <v>2</v>
      </c>
      <c r="I19" s="99">
        <v>3</v>
      </c>
      <c r="J19" s="99">
        <v>4</v>
      </c>
    </row>
    <row r="20" spans="1:18" s="2" customFormat="1" ht="30" customHeight="1">
      <c r="A20" s="100">
        <v>1</v>
      </c>
      <c r="B20" s="100">
        <v>52022002</v>
      </c>
      <c r="C20" s="329" t="s">
        <v>47</v>
      </c>
      <c r="D20" s="330"/>
      <c r="E20" s="331"/>
      <c r="F20" s="100" t="s">
        <v>45</v>
      </c>
      <c r="G20" s="100"/>
      <c r="H20" s="101">
        <v>500</v>
      </c>
      <c r="I20" s="102">
        <v>65000</v>
      </c>
      <c r="J20" s="101">
        <v>32500000</v>
      </c>
      <c r="K20" s="103"/>
      <c r="L20" s="103"/>
      <c r="Q20" s="104"/>
      <c r="R20" s="104"/>
    </row>
    <row r="21" spans="1:18" s="2" customFormat="1" ht="30" customHeight="1">
      <c r="A21" s="100">
        <v>2</v>
      </c>
      <c r="B21" s="100">
        <v>52022003</v>
      </c>
      <c r="C21" s="329" t="s">
        <v>48</v>
      </c>
      <c r="D21" s="330"/>
      <c r="E21" s="331"/>
      <c r="F21" s="100" t="s">
        <v>45</v>
      </c>
      <c r="G21" s="100"/>
      <c r="H21" s="101">
        <v>200</v>
      </c>
      <c r="I21" s="102">
        <v>70000</v>
      </c>
      <c r="J21" s="101">
        <v>14000000</v>
      </c>
      <c r="K21" s="103"/>
      <c r="L21" s="103"/>
      <c r="Q21" s="104"/>
      <c r="R21" s="104"/>
    </row>
    <row r="22" spans="1:18" s="2" customFormat="1" ht="30" customHeight="1">
      <c r="A22" s="100">
        <v>3</v>
      </c>
      <c r="B22" s="100">
        <v>52022004</v>
      </c>
      <c r="C22" s="329" t="s">
        <v>47</v>
      </c>
      <c r="D22" s="330"/>
      <c r="E22" s="331"/>
      <c r="F22" s="100" t="s">
        <v>45</v>
      </c>
      <c r="G22" s="100"/>
      <c r="H22" s="101">
        <v>500</v>
      </c>
      <c r="I22" s="102">
        <v>65000</v>
      </c>
      <c r="J22" s="102">
        <v>32500000</v>
      </c>
      <c r="K22" s="103"/>
      <c r="L22" s="103"/>
      <c r="Q22" s="104"/>
      <c r="R22" s="104"/>
    </row>
    <row r="23" spans="1:18" s="2" customFormat="1" ht="30" hidden="1" customHeight="1">
      <c r="A23" s="100"/>
      <c r="B23" s="100"/>
      <c r="C23" s="329"/>
      <c r="D23" s="330"/>
      <c r="E23" s="331"/>
      <c r="F23" s="100"/>
      <c r="G23" s="100"/>
      <c r="H23" s="101"/>
      <c r="I23" s="102"/>
      <c r="J23" s="102"/>
      <c r="K23" s="103"/>
      <c r="L23" s="103"/>
      <c r="Q23" s="104"/>
      <c r="R23" s="104"/>
    </row>
    <row r="24" spans="1:18" s="2" customFormat="1" ht="30" hidden="1" customHeight="1">
      <c r="A24" s="100"/>
      <c r="B24" s="100"/>
      <c r="C24" s="329"/>
      <c r="D24" s="330"/>
      <c r="E24" s="331"/>
      <c r="F24" s="100"/>
      <c r="G24" s="100"/>
      <c r="H24" s="101"/>
      <c r="I24" s="102"/>
      <c r="J24" s="102"/>
      <c r="K24" s="103"/>
      <c r="L24" s="103"/>
      <c r="Q24" s="104"/>
      <c r="R24" s="104"/>
    </row>
    <row r="25" spans="1:18" s="2" customFormat="1" ht="30" hidden="1" customHeight="1">
      <c r="A25" s="100"/>
      <c r="B25" s="100"/>
      <c r="C25" s="329"/>
      <c r="D25" s="330"/>
      <c r="E25" s="331"/>
      <c r="F25" s="100"/>
      <c r="G25" s="100"/>
      <c r="H25" s="101"/>
      <c r="I25" s="102"/>
      <c r="J25" s="102"/>
      <c r="K25" s="103"/>
      <c r="L25" s="103"/>
      <c r="Q25" s="104"/>
      <c r="R25" s="104"/>
    </row>
    <row r="26" spans="1:18" s="2" customFormat="1" ht="30" hidden="1" customHeight="1">
      <c r="A26" s="100"/>
      <c r="B26" s="100"/>
      <c r="C26" s="329"/>
      <c r="D26" s="330"/>
      <c r="E26" s="331"/>
      <c r="F26" s="100"/>
      <c r="G26" s="100"/>
      <c r="H26" s="101"/>
      <c r="I26" s="102"/>
      <c r="J26" s="102"/>
      <c r="K26" s="103"/>
      <c r="L26" s="103"/>
      <c r="Q26" s="104"/>
      <c r="R26" s="104"/>
    </row>
    <row r="27" spans="1:18" s="2" customFormat="1" ht="30" hidden="1" customHeight="1">
      <c r="A27" s="100"/>
      <c r="B27" s="100"/>
      <c r="C27" s="329"/>
      <c r="D27" s="330"/>
      <c r="E27" s="331"/>
      <c r="F27" s="100"/>
      <c r="G27" s="100"/>
      <c r="H27" s="101"/>
      <c r="I27" s="102"/>
      <c r="J27" s="102"/>
      <c r="K27" s="103"/>
      <c r="L27" s="103"/>
      <c r="Q27" s="104"/>
      <c r="R27" s="104"/>
    </row>
    <row r="28" spans="1:18" s="2" customFormat="1" ht="30" hidden="1" customHeight="1">
      <c r="A28" s="100"/>
      <c r="B28" s="100"/>
      <c r="C28" s="329"/>
      <c r="D28" s="330"/>
      <c r="E28" s="331"/>
      <c r="F28" s="100"/>
      <c r="G28" s="100"/>
      <c r="H28" s="101"/>
      <c r="I28" s="102"/>
      <c r="J28" s="102"/>
      <c r="K28" s="103"/>
      <c r="L28" s="103"/>
      <c r="Q28" s="104"/>
      <c r="R28" s="104"/>
    </row>
    <row r="29" spans="1:18" s="2" customFormat="1" ht="30" hidden="1" customHeight="1">
      <c r="A29" s="100"/>
      <c r="B29" s="100"/>
      <c r="C29" s="329"/>
      <c r="D29" s="330"/>
      <c r="E29" s="331"/>
      <c r="F29" s="100"/>
      <c r="G29" s="100"/>
      <c r="H29" s="101"/>
      <c r="I29" s="102"/>
      <c r="J29" s="102"/>
      <c r="K29" s="103"/>
      <c r="L29" s="103"/>
      <c r="Q29" s="104"/>
      <c r="R29" s="104"/>
    </row>
    <row r="30" spans="1:18" s="2" customFormat="1" ht="30" hidden="1" customHeight="1">
      <c r="A30" s="100"/>
      <c r="B30" s="100"/>
      <c r="C30" s="329"/>
      <c r="D30" s="330"/>
      <c r="E30" s="331"/>
      <c r="F30" s="100"/>
      <c r="G30" s="100"/>
      <c r="H30" s="101"/>
      <c r="I30" s="102"/>
      <c r="J30" s="102"/>
      <c r="K30" s="103"/>
      <c r="L30" s="103"/>
      <c r="Q30" s="104"/>
      <c r="R30" s="104"/>
    </row>
    <row r="31" spans="1:18" s="2" customFormat="1" ht="30" hidden="1" customHeight="1">
      <c r="A31" s="100"/>
      <c r="B31" s="100"/>
      <c r="C31" s="329"/>
      <c r="D31" s="330"/>
      <c r="E31" s="331"/>
      <c r="F31" s="100"/>
      <c r="G31" s="100"/>
      <c r="H31" s="101"/>
      <c r="I31" s="102"/>
      <c r="J31" s="102"/>
      <c r="K31" s="103"/>
      <c r="L31" s="103"/>
      <c r="Q31" s="104"/>
      <c r="R31" s="104"/>
    </row>
    <row r="32" spans="1:18" s="2" customFormat="1" ht="30" hidden="1" customHeight="1">
      <c r="A32" s="100"/>
      <c r="B32" s="100"/>
      <c r="C32" s="329"/>
      <c r="D32" s="330"/>
      <c r="E32" s="331"/>
      <c r="F32" s="100"/>
      <c r="G32" s="100"/>
      <c r="H32" s="101"/>
      <c r="I32" s="102"/>
      <c r="J32" s="102"/>
      <c r="K32" s="103"/>
      <c r="L32" s="103"/>
      <c r="Q32" s="104"/>
      <c r="R32" s="104"/>
    </row>
    <row r="33" spans="1:18" s="2" customFormat="1" ht="30" hidden="1" customHeight="1">
      <c r="A33" s="100"/>
      <c r="B33" s="100"/>
      <c r="C33" s="329"/>
      <c r="D33" s="330"/>
      <c r="E33" s="331"/>
      <c r="F33" s="100"/>
      <c r="G33" s="100"/>
      <c r="H33" s="101"/>
      <c r="I33" s="102"/>
      <c r="J33" s="102"/>
      <c r="K33" s="103"/>
      <c r="L33" s="103"/>
      <c r="Q33" s="104"/>
      <c r="R33" s="104"/>
    </row>
    <row r="34" spans="1:18" s="2" customFormat="1" ht="30" hidden="1" customHeight="1">
      <c r="A34" s="100"/>
      <c r="B34" s="100"/>
      <c r="C34" s="329"/>
      <c r="D34" s="330"/>
      <c r="E34" s="331"/>
      <c r="F34" s="100"/>
      <c r="G34" s="100"/>
      <c r="H34" s="101"/>
      <c r="I34" s="102"/>
      <c r="J34" s="102"/>
      <c r="K34" s="103"/>
      <c r="L34" s="103"/>
      <c r="Q34" s="104"/>
      <c r="R34" s="104"/>
    </row>
    <row r="35" spans="1:18" s="2" customFormat="1" ht="30" hidden="1" customHeight="1">
      <c r="A35" s="100"/>
      <c r="B35" s="100"/>
      <c r="C35" s="329"/>
      <c r="D35" s="330"/>
      <c r="E35" s="331"/>
      <c r="F35" s="100"/>
      <c r="G35" s="100"/>
      <c r="H35" s="101"/>
      <c r="I35" s="102"/>
      <c r="J35" s="102"/>
      <c r="K35" s="103"/>
      <c r="L35" s="103"/>
      <c r="Q35" s="104"/>
      <c r="R35" s="104"/>
    </row>
    <row r="36" spans="1:18" s="2" customFormat="1" ht="30" hidden="1" customHeight="1">
      <c r="A36" s="100"/>
      <c r="B36" s="100"/>
      <c r="C36" s="329"/>
      <c r="D36" s="330"/>
      <c r="E36" s="331"/>
      <c r="F36" s="100"/>
      <c r="G36" s="100"/>
      <c r="H36" s="101"/>
      <c r="I36" s="102"/>
      <c r="J36" s="102"/>
      <c r="K36" s="103"/>
      <c r="L36" s="103"/>
      <c r="Q36" s="104"/>
      <c r="R36" s="104"/>
    </row>
    <row r="37" spans="1:18" s="2" customFormat="1" ht="30" hidden="1" customHeight="1">
      <c r="A37" s="100"/>
      <c r="B37" s="100"/>
      <c r="C37" s="329"/>
      <c r="D37" s="330"/>
      <c r="E37" s="331"/>
      <c r="F37" s="100"/>
      <c r="G37" s="100"/>
      <c r="H37" s="101"/>
      <c r="I37" s="102"/>
      <c r="J37" s="102"/>
      <c r="K37" s="103"/>
      <c r="L37" s="103"/>
      <c r="Q37" s="104"/>
      <c r="R37" s="104"/>
    </row>
    <row r="38" spans="1:18" s="2" customFormat="1" ht="30" hidden="1" customHeight="1">
      <c r="A38" s="100"/>
      <c r="B38" s="100"/>
      <c r="C38" s="329"/>
      <c r="D38" s="330"/>
      <c r="E38" s="331"/>
      <c r="F38" s="100"/>
      <c r="G38" s="100"/>
      <c r="H38" s="101"/>
      <c r="I38" s="102"/>
      <c r="J38" s="102"/>
      <c r="K38" s="103"/>
      <c r="L38" s="103"/>
      <c r="Q38" s="104"/>
      <c r="R38" s="104"/>
    </row>
    <row r="39" spans="1:18" s="2" customFormat="1" ht="30" hidden="1" customHeight="1">
      <c r="A39" s="100"/>
      <c r="B39" s="100"/>
      <c r="C39" s="329"/>
      <c r="D39" s="330"/>
      <c r="E39" s="331"/>
      <c r="F39" s="100"/>
      <c r="G39" s="100"/>
      <c r="H39" s="101"/>
      <c r="I39" s="102"/>
      <c r="J39" s="102"/>
      <c r="K39" s="103"/>
      <c r="L39" s="103"/>
      <c r="Q39" s="104"/>
      <c r="R39" s="104"/>
    </row>
    <row r="40" spans="1:18" s="2" customFormat="1" ht="30" hidden="1" customHeight="1">
      <c r="A40" s="100"/>
      <c r="B40" s="100"/>
      <c r="C40" s="329"/>
      <c r="D40" s="330"/>
      <c r="E40" s="331"/>
      <c r="F40" s="100"/>
      <c r="G40" s="100"/>
      <c r="H40" s="101"/>
      <c r="I40" s="102"/>
      <c r="J40" s="102"/>
      <c r="K40" s="103"/>
      <c r="L40" s="103"/>
      <c r="Q40" s="104"/>
      <c r="R40" s="104"/>
    </row>
    <row r="41" spans="1:18" s="2" customFormat="1" ht="30" hidden="1" customHeight="1">
      <c r="A41" s="100"/>
      <c r="B41" s="100"/>
      <c r="C41" s="329"/>
      <c r="D41" s="330"/>
      <c r="E41" s="331"/>
      <c r="F41" s="100"/>
      <c r="G41" s="100"/>
      <c r="H41" s="101"/>
      <c r="I41" s="102"/>
      <c r="J41" s="102"/>
      <c r="K41" s="103"/>
      <c r="L41" s="103"/>
      <c r="Q41" s="104"/>
      <c r="R41" s="104"/>
    </row>
    <row r="42" spans="1:18" s="2" customFormat="1" ht="30" hidden="1" customHeight="1">
      <c r="A42" s="100"/>
      <c r="B42" s="100"/>
      <c r="C42" s="329"/>
      <c r="D42" s="330"/>
      <c r="E42" s="331"/>
      <c r="F42" s="100"/>
      <c r="G42" s="100"/>
      <c r="H42" s="101"/>
      <c r="I42" s="102"/>
      <c r="J42" s="102"/>
      <c r="K42" s="103"/>
      <c r="L42" s="103"/>
      <c r="Q42" s="104"/>
      <c r="R42" s="104"/>
    </row>
    <row r="43" spans="1:18" s="2" customFormat="1" ht="30" hidden="1" customHeight="1">
      <c r="A43" s="100"/>
      <c r="B43" s="100"/>
      <c r="C43" s="329"/>
      <c r="D43" s="330"/>
      <c r="E43" s="331"/>
      <c r="F43" s="100"/>
      <c r="G43" s="100"/>
      <c r="H43" s="101"/>
      <c r="I43" s="102"/>
      <c r="J43" s="102"/>
      <c r="K43" s="103"/>
      <c r="L43" s="103"/>
      <c r="Q43" s="104"/>
      <c r="R43" s="104"/>
    </row>
    <row r="44" spans="1:18" s="2" customFormat="1" ht="30" hidden="1" customHeight="1">
      <c r="A44" s="100"/>
      <c r="B44" s="100"/>
      <c r="C44" s="329"/>
      <c r="D44" s="330"/>
      <c r="E44" s="331"/>
      <c r="F44" s="100"/>
      <c r="G44" s="100"/>
      <c r="H44" s="101"/>
      <c r="I44" s="102"/>
      <c r="J44" s="102"/>
      <c r="K44" s="103"/>
      <c r="L44" s="103"/>
      <c r="Q44" s="104"/>
      <c r="R44" s="104"/>
    </row>
    <row r="45" spans="1:18" s="2" customFormat="1" ht="30" hidden="1" customHeight="1">
      <c r="A45" s="100"/>
      <c r="B45" s="100"/>
      <c r="C45" s="329"/>
      <c r="D45" s="330"/>
      <c r="E45" s="331"/>
      <c r="F45" s="100"/>
      <c r="G45" s="100"/>
      <c r="H45" s="101"/>
      <c r="I45" s="102"/>
      <c r="J45" s="102"/>
      <c r="K45" s="103"/>
      <c r="L45" s="103"/>
      <c r="Q45" s="104"/>
      <c r="R45" s="104"/>
    </row>
    <row r="46" spans="1:18" s="2" customFormat="1" ht="30" hidden="1" customHeight="1">
      <c r="A46" s="100"/>
      <c r="B46" s="100"/>
      <c r="C46" s="329"/>
      <c r="D46" s="330"/>
      <c r="E46" s="331"/>
      <c r="F46" s="100"/>
      <c r="G46" s="100"/>
      <c r="H46" s="101"/>
      <c r="I46" s="102"/>
      <c r="J46" s="102"/>
      <c r="K46" s="103"/>
      <c r="L46" s="103"/>
      <c r="Q46" s="104"/>
      <c r="R46" s="104"/>
    </row>
    <row r="47" spans="1:18" s="2" customFormat="1" ht="30" hidden="1" customHeight="1">
      <c r="A47" s="100"/>
      <c r="B47" s="100"/>
      <c r="C47" s="329"/>
      <c r="D47" s="330"/>
      <c r="E47" s="331"/>
      <c r="F47" s="100"/>
      <c r="G47" s="100"/>
      <c r="H47" s="101"/>
      <c r="I47" s="102"/>
      <c r="J47" s="102"/>
      <c r="K47" s="103"/>
      <c r="L47" s="103"/>
      <c r="Q47" s="104"/>
      <c r="R47" s="104"/>
    </row>
    <row r="48" spans="1:18" s="2" customFormat="1" ht="30" hidden="1" customHeight="1">
      <c r="A48" s="100"/>
      <c r="B48" s="100"/>
      <c r="C48" s="329"/>
      <c r="D48" s="330"/>
      <c r="E48" s="331"/>
      <c r="F48" s="100"/>
      <c r="G48" s="100"/>
      <c r="H48" s="101"/>
      <c r="I48" s="102"/>
      <c r="J48" s="102"/>
      <c r="K48" s="103"/>
      <c r="L48" s="103"/>
      <c r="Q48" s="104"/>
      <c r="R48" s="104"/>
    </row>
    <row r="49" spans="1:18" s="2" customFormat="1" ht="30" hidden="1" customHeight="1">
      <c r="A49" s="100"/>
      <c r="B49" s="100"/>
      <c r="C49" s="329"/>
      <c r="D49" s="330"/>
      <c r="E49" s="331"/>
      <c r="F49" s="100"/>
      <c r="G49" s="100"/>
      <c r="H49" s="101"/>
      <c r="I49" s="102"/>
      <c r="J49" s="102"/>
      <c r="K49" s="103"/>
      <c r="L49" s="103"/>
      <c r="Q49" s="104"/>
      <c r="R49" s="104"/>
    </row>
    <row r="50" spans="1:18" s="2" customFormat="1" ht="30" hidden="1" customHeight="1">
      <c r="A50" s="100"/>
      <c r="B50" s="100"/>
      <c r="C50" s="329"/>
      <c r="D50" s="330"/>
      <c r="E50" s="331"/>
      <c r="F50" s="100"/>
      <c r="G50" s="100"/>
      <c r="H50" s="101"/>
      <c r="I50" s="102"/>
      <c r="J50" s="102"/>
      <c r="K50" s="103"/>
      <c r="L50" s="103"/>
      <c r="Q50" s="104"/>
      <c r="R50" s="104"/>
    </row>
    <row r="51" spans="1:18" s="2" customFormat="1" ht="30" hidden="1" customHeight="1">
      <c r="A51" s="100"/>
      <c r="B51" s="100"/>
      <c r="C51" s="329"/>
      <c r="D51" s="330"/>
      <c r="E51" s="331"/>
      <c r="F51" s="100"/>
      <c r="G51" s="100"/>
      <c r="H51" s="101"/>
      <c r="I51" s="102"/>
      <c r="J51" s="102"/>
      <c r="K51" s="103"/>
      <c r="L51" s="103"/>
      <c r="Q51" s="104"/>
      <c r="R51" s="104"/>
    </row>
    <row r="52" spans="1:18" s="2" customFormat="1" ht="30" hidden="1" customHeight="1">
      <c r="A52" s="100"/>
      <c r="B52" s="100"/>
      <c r="C52" s="329"/>
      <c r="D52" s="330"/>
      <c r="E52" s="331"/>
      <c r="F52" s="100"/>
      <c r="G52" s="100"/>
      <c r="H52" s="101"/>
      <c r="I52" s="102"/>
      <c r="J52" s="102"/>
      <c r="K52" s="103"/>
      <c r="L52" s="103"/>
      <c r="Q52" s="104"/>
      <c r="R52" s="104"/>
    </row>
    <row r="53" spans="1:18" s="2" customFormat="1" ht="30" hidden="1" customHeight="1">
      <c r="A53" s="100"/>
      <c r="B53" s="100"/>
      <c r="C53" s="329"/>
      <c r="D53" s="330"/>
      <c r="E53" s="331"/>
      <c r="F53" s="100"/>
      <c r="G53" s="100"/>
      <c r="H53" s="101"/>
      <c r="I53" s="102"/>
      <c r="J53" s="102"/>
      <c r="K53" s="103"/>
      <c r="L53" s="103"/>
      <c r="Q53" s="104"/>
      <c r="R53" s="104"/>
    </row>
    <row r="54" spans="1:18" s="2" customFormat="1" ht="30" hidden="1" customHeight="1">
      <c r="A54" s="100"/>
      <c r="B54" s="100"/>
      <c r="C54" s="329"/>
      <c r="D54" s="330"/>
      <c r="E54" s="331"/>
      <c r="F54" s="100"/>
      <c r="G54" s="100"/>
      <c r="H54" s="101"/>
      <c r="I54" s="102"/>
      <c r="J54" s="102"/>
      <c r="K54" s="103"/>
      <c r="L54" s="103"/>
      <c r="Q54" s="104"/>
      <c r="R54" s="104"/>
    </row>
    <row r="55" spans="1:18" s="2" customFormat="1" ht="30" hidden="1" customHeight="1">
      <c r="A55" s="100"/>
      <c r="B55" s="100"/>
      <c r="C55" s="329"/>
      <c r="D55" s="330"/>
      <c r="E55" s="331"/>
      <c r="F55" s="100"/>
      <c r="G55" s="100"/>
      <c r="H55" s="101"/>
      <c r="I55" s="102"/>
      <c r="J55" s="102"/>
      <c r="K55" s="103"/>
      <c r="L55" s="103"/>
      <c r="Q55" s="104"/>
      <c r="R55" s="104"/>
    </row>
    <row r="56" spans="1:18" s="2" customFormat="1" ht="30" hidden="1" customHeight="1">
      <c r="A56" s="100"/>
      <c r="B56" s="100"/>
      <c r="C56" s="329"/>
      <c r="D56" s="330"/>
      <c r="E56" s="331"/>
      <c r="F56" s="100"/>
      <c r="G56" s="100"/>
      <c r="H56" s="101"/>
      <c r="I56" s="102"/>
      <c r="J56" s="102"/>
      <c r="K56" s="103"/>
      <c r="L56" s="103"/>
      <c r="Q56" s="104"/>
      <c r="R56" s="104"/>
    </row>
    <row r="57" spans="1:18" s="2" customFormat="1" ht="30" hidden="1" customHeight="1">
      <c r="A57" s="100"/>
      <c r="B57" s="100"/>
      <c r="C57" s="329"/>
      <c r="D57" s="330"/>
      <c r="E57" s="331"/>
      <c r="F57" s="100"/>
      <c r="G57" s="100"/>
      <c r="H57" s="101"/>
      <c r="I57" s="102"/>
      <c r="J57" s="102"/>
      <c r="K57" s="103"/>
      <c r="L57" s="103"/>
      <c r="Q57" s="104"/>
      <c r="R57" s="104"/>
    </row>
    <row r="58" spans="1:18" s="2" customFormat="1" ht="30" hidden="1" customHeight="1">
      <c r="A58" s="100"/>
      <c r="B58" s="100"/>
      <c r="C58" s="329"/>
      <c r="D58" s="330"/>
      <c r="E58" s="331"/>
      <c r="F58" s="100"/>
      <c r="G58" s="100"/>
      <c r="H58" s="101"/>
      <c r="I58" s="102"/>
      <c r="J58" s="102"/>
      <c r="K58" s="103"/>
      <c r="L58" s="103"/>
      <c r="Q58" s="104"/>
      <c r="R58" s="104"/>
    </row>
    <row r="59" spans="1:18" s="2" customFormat="1" ht="30" hidden="1" customHeight="1">
      <c r="A59" s="100"/>
      <c r="B59" s="100"/>
      <c r="C59" s="329"/>
      <c r="D59" s="330"/>
      <c r="E59" s="331"/>
      <c r="F59" s="100"/>
      <c r="G59" s="100"/>
      <c r="H59" s="101"/>
      <c r="I59" s="102"/>
      <c r="J59" s="102"/>
      <c r="K59" s="103"/>
      <c r="L59" s="103"/>
      <c r="Q59" s="104"/>
      <c r="R59" s="104"/>
    </row>
    <row r="60" spans="1:18" s="2" customFormat="1" ht="30" hidden="1" customHeight="1">
      <c r="A60" s="100"/>
      <c r="B60" s="100"/>
      <c r="C60" s="329"/>
      <c r="D60" s="330"/>
      <c r="E60" s="331"/>
      <c r="F60" s="100"/>
      <c r="G60" s="100"/>
      <c r="H60" s="101"/>
      <c r="I60" s="102"/>
      <c r="J60" s="102"/>
      <c r="K60" s="103"/>
      <c r="L60" s="103"/>
      <c r="Q60" s="104"/>
      <c r="R60" s="104"/>
    </row>
    <row r="61" spans="1:18" s="2" customFormat="1" ht="30" hidden="1" customHeight="1">
      <c r="A61" s="100"/>
      <c r="B61" s="100"/>
      <c r="C61" s="329"/>
      <c r="D61" s="330"/>
      <c r="E61" s="331"/>
      <c r="F61" s="100"/>
      <c r="G61" s="100"/>
      <c r="H61" s="101"/>
      <c r="I61" s="102"/>
      <c r="J61" s="102"/>
      <c r="K61" s="103"/>
      <c r="L61" s="103"/>
      <c r="Q61" s="104"/>
      <c r="R61" s="104"/>
    </row>
    <row r="62" spans="1:18" s="2" customFormat="1" ht="30" hidden="1" customHeight="1">
      <c r="A62" s="100"/>
      <c r="B62" s="100"/>
      <c r="C62" s="329"/>
      <c r="D62" s="330"/>
      <c r="E62" s="331"/>
      <c r="F62" s="100"/>
      <c r="G62" s="100"/>
      <c r="H62" s="101"/>
      <c r="I62" s="102"/>
      <c r="J62" s="102"/>
      <c r="K62" s="103"/>
      <c r="L62" s="103"/>
      <c r="Q62" s="104"/>
      <c r="R62" s="104"/>
    </row>
    <row r="63" spans="1:18" s="2" customFormat="1" ht="30" hidden="1" customHeight="1">
      <c r="A63" s="100"/>
      <c r="B63" s="100"/>
      <c r="C63" s="329"/>
      <c r="D63" s="330"/>
      <c r="E63" s="331"/>
      <c r="F63" s="100"/>
      <c r="G63" s="100"/>
      <c r="H63" s="101"/>
      <c r="I63" s="102"/>
      <c r="J63" s="102"/>
      <c r="K63" s="103"/>
      <c r="L63" s="103"/>
      <c r="Q63" s="104"/>
      <c r="R63" s="104"/>
    </row>
    <row r="64" spans="1:18" s="2" customFormat="1" ht="30" hidden="1" customHeight="1">
      <c r="A64" s="100"/>
      <c r="B64" s="100"/>
      <c r="C64" s="329"/>
      <c r="D64" s="330"/>
      <c r="E64" s="331"/>
      <c r="F64" s="100"/>
      <c r="G64" s="100"/>
      <c r="H64" s="101"/>
      <c r="I64" s="102"/>
      <c r="J64" s="102"/>
      <c r="K64" s="103"/>
      <c r="L64" s="103"/>
      <c r="Q64" s="104"/>
      <c r="R64" s="104"/>
    </row>
    <row r="65" spans="1:18" s="2" customFormat="1" ht="30" hidden="1" customHeight="1">
      <c r="A65" s="100"/>
      <c r="B65" s="100"/>
      <c r="C65" s="329"/>
      <c r="D65" s="330"/>
      <c r="E65" s="331"/>
      <c r="F65" s="100"/>
      <c r="G65" s="100"/>
      <c r="H65" s="101"/>
      <c r="I65" s="102"/>
      <c r="J65" s="102"/>
      <c r="K65" s="103"/>
      <c r="L65" s="103"/>
      <c r="Q65" s="104"/>
      <c r="R65" s="104"/>
    </row>
    <row r="66" spans="1:18" s="2" customFormat="1" ht="30" hidden="1" customHeight="1">
      <c r="A66" s="100"/>
      <c r="B66" s="100"/>
      <c r="C66" s="329"/>
      <c r="D66" s="330"/>
      <c r="E66" s="331"/>
      <c r="F66" s="100"/>
      <c r="G66" s="100"/>
      <c r="H66" s="101"/>
      <c r="I66" s="102"/>
      <c r="J66" s="102"/>
      <c r="K66" s="103"/>
      <c r="L66" s="103"/>
      <c r="Q66" s="104"/>
      <c r="R66" s="104"/>
    </row>
    <row r="67" spans="1:18" s="2" customFormat="1" ht="30" hidden="1" customHeight="1">
      <c r="A67" s="100"/>
      <c r="B67" s="100"/>
      <c r="C67" s="329"/>
      <c r="D67" s="330"/>
      <c r="E67" s="331"/>
      <c r="F67" s="100"/>
      <c r="G67" s="100"/>
      <c r="H67" s="101"/>
      <c r="I67" s="102"/>
      <c r="J67" s="102"/>
      <c r="K67" s="103"/>
      <c r="L67" s="103"/>
      <c r="Q67" s="104"/>
      <c r="R67" s="104"/>
    </row>
    <row r="68" spans="1:18" s="2" customFormat="1" ht="30" hidden="1" customHeight="1">
      <c r="A68" s="100"/>
      <c r="B68" s="100"/>
      <c r="C68" s="329"/>
      <c r="D68" s="330"/>
      <c r="E68" s="331"/>
      <c r="F68" s="100"/>
      <c r="G68" s="100"/>
      <c r="H68" s="101"/>
      <c r="I68" s="102"/>
      <c r="J68" s="102"/>
      <c r="K68" s="103"/>
      <c r="L68" s="103"/>
      <c r="Q68" s="104"/>
      <c r="R68" s="104"/>
    </row>
    <row r="69" spans="1:18" s="2" customFormat="1" ht="30" hidden="1" customHeight="1">
      <c r="A69" s="100"/>
      <c r="B69" s="100"/>
      <c r="C69" s="329"/>
      <c r="D69" s="330"/>
      <c r="E69" s="331"/>
      <c r="F69" s="100"/>
      <c r="G69" s="100"/>
      <c r="H69" s="101"/>
      <c r="I69" s="102"/>
      <c r="J69" s="102"/>
      <c r="K69" s="103"/>
      <c r="L69" s="103"/>
      <c r="Q69" s="104"/>
      <c r="R69" s="104"/>
    </row>
    <row r="70" spans="1:18" s="2" customFormat="1" ht="30" hidden="1" customHeight="1">
      <c r="A70" s="100"/>
      <c r="B70" s="100"/>
      <c r="C70" s="329"/>
      <c r="D70" s="330"/>
      <c r="E70" s="331"/>
      <c r="F70" s="100"/>
      <c r="G70" s="100"/>
      <c r="H70" s="101"/>
      <c r="I70" s="102"/>
      <c r="J70" s="102"/>
      <c r="K70" s="103"/>
      <c r="L70" s="103"/>
      <c r="Q70" s="104"/>
      <c r="R70" s="104"/>
    </row>
    <row r="71" spans="1:18" s="2" customFormat="1" ht="30" hidden="1" customHeight="1">
      <c r="A71" s="100"/>
      <c r="B71" s="100"/>
      <c r="C71" s="329"/>
      <c r="D71" s="330"/>
      <c r="E71" s="331"/>
      <c r="F71" s="100"/>
      <c r="G71" s="100"/>
      <c r="H71" s="101"/>
      <c r="I71" s="102"/>
      <c r="J71" s="102"/>
      <c r="K71" s="103"/>
      <c r="L71" s="103"/>
      <c r="Q71" s="104"/>
      <c r="R71" s="104"/>
    </row>
    <row r="72" spans="1:18" s="2" customFormat="1" ht="30" hidden="1" customHeight="1">
      <c r="A72" s="100"/>
      <c r="B72" s="100"/>
      <c r="C72" s="329"/>
      <c r="D72" s="330"/>
      <c r="E72" s="331"/>
      <c r="F72" s="100"/>
      <c r="G72" s="100"/>
      <c r="H72" s="101"/>
      <c r="I72" s="102"/>
      <c r="J72" s="102"/>
      <c r="K72" s="103"/>
      <c r="L72" s="103"/>
      <c r="Q72" s="104"/>
      <c r="R72" s="104"/>
    </row>
    <row r="73" spans="1:18" s="2" customFormat="1" ht="30" hidden="1" customHeight="1">
      <c r="A73" s="100"/>
      <c r="B73" s="100"/>
      <c r="C73" s="329"/>
      <c r="D73" s="330"/>
      <c r="E73" s="331"/>
      <c r="F73" s="100"/>
      <c r="G73" s="100"/>
      <c r="H73" s="101"/>
      <c r="I73" s="102"/>
      <c r="J73" s="102"/>
      <c r="K73" s="103"/>
      <c r="L73" s="103"/>
      <c r="Q73" s="104"/>
      <c r="R73" s="104"/>
    </row>
    <row r="74" spans="1:18" s="2" customFormat="1" ht="30" hidden="1" customHeight="1">
      <c r="A74" s="100"/>
      <c r="B74" s="100"/>
      <c r="C74" s="329"/>
      <c r="D74" s="330"/>
      <c r="E74" s="331"/>
      <c r="F74" s="100"/>
      <c r="G74" s="100"/>
      <c r="H74" s="101"/>
      <c r="I74" s="102"/>
      <c r="J74" s="102"/>
      <c r="K74" s="103"/>
      <c r="L74" s="103"/>
      <c r="Q74" s="104"/>
      <c r="R74" s="104"/>
    </row>
    <row r="75" spans="1:18" s="2" customFormat="1" ht="30" hidden="1" customHeight="1">
      <c r="A75" s="100"/>
      <c r="B75" s="100"/>
      <c r="C75" s="329"/>
      <c r="D75" s="330"/>
      <c r="E75" s="331"/>
      <c r="F75" s="100"/>
      <c r="G75" s="100"/>
      <c r="H75" s="101"/>
      <c r="I75" s="102"/>
      <c r="J75" s="102"/>
      <c r="K75" s="103"/>
      <c r="L75" s="103"/>
      <c r="Q75" s="104"/>
      <c r="R75" s="104"/>
    </row>
    <row r="76" spans="1:18" s="2" customFormat="1" ht="30" hidden="1" customHeight="1">
      <c r="A76" s="100"/>
      <c r="B76" s="100"/>
      <c r="C76" s="329"/>
      <c r="D76" s="330"/>
      <c r="E76" s="331"/>
      <c r="F76" s="100"/>
      <c r="G76" s="100"/>
      <c r="H76" s="101"/>
      <c r="I76" s="102"/>
      <c r="J76" s="102"/>
      <c r="K76" s="103"/>
      <c r="L76" s="103"/>
      <c r="Q76" s="104"/>
      <c r="R76" s="104"/>
    </row>
    <row r="77" spans="1:18" s="2" customFormat="1" ht="30" hidden="1" customHeight="1">
      <c r="A77" s="100"/>
      <c r="B77" s="100"/>
      <c r="C77" s="329"/>
      <c r="D77" s="330"/>
      <c r="E77" s="331"/>
      <c r="F77" s="100"/>
      <c r="G77" s="100"/>
      <c r="H77" s="101"/>
      <c r="I77" s="102"/>
      <c r="J77" s="102"/>
      <c r="K77" s="103"/>
      <c r="L77" s="103"/>
      <c r="Q77" s="104"/>
      <c r="R77" s="104"/>
    </row>
    <row r="78" spans="1:18" s="2" customFormat="1" ht="30" hidden="1" customHeight="1">
      <c r="A78" s="100"/>
      <c r="B78" s="100"/>
      <c r="C78" s="329"/>
      <c r="D78" s="330"/>
      <c r="E78" s="331"/>
      <c r="F78" s="100"/>
      <c r="G78" s="100"/>
      <c r="H78" s="101"/>
      <c r="I78" s="102"/>
      <c r="J78" s="102"/>
      <c r="K78" s="103"/>
      <c r="L78" s="103"/>
      <c r="Q78" s="104"/>
      <c r="R78" s="104"/>
    </row>
    <row r="79" spans="1:18" s="2" customFormat="1" ht="30" hidden="1" customHeight="1">
      <c r="A79" s="100"/>
      <c r="B79" s="100"/>
      <c r="C79" s="329"/>
      <c r="D79" s="330"/>
      <c r="E79" s="331"/>
      <c r="F79" s="100"/>
      <c r="G79" s="100"/>
      <c r="H79" s="101"/>
      <c r="I79" s="102"/>
      <c r="J79" s="102"/>
      <c r="K79" s="103"/>
      <c r="L79" s="103"/>
      <c r="Q79" s="104"/>
      <c r="R79" s="104"/>
    </row>
    <row r="80" spans="1:18" s="2" customFormat="1" ht="30" hidden="1" customHeight="1">
      <c r="A80" s="100"/>
      <c r="B80" s="100"/>
      <c r="C80" s="329"/>
      <c r="D80" s="330"/>
      <c r="E80" s="331"/>
      <c r="F80" s="100"/>
      <c r="G80" s="100"/>
      <c r="H80" s="101"/>
      <c r="I80" s="102"/>
      <c r="J80" s="102"/>
      <c r="K80" s="103"/>
      <c r="L80" s="103"/>
      <c r="Q80" s="104"/>
      <c r="R80" s="104"/>
    </row>
    <row r="81" spans="1:18" s="2" customFormat="1" ht="30" hidden="1" customHeight="1">
      <c r="A81" s="100"/>
      <c r="B81" s="100"/>
      <c r="C81" s="329"/>
      <c r="D81" s="330"/>
      <c r="E81" s="331"/>
      <c r="F81" s="100"/>
      <c r="G81" s="100"/>
      <c r="H81" s="101"/>
      <c r="I81" s="102"/>
      <c r="J81" s="102"/>
      <c r="K81" s="103"/>
      <c r="L81" s="103"/>
      <c r="Q81" s="104"/>
      <c r="R81" s="104"/>
    </row>
    <row r="82" spans="1:18" s="2" customFormat="1" ht="30" hidden="1" customHeight="1">
      <c r="A82" s="100"/>
      <c r="B82" s="100"/>
      <c r="C82" s="329"/>
      <c r="D82" s="330"/>
      <c r="E82" s="331"/>
      <c r="F82" s="100"/>
      <c r="G82" s="100"/>
      <c r="H82" s="101"/>
      <c r="I82" s="102"/>
      <c r="J82" s="102"/>
      <c r="K82" s="103"/>
      <c r="L82" s="103"/>
      <c r="Q82" s="104"/>
      <c r="R82" s="104"/>
    </row>
    <row r="83" spans="1:18" s="2" customFormat="1" ht="30" hidden="1" customHeight="1">
      <c r="A83" s="100"/>
      <c r="B83" s="100"/>
      <c r="C83" s="329"/>
      <c r="D83" s="330"/>
      <c r="E83" s="331"/>
      <c r="F83" s="100"/>
      <c r="G83" s="100"/>
      <c r="H83" s="101"/>
      <c r="I83" s="102"/>
      <c r="J83" s="102"/>
      <c r="K83" s="103"/>
      <c r="L83" s="103"/>
      <c r="Q83" s="104"/>
      <c r="R83" s="104"/>
    </row>
    <row r="84" spans="1:18" s="2" customFormat="1" ht="30" hidden="1" customHeight="1">
      <c r="A84" s="100"/>
      <c r="B84" s="100"/>
      <c r="C84" s="329"/>
      <c r="D84" s="330"/>
      <c r="E84" s="331"/>
      <c r="F84" s="100"/>
      <c r="G84" s="100"/>
      <c r="H84" s="101"/>
      <c r="I84" s="102"/>
      <c r="J84" s="102"/>
      <c r="K84" s="103"/>
      <c r="L84" s="103"/>
      <c r="Q84" s="104"/>
      <c r="R84" s="104"/>
    </row>
    <row r="85" spans="1:18" s="2" customFormat="1" ht="30" hidden="1" customHeight="1">
      <c r="A85" s="100"/>
      <c r="B85" s="100"/>
      <c r="C85" s="329"/>
      <c r="D85" s="330"/>
      <c r="E85" s="331"/>
      <c r="F85" s="100"/>
      <c r="G85" s="100"/>
      <c r="H85" s="101"/>
      <c r="I85" s="102"/>
      <c r="J85" s="102"/>
      <c r="K85" s="103"/>
      <c r="L85" s="103"/>
      <c r="Q85" s="104"/>
      <c r="R85" s="104"/>
    </row>
    <row r="86" spans="1:18" s="2" customFormat="1" ht="30" hidden="1" customHeight="1">
      <c r="A86" s="100"/>
      <c r="B86" s="100"/>
      <c r="C86" s="329"/>
      <c r="D86" s="330"/>
      <c r="E86" s="331"/>
      <c r="F86" s="100"/>
      <c r="G86" s="100"/>
      <c r="H86" s="101"/>
      <c r="I86" s="102"/>
      <c r="J86" s="102"/>
      <c r="K86" s="103"/>
      <c r="L86" s="103"/>
      <c r="Q86" s="104"/>
      <c r="R86" s="104"/>
    </row>
    <row r="87" spans="1:18" s="2" customFormat="1" ht="30" hidden="1" customHeight="1">
      <c r="A87" s="100"/>
      <c r="B87" s="100"/>
      <c r="C87" s="329"/>
      <c r="D87" s="330"/>
      <c r="E87" s="331"/>
      <c r="F87" s="100"/>
      <c r="G87" s="100"/>
      <c r="H87" s="101"/>
      <c r="I87" s="102"/>
      <c r="J87" s="102"/>
      <c r="K87" s="103"/>
      <c r="L87" s="103"/>
      <c r="Q87" s="104"/>
      <c r="R87" s="104"/>
    </row>
    <row r="88" spans="1:18" s="2" customFormat="1" ht="30" hidden="1" customHeight="1">
      <c r="A88" s="100"/>
      <c r="B88" s="100"/>
      <c r="C88" s="329"/>
      <c r="D88" s="330"/>
      <c r="E88" s="331"/>
      <c r="F88" s="100"/>
      <c r="G88" s="100"/>
      <c r="H88" s="101"/>
      <c r="I88" s="102"/>
      <c r="J88" s="102"/>
      <c r="K88" s="103"/>
      <c r="L88" s="103"/>
      <c r="Q88" s="104"/>
      <c r="R88" s="104"/>
    </row>
    <row r="89" spans="1:18" s="2" customFormat="1" ht="30" hidden="1" customHeight="1">
      <c r="A89" s="100"/>
      <c r="B89" s="100"/>
      <c r="C89" s="329"/>
      <c r="D89" s="330"/>
      <c r="E89" s="331"/>
      <c r="F89" s="100"/>
      <c r="G89" s="100"/>
      <c r="H89" s="101"/>
      <c r="I89" s="102"/>
      <c r="J89" s="102"/>
      <c r="K89" s="103"/>
      <c r="L89" s="103"/>
      <c r="Q89" s="104"/>
      <c r="R89" s="104"/>
    </row>
    <row r="90" spans="1:18" s="2" customFormat="1" ht="30" hidden="1" customHeight="1">
      <c r="A90" s="100"/>
      <c r="B90" s="100"/>
      <c r="C90" s="329"/>
      <c r="D90" s="330"/>
      <c r="E90" s="331"/>
      <c r="F90" s="100"/>
      <c r="G90" s="100"/>
      <c r="H90" s="101"/>
      <c r="I90" s="102"/>
      <c r="J90" s="102"/>
      <c r="K90" s="103"/>
      <c r="L90" s="103"/>
      <c r="Q90" s="104"/>
      <c r="R90" s="104"/>
    </row>
    <row r="91" spans="1:18" s="2" customFormat="1" ht="30" hidden="1" customHeight="1">
      <c r="A91" s="100"/>
      <c r="B91" s="100"/>
      <c r="C91" s="329"/>
      <c r="D91" s="330"/>
      <c r="E91" s="331"/>
      <c r="F91" s="100"/>
      <c r="G91" s="100"/>
      <c r="H91" s="101"/>
      <c r="I91" s="102"/>
      <c r="J91" s="102"/>
      <c r="K91" s="103"/>
      <c r="L91" s="103"/>
      <c r="Q91" s="104"/>
      <c r="R91" s="104"/>
    </row>
    <row r="92" spans="1:18" s="2" customFormat="1" ht="30" hidden="1" customHeight="1">
      <c r="A92" s="100"/>
      <c r="B92" s="100"/>
      <c r="C92" s="329"/>
      <c r="D92" s="330"/>
      <c r="E92" s="331"/>
      <c r="F92" s="100"/>
      <c r="G92" s="100"/>
      <c r="H92" s="101"/>
      <c r="I92" s="102"/>
      <c r="J92" s="102"/>
      <c r="K92" s="103"/>
      <c r="L92" s="103"/>
      <c r="Q92" s="104"/>
      <c r="R92" s="104"/>
    </row>
    <row r="93" spans="1:18" s="2" customFormat="1" ht="30" hidden="1" customHeight="1">
      <c r="A93" s="100"/>
      <c r="B93" s="100"/>
      <c r="C93" s="329"/>
      <c r="D93" s="330"/>
      <c r="E93" s="331"/>
      <c r="F93" s="100"/>
      <c r="G93" s="100"/>
      <c r="H93" s="101"/>
      <c r="I93" s="102"/>
      <c r="J93" s="102"/>
      <c r="K93" s="103"/>
      <c r="L93" s="103"/>
      <c r="Q93" s="104"/>
      <c r="R93" s="104"/>
    </row>
    <row r="94" spans="1:18" s="2" customFormat="1" ht="30" hidden="1" customHeight="1">
      <c r="A94" s="100"/>
      <c r="B94" s="100"/>
      <c r="C94" s="329"/>
      <c r="D94" s="330"/>
      <c r="E94" s="331"/>
      <c r="F94" s="100"/>
      <c r="G94" s="100"/>
      <c r="H94" s="101"/>
      <c r="I94" s="102"/>
      <c r="J94" s="102"/>
      <c r="K94" s="103"/>
      <c r="L94" s="103"/>
      <c r="Q94" s="104"/>
      <c r="R94" s="104"/>
    </row>
    <row r="95" spans="1:18" s="2" customFormat="1" ht="30" hidden="1" customHeight="1">
      <c r="A95" s="100"/>
      <c r="B95" s="100"/>
      <c r="C95" s="329"/>
      <c r="D95" s="330"/>
      <c r="E95" s="331"/>
      <c r="F95" s="100"/>
      <c r="G95" s="100"/>
      <c r="H95" s="101"/>
      <c r="I95" s="102"/>
      <c r="J95" s="102"/>
      <c r="K95" s="103"/>
      <c r="L95" s="103"/>
      <c r="Q95" s="104"/>
      <c r="R95" s="104"/>
    </row>
    <row r="96" spans="1:18" s="2" customFormat="1" ht="30" hidden="1" customHeight="1">
      <c r="A96" s="100"/>
      <c r="B96" s="100"/>
      <c r="C96" s="329"/>
      <c r="D96" s="330"/>
      <c r="E96" s="331"/>
      <c r="F96" s="100"/>
      <c r="G96" s="100"/>
      <c r="H96" s="101"/>
      <c r="I96" s="102"/>
      <c r="J96" s="102"/>
      <c r="K96" s="103"/>
      <c r="L96" s="103"/>
      <c r="Q96" s="104"/>
      <c r="R96" s="104"/>
    </row>
    <row r="97" spans="1:18" s="2" customFormat="1" ht="30" hidden="1" customHeight="1">
      <c r="A97" s="100"/>
      <c r="B97" s="100"/>
      <c r="C97" s="329"/>
      <c r="D97" s="330"/>
      <c r="E97" s="331"/>
      <c r="F97" s="100"/>
      <c r="G97" s="100"/>
      <c r="H97" s="101"/>
      <c r="I97" s="102"/>
      <c r="J97" s="102"/>
      <c r="K97" s="103"/>
      <c r="L97" s="103"/>
      <c r="Q97" s="104"/>
      <c r="R97" s="104"/>
    </row>
    <row r="98" spans="1:18" s="2" customFormat="1" ht="30" hidden="1" customHeight="1">
      <c r="A98" s="100"/>
      <c r="B98" s="100"/>
      <c r="C98" s="329"/>
      <c r="D98" s="330"/>
      <c r="E98" s="331"/>
      <c r="F98" s="100"/>
      <c r="G98" s="100"/>
      <c r="H98" s="101"/>
      <c r="I98" s="102"/>
      <c r="J98" s="102"/>
      <c r="K98" s="103"/>
      <c r="L98" s="103"/>
      <c r="Q98" s="104"/>
      <c r="R98" s="104"/>
    </row>
    <row r="99" spans="1:18" s="2" customFormat="1" ht="30" hidden="1" customHeight="1">
      <c r="A99" s="100"/>
      <c r="B99" s="100"/>
      <c r="C99" s="329"/>
      <c r="D99" s="330"/>
      <c r="E99" s="331"/>
      <c r="F99" s="100"/>
      <c r="G99" s="100"/>
      <c r="H99" s="101"/>
      <c r="I99" s="102"/>
      <c r="J99" s="102"/>
      <c r="K99" s="103"/>
      <c r="L99" s="103"/>
      <c r="Q99" s="104"/>
      <c r="R99" s="104"/>
    </row>
    <row r="100" spans="1:18" s="2" customFormat="1" ht="30" hidden="1" customHeight="1">
      <c r="A100" s="100"/>
      <c r="B100" s="100"/>
      <c r="C100" s="329"/>
      <c r="D100" s="330"/>
      <c r="E100" s="331"/>
      <c r="F100" s="100"/>
      <c r="G100" s="100"/>
      <c r="H100" s="101"/>
      <c r="I100" s="102"/>
      <c r="J100" s="102"/>
      <c r="K100" s="103"/>
      <c r="L100" s="103"/>
      <c r="Q100" s="104"/>
      <c r="R100" s="104"/>
    </row>
    <row r="101" spans="1:18" s="2" customFormat="1" ht="30" hidden="1" customHeight="1">
      <c r="A101" s="100"/>
      <c r="B101" s="100"/>
      <c r="C101" s="329"/>
      <c r="D101" s="330"/>
      <c r="E101" s="331"/>
      <c r="F101" s="100"/>
      <c r="G101" s="100"/>
      <c r="H101" s="101"/>
      <c r="I101" s="102"/>
      <c r="J101" s="102"/>
      <c r="K101" s="103"/>
      <c r="L101" s="103"/>
      <c r="Q101" s="104"/>
      <c r="R101" s="104"/>
    </row>
    <row r="102" spans="1:18" s="2" customFormat="1" ht="30" hidden="1" customHeight="1">
      <c r="A102" s="100"/>
      <c r="B102" s="100"/>
      <c r="C102" s="329"/>
      <c r="D102" s="330"/>
      <c r="E102" s="331"/>
      <c r="F102" s="100"/>
      <c r="G102" s="100"/>
      <c r="H102" s="101"/>
      <c r="I102" s="102"/>
      <c r="J102" s="102"/>
      <c r="K102" s="103"/>
      <c r="L102" s="103"/>
      <c r="Q102" s="104"/>
      <c r="R102" s="104"/>
    </row>
    <row r="103" spans="1:18" s="2" customFormat="1" ht="30" hidden="1" customHeight="1">
      <c r="A103" s="100"/>
      <c r="B103" s="100"/>
      <c r="C103" s="329"/>
      <c r="D103" s="330"/>
      <c r="E103" s="331"/>
      <c r="F103" s="100"/>
      <c r="G103" s="100"/>
      <c r="H103" s="101"/>
      <c r="I103" s="102"/>
      <c r="J103" s="102"/>
      <c r="K103" s="103"/>
      <c r="L103" s="103"/>
      <c r="Q103" s="104"/>
      <c r="R103" s="104"/>
    </row>
    <row r="104" spans="1:18" s="2" customFormat="1" ht="30" hidden="1" customHeight="1">
      <c r="A104" s="100"/>
      <c r="B104" s="100"/>
      <c r="C104" s="329"/>
      <c r="D104" s="330"/>
      <c r="E104" s="331"/>
      <c r="F104" s="100"/>
      <c r="G104" s="100"/>
      <c r="H104" s="101"/>
      <c r="I104" s="102"/>
      <c r="J104" s="102"/>
      <c r="K104" s="103"/>
      <c r="L104" s="103"/>
      <c r="Q104" s="104"/>
      <c r="R104" s="104"/>
    </row>
    <row r="105" spans="1:18" s="2" customFormat="1" ht="30" hidden="1" customHeight="1">
      <c r="A105" s="100"/>
      <c r="B105" s="100"/>
      <c r="C105" s="329"/>
      <c r="D105" s="330"/>
      <c r="E105" s="331"/>
      <c r="F105" s="100"/>
      <c r="G105" s="100"/>
      <c r="H105" s="101"/>
      <c r="I105" s="102"/>
      <c r="J105" s="102"/>
      <c r="K105" s="103"/>
      <c r="L105" s="103"/>
      <c r="Q105" s="104"/>
      <c r="R105" s="104"/>
    </row>
    <row r="106" spans="1:18" s="2" customFormat="1" ht="30" hidden="1" customHeight="1">
      <c r="A106" s="100"/>
      <c r="B106" s="100"/>
      <c r="C106" s="329"/>
      <c r="D106" s="330"/>
      <c r="E106" s="331"/>
      <c r="F106" s="100"/>
      <c r="G106" s="100"/>
      <c r="H106" s="101"/>
      <c r="I106" s="102"/>
      <c r="J106" s="102"/>
      <c r="K106" s="103"/>
      <c r="L106" s="103"/>
      <c r="Q106" s="104"/>
      <c r="R106" s="104"/>
    </row>
    <row r="107" spans="1:18" s="2" customFormat="1" ht="30" hidden="1" customHeight="1">
      <c r="A107" s="100"/>
      <c r="B107" s="100"/>
      <c r="C107" s="329"/>
      <c r="D107" s="330"/>
      <c r="E107" s="331"/>
      <c r="F107" s="100"/>
      <c r="G107" s="100"/>
      <c r="H107" s="101"/>
      <c r="I107" s="102"/>
      <c r="J107" s="102"/>
      <c r="K107" s="103"/>
      <c r="L107" s="103"/>
      <c r="Q107" s="104"/>
      <c r="R107" s="104"/>
    </row>
    <row r="108" spans="1:18" s="2" customFormat="1" ht="30" hidden="1" customHeight="1">
      <c r="A108" s="100"/>
      <c r="B108" s="100"/>
      <c r="C108" s="329"/>
      <c r="D108" s="330"/>
      <c r="E108" s="331"/>
      <c r="F108" s="100"/>
      <c r="G108" s="100"/>
      <c r="H108" s="101"/>
      <c r="I108" s="102"/>
      <c r="J108" s="102"/>
      <c r="K108" s="103"/>
      <c r="L108" s="103"/>
      <c r="Q108" s="104"/>
      <c r="R108" s="104"/>
    </row>
    <row r="109" spans="1:18" s="2" customFormat="1" ht="30" hidden="1" customHeight="1">
      <c r="A109" s="100"/>
      <c r="B109" s="100"/>
      <c r="C109" s="329"/>
      <c r="D109" s="330"/>
      <c r="E109" s="331"/>
      <c r="F109" s="100"/>
      <c r="G109" s="100"/>
      <c r="H109" s="101"/>
      <c r="I109" s="102"/>
      <c r="J109" s="102"/>
      <c r="K109" s="103"/>
      <c r="L109" s="103"/>
      <c r="Q109" s="104"/>
      <c r="R109" s="104"/>
    </row>
    <row r="110" spans="1:18" s="2" customFormat="1" ht="30" hidden="1" customHeight="1">
      <c r="A110" s="100"/>
      <c r="B110" s="100"/>
      <c r="C110" s="329"/>
      <c r="D110" s="330"/>
      <c r="E110" s="331"/>
      <c r="F110" s="100"/>
      <c r="G110" s="100"/>
      <c r="H110" s="101"/>
      <c r="I110" s="102"/>
      <c r="J110" s="102"/>
      <c r="K110" s="103"/>
      <c r="L110" s="103"/>
      <c r="Q110" s="104"/>
      <c r="R110" s="104"/>
    </row>
    <row r="111" spans="1:18" s="2" customFormat="1" ht="30" hidden="1" customHeight="1">
      <c r="A111" s="100"/>
      <c r="B111" s="100"/>
      <c r="C111" s="329"/>
      <c r="D111" s="330"/>
      <c r="E111" s="331"/>
      <c r="F111" s="100"/>
      <c r="G111" s="100"/>
      <c r="H111" s="101"/>
      <c r="I111" s="102"/>
      <c r="J111" s="102"/>
      <c r="K111" s="103"/>
      <c r="L111" s="103"/>
      <c r="Q111" s="104"/>
      <c r="R111" s="104"/>
    </row>
    <row r="112" spans="1:18" s="2" customFormat="1" ht="30" hidden="1" customHeight="1">
      <c r="A112" s="100"/>
      <c r="B112" s="100"/>
      <c r="C112" s="329"/>
      <c r="D112" s="330"/>
      <c r="E112" s="331"/>
      <c r="F112" s="100"/>
      <c r="G112" s="100"/>
      <c r="H112" s="101"/>
      <c r="I112" s="102"/>
      <c r="J112" s="102"/>
      <c r="K112" s="103"/>
      <c r="L112" s="103"/>
      <c r="Q112" s="104"/>
      <c r="R112" s="104"/>
    </row>
    <row r="113" spans="1:18" s="2" customFormat="1" ht="30" hidden="1" customHeight="1">
      <c r="A113" s="100"/>
      <c r="B113" s="100"/>
      <c r="C113" s="329"/>
      <c r="D113" s="330"/>
      <c r="E113" s="331"/>
      <c r="F113" s="100"/>
      <c r="G113" s="100"/>
      <c r="H113" s="101"/>
      <c r="I113" s="102"/>
      <c r="J113" s="102"/>
      <c r="K113" s="103"/>
      <c r="L113" s="103"/>
      <c r="Q113" s="104"/>
      <c r="R113" s="104"/>
    </row>
    <row r="114" spans="1:18" s="2" customFormat="1" ht="30" hidden="1" customHeight="1">
      <c r="A114" s="100"/>
      <c r="B114" s="100"/>
      <c r="C114" s="329"/>
      <c r="D114" s="330"/>
      <c r="E114" s="331"/>
      <c r="F114" s="100"/>
      <c r="G114" s="100"/>
      <c r="H114" s="101"/>
      <c r="I114" s="102"/>
      <c r="J114" s="102"/>
      <c r="K114" s="103"/>
      <c r="L114" s="103"/>
      <c r="Q114" s="104"/>
      <c r="R114" s="104"/>
    </row>
    <row r="115" spans="1:18" s="2" customFormat="1" ht="30" hidden="1" customHeight="1">
      <c r="A115" s="100"/>
      <c r="B115" s="100"/>
      <c r="C115" s="329"/>
      <c r="D115" s="330"/>
      <c r="E115" s="331"/>
      <c r="F115" s="100"/>
      <c r="G115" s="100"/>
      <c r="H115" s="101"/>
      <c r="I115" s="102"/>
      <c r="J115" s="102"/>
      <c r="K115" s="103"/>
      <c r="L115" s="103"/>
      <c r="Q115" s="104"/>
      <c r="R115" s="104"/>
    </row>
    <row r="116" spans="1:18" s="2" customFormat="1" ht="30" hidden="1" customHeight="1">
      <c r="A116" s="100"/>
      <c r="B116" s="100"/>
      <c r="C116" s="329"/>
      <c r="D116" s="330"/>
      <c r="E116" s="331"/>
      <c r="F116" s="100"/>
      <c r="G116" s="100"/>
      <c r="H116" s="101"/>
      <c r="I116" s="102"/>
      <c r="J116" s="102"/>
      <c r="K116" s="103"/>
      <c r="L116" s="103"/>
      <c r="Q116" s="104"/>
      <c r="R116" s="104"/>
    </row>
    <row r="117" spans="1:18" s="2" customFormat="1" ht="30" hidden="1" customHeight="1">
      <c r="A117" s="100"/>
      <c r="B117" s="100"/>
      <c r="C117" s="329"/>
      <c r="D117" s="330"/>
      <c r="E117" s="331"/>
      <c r="F117" s="100"/>
      <c r="G117" s="100"/>
      <c r="H117" s="101"/>
      <c r="I117" s="102"/>
      <c r="J117" s="102"/>
      <c r="K117" s="103"/>
      <c r="L117" s="103"/>
      <c r="Q117" s="104"/>
      <c r="R117" s="104"/>
    </row>
    <row r="118" spans="1:18" s="2" customFormat="1" ht="30" hidden="1" customHeight="1">
      <c r="A118" s="100"/>
      <c r="B118" s="100"/>
      <c r="C118" s="329"/>
      <c r="D118" s="330"/>
      <c r="E118" s="331"/>
      <c r="F118" s="100"/>
      <c r="G118" s="100"/>
      <c r="H118" s="101"/>
      <c r="I118" s="102"/>
      <c r="J118" s="102"/>
      <c r="K118" s="103"/>
      <c r="L118" s="103"/>
      <c r="Q118" s="104"/>
      <c r="R118" s="104"/>
    </row>
    <row r="119" spans="1:18" s="2" customFormat="1" ht="30" hidden="1" customHeight="1">
      <c r="A119" s="100"/>
      <c r="B119" s="100"/>
      <c r="C119" s="329"/>
      <c r="D119" s="330"/>
      <c r="E119" s="331"/>
      <c r="F119" s="100"/>
      <c r="G119" s="100"/>
      <c r="H119" s="101"/>
      <c r="I119" s="102"/>
      <c r="J119" s="102"/>
      <c r="K119" s="103"/>
      <c r="L119" s="103"/>
      <c r="Q119" s="104"/>
      <c r="R119" s="104"/>
    </row>
    <row r="120" spans="1:18" s="2" customFormat="1" ht="30" hidden="1" customHeight="1">
      <c r="A120" s="100"/>
      <c r="B120" s="100"/>
      <c r="C120" s="329"/>
      <c r="D120" s="330"/>
      <c r="E120" s="331"/>
      <c r="F120" s="100"/>
      <c r="G120" s="100"/>
      <c r="H120" s="101"/>
      <c r="I120" s="102"/>
      <c r="J120" s="102"/>
      <c r="K120" s="103"/>
      <c r="L120" s="103"/>
      <c r="Q120" s="104"/>
      <c r="R120" s="104"/>
    </row>
    <row r="121" spans="1:18" s="2" customFormat="1" ht="30" hidden="1" customHeight="1">
      <c r="A121" s="100"/>
      <c r="B121" s="100"/>
      <c r="C121" s="329"/>
      <c r="D121" s="330"/>
      <c r="E121" s="331"/>
      <c r="F121" s="100"/>
      <c r="G121" s="100"/>
      <c r="H121" s="101"/>
      <c r="I121" s="102"/>
      <c r="J121" s="102"/>
      <c r="K121" s="103"/>
      <c r="L121" s="103"/>
      <c r="Q121" s="104"/>
      <c r="R121" s="104"/>
    </row>
    <row r="122" spans="1:18" s="2" customFormat="1" ht="30" hidden="1" customHeight="1">
      <c r="A122" s="100"/>
      <c r="B122" s="100"/>
      <c r="C122" s="329"/>
      <c r="D122" s="330"/>
      <c r="E122" s="331"/>
      <c r="F122" s="100"/>
      <c r="G122" s="100"/>
      <c r="H122" s="101"/>
      <c r="I122" s="102"/>
      <c r="J122" s="102"/>
      <c r="K122" s="103"/>
      <c r="L122" s="103"/>
      <c r="Q122" s="104"/>
      <c r="R122" s="104"/>
    </row>
    <row r="123" spans="1:18" s="2" customFormat="1" ht="30" hidden="1" customHeight="1">
      <c r="A123" s="100"/>
      <c r="B123" s="100"/>
      <c r="C123" s="329"/>
      <c r="D123" s="330"/>
      <c r="E123" s="331"/>
      <c r="F123" s="100"/>
      <c r="G123" s="100"/>
      <c r="H123" s="101"/>
      <c r="I123" s="102"/>
      <c r="J123" s="102"/>
      <c r="K123" s="103"/>
      <c r="L123" s="103"/>
      <c r="Q123" s="104"/>
      <c r="R123" s="104"/>
    </row>
    <row r="124" spans="1:18" s="2" customFormat="1" ht="30" hidden="1" customHeight="1">
      <c r="A124" s="100"/>
      <c r="B124" s="100"/>
      <c r="C124" s="329"/>
      <c r="D124" s="330"/>
      <c r="E124" s="331"/>
      <c r="F124" s="100"/>
      <c r="G124" s="100"/>
      <c r="H124" s="101"/>
      <c r="I124" s="102"/>
      <c r="J124" s="102"/>
      <c r="K124" s="103"/>
      <c r="L124" s="103"/>
      <c r="Q124" s="104"/>
      <c r="R124" s="104"/>
    </row>
    <row r="125" spans="1:18" s="2" customFormat="1" ht="30" hidden="1" customHeight="1">
      <c r="A125" s="100"/>
      <c r="B125" s="100"/>
      <c r="C125" s="329"/>
      <c r="D125" s="330"/>
      <c r="E125" s="331"/>
      <c r="F125" s="100"/>
      <c r="G125" s="100"/>
      <c r="H125" s="101"/>
      <c r="I125" s="102"/>
      <c r="J125" s="102"/>
      <c r="K125" s="103"/>
      <c r="L125" s="103"/>
      <c r="Q125" s="104"/>
      <c r="R125" s="104"/>
    </row>
    <row r="126" spans="1:18" s="2" customFormat="1" ht="30" hidden="1" customHeight="1">
      <c r="A126" s="100"/>
      <c r="B126" s="100"/>
      <c r="C126" s="329"/>
      <c r="D126" s="330"/>
      <c r="E126" s="331"/>
      <c r="F126" s="100"/>
      <c r="G126" s="100"/>
      <c r="H126" s="101"/>
      <c r="I126" s="102"/>
      <c r="J126" s="102"/>
      <c r="K126" s="103"/>
      <c r="L126" s="103"/>
      <c r="Q126" s="104"/>
      <c r="R126" s="104"/>
    </row>
    <row r="127" spans="1:18" s="2" customFormat="1" ht="30" hidden="1" customHeight="1">
      <c r="A127" s="100"/>
      <c r="B127" s="100"/>
      <c r="C127" s="329"/>
      <c r="D127" s="330"/>
      <c r="E127" s="331"/>
      <c r="F127" s="100"/>
      <c r="G127" s="100"/>
      <c r="H127" s="101"/>
      <c r="I127" s="102"/>
      <c r="J127" s="102"/>
      <c r="K127" s="103"/>
      <c r="L127" s="103"/>
      <c r="Q127" s="104"/>
      <c r="R127" s="104"/>
    </row>
    <row r="128" spans="1:18" s="2" customFormat="1" ht="30" hidden="1" customHeight="1">
      <c r="A128" s="100"/>
      <c r="B128" s="100"/>
      <c r="C128" s="329"/>
      <c r="D128" s="330"/>
      <c r="E128" s="331"/>
      <c r="F128" s="100"/>
      <c r="G128" s="100"/>
      <c r="H128" s="101"/>
      <c r="I128" s="102"/>
      <c r="J128" s="102"/>
      <c r="K128" s="103"/>
      <c r="L128" s="103"/>
      <c r="Q128" s="104"/>
      <c r="R128" s="104"/>
    </row>
    <row r="129" spans="1:18" s="2" customFormat="1" ht="30" hidden="1" customHeight="1">
      <c r="A129" s="100"/>
      <c r="B129" s="100"/>
      <c r="C129" s="329"/>
      <c r="D129" s="330"/>
      <c r="E129" s="331"/>
      <c r="F129" s="100"/>
      <c r="G129" s="100"/>
      <c r="H129" s="101"/>
      <c r="I129" s="102"/>
      <c r="J129" s="102"/>
      <c r="K129" s="103"/>
      <c r="L129" s="103"/>
      <c r="Q129" s="104"/>
      <c r="R129" s="104"/>
    </row>
    <row r="130" spans="1:18" s="2" customFormat="1" ht="30" hidden="1" customHeight="1">
      <c r="A130" s="100"/>
      <c r="B130" s="100"/>
      <c r="C130" s="329"/>
      <c r="D130" s="330"/>
      <c r="E130" s="331"/>
      <c r="F130" s="100"/>
      <c r="G130" s="100"/>
      <c r="H130" s="101"/>
      <c r="I130" s="102"/>
      <c r="J130" s="102"/>
      <c r="K130" s="103"/>
      <c r="L130" s="103"/>
      <c r="Q130" s="104"/>
      <c r="R130" s="104"/>
    </row>
    <row r="131" spans="1:18" s="2" customFormat="1" ht="30" hidden="1" customHeight="1">
      <c r="A131" s="100"/>
      <c r="B131" s="100"/>
      <c r="C131" s="329"/>
      <c r="D131" s="330"/>
      <c r="E131" s="331"/>
      <c r="F131" s="100"/>
      <c r="G131" s="100"/>
      <c r="H131" s="101"/>
      <c r="I131" s="102"/>
      <c r="J131" s="102"/>
      <c r="K131" s="103"/>
      <c r="L131" s="103"/>
      <c r="Q131" s="104"/>
      <c r="R131" s="104"/>
    </row>
    <row r="132" spans="1:18" s="2" customFormat="1" ht="30" hidden="1" customHeight="1">
      <c r="A132" s="100"/>
      <c r="B132" s="100"/>
      <c r="C132" s="329"/>
      <c r="D132" s="330"/>
      <c r="E132" s="331"/>
      <c r="F132" s="100"/>
      <c r="G132" s="100"/>
      <c r="H132" s="101"/>
      <c r="I132" s="102"/>
      <c r="J132" s="102"/>
      <c r="K132" s="103"/>
      <c r="L132" s="103"/>
      <c r="Q132" s="104"/>
      <c r="R132" s="104"/>
    </row>
    <row r="133" spans="1:18" s="2" customFormat="1" ht="30" hidden="1" customHeight="1">
      <c r="A133" s="100"/>
      <c r="B133" s="100"/>
      <c r="C133" s="329"/>
      <c r="D133" s="330"/>
      <c r="E133" s="331"/>
      <c r="F133" s="100"/>
      <c r="G133" s="100"/>
      <c r="H133" s="101"/>
      <c r="I133" s="102"/>
      <c r="J133" s="102"/>
      <c r="K133" s="103"/>
      <c r="L133" s="103"/>
      <c r="Q133" s="104"/>
      <c r="R133" s="104"/>
    </row>
    <row r="134" spans="1:18" s="2" customFormat="1" ht="30" hidden="1" customHeight="1">
      <c r="A134" s="100"/>
      <c r="B134" s="100"/>
      <c r="C134" s="329"/>
      <c r="D134" s="330"/>
      <c r="E134" s="331"/>
      <c r="F134" s="100"/>
      <c r="G134" s="100"/>
      <c r="H134" s="101"/>
      <c r="I134" s="102"/>
      <c r="J134" s="102"/>
      <c r="K134" s="103"/>
      <c r="L134" s="103"/>
      <c r="Q134" s="104"/>
      <c r="R134" s="104"/>
    </row>
    <row r="135" spans="1:18" s="2" customFormat="1" ht="30" hidden="1" customHeight="1">
      <c r="A135" s="100"/>
      <c r="B135" s="100"/>
      <c r="C135" s="329"/>
      <c r="D135" s="330"/>
      <c r="E135" s="331"/>
      <c r="F135" s="100"/>
      <c r="G135" s="100"/>
      <c r="H135" s="101"/>
      <c r="I135" s="102"/>
      <c r="J135" s="102"/>
      <c r="K135" s="103"/>
      <c r="L135" s="103"/>
      <c r="Q135" s="104"/>
      <c r="R135" s="104"/>
    </row>
    <row r="136" spans="1:18" s="2" customFormat="1" ht="30" hidden="1" customHeight="1">
      <c r="A136" s="100"/>
      <c r="B136" s="100"/>
      <c r="C136" s="329"/>
      <c r="D136" s="330"/>
      <c r="E136" s="331"/>
      <c r="F136" s="100"/>
      <c r="G136" s="100"/>
      <c r="H136" s="101"/>
      <c r="I136" s="102"/>
      <c r="J136" s="102"/>
      <c r="K136" s="103"/>
      <c r="L136" s="103"/>
      <c r="Q136" s="104"/>
      <c r="R136" s="104"/>
    </row>
    <row r="137" spans="1:18" s="2" customFormat="1" ht="30" hidden="1" customHeight="1">
      <c r="A137" s="100"/>
      <c r="B137" s="100"/>
      <c r="C137" s="329"/>
      <c r="D137" s="330"/>
      <c r="E137" s="331"/>
      <c r="F137" s="100"/>
      <c r="G137" s="100"/>
      <c r="H137" s="101"/>
      <c r="I137" s="102"/>
      <c r="J137" s="102"/>
      <c r="K137" s="103"/>
      <c r="L137" s="103"/>
      <c r="Q137" s="104"/>
      <c r="R137" s="104"/>
    </row>
    <row r="138" spans="1:18" s="2" customFormat="1" ht="30" hidden="1" customHeight="1">
      <c r="A138" s="100"/>
      <c r="B138" s="100"/>
      <c r="C138" s="329"/>
      <c r="D138" s="330"/>
      <c r="E138" s="331"/>
      <c r="F138" s="100"/>
      <c r="G138" s="100"/>
      <c r="H138" s="101"/>
      <c r="I138" s="102"/>
      <c r="J138" s="102"/>
      <c r="K138" s="103"/>
      <c r="L138" s="103"/>
      <c r="Q138" s="104"/>
      <c r="R138" s="104"/>
    </row>
    <row r="139" spans="1:18" s="2" customFormat="1" ht="30" hidden="1" customHeight="1">
      <c r="A139" s="100"/>
      <c r="B139" s="100"/>
      <c r="C139" s="329"/>
      <c r="D139" s="330"/>
      <c r="E139" s="331"/>
      <c r="F139" s="100"/>
      <c r="G139" s="100"/>
      <c r="H139" s="101"/>
      <c r="I139" s="102"/>
      <c r="J139" s="102"/>
      <c r="K139" s="103"/>
      <c r="L139" s="103"/>
      <c r="Q139" s="104"/>
      <c r="R139" s="104"/>
    </row>
    <row r="140" spans="1:18" s="2" customFormat="1" ht="30" hidden="1" customHeight="1">
      <c r="A140" s="100"/>
      <c r="B140" s="100"/>
      <c r="C140" s="329"/>
      <c r="D140" s="330"/>
      <c r="E140" s="331"/>
      <c r="F140" s="100"/>
      <c r="G140" s="100"/>
      <c r="H140" s="101"/>
      <c r="I140" s="102"/>
      <c r="J140" s="102"/>
      <c r="K140" s="103"/>
      <c r="L140" s="103"/>
      <c r="Q140" s="104"/>
      <c r="R140" s="104"/>
    </row>
    <row r="141" spans="1:18" s="2" customFormat="1" ht="30" hidden="1" customHeight="1">
      <c r="A141" s="100"/>
      <c r="B141" s="100"/>
      <c r="C141" s="329"/>
      <c r="D141" s="330"/>
      <c r="E141" s="331"/>
      <c r="F141" s="100"/>
      <c r="G141" s="100"/>
      <c r="H141" s="101"/>
      <c r="I141" s="102"/>
      <c r="J141" s="102"/>
      <c r="K141" s="103"/>
      <c r="L141" s="103"/>
      <c r="Q141" s="104"/>
      <c r="R141" s="104"/>
    </row>
    <row r="142" spans="1:18" s="2" customFormat="1" ht="30" hidden="1" customHeight="1">
      <c r="A142" s="100"/>
      <c r="B142" s="100"/>
      <c r="C142" s="329"/>
      <c r="D142" s="330"/>
      <c r="E142" s="331"/>
      <c r="F142" s="100"/>
      <c r="G142" s="100"/>
      <c r="H142" s="101"/>
      <c r="I142" s="102"/>
      <c r="J142" s="102"/>
      <c r="K142" s="103"/>
      <c r="L142" s="103"/>
      <c r="Q142" s="104"/>
      <c r="R142" s="104"/>
    </row>
    <row r="143" spans="1:18" s="2" customFormat="1" ht="30" hidden="1" customHeight="1">
      <c r="A143" s="100"/>
      <c r="B143" s="100"/>
      <c r="C143" s="329"/>
      <c r="D143" s="330"/>
      <c r="E143" s="331"/>
      <c r="F143" s="100"/>
      <c r="G143" s="100"/>
      <c r="H143" s="101"/>
      <c r="I143" s="102"/>
      <c r="J143" s="102"/>
      <c r="K143" s="103"/>
      <c r="L143" s="103"/>
      <c r="Q143" s="104"/>
      <c r="R143" s="104"/>
    </row>
    <row r="144" spans="1:18" s="2" customFormat="1" ht="30" hidden="1" customHeight="1">
      <c r="A144" s="100"/>
      <c r="B144" s="100"/>
      <c r="C144" s="329"/>
      <c r="D144" s="330"/>
      <c r="E144" s="331"/>
      <c r="F144" s="100"/>
      <c r="G144" s="100"/>
      <c r="H144" s="101"/>
      <c r="I144" s="102"/>
      <c r="J144" s="102"/>
      <c r="K144" s="103"/>
      <c r="L144" s="103"/>
      <c r="Q144" s="104"/>
      <c r="R144" s="104"/>
    </row>
    <row r="145" spans="1:18" s="2" customFormat="1" ht="30" hidden="1" customHeight="1">
      <c r="A145" s="100"/>
      <c r="B145" s="100"/>
      <c r="C145" s="329"/>
      <c r="D145" s="330"/>
      <c r="E145" s="331"/>
      <c r="F145" s="100"/>
      <c r="G145" s="100"/>
      <c r="H145" s="101"/>
      <c r="I145" s="102"/>
      <c r="J145" s="102"/>
      <c r="K145" s="103"/>
      <c r="L145" s="103"/>
      <c r="Q145" s="104"/>
      <c r="R145" s="104"/>
    </row>
    <row r="146" spans="1:18" s="2" customFormat="1" ht="30" hidden="1" customHeight="1">
      <c r="A146" s="100"/>
      <c r="B146" s="100"/>
      <c r="C146" s="329"/>
      <c r="D146" s="330"/>
      <c r="E146" s="331"/>
      <c r="F146" s="100"/>
      <c r="G146" s="100"/>
      <c r="H146" s="101"/>
      <c r="I146" s="102"/>
      <c r="J146" s="102"/>
      <c r="K146" s="103"/>
      <c r="L146" s="103"/>
      <c r="Q146" s="104"/>
      <c r="R146" s="104"/>
    </row>
    <row r="147" spans="1:18" s="2" customFormat="1" ht="30" hidden="1" customHeight="1">
      <c r="A147" s="100"/>
      <c r="B147" s="100"/>
      <c r="C147" s="329"/>
      <c r="D147" s="330"/>
      <c r="E147" s="331"/>
      <c r="F147" s="100"/>
      <c r="G147" s="100"/>
      <c r="H147" s="101"/>
      <c r="I147" s="102"/>
      <c r="J147" s="102"/>
      <c r="K147" s="103"/>
      <c r="L147" s="103"/>
      <c r="Q147" s="104"/>
      <c r="R147" s="104"/>
    </row>
    <row r="148" spans="1:18" s="2" customFormat="1" ht="30" hidden="1" customHeight="1">
      <c r="A148" s="100"/>
      <c r="B148" s="100"/>
      <c r="C148" s="329"/>
      <c r="D148" s="330"/>
      <c r="E148" s="331"/>
      <c r="F148" s="100"/>
      <c r="G148" s="100"/>
      <c r="H148" s="101"/>
      <c r="I148" s="102"/>
      <c r="J148" s="102"/>
      <c r="K148" s="103"/>
      <c r="L148" s="103"/>
      <c r="Q148" s="104"/>
      <c r="R148" s="104"/>
    </row>
    <row r="149" spans="1:18" s="2" customFormat="1" ht="30" hidden="1" customHeight="1">
      <c r="A149" s="100"/>
      <c r="B149" s="100"/>
      <c r="C149" s="329"/>
      <c r="D149" s="330"/>
      <c r="E149" s="331"/>
      <c r="F149" s="100"/>
      <c r="G149" s="100"/>
      <c r="H149" s="101"/>
      <c r="I149" s="102"/>
      <c r="J149" s="102"/>
      <c r="K149" s="103"/>
      <c r="L149" s="103"/>
      <c r="Q149" s="104"/>
      <c r="R149" s="104"/>
    </row>
    <row r="150" spans="1:18" s="2" customFormat="1" ht="30" hidden="1" customHeight="1">
      <c r="A150" s="100"/>
      <c r="B150" s="100"/>
      <c r="C150" s="329"/>
      <c r="D150" s="330"/>
      <c r="E150" s="331"/>
      <c r="F150" s="100"/>
      <c r="G150" s="100"/>
      <c r="H150" s="101"/>
      <c r="I150" s="102"/>
      <c r="J150" s="102"/>
      <c r="K150" s="103"/>
      <c r="L150" s="103"/>
      <c r="Q150" s="104"/>
      <c r="R150" s="104"/>
    </row>
    <row r="151" spans="1:18" s="2" customFormat="1" ht="30" hidden="1" customHeight="1">
      <c r="A151" s="100"/>
      <c r="B151" s="100"/>
      <c r="C151" s="329"/>
      <c r="D151" s="330"/>
      <c r="E151" s="331"/>
      <c r="F151" s="100"/>
      <c r="G151" s="100"/>
      <c r="H151" s="101"/>
      <c r="I151" s="102"/>
      <c r="J151" s="102"/>
      <c r="K151" s="103"/>
      <c r="L151" s="103"/>
      <c r="Q151" s="104"/>
      <c r="R151" s="104"/>
    </row>
    <row r="152" spans="1:18" s="2" customFormat="1" ht="30" hidden="1" customHeight="1">
      <c r="A152" s="100"/>
      <c r="B152" s="100"/>
      <c r="C152" s="329"/>
      <c r="D152" s="330"/>
      <c r="E152" s="331"/>
      <c r="F152" s="100"/>
      <c r="G152" s="100"/>
      <c r="H152" s="101"/>
      <c r="I152" s="102"/>
      <c r="J152" s="102"/>
      <c r="K152" s="103"/>
      <c r="L152" s="103"/>
      <c r="Q152" s="104"/>
      <c r="R152" s="104"/>
    </row>
    <row r="153" spans="1:18" s="2" customFormat="1" ht="30" hidden="1" customHeight="1">
      <c r="A153" s="100"/>
      <c r="B153" s="100"/>
      <c r="C153" s="329"/>
      <c r="D153" s="330"/>
      <c r="E153" s="331"/>
      <c r="F153" s="100"/>
      <c r="G153" s="100"/>
      <c r="H153" s="101"/>
      <c r="I153" s="102"/>
      <c r="J153" s="102"/>
      <c r="K153" s="103"/>
      <c r="L153" s="103"/>
      <c r="Q153" s="104"/>
      <c r="R153" s="104"/>
    </row>
    <row r="154" spans="1:18" s="2" customFormat="1" ht="30" hidden="1" customHeight="1">
      <c r="A154" s="100"/>
      <c r="B154" s="100"/>
      <c r="C154" s="329"/>
      <c r="D154" s="330"/>
      <c r="E154" s="331"/>
      <c r="F154" s="100"/>
      <c r="G154" s="100"/>
      <c r="H154" s="101"/>
      <c r="I154" s="102"/>
      <c r="J154" s="102"/>
      <c r="K154" s="103"/>
      <c r="L154" s="103"/>
      <c r="Q154" s="104"/>
      <c r="R154" s="104"/>
    </row>
    <row r="155" spans="1:18" s="2" customFormat="1" ht="30" hidden="1" customHeight="1">
      <c r="A155" s="100"/>
      <c r="B155" s="100"/>
      <c r="C155" s="329"/>
      <c r="D155" s="330"/>
      <c r="E155" s="331"/>
      <c r="F155" s="100"/>
      <c r="G155" s="100"/>
      <c r="H155" s="101"/>
      <c r="I155" s="102"/>
      <c r="J155" s="102"/>
      <c r="K155" s="103"/>
      <c r="L155" s="103"/>
      <c r="Q155" s="104"/>
      <c r="R155" s="104"/>
    </row>
    <row r="156" spans="1:18" s="2" customFormat="1" ht="30" hidden="1" customHeight="1">
      <c r="A156" s="100"/>
      <c r="B156" s="100"/>
      <c r="C156" s="329"/>
      <c r="D156" s="330"/>
      <c r="E156" s="331"/>
      <c r="F156" s="100"/>
      <c r="G156" s="100"/>
      <c r="H156" s="101"/>
      <c r="I156" s="102"/>
      <c r="J156" s="102"/>
      <c r="K156" s="103"/>
      <c r="L156" s="103"/>
      <c r="Q156" s="104"/>
      <c r="R156" s="104"/>
    </row>
    <row r="157" spans="1:18" s="2" customFormat="1" ht="30" hidden="1" customHeight="1">
      <c r="A157" s="100"/>
      <c r="B157" s="100"/>
      <c r="C157" s="329"/>
      <c r="D157" s="330"/>
      <c r="E157" s="331"/>
      <c r="F157" s="100"/>
      <c r="G157" s="100"/>
      <c r="H157" s="101"/>
      <c r="I157" s="102"/>
      <c r="J157" s="102"/>
      <c r="K157" s="103"/>
      <c r="L157" s="103"/>
      <c r="Q157" s="104"/>
      <c r="R157" s="104"/>
    </row>
    <row r="158" spans="1:18" s="2" customFormat="1" ht="30" hidden="1" customHeight="1">
      <c r="A158" s="100"/>
      <c r="B158" s="100"/>
      <c r="C158" s="329"/>
      <c r="D158" s="330"/>
      <c r="E158" s="331"/>
      <c r="F158" s="100"/>
      <c r="G158" s="100"/>
      <c r="H158" s="101"/>
      <c r="I158" s="102"/>
      <c r="J158" s="102"/>
      <c r="K158" s="103"/>
      <c r="L158" s="103"/>
      <c r="Q158" s="104"/>
      <c r="R158" s="104"/>
    </row>
    <row r="159" spans="1:18" s="2" customFormat="1" ht="30" hidden="1" customHeight="1">
      <c r="A159" s="100"/>
      <c r="B159" s="100"/>
      <c r="C159" s="329"/>
      <c r="D159" s="330"/>
      <c r="E159" s="331"/>
      <c r="F159" s="100"/>
      <c r="G159" s="100"/>
      <c r="H159" s="101"/>
      <c r="I159" s="102"/>
      <c r="J159" s="102"/>
      <c r="K159" s="103"/>
      <c r="L159" s="103"/>
      <c r="Q159" s="104"/>
      <c r="R159" s="104"/>
    </row>
    <row r="160" spans="1:18" s="2" customFormat="1" ht="30" hidden="1" customHeight="1">
      <c r="A160" s="100"/>
      <c r="B160" s="100"/>
      <c r="C160" s="329"/>
      <c r="D160" s="330"/>
      <c r="E160" s="331"/>
      <c r="F160" s="100"/>
      <c r="G160" s="100"/>
      <c r="H160" s="101"/>
      <c r="I160" s="102"/>
      <c r="J160" s="102"/>
      <c r="K160" s="103"/>
      <c r="L160" s="103"/>
      <c r="Q160" s="104"/>
      <c r="R160" s="104"/>
    </row>
    <row r="161" spans="1:18" s="2" customFormat="1" ht="30" hidden="1" customHeight="1">
      <c r="A161" s="100"/>
      <c r="B161" s="100"/>
      <c r="C161" s="329"/>
      <c r="D161" s="330"/>
      <c r="E161" s="331"/>
      <c r="F161" s="100"/>
      <c r="G161" s="100"/>
      <c r="H161" s="101"/>
      <c r="I161" s="102"/>
      <c r="J161" s="102"/>
      <c r="K161" s="103"/>
      <c r="L161" s="103"/>
      <c r="Q161" s="104"/>
      <c r="R161" s="104"/>
    </row>
    <row r="162" spans="1:18" s="2" customFormat="1" ht="30" hidden="1" customHeight="1">
      <c r="A162" s="100"/>
      <c r="B162" s="100"/>
      <c r="C162" s="329"/>
      <c r="D162" s="330"/>
      <c r="E162" s="331"/>
      <c r="F162" s="100"/>
      <c r="G162" s="100"/>
      <c r="H162" s="101"/>
      <c r="I162" s="102"/>
      <c r="J162" s="102"/>
      <c r="K162" s="103"/>
      <c r="L162" s="103"/>
      <c r="Q162" s="104"/>
      <c r="R162" s="104"/>
    </row>
    <row r="163" spans="1:18" s="2" customFormat="1" ht="30" hidden="1" customHeight="1">
      <c r="A163" s="100"/>
      <c r="B163" s="100"/>
      <c r="C163" s="329"/>
      <c r="D163" s="330"/>
      <c r="E163" s="331"/>
      <c r="F163" s="100"/>
      <c r="G163" s="100"/>
      <c r="H163" s="101"/>
      <c r="I163" s="102"/>
      <c r="J163" s="102"/>
      <c r="K163" s="103"/>
      <c r="L163" s="103"/>
      <c r="Q163" s="104"/>
      <c r="R163" s="104"/>
    </row>
    <row r="164" spans="1:18" s="2" customFormat="1" ht="30" hidden="1" customHeight="1">
      <c r="A164" s="100"/>
      <c r="B164" s="100"/>
      <c r="C164" s="329"/>
      <c r="D164" s="330"/>
      <c r="E164" s="331"/>
      <c r="F164" s="100"/>
      <c r="G164" s="100"/>
      <c r="H164" s="101"/>
      <c r="I164" s="102"/>
      <c r="J164" s="102"/>
      <c r="K164" s="103"/>
      <c r="L164" s="103"/>
      <c r="Q164" s="104"/>
      <c r="R164" s="104"/>
    </row>
    <row r="165" spans="1:18" s="2" customFormat="1" ht="30" hidden="1" customHeight="1">
      <c r="A165" s="100"/>
      <c r="B165" s="100"/>
      <c r="C165" s="329"/>
      <c r="D165" s="330"/>
      <c r="E165" s="331"/>
      <c r="F165" s="100"/>
      <c r="G165" s="100"/>
      <c r="H165" s="100"/>
      <c r="I165" s="102"/>
      <c r="J165" s="102"/>
      <c r="K165" s="103"/>
      <c r="L165" s="103"/>
      <c r="Q165" s="104"/>
      <c r="R165" s="104"/>
    </row>
    <row r="166" spans="1:18" s="2" customFormat="1" ht="30" hidden="1" customHeight="1">
      <c r="A166" s="100"/>
      <c r="B166" s="100"/>
      <c r="C166" s="329"/>
      <c r="D166" s="330"/>
      <c r="E166" s="331"/>
      <c r="F166" s="100"/>
      <c r="G166" s="100"/>
      <c r="H166" s="100"/>
      <c r="I166" s="102"/>
      <c r="J166" s="102"/>
      <c r="K166" s="103"/>
      <c r="L166" s="103"/>
      <c r="Q166" s="104"/>
      <c r="R166" s="104"/>
    </row>
    <row r="167" spans="1:18" s="2" customFormat="1" ht="30" hidden="1" customHeight="1">
      <c r="A167" s="100"/>
      <c r="B167" s="100"/>
      <c r="C167" s="329"/>
      <c r="D167" s="330"/>
      <c r="E167" s="331"/>
      <c r="F167" s="100"/>
      <c r="G167" s="100"/>
      <c r="H167" s="100"/>
      <c r="I167" s="102"/>
      <c r="J167" s="102"/>
      <c r="K167" s="103"/>
      <c r="L167" s="103"/>
      <c r="Q167" s="104"/>
      <c r="R167" s="104"/>
    </row>
    <row r="168" spans="1:18" s="2" customFormat="1" ht="30" hidden="1" customHeight="1">
      <c r="A168" s="100"/>
      <c r="B168" s="100"/>
      <c r="C168" s="329"/>
      <c r="D168" s="330"/>
      <c r="E168" s="331"/>
      <c r="F168" s="100"/>
      <c r="G168" s="100"/>
      <c r="H168" s="100"/>
      <c r="I168" s="102"/>
      <c r="J168" s="102"/>
      <c r="K168" s="103"/>
      <c r="L168" s="103"/>
      <c r="Q168" s="104"/>
      <c r="R168" s="104"/>
    </row>
    <row r="169" spans="1:18" s="2" customFormat="1" ht="30" hidden="1" customHeight="1">
      <c r="A169" s="100"/>
      <c r="B169" s="100"/>
      <c r="C169" s="329"/>
      <c r="D169" s="330"/>
      <c r="E169" s="331"/>
      <c r="F169" s="100"/>
      <c r="G169" s="100"/>
      <c r="H169" s="100"/>
      <c r="I169" s="102"/>
      <c r="J169" s="102"/>
      <c r="K169" s="103"/>
      <c r="L169" s="103"/>
      <c r="Q169" s="104"/>
      <c r="R169" s="104"/>
    </row>
    <row r="170" spans="1:18" s="2" customFormat="1" ht="30" hidden="1" customHeight="1">
      <c r="A170" s="100"/>
      <c r="B170" s="100"/>
      <c r="C170" s="329"/>
      <c r="D170" s="330"/>
      <c r="E170" s="331"/>
      <c r="F170" s="100"/>
      <c r="G170" s="100"/>
      <c r="H170" s="100"/>
      <c r="I170" s="102"/>
      <c r="J170" s="102"/>
      <c r="K170" s="103"/>
      <c r="L170" s="103"/>
      <c r="Q170" s="104"/>
      <c r="R170" s="104"/>
    </row>
    <row r="171" spans="1:18" s="2" customFormat="1" ht="30" hidden="1" customHeight="1">
      <c r="A171" s="100"/>
      <c r="B171" s="100"/>
      <c r="C171" s="329"/>
      <c r="D171" s="330"/>
      <c r="E171" s="331"/>
      <c r="F171" s="100"/>
      <c r="G171" s="100"/>
      <c r="H171" s="100"/>
      <c r="I171" s="102"/>
      <c r="J171" s="102"/>
      <c r="K171" s="103"/>
      <c r="L171" s="103"/>
      <c r="Q171" s="104"/>
      <c r="R171" s="104"/>
    </row>
    <row r="172" spans="1:18" s="2" customFormat="1" ht="30" hidden="1" customHeight="1">
      <c r="A172" s="100"/>
      <c r="B172" s="100"/>
      <c r="C172" s="329"/>
      <c r="D172" s="330"/>
      <c r="E172" s="331"/>
      <c r="F172" s="100"/>
      <c r="G172" s="100"/>
      <c r="H172" s="100"/>
      <c r="I172" s="102"/>
      <c r="J172" s="102"/>
      <c r="K172" s="103"/>
      <c r="L172" s="103"/>
      <c r="Q172" s="104"/>
      <c r="R172" s="104"/>
    </row>
    <row r="173" spans="1:18" s="2" customFormat="1" ht="30" hidden="1" customHeight="1">
      <c r="A173" s="100"/>
      <c r="B173" s="100"/>
      <c r="C173" s="329"/>
      <c r="D173" s="330"/>
      <c r="E173" s="331"/>
      <c r="F173" s="100"/>
      <c r="G173" s="100"/>
      <c r="H173" s="100"/>
      <c r="I173" s="102"/>
      <c r="J173" s="102"/>
      <c r="K173" s="103"/>
      <c r="L173" s="103"/>
      <c r="Q173" s="104"/>
      <c r="R173" s="104"/>
    </row>
    <row r="174" spans="1:18" s="2" customFormat="1" ht="30" hidden="1" customHeight="1">
      <c r="A174" s="100"/>
      <c r="B174" s="100"/>
      <c r="C174" s="329"/>
      <c r="D174" s="330"/>
      <c r="E174" s="331"/>
      <c r="F174" s="100"/>
      <c r="G174" s="100"/>
      <c r="H174" s="100"/>
      <c r="I174" s="102"/>
      <c r="J174" s="102"/>
      <c r="K174" s="103"/>
      <c r="L174" s="103"/>
      <c r="Q174" s="104"/>
      <c r="R174" s="104"/>
    </row>
    <row r="175" spans="1:18" s="2" customFormat="1" ht="30" hidden="1" customHeight="1">
      <c r="A175" s="100"/>
      <c r="B175" s="100"/>
      <c r="C175" s="329"/>
      <c r="D175" s="330"/>
      <c r="E175" s="331"/>
      <c r="F175" s="100"/>
      <c r="G175" s="100"/>
      <c r="H175" s="100"/>
      <c r="I175" s="102"/>
      <c r="J175" s="102"/>
      <c r="K175" s="103"/>
      <c r="L175" s="103"/>
      <c r="Q175" s="104"/>
      <c r="R175" s="104"/>
    </row>
    <row r="176" spans="1:18" s="2" customFormat="1" ht="30" hidden="1" customHeight="1">
      <c r="A176" s="100"/>
      <c r="B176" s="100"/>
      <c r="C176" s="329"/>
      <c r="D176" s="330"/>
      <c r="E176" s="331"/>
      <c r="F176" s="100"/>
      <c r="G176" s="100"/>
      <c r="H176" s="100"/>
      <c r="I176" s="102"/>
      <c r="J176" s="102"/>
      <c r="K176" s="103"/>
      <c r="L176" s="103"/>
      <c r="Q176" s="104"/>
      <c r="R176" s="104"/>
    </row>
    <row r="177" spans="1:18" s="2" customFormat="1" ht="30" hidden="1" customHeight="1">
      <c r="A177" s="100"/>
      <c r="B177" s="100"/>
      <c r="C177" s="329"/>
      <c r="D177" s="330"/>
      <c r="E177" s="331"/>
      <c r="F177" s="100"/>
      <c r="G177" s="100"/>
      <c r="H177" s="100"/>
      <c r="I177" s="102"/>
      <c r="J177" s="102"/>
      <c r="K177" s="103"/>
      <c r="L177" s="103"/>
      <c r="Q177" s="104"/>
      <c r="R177" s="104"/>
    </row>
    <row r="178" spans="1:18" s="2" customFormat="1" ht="30" hidden="1" customHeight="1">
      <c r="A178" s="100"/>
      <c r="B178" s="100"/>
      <c r="C178" s="329"/>
      <c r="D178" s="330"/>
      <c r="E178" s="331"/>
      <c r="F178" s="100"/>
      <c r="G178" s="100"/>
      <c r="H178" s="100"/>
      <c r="I178" s="102"/>
      <c r="J178" s="102"/>
      <c r="K178" s="103"/>
      <c r="L178" s="103"/>
      <c r="Q178" s="104"/>
      <c r="R178" s="104"/>
    </row>
    <row r="179" spans="1:18" s="2" customFormat="1" ht="30" hidden="1" customHeight="1">
      <c r="A179" s="100"/>
      <c r="B179" s="100"/>
      <c r="C179" s="329"/>
      <c r="D179" s="330"/>
      <c r="E179" s="331"/>
      <c r="F179" s="100"/>
      <c r="G179" s="100"/>
      <c r="H179" s="100"/>
      <c r="I179" s="102"/>
      <c r="J179" s="102"/>
      <c r="K179" s="103"/>
      <c r="L179" s="103"/>
      <c r="Q179" s="104"/>
      <c r="R179" s="104"/>
    </row>
    <row r="180" spans="1:18" s="2" customFormat="1" ht="30" hidden="1" customHeight="1">
      <c r="A180" s="100"/>
      <c r="B180" s="100"/>
      <c r="C180" s="329"/>
      <c r="D180" s="330"/>
      <c r="E180" s="331"/>
      <c r="F180" s="100"/>
      <c r="G180" s="100"/>
      <c r="H180" s="100"/>
      <c r="I180" s="102"/>
      <c r="J180" s="102"/>
      <c r="K180" s="103"/>
      <c r="L180" s="103"/>
      <c r="Q180" s="104"/>
      <c r="R180" s="104"/>
    </row>
    <row r="181" spans="1:18" s="2" customFormat="1" ht="30" hidden="1" customHeight="1">
      <c r="A181" s="100"/>
      <c r="B181" s="100"/>
      <c r="C181" s="329"/>
      <c r="D181" s="330"/>
      <c r="E181" s="331"/>
      <c r="F181" s="100"/>
      <c r="G181" s="100"/>
      <c r="H181" s="100"/>
      <c r="I181" s="102"/>
      <c r="J181" s="102"/>
      <c r="K181" s="103"/>
      <c r="L181" s="103"/>
      <c r="Q181" s="104"/>
      <c r="R181" s="104"/>
    </row>
    <row r="182" spans="1:18" s="2" customFormat="1" ht="30" hidden="1" customHeight="1">
      <c r="A182" s="100"/>
      <c r="B182" s="100"/>
      <c r="C182" s="329"/>
      <c r="D182" s="330"/>
      <c r="E182" s="331"/>
      <c r="F182" s="100"/>
      <c r="G182" s="100"/>
      <c r="H182" s="100"/>
      <c r="I182" s="102"/>
      <c r="J182" s="102"/>
      <c r="K182" s="103"/>
      <c r="L182" s="103"/>
      <c r="Q182" s="104"/>
      <c r="R182" s="104"/>
    </row>
    <row r="183" spans="1:18" s="2" customFormat="1" ht="30" hidden="1" customHeight="1">
      <c r="A183" s="100"/>
      <c r="B183" s="100"/>
      <c r="C183" s="329"/>
      <c r="D183" s="330"/>
      <c r="E183" s="331"/>
      <c r="F183" s="100"/>
      <c r="G183" s="100"/>
      <c r="H183" s="100"/>
      <c r="I183" s="102"/>
      <c r="J183" s="102"/>
      <c r="K183" s="103"/>
      <c r="L183" s="103"/>
      <c r="Q183" s="104"/>
      <c r="R183" s="104"/>
    </row>
    <row r="184" spans="1:18" s="2" customFormat="1" ht="30" hidden="1" customHeight="1">
      <c r="A184" s="100"/>
      <c r="B184" s="100"/>
      <c r="C184" s="329"/>
      <c r="D184" s="330"/>
      <c r="E184" s="331"/>
      <c r="F184" s="100"/>
      <c r="G184" s="100"/>
      <c r="H184" s="100"/>
      <c r="I184" s="102"/>
      <c r="J184" s="102"/>
      <c r="K184" s="103"/>
      <c r="L184" s="103"/>
      <c r="Q184" s="104"/>
      <c r="R184" s="104"/>
    </row>
    <row r="185" spans="1:18" s="2" customFormat="1" ht="30" hidden="1" customHeight="1">
      <c r="A185" s="100"/>
      <c r="B185" s="100"/>
      <c r="C185" s="329"/>
      <c r="D185" s="330"/>
      <c r="E185" s="331"/>
      <c r="F185" s="100"/>
      <c r="G185" s="100"/>
      <c r="H185" s="100"/>
      <c r="I185" s="102"/>
      <c r="J185" s="102"/>
      <c r="K185" s="103"/>
      <c r="L185" s="103"/>
      <c r="Q185" s="104"/>
      <c r="R185" s="104"/>
    </row>
    <row r="186" spans="1:18" s="2" customFormat="1" ht="30" hidden="1" customHeight="1">
      <c r="A186" s="100"/>
      <c r="B186" s="100"/>
      <c r="C186" s="329"/>
      <c r="D186" s="330"/>
      <c r="E186" s="331"/>
      <c r="F186" s="100"/>
      <c r="G186" s="100"/>
      <c r="H186" s="100"/>
      <c r="I186" s="102"/>
      <c r="J186" s="102"/>
      <c r="K186" s="103"/>
      <c r="L186" s="103"/>
      <c r="Q186" s="104"/>
      <c r="R186" s="104"/>
    </row>
    <row r="187" spans="1:18" s="2" customFormat="1" ht="30" hidden="1" customHeight="1">
      <c r="A187" s="100"/>
      <c r="B187" s="100"/>
      <c r="C187" s="329"/>
      <c r="D187" s="330"/>
      <c r="E187" s="331"/>
      <c r="F187" s="100"/>
      <c r="G187" s="100"/>
      <c r="H187" s="100"/>
      <c r="I187" s="102"/>
      <c r="J187" s="102"/>
      <c r="K187" s="103"/>
      <c r="L187" s="103"/>
      <c r="Q187" s="104"/>
      <c r="R187" s="104"/>
    </row>
    <row r="188" spans="1:18" s="2" customFormat="1" ht="30" hidden="1" customHeight="1">
      <c r="A188" s="100"/>
      <c r="B188" s="100"/>
      <c r="C188" s="329"/>
      <c r="D188" s="330"/>
      <c r="E188" s="331"/>
      <c r="F188" s="100"/>
      <c r="G188" s="100"/>
      <c r="H188" s="100"/>
      <c r="I188" s="102"/>
      <c r="J188" s="102"/>
      <c r="K188" s="103"/>
      <c r="L188" s="103"/>
      <c r="Q188" s="104"/>
      <c r="R188" s="104"/>
    </row>
    <row r="189" spans="1:18" s="2" customFormat="1" ht="30" hidden="1" customHeight="1">
      <c r="A189" s="100"/>
      <c r="B189" s="100"/>
      <c r="C189" s="329"/>
      <c r="D189" s="330"/>
      <c r="E189" s="331"/>
      <c r="F189" s="100"/>
      <c r="G189" s="100"/>
      <c r="H189" s="100"/>
      <c r="I189" s="102"/>
      <c r="J189" s="102"/>
      <c r="K189" s="103"/>
      <c r="L189" s="103"/>
      <c r="Q189" s="104"/>
      <c r="R189" s="104"/>
    </row>
    <row r="190" spans="1:18" s="2" customFormat="1" ht="30" hidden="1" customHeight="1">
      <c r="A190" s="100"/>
      <c r="B190" s="100"/>
      <c r="C190" s="329"/>
      <c r="D190" s="330"/>
      <c r="E190" s="331"/>
      <c r="F190" s="100"/>
      <c r="G190" s="100"/>
      <c r="H190" s="100"/>
      <c r="I190" s="102"/>
      <c r="J190" s="102"/>
      <c r="K190" s="103"/>
      <c r="L190" s="103"/>
      <c r="Q190" s="104"/>
      <c r="R190" s="104"/>
    </row>
    <row r="191" spans="1:18" s="2" customFormat="1" ht="30" hidden="1" customHeight="1">
      <c r="A191" s="100"/>
      <c r="B191" s="100"/>
      <c r="C191" s="329"/>
      <c r="D191" s="330"/>
      <c r="E191" s="331"/>
      <c r="F191" s="100"/>
      <c r="G191" s="100"/>
      <c r="H191" s="100"/>
      <c r="I191" s="102"/>
      <c r="J191" s="102"/>
      <c r="K191" s="103"/>
      <c r="L191" s="103"/>
      <c r="Q191" s="104"/>
      <c r="R191" s="104"/>
    </row>
    <row r="192" spans="1:18" s="2" customFormat="1" ht="30" hidden="1" customHeight="1">
      <c r="A192" s="100"/>
      <c r="B192" s="100"/>
      <c r="C192" s="329"/>
      <c r="D192" s="330"/>
      <c r="E192" s="331"/>
      <c r="F192" s="100"/>
      <c r="G192" s="100"/>
      <c r="H192" s="100"/>
      <c r="I192" s="102"/>
      <c r="J192" s="102"/>
      <c r="K192" s="103"/>
      <c r="L192" s="103"/>
      <c r="Q192" s="104"/>
      <c r="R192" s="104"/>
    </row>
    <row r="193" spans="1:18" s="2" customFormat="1" ht="30" hidden="1" customHeight="1">
      <c r="A193" s="100"/>
      <c r="B193" s="100"/>
      <c r="C193" s="329"/>
      <c r="D193" s="330"/>
      <c r="E193" s="331"/>
      <c r="F193" s="100"/>
      <c r="G193" s="100"/>
      <c r="H193" s="100"/>
      <c r="I193" s="102"/>
      <c r="J193" s="102"/>
      <c r="K193" s="103"/>
      <c r="L193" s="103"/>
      <c r="Q193" s="104"/>
      <c r="R193" s="104"/>
    </row>
    <row r="194" spans="1:18" s="2" customFormat="1" ht="30" hidden="1" customHeight="1">
      <c r="A194" s="100"/>
      <c r="B194" s="100"/>
      <c r="C194" s="329"/>
      <c r="D194" s="330"/>
      <c r="E194" s="331"/>
      <c r="F194" s="100"/>
      <c r="G194" s="100"/>
      <c r="H194" s="100"/>
      <c r="I194" s="102"/>
      <c r="J194" s="102"/>
      <c r="K194" s="103"/>
      <c r="L194" s="103"/>
      <c r="Q194" s="104"/>
      <c r="R194" s="104"/>
    </row>
    <row r="195" spans="1:18" s="2" customFormat="1" ht="30" hidden="1" customHeight="1">
      <c r="A195" s="100"/>
      <c r="B195" s="100"/>
      <c r="C195" s="329"/>
      <c r="D195" s="330"/>
      <c r="E195" s="331"/>
      <c r="F195" s="100"/>
      <c r="G195" s="100"/>
      <c r="H195" s="100"/>
      <c r="I195" s="102"/>
      <c r="J195" s="102"/>
      <c r="K195" s="103"/>
      <c r="L195" s="103"/>
      <c r="Q195" s="104"/>
      <c r="R195" s="104"/>
    </row>
    <row r="196" spans="1:18" s="2" customFormat="1" ht="30" hidden="1" customHeight="1">
      <c r="A196" s="100"/>
      <c r="B196" s="100"/>
      <c r="C196" s="329"/>
      <c r="D196" s="330"/>
      <c r="E196" s="331"/>
      <c r="F196" s="100"/>
      <c r="G196" s="100"/>
      <c r="H196" s="100"/>
      <c r="I196" s="102"/>
      <c r="J196" s="102"/>
      <c r="K196" s="103"/>
      <c r="L196" s="103"/>
      <c r="Q196" s="104"/>
      <c r="R196" s="104"/>
    </row>
    <row r="197" spans="1:18" s="2" customFormat="1" ht="30" hidden="1" customHeight="1">
      <c r="A197" s="100"/>
      <c r="B197" s="100"/>
      <c r="C197" s="329"/>
      <c r="D197" s="330"/>
      <c r="E197" s="331"/>
      <c r="F197" s="100"/>
      <c r="G197" s="100"/>
      <c r="H197" s="100"/>
      <c r="I197" s="102"/>
      <c r="J197" s="102"/>
      <c r="K197" s="103"/>
      <c r="L197" s="103"/>
      <c r="Q197" s="104"/>
      <c r="R197" s="104"/>
    </row>
    <row r="198" spans="1:18" s="2" customFormat="1" ht="30" hidden="1" customHeight="1">
      <c r="A198" s="100"/>
      <c r="B198" s="100"/>
      <c r="C198" s="329"/>
      <c r="D198" s="330"/>
      <c r="E198" s="331"/>
      <c r="F198" s="100"/>
      <c r="G198" s="100"/>
      <c r="H198" s="100"/>
      <c r="I198" s="102"/>
      <c r="J198" s="102"/>
      <c r="K198" s="103"/>
      <c r="L198" s="103"/>
      <c r="Q198" s="104"/>
      <c r="R198" s="104"/>
    </row>
    <row r="199" spans="1:18" s="2" customFormat="1" ht="30" hidden="1" customHeight="1">
      <c r="A199" s="100"/>
      <c r="B199" s="100"/>
      <c r="C199" s="329"/>
      <c r="D199" s="330"/>
      <c r="E199" s="331"/>
      <c r="F199" s="100"/>
      <c r="G199" s="100"/>
      <c r="H199" s="100"/>
      <c r="I199" s="102"/>
      <c r="J199" s="102"/>
      <c r="K199" s="103"/>
      <c r="L199" s="103"/>
      <c r="Q199" s="104"/>
      <c r="R199" s="104"/>
    </row>
    <row r="200" spans="1:18" s="2" customFormat="1" ht="30" hidden="1" customHeight="1">
      <c r="A200" s="100"/>
      <c r="B200" s="100"/>
      <c r="C200" s="329"/>
      <c r="D200" s="330"/>
      <c r="E200" s="331"/>
      <c r="F200" s="100"/>
      <c r="G200" s="100"/>
      <c r="H200" s="100"/>
      <c r="I200" s="102"/>
      <c r="J200" s="102"/>
      <c r="K200" s="103"/>
      <c r="L200" s="103"/>
      <c r="Q200" s="104"/>
      <c r="R200" s="104"/>
    </row>
    <row r="201" spans="1:18" ht="19.5" customHeight="1">
      <c r="A201" s="335" t="s">
        <v>262</v>
      </c>
      <c r="B201" s="335"/>
      <c r="C201" s="335"/>
      <c r="D201" s="335"/>
      <c r="E201" s="335"/>
      <c r="F201" s="335"/>
      <c r="G201" s="335"/>
      <c r="H201" s="335"/>
      <c r="I201" s="335"/>
      <c r="J201" s="294">
        <f>SUM(J19:J200)</f>
        <v>79000004</v>
      </c>
      <c r="Q201" s="48" t="s">
        <v>261</v>
      </c>
    </row>
    <row r="202" spans="1:18" s="87" customFormat="1" ht="6" customHeight="1">
      <c r="A202" s="295"/>
      <c r="B202" s="295"/>
      <c r="C202" s="295"/>
      <c r="D202" s="295"/>
      <c r="E202" s="295"/>
      <c r="F202" s="295"/>
      <c r="G202" s="295"/>
      <c r="H202" s="295"/>
      <c r="I202" s="295"/>
      <c r="J202" s="296"/>
      <c r="Q202" s="311"/>
      <c r="R202" s="311"/>
    </row>
    <row r="203" spans="1:18" ht="19.5" customHeight="1">
      <c r="A203" s="336" t="s">
        <v>278</v>
      </c>
      <c r="B203" s="336"/>
      <c r="C203" s="312" t="str">
        <f>DocSoUni(J201)&amp;" Đồng"</f>
        <v>bảy mươi chín triệu không trăm linh bốn Đồng</v>
      </c>
      <c r="D203" s="309"/>
      <c r="E203" s="309"/>
      <c r="F203" s="309"/>
      <c r="G203" s="309"/>
      <c r="H203" s="309"/>
      <c r="I203" s="309"/>
      <c r="J203" s="310"/>
    </row>
    <row r="204" spans="1:18" ht="19.5" customHeight="1">
      <c r="A204" s="295"/>
      <c r="B204" s="295"/>
      <c r="C204" s="295"/>
      <c r="D204" s="295"/>
      <c r="E204" s="295"/>
      <c r="F204" s="295"/>
      <c r="G204" s="295"/>
      <c r="H204" s="295"/>
      <c r="I204" s="295"/>
      <c r="J204" s="296"/>
    </row>
    <row r="205" spans="1:18">
      <c r="A205" s="332" t="s">
        <v>300</v>
      </c>
      <c r="B205" s="332"/>
      <c r="C205" s="332"/>
      <c r="D205" s="333" t="s">
        <v>147</v>
      </c>
      <c r="E205" s="333"/>
      <c r="F205" s="105"/>
      <c r="G205" s="334" t="s">
        <v>148</v>
      </c>
      <c r="H205" s="334"/>
      <c r="I205" s="332" t="s">
        <v>149</v>
      </c>
      <c r="J205" s="332"/>
    </row>
    <row r="206" spans="1:18">
      <c r="A206" s="63"/>
      <c r="B206" s="63"/>
      <c r="C206" s="63"/>
      <c r="D206" s="63"/>
      <c r="E206" s="63"/>
      <c r="F206" s="63"/>
      <c r="G206" s="63"/>
      <c r="H206" s="63"/>
      <c r="I206" s="63"/>
      <c r="J206" s="63"/>
    </row>
    <row r="207" spans="1:18">
      <c r="A207" s="63"/>
      <c r="B207" s="63"/>
      <c r="C207" s="63"/>
      <c r="D207" s="63"/>
      <c r="E207" s="63"/>
      <c r="F207" s="63"/>
      <c r="G207" s="63"/>
      <c r="H207" s="63"/>
      <c r="I207" s="63"/>
      <c r="J207" s="63"/>
    </row>
    <row r="208" spans="1:18">
      <c r="A208" s="63"/>
      <c r="B208" s="63"/>
      <c r="C208" s="63"/>
      <c r="D208" s="63"/>
      <c r="E208" s="63"/>
      <c r="F208" s="63"/>
      <c r="G208" s="63"/>
      <c r="H208" s="63"/>
      <c r="I208" s="63"/>
      <c r="J208" s="63"/>
    </row>
    <row r="209" spans="1:10">
      <c r="A209" s="63"/>
      <c r="B209" s="63"/>
      <c r="C209" s="63"/>
      <c r="D209" s="63"/>
      <c r="E209" s="63"/>
      <c r="F209" s="63"/>
      <c r="G209" s="63"/>
      <c r="H209" s="63"/>
      <c r="I209" s="63"/>
      <c r="J209" s="63"/>
    </row>
    <row r="210" spans="1:10">
      <c r="A210" s="63"/>
      <c r="B210" s="63"/>
      <c r="C210" s="63"/>
      <c r="D210" s="63"/>
      <c r="E210" s="63"/>
      <c r="F210" s="63"/>
      <c r="G210" s="63"/>
      <c r="H210" s="63"/>
      <c r="I210" s="63"/>
      <c r="J210" s="63"/>
    </row>
    <row r="211" spans="1:10">
      <c r="A211" s="63"/>
      <c r="B211" s="63"/>
      <c r="C211" s="63"/>
      <c r="D211" s="63"/>
      <c r="E211" s="63"/>
      <c r="F211" s="63"/>
      <c r="G211" s="63"/>
      <c r="H211" s="63"/>
      <c r="I211" s="63"/>
      <c r="J211" s="63"/>
    </row>
    <row r="212" spans="1:10">
      <c r="A212" s="63"/>
      <c r="B212" s="63"/>
      <c r="C212" s="63"/>
      <c r="D212" s="63"/>
      <c r="E212" s="63"/>
      <c r="F212" s="63"/>
      <c r="G212" s="63"/>
      <c r="H212" s="63"/>
      <c r="I212" s="63"/>
      <c r="J212" s="63"/>
    </row>
    <row r="213" spans="1:10">
      <c r="A213" s="325" t="str">
        <f>KhaiBaoThongTinDN!C10</f>
        <v>Nguyễn Văn B</v>
      </c>
      <c r="B213" s="326"/>
      <c r="C213" s="326"/>
      <c r="D213" s="106"/>
      <c r="E213" s="107"/>
      <c r="F213" s="107"/>
      <c r="G213" s="327" t="str">
        <f>KhaiBaoThongTinDN!C12</f>
        <v>Nguyễn Văn D</v>
      </c>
      <c r="H213" s="328"/>
      <c r="I213" s="327" t="str">
        <f>KhaiBaoThongTinDN!C9</f>
        <v>Nguyễn Văn A</v>
      </c>
      <c r="J213" s="328"/>
    </row>
    <row r="214" spans="1:10">
      <c r="A214" s="63"/>
      <c r="B214" s="63"/>
      <c r="C214" s="63"/>
      <c r="D214" s="63"/>
      <c r="E214" s="63"/>
      <c r="F214" s="63"/>
      <c r="G214" s="63"/>
      <c r="H214" s="63"/>
      <c r="I214" s="63"/>
      <c r="J214" s="63"/>
    </row>
    <row r="215" spans="1:10"/>
    <row r="216" spans="1:10"/>
    <row r="217" spans="1:10"/>
    <row r="218" spans="1:10"/>
    <row r="219" spans="1:10"/>
    <row r="220" spans="1:10"/>
    <row r="221" spans="1:10"/>
    <row r="222" spans="1:10"/>
    <row r="223" spans="1:10"/>
    <row r="224" spans="1:10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 spans="47:60"/>
    <row r="306" spans="47:60">
      <c r="AU306" s="108"/>
      <c r="AV306" s="109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</row>
    <row r="307" spans="47:60">
      <c r="AU307" s="108"/>
      <c r="AV307" s="109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</row>
    <row r="308" spans="47:60">
      <c r="AU308" s="111"/>
      <c r="AV308" s="112"/>
      <c r="AW308" s="113"/>
      <c r="AX308" s="113"/>
      <c r="AY308" s="113"/>
      <c r="AZ308" s="113"/>
      <c r="BA308" s="113"/>
      <c r="BB308" s="113"/>
      <c r="BC308" s="113"/>
      <c r="BD308" s="113"/>
      <c r="BE308" s="113"/>
      <c r="BF308" s="113"/>
      <c r="BG308" s="113"/>
      <c r="BH308" s="113"/>
    </row>
    <row r="309" spans="47:60">
      <c r="AU309" s="111"/>
      <c r="AV309" s="112"/>
      <c r="AW309" s="113"/>
      <c r="AX309" s="113"/>
      <c r="AY309" s="113"/>
      <c r="AZ309" s="113"/>
      <c r="BA309" s="113"/>
      <c r="BB309" s="113"/>
      <c r="BC309" s="113"/>
      <c r="BD309" s="113"/>
      <c r="BE309" s="113"/>
      <c r="BF309" s="113"/>
      <c r="BG309" s="113"/>
      <c r="BH309" s="113"/>
    </row>
    <row r="310" spans="47:60">
      <c r="AU310" s="111"/>
      <c r="AV310" s="114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</row>
    <row r="311" spans="47:60">
      <c r="AU311" s="111"/>
      <c r="AV311" s="114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</row>
    <row r="312" spans="47:60">
      <c r="AU312" s="111"/>
      <c r="AV312" s="117"/>
      <c r="AW312" s="114"/>
      <c r="AX312" s="114"/>
      <c r="AY312" s="114"/>
      <c r="AZ312" s="114"/>
      <c r="BA312" s="114"/>
      <c r="BB312" s="114"/>
      <c r="BC312" s="114"/>
      <c r="BD312" s="114"/>
      <c r="BE312" s="114"/>
      <c r="BF312" s="114"/>
      <c r="BG312" s="114"/>
      <c r="BH312" s="114"/>
    </row>
    <row r="313" spans="47:60">
      <c r="AU313" s="111"/>
      <c r="AV313" s="111"/>
      <c r="AW313" s="111"/>
      <c r="AX313" s="111"/>
      <c r="AY313" s="111"/>
      <c r="AZ313" s="111"/>
      <c r="BA313" s="111"/>
      <c r="BB313" s="111"/>
      <c r="BC313" s="111"/>
      <c r="BD313" s="111"/>
      <c r="BE313" s="111"/>
      <c r="BF313" s="111"/>
      <c r="BG313" s="111"/>
      <c r="BH313" s="111"/>
    </row>
    <row r="314" spans="47:60">
      <c r="AU314" s="111"/>
      <c r="AV314" s="111"/>
      <c r="AW314" s="111"/>
      <c r="AX314" s="111"/>
      <c r="AY314" s="111"/>
      <c r="AZ314" s="111"/>
      <c r="BA314" s="111"/>
      <c r="BB314" s="111"/>
      <c r="BC314" s="111"/>
      <c r="BD314" s="111"/>
      <c r="BE314" s="111"/>
      <c r="BF314" s="111"/>
      <c r="BG314" s="111"/>
      <c r="BH314" s="111"/>
    </row>
    <row r="315" spans="47:60"/>
    <row r="316" spans="47:60"/>
    <row r="317" spans="47:60"/>
    <row r="318" spans="47:60"/>
    <row r="319" spans="47:60"/>
    <row r="320" spans="47:6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</sheetData>
  <mergeCells count="199">
    <mergeCell ref="L2:L3"/>
    <mergeCell ref="M2:P3"/>
    <mergeCell ref="L4:P9"/>
    <mergeCell ref="I6:J6"/>
    <mergeCell ref="A17:A18"/>
    <mergeCell ref="B17:B18"/>
    <mergeCell ref="C17:E18"/>
    <mergeCell ref="F17:F18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7:E97"/>
    <mergeCell ref="C98:E98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C110:E110"/>
    <mergeCell ref="C111:E111"/>
    <mergeCell ref="C112:E112"/>
    <mergeCell ref="C113:E113"/>
    <mergeCell ref="C114:E114"/>
    <mergeCell ref="C103:E103"/>
    <mergeCell ref="C104:E104"/>
    <mergeCell ref="C105:E105"/>
    <mergeCell ref="C106:E106"/>
    <mergeCell ref="C107:E107"/>
    <mergeCell ref="C108:E108"/>
    <mergeCell ref="C121:E121"/>
    <mergeCell ref="C122:E122"/>
    <mergeCell ref="C123:E123"/>
    <mergeCell ref="C124:E124"/>
    <mergeCell ref="C125:E125"/>
    <mergeCell ref="C126:E126"/>
    <mergeCell ref="C115:E115"/>
    <mergeCell ref="C116:E116"/>
    <mergeCell ref="C117:E117"/>
    <mergeCell ref="C118:E118"/>
    <mergeCell ref="C119:E119"/>
    <mergeCell ref="C120:E120"/>
    <mergeCell ref="C133:E133"/>
    <mergeCell ref="C134:E134"/>
    <mergeCell ref="C135:E135"/>
    <mergeCell ref="C136:E136"/>
    <mergeCell ref="C137:E137"/>
    <mergeCell ref="C138:E138"/>
    <mergeCell ref="C127:E127"/>
    <mergeCell ref="C128:E128"/>
    <mergeCell ref="C129:E129"/>
    <mergeCell ref="C130:E130"/>
    <mergeCell ref="C131:E131"/>
    <mergeCell ref="C132:E132"/>
    <mergeCell ref="C145:E145"/>
    <mergeCell ref="C146:E146"/>
    <mergeCell ref="C147:E147"/>
    <mergeCell ref="C148:E148"/>
    <mergeCell ref="C149:E149"/>
    <mergeCell ref="C150:E150"/>
    <mergeCell ref="C139:E139"/>
    <mergeCell ref="C140:E140"/>
    <mergeCell ref="C141:E141"/>
    <mergeCell ref="C142:E142"/>
    <mergeCell ref="C143:E143"/>
    <mergeCell ref="C144:E144"/>
    <mergeCell ref="C157:E157"/>
    <mergeCell ref="C158:E158"/>
    <mergeCell ref="C159:E159"/>
    <mergeCell ref="C160:E160"/>
    <mergeCell ref="C161:E161"/>
    <mergeCell ref="C162:E162"/>
    <mergeCell ref="C151:E151"/>
    <mergeCell ref="C152:E152"/>
    <mergeCell ref="C153:E153"/>
    <mergeCell ref="C154:E154"/>
    <mergeCell ref="C155:E155"/>
    <mergeCell ref="C156:E156"/>
    <mergeCell ref="C169:E169"/>
    <mergeCell ref="C170:E170"/>
    <mergeCell ref="C171:E171"/>
    <mergeCell ref="C172:E172"/>
    <mergeCell ref="C173:E173"/>
    <mergeCell ref="C174:E174"/>
    <mergeCell ref="C163:E163"/>
    <mergeCell ref="C164:E164"/>
    <mergeCell ref="C165:E165"/>
    <mergeCell ref="C166:E166"/>
    <mergeCell ref="C167:E167"/>
    <mergeCell ref="C168:E168"/>
    <mergeCell ref="C181:E181"/>
    <mergeCell ref="C182:E182"/>
    <mergeCell ref="C183:E183"/>
    <mergeCell ref="C184:E184"/>
    <mergeCell ref="C185:E185"/>
    <mergeCell ref="C186:E186"/>
    <mergeCell ref="C175:E175"/>
    <mergeCell ref="C176:E176"/>
    <mergeCell ref="C177:E177"/>
    <mergeCell ref="C178:E178"/>
    <mergeCell ref="C179:E179"/>
    <mergeCell ref="C180:E180"/>
    <mergeCell ref="C193:E193"/>
    <mergeCell ref="C194:E194"/>
    <mergeCell ref="C195:E195"/>
    <mergeCell ref="C196:E196"/>
    <mergeCell ref="C197:E197"/>
    <mergeCell ref="C198:E198"/>
    <mergeCell ref="C187:E187"/>
    <mergeCell ref="C188:E188"/>
    <mergeCell ref="C189:E189"/>
    <mergeCell ref="C190:E190"/>
    <mergeCell ref="C191:E191"/>
    <mergeCell ref="C192:E192"/>
    <mergeCell ref="A213:C213"/>
    <mergeCell ref="G213:H213"/>
    <mergeCell ref="I213:J213"/>
    <mergeCell ref="C199:E199"/>
    <mergeCell ref="C200:E200"/>
    <mergeCell ref="A205:C205"/>
    <mergeCell ref="D205:E205"/>
    <mergeCell ref="G205:H205"/>
    <mergeCell ref="I205:J205"/>
    <mergeCell ref="A201:I201"/>
    <mergeCell ref="A203:B203"/>
  </mergeCells>
  <conditionalFormatting sqref="I20:J20 I21:I200 J21">
    <cfRule type="containsErrors" dxfId="6" priority="7">
      <formula>ISERROR(I20)</formula>
    </cfRule>
  </conditionalFormatting>
  <conditionalFormatting sqref="J22:J110">
    <cfRule type="containsErrors" dxfId="5" priority="6">
      <formula>ISERROR(J22)</formula>
    </cfRule>
  </conditionalFormatting>
  <conditionalFormatting sqref="J111:J152">
    <cfRule type="containsErrors" dxfId="4" priority="5">
      <formula>ISERROR(J111)</formula>
    </cfRule>
  </conditionalFormatting>
  <conditionalFormatting sqref="J153">
    <cfRule type="containsErrors" dxfId="3" priority="4">
      <formula>ISERROR(J153)</formula>
    </cfRule>
  </conditionalFormatting>
  <conditionalFormatting sqref="J154:J199">
    <cfRule type="containsErrors" dxfId="2" priority="3">
      <formula>ISERROR(J154)</formula>
    </cfRule>
  </conditionalFormatting>
  <conditionalFormatting sqref="J200">
    <cfRule type="containsErrors" dxfId="1" priority="2">
      <formula>ISERROR(J200)</formula>
    </cfRule>
  </conditionalFormatting>
  <conditionalFormatting sqref="C14">
    <cfRule type="expression" dxfId="0" priority="1">
      <formula>$C$14=0</formula>
    </cfRule>
  </conditionalFormatting>
  <pageMargins left="0.24" right="0.2" top="0.16" bottom="0.24" header="0.16" footer="0.24"/>
  <pageSetup paperSize="9" scale="91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5" tint="-0.249977111117893"/>
    <pageSetUpPr fitToPage="1"/>
  </sheetPr>
  <dimension ref="A1:N2000"/>
  <sheetViews>
    <sheetView view="pageBreakPreview" zoomScale="85" zoomScaleNormal="85" zoomScaleSheetLayoutView="85" workbookViewId="0">
      <pane ySplit="7" topLeftCell="A8" activePane="bottomLeft" state="frozen"/>
      <selection pane="bottomLeft" activeCell="L2005" sqref="L2005"/>
    </sheetView>
  </sheetViews>
  <sheetFormatPr defaultColWidth="9.1328125" defaultRowHeight="24.95" customHeight="1"/>
  <cols>
    <col min="1" max="1" width="5.1328125" style="186" customWidth="1"/>
    <col min="2" max="2" width="10.73046875" style="186" bestFit="1" customWidth="1"/>
    <col min="3" max="3" width="54.86328125" style="191" customWidth="1"/>
    <col min="4" max="4" width="8.1328125" style="186" customWidth="1"/>
    <col min="5" max="6" width="13.73046875" style="188" customWidth="1"/>
    <col min="7" max="8" width="13.73046875" style="189" customWidth="1"/>
    <col min="9" max="9" width="12.265625" style="189" customWidth="1"/>
    <col min="10" max="10" width="16.59765625" style="189" customWidth="1"/>
    <col min="11" max="12" width="9.1328125" style="196"/>
    <col min="13" max="13" width="10.73046875" style="196" bestFit="1" customWidth="1"/>
    <col min="14" max="16384" width="9.1328125" style="196"/>
  </cols>
  <sheetData>
    <row r="1" spans="1:14" s="192" customFormat="1" ht="9.75" customHeight="1">
      <c r="A1" s="131"/>
      <c r="B1" s="131"/>
      <c r="C1" s="128"/>
      <c r="D1" s="131"/>
      <c r="E1" s="148"/>
      <c r="F1" s="148"/>
      <c r="G1" s="135"/>
      <c r="H1" s="135"/>
      <c r="I1" s="135"/>
      <c r="J1" s="135"/>
    </row>
    <row r="2" spans="1:14" s="192" customFormat="1" ht="79.5" customHeight="1">
      <c r="A2" s="131"/>
      <c r="B2" s="131"/>
      <c r="C2" s="128"/>
      <c r="D2" s="131"/>
      <c r="E2" s="148"/>
      <c r="F2" s="148"/>
      <c r="G2" s="135"/>
      <c r="H2" s="135"/>
      <c r="I2" s="135"/>
      <c r="J2" s="135"/>
      <c r="M2" s="193">
        <f ca="1">NOW()</f>
        <v>44825.391208912035</v>
      </c>
      <c r="N2" s="194" t="s">
        <v>173</v>
      </c>
    </row>
    <row r="3" spans="1:14" s="192" customFormat="1" ht="15" customHeight="1">
      <c r="A3" s="132"/>
      <c r="B3" s="133" t="s">
        <v>176</v>
      </c>
      <c r="C3" s="152">
        <v>44166</v>
      </c>
      <c r="D3" s="131"/>
      <c r="E3" s="148"/>
      <c r="F3" s="149"/>
      <c r="G3" s="134"/>
      <c r="H3" s="134"/>
      <c r="I3" s="135"/>
      <c r="J3" s="135"/>
      <c r="M3" s="193">
        <f ca="1">EOMONTH(M2,-1)+1</f>
        <v>44805</v>
      </c>
      <c r="N3" s="194" t="s">
        <v>174</v>
      </c>
    </row>
    <row r="4" spans="1:14" s="192" customFormat="1" ht="15" customHeight="1">
      <c r="A4" s="132"/>
      <c r="B4" s="133" t="s">
        <v>177</v>
      </c>
      <c r="C4" s="129">
        <v>44196</v>
      </c>
      <c r="D4" s="131"/>
      <c r="E4" s="148"/>
      <c r="F4" s="149"/>
      <c r="G4" s="134"/>
      <c r="H4" s="134"/>
      <c r="I4" s="135"/>
      <c r="J4" s="135"/>
      <c r="M4" s="193">
        <f ca="1">EOMONTH(M2,0)</f>
        <v>44834</v>
      </c>
      <c r="N4" s="194" t="s">
        <v>175</v>
      </c>
    </row>
    <row r="5" spans="1:14" s="192" customFormat="1" ht="15" customHeight="1">
      <c r="A5" s="132"/>
      <c r="B5" s="133" t="s">
        <v>178</v>
      </c>
      <c r="C5" s="130" t="s">
        <v>153</v>
      </c>
      <c r="D5" s="131"/>
      <c r="E5" s="148"/>
      <c r="F5" s="149"/>
      <c r="G5" s="134"/>
      <c r="H5" s="134"/>
      <c r="I5" s="135"/>
      <c r="J5" s="135"/>
      <c r="N5" s="194"/>
    </row>
    <row r="6" spans="1:14" s="194" customFormat="1" ht="8.25" customHeight="1">
      <c r="A6" s="131"/>
      <c r="B6" s="131"/>
      <c r="C6" s="128"/>
      <c r="D6" s="131"/>
      <c r="E6" s="148"/>
      <c r="F6" s="148"/>
      <c r="G6" s="135"/>
      <c r="H6" s="135"/>
      <c r="I6" s="135"/>
      <c r="J6" s="135"/>
    </row>
    <row r="7" spans="1:14" s="192" customFormat="1" ht="30" customHeight="1">
      <c r="A7" s="199" t="s">
        <v>23</v>
      </c>
      <c r="B7" s="199" t="s">
        <v>167</v>
      </c>
      <c r="C7" s="205" t="s">
        <v>168</v>
      </c>
      <c r="D7" s="199" t="s">
        <v>122</v>
      </c>
      <c r="E7" s="200" t="s">
        <v>180</v>
      </c>
      <c r="F7" s="200" t="s">
        <v>171</v>
      </c>
      <c r="G7" s="200" t="s">
        <v>170</v>
      </c>
      <c r="H7" s="200" t="s">
        <v>172</v>
      </c>
      <c r="I7" s="201" t="s">
        <v>169</v>
      </c>
      <c r="J7" s="127" t="s">
        <v>179</v>
      </c>
    </row>
    <row r="8" spans="1:14" s="195" customFormat="1" ht="24.95" customHeight="1">
      <c r="A8" s="202"/>
      <c r="B8" s="202"/>
      <c r="C8" s="203"/>
      <c r="D8" s="202"/>
      <c r="E8" s="204"/>
      <c r="F8" s="204"/>
      <c r="G8" s="204"/>
      <c r="H8" s="204"/>
      <c r="I8" s="144"/>
      <c r="J8" s="144"/>
    </row>
    <row r="9" spans="1:14" s="195" customFormat="1" ht="24.95" customHeight="1">
      <c r="A9" s="136"/>
      <c r="B9" s="136"/>
      <c r="C9" s="140"/>
      <c r="D9" s="136"/>
      <c r="E9" s="144"/>
      <c r="F9" s="144"/>
      <c r="G9" s="144"/>
      <c r="H9" s="144"/>
      <c r="I9" s="144"/>
      <c r="J9" s="144"/>
    </row>
    <row r="10" spans="1:14" s="195" customFormat="1" ht="24.95" customHeight="1">
      <c r="A10" s="136"/>
      <c r="B10" s="136"/>
      <c r="C10" s="140"/>
      <c r="D10" s="136"/>
      <c r="E10" s="144"/>
      <c r="F10" s="144"/>
      <c r="G10" s="144"/>
      <c r="H10" s="144"/>
      <c r="I10" s="144"/>
      <c r="J10" s="144"/>
    </row>
    <row r="11" spans="1:14" s="195" customFormat="1" ht="24.95" hidden="1" customHeight="1">
      <c r="A11" s="136"/>
      <c r="B11" s="136"/>
      <c r="C11" s="140"/>
      <c r="D11" s="136"/>
      <c r="E11" s="144"/>
      <c r="F11" s="144"/>
      <c r="G11" s="144"/>
      <c r="H11" s="144"/>
      <c r="I11" s="144"/>
      <c r="J11" s="144"/>
    </row>
    <row r="12" spans="1:14" s="195" customFormat="1" ht="24.95" hidden="1" customHeight="1">
      <c r="A12" s="136"/>
      <c r="B12" s="136"/>
      <c r="C12" s="140"/>
      <c r="D12" s="136"/>
      <c r="E12" s="144"/>
      <c r="F12" s="144"/>
      <c r="G12" s="144"/>
      <c r="H12" s="144"/>
      <c r="I12" s="144"/>
      <c r="J12" s="144"/>
    </row>
    <row r="13" spans="1:14" s="195" customFormat="1" ht="24.95" hidden="1" customHeight="1">
      <c r="A13" s="136"/>
      <c r="B13" s="136"/>
      <c r="C13" s="140"/>
      <c r="D13" s="136"/>
      <c r="E13" s="144"/>
      <c r="F13" s="144"/>
      <c r="G13" s="144"/>
      <c r="H13" s="144"/>
      <c r="I13" s="144"/>
      <c r="J13" s="144"/>
    </row>
    <row r="14" spans="1:14" s="195" customFormat="1" ht="24.95" hidden="1" customHeight="1">
      <c r="A14" s="136"/>
      <c r="B14" s="136"/>
      <c r="C14" s="140"/>
      <c r="D14" s="136"/>
      <c r="E14" s="144"/>
      <c r="F14" s="144"/>
      <c r="G14" s="144"/>
      <c r="H14" s="144"/>
      <c r="I14" s="144"/>
      <c r="J14" s="144"/>
    </row>
    <row r="15" spans="1:14" s="195" customFormat="1" ht="24.95" hidden="1" customHeight="1">
      <c r="A15" s="136"/>
      <c r="B15" s="136"/>
      <c r="C15" s="140"/>
      <c r="D15" s="136"/>
      <c r="E15" s="144"/>
      <c r="F15" s="144"/>
      <c r="G15" s="144"/>
      <c r="H15" s="144"/>
      <c r="I15" s="144"/>
      <c r="J15" s="144"/>
    </row>
    <row r="16" spans="1:14" s="195" customFormat="1" ht="24.95" hidden="1" customHeight="1">
      <c r="A16" s="136"/>
      <c r="B16" s="136"/>
      <c r="C16" s="140"/>
      <c r="D16" s="136"/>
      <c r="E16" s="144"/>
      <c r="F16" s="144"/>
      <c r="G16" s="144"/>
      <c r="H16" s="144"/>
      <c r="I16" s="144"/>
      <c r="J16" s="144"/>
    </row>
    <row r="17" spans="1:10" s="195" customFormat="1" ht="24.95" hidden="1" customHeight="1">
      <c r="A17" s="136"/>
      <c r="B17" s="136"/>
      <c r="C17" s="140"/>
      <c r="D17" s="136"/>
      <c r="E17" s="144"/>
      <c r="F17" s="144"/>
      <c r="G17" s="144"/>
      <c r="H17" s="144"/>
      <c r="I17" s="144"/>
      <c r="J17" s="144"/>
    </row>
    <row r="18" spans="1:10" s="195" customFormat="1" ht="24.95" hidden="1" customHeight="1">
      <c r="A18" s="136"/>
      <c r="B18" s="136"/>
      <c r="C18" s="140"/>
      <c r="D18" s="136"/>
      <c r="E18" s="144"/>
      <c r="F18" s="144"/>
      <c r="G18" s="144"/>
      <c r="H18" s="144"/>
      <c r="I18" s="144"/>
      <c r="J18" s="144"/>
    </row>
    <row r="19" spans="1:10" s="195" customFormat="1" ht="24.95" hidden="1" customHeight="1">
      <c r="A19" s="136"/>
      <c r="B19" s="136"/>
      <c r="C19" s="140"/>
      <c r="D19" s="136"/>
      <c r="E19" s="144"/>
      <c r="F19" s="144"/>
      <c r="G19" s="144"/>
      <c r="H19" s="144"/>
      <c r="I19" s="144"/>
      <c r="J19" s="144"/>
    </row>
    <row r="20" spans="1:10" s="195" customFormat="1" ht="24.95" hidden="1" customHeight="1">
      <c r="A20" s="136"/>
      <c r="B20" s="136"/>
      <c r="C20" s="140"/>
      <c r="D20" s="136"/>
      <c r="E20" s="144"/>
      <c r="F20" s="144"/>
      <c r="G20" s="144"/>
      <c r="H20" s="144"/>
      <c r="I20" s="144"/>
      <c r="J20" s="144"/>
    </row>
    <row r="21" spans="1:10" s="195" customFormat="1" ht="24.95" hidden="1" customHeight="1">
      <c r="A21" s="136"/>
      <c r="B21" s="136"/>
      <c r="C21" s="140"/>
      <c r="D21" s="136"/>
      <c r="E21" s="144"/>
      <c r="F21" s="144"/>
      <c r="G21" s="144"/>
      <c r="H21" s="144"/>
      <c r="I21" s="144"/>
      <c r="J21" s="144"/>
    </row>
    <row r="22" spans="1:10" s="195" customFormat="1" ht="24.95" hidden="1" customHeight="1">
      <c r="A22" s="136"/>
      <c r="B22" s="136"/>
      <c r="C22" s="140"/>
      <c r="D22" s="136"/>
      <c r="E22" s="144"/>
      <c r="F22" s="144"/>
      <c r="G22" s="144"/>
      <c r="H22" s="144"/>
      <c r="I22" s="144"/>
      <c r="J22" s="144"/>
    </row>
    <row r="23" spans="1:10" s="195" customFormat="1" ht="24.95" hidden="1" customHeight="1">
      <c r="A23" s="136"/>
      <c r="B23" s="136"/>
      <c r="C23" s="140"/>
      <c r="D23" s="136"/>
      <c r="E23" s="144"/>
      <c r="F23" s="144"/>
      <c r="G23" s="144"/>
      <c r="H23" s="144"/>
      <c r="I23" s="144"/>
      <c r="J23" s="144"/>
    </row>
    <row r="24" spans="1:10" s="195" customFormat="1" ht="24.95" hidden="1" customHeight="1">
      <c r="A24" s="136"/>
      <c r="B24" s="136"/>
      <c r="C24" s="140"/>
      <c r="D24" s="136"/>
      <c r="E24" s="144"/>
      <c r="F24" s="144"/>
      <c r="G24" s="144"/>
      <c r="H24" s="144"/>
      <c r="I24" s="144"/>
      <c r="J24" s="144"/>
    </row>
    <row r="25" spans="1:10" s="195" customFormat="1" ht="24.95" hidden="1" customHeight="1">
      <c r="A25" s="136"/>
      <c r="B25" s="136"/>
      <c r="C25" s="140"/>
      <c r="D25" s="136"/>
      <c r="E25" s="144"/>
      <c r="F25" s="144"/>
      <c r="G25" s="144"/>
      <c r="H25" s="144"/>
      <c r="I25" s="144"/>
      <c r="J25" s="144"/>
    </row>
    <row r="26" spans="1:10" s="195" customFormat="1" ht="24.95" hidden="1" customHeight="1">
      <c r="A26" s="136"/>
      <c r="B26" s="136"/>
      <c r="C26" s="140"/>
      <c r="D26" s="136"/>
      <c r="E26" s="144"/>
      <c r="F26" s="144"/>
      <c r="G26" s="144"/>
      <c r="H26" s="144"/>
      <c r="I26" s="144"/>
      <c r="J26" s="144"/>
    </row>
    <row r="27" spans="1:10" s="195" customFormat="1" ht="24.95" hidden="1" customHeight="1">
      <c r="A27" s="136"/>
      <c r="B27" s="136"/>
      <c r="C27" s="140"/>
      <c r="D27" s="136"/>
      <c r="E27" s="144"/>
      <c r="F27" s="144"/>
      <c r="G27" s="144"/>
      <c r="H27" s="144"/>
      <c r="I27" s="144"/>
      <c r="J27" s="144"/>
    </row>
    <row r="28" spans="1:10" s="195" customFormat="1" ht="24.95" hidden="1" customHeight="1">
      <c r="A28" s="136"/>
      <c r="B28" s="136"/>
      <c r="C28" s="140"/>
      <c r="D28" s="136"/>
      <c r="E28" s="144"/>
      <c r="F28" s="144"/>
      <c r="G28" s="144"/>
      <c r="H28" s="144"/>
      <c r="I28" s="144"/>
      <c r="J28" s="144"/>
    </row>
    <row r="29" spans="1:10" s="195" customFormat="1" ht="24.95" hidden="1" customHeight="1">
      <c r="A29" s="141"/>
      <c r="B29" s="141"/>
      <c r="C29" s="142"/>
      <c r="D29" s="141"/>
      <c r="E29" s="150"/>
      <c r="F29" s="150"/>
      <c r="G29" s="145"/>
      <c r="H29" s="145"/>
      <c r="I29" s="145"/>
      <c r="J29" s="145"/>
    </row>
    <row r="30" spans="1:10" s="195" customFormat="1" ht="24.95" hidden="1" customHeight="1">
      <c r="A30" s="141"/>
      <c r="B30" s="141"/>
      <c r="C30" s="142"/>
      <c r="D30" s="141"/>
      <c r="E30" s="150"/>
      <c r="F30" s="150"/>
      <c r="G30" s="145"/>
      <c r="H30" s="145"/>
      <c r="I30" s="145"/>
      <c r="J30" s="145"/>
    </row>
    <row r="31" spans="1:10" s="195" customFormat="1" ht="24.95" hidden="1" customHeight="1">
      <c r="A31" s="141"/>
      <c r="B31" s="141"/>
      <c r="C31" s="142"/>
      <c r="D31" s="141"/>
      <c r="E31" s="150"/>
      <c r="F31" s="150"/>
      <c r="G31" s="145"/>
      <c r="H31" s="145"/>
      <c r="I31" s="145"/>
      <c r="J31" s="145"/>
    </row>
    <row r="32" spans="1:10" s="195" customFormat="1" ht="24.95" hidden="1" customHeight="1">
      <c r="A32" s="141"/>
      <c r="B32" s="141"/>
      <c r="C32" s="142"/>
      <c r="D32" s="141"/>
      <c r="E32" s="150"/>
      <c r="F32" s="150"/>
      <c r="G32" s="145"/>
      <c r="H32" s="145"/>
      <c r="I32" s="145"/>
      <c r="J32" s="145"/>
    </row>
    <row r="33" spans="1:10" s="195" customFormat="1" ht="24.95" hidden="1" customHeight="1">
      <c r="A33" s="141"/>
      <c r="B33" s="141"/>
      <c r="C33" s="142"/>
      <c r="D33" s="141"/>
      <c r="E33" s="150"/>
      <c r="F33" s="150"/>
      <c r="G33" s="145"/>
      <c r="H33" s="145"/>
      <c r="I33" s="145"/>
      <c r="J33" s="145"/>
    </row>
    <row r="34" spans="1:10" s="195" customFormat="1" ht="24.95" hidden="1" customHeight="1">
      <c r="A34" s="141"/>
      <c r="B34" s="141"/>
      <c r="C34" s="142"/>
      <c r="D34" s="141"/>
      <c r="E34" s="150"/>
      <c r="F34" s="150"/>
      <c r="G34" s="145"/>
      <c r="H34" s="145"/>
      <c r="I34" s="145"/>
      <c r="J34" s="145"/>
    </row>
    <row r="35" spans="1:10" s="195" customFormat="1" ht="24.95" hidden="1" customHeight="1">
      <c r="A35" s="141"/>
      <c r="B35" s="141"/>
      <c r="C35" s="142"/>
      <c r="D35" s="141"/>
      <c r="E35" s="150"/>
      <c r="F35" s="150"/>
      <c r="G35" s="145"/>
      <c r="H35" s="145"/>
      <c r="I35" s="145"/>
      <c r="J35" s="145"/>
    </row>
    <row r="36" spans="1:10" s="195" customFormat="1" ht="24.95" hidden="1" customHeight="1">
      <c r="A36" s="141"/>
      <c r="B36" s="141"/>
      <c r="C36" s="142"/>
      <c r="D36" s="141"/>
      <c r="E36" s="150"/>
      <c r="F36" s="150"/>
      <c r="G36" s="145"/>
      <c r="H36" s="145"/>
      <c r="I36" s="145"/>
      <c r="J36" s="145"/>
    </row>
    <row r="37" spans="1:10" s="195" customFormat="1" ht="24.95" hidden="1" customHeight="1">
      <c r="A37" s="141"/>
      <c r="B37" s="141"/>
      <c r="C37" s="142"/>
      <c r="D37" s="141"/>
      <c r="E37" s="150"/>
      <c r="F37" s="150"/>
      <c r="G37" s="145"/>
      <c r="H37" s="145"/>
      <c r="I37" s="145"/>
      <c r="J37" s="145"/>
    </row>
    <row r="38" spans="1:10" s="195" customFormat="1" ht="24.95" hidden="1" customHeight="1">
      <c r="A38" s="141"/>
      <c r="B38" s="141"/>
      <c r="C38" s="142"/>
      <c r="D38" s="141"/>
      <c r="E38" s="150"/>
      <c r="F38" s="150"/>
      <c r="G38" s="145"/>
      <c r="H38" s="145"/>
      <c r="I38" s="145"/>
      <c r="J38" s="145"/>
    </row>
    <row r="39" spans="1:10" s="195" customFormat="1" ht="24.95" hidden="1" customHeight="1">
      <c r="A39" s="141"/>
      <c r="B39" s="141"/>
      <c r="C39" s="142"/>
      <c r="D39" s="141"/>
      <c r="E39" s="150"/>
      <c r="F39" s="150"/>
      <c r="G39" s="145"/>
      <c r="H39" s="145"/>
      <c r="I39" s="145"/>
      <c r="J39" s="145"/>
    </row>
    <row r="40" spans="1:10" s="195" customFormat="1" ht="24.95" hidden="1" customHeight="1">
      <c r="A40" s="141"/>
      <c r="B40" s="141"/>
      <c r="C40" s="142"/>
      <c r="D40" s="141"/>
      <c r="E40" s="150"/>
      <c r="F40" s="150"/>
      <c r="G40" s="145"/>
      <c r="H40" s="145"/>
      <c r="I40" s="145"/>
      <c r="J40" s="145"/>
    </row>
    <row r="41" spans="1:10" s="195" customFormat="1" ht="24.95" hidden="1" customHeight="1">
      <c r="A41" s="141"/>
      <c r="B41" s="141"/>
      <c r="C41" s="142"/>
      <c r="D41" s="141"/>
      <c r="E41" s="150"/>
      <c r="F41" s="150"/>
      <c r="G41" s="145"/>
      <c r="H41" s="145"/>
      <c r="I41" s="145"/>
      <c r="J41" s="145"/>
    </row>
    <row r="42" spans="1:10" s="195" customFormat="1" ht="24.95" hidden="1" customHeight="1">
      <c r="A42" s="141"/>
      <c r="B42" s="141"/>
      <c r="C42" s="142"/>
      <c r="D42" s="141"/>
      <c r="E42" s="150"/>
      <c r="F42" s="150"/>
      <c r="G42" s="145"/>
      <c r="H42" s="145"/>
      <c r="I42" s="145"/>
      <c r="J42" s="145"/>
    </row>
    <row r="43" spans="1:10" s="195" customFormat="1" ht="24.95" hidden="1" customHeight="1">
      <c r="A43" s="141"/>
      <c r="B43" s="141"/>
      <c r="C43" s="142"/>
      <c r="D43" s="141"/>
      <c r="E43" s="150"/>
      <c r="F43" s="150"/>
      <c r="G43" s="145"/>
      <c r="H43" s="145"/>
      <c r="I43" s="145"/>
      <c r="J43" s="145"/>
    </row>
    <row r="44" spans="1:10" s="195" customFormat="1" ht="24.95" hidden="1" customHeight="1">
      <c r="A44" s="141"/>
      <c r="B44" s="141"/>
      <c r="C44" s="142"/>
      <c r="D44" s="141"/>
      <c r="E44" s="150"/>
      <c r="F44" s="150"/>
      <c r="G44" s="145"/>
      <c r="H44" s="145"/>
      <c r="I44" s="145"/>
      <c r="J44" s="145"/>
    </row>
    <row r="45" spans="1:10" s="195" customFormat="1" ht="24.95" hidden="1" customHeight="1">
      <c r="A45" s="141"/>
      <c r="B45" s="141"/>
      <c r="C45" s="142"/>
      <c r="D45" s="141"/>
      <c r="E45" s="150"/>
      <c r="F45" s="150"/>
      <c r="G45" s="145"/>
      <c r="H45" s="145"/>
      <c r="I45" s="145"/>
      <c r="J45" s="145"/>
    </row>
    <row r="46" spans="1:10" s="195" customFormat="1" ht="24.95" hidden="1" customHeight="1">
      <c r="A46" s="141"/>
      <c r="B46" s="141"/>
      <c r="C46" s="142"/>
      <c r="D46" s="141"/>
      <c r="E46" s="150"/>
      <c r="F46" s="150"/>
      <c r="G46" s="145"/>
      <c r="H46" s="145"/>
      <c r="I46" s="145"/>
      <c r="J46" s="145"/>
    </row>
    <row r="47" spans="1:10" s="195" customFormat="1" ht="24.95" hidden="1" customHeight="1">
      <c r="A47" s="141"/>
      <c r="B47" s="141"/>
      <c r="C47" s="142"/>
      <c r="D47" s="141"/>
      <c r="E47" s="150"/>
      <c r="F47" s="150"/>
      <c r="G47" s="145"/>
      <c r="H47" s="145"/>
      <c r="I47" s="145"/>
      <c r="J47" s="145"/>
    </row>
    <row r="48" spans="1:10" s="195" customFormat="1" ht="24.95" hidden="1" customHeight="1">
      <c r="A48" s="141"/>
      <c r="B48" s="141"/>
      <c r="C48" s="142"/>
      <c r="D48" s="141"/>
      <c r="E48" s="150"/>
      <c r="F48" s="150"/>
      <c r="G48" s="145"/>
      <c r="H48" s="145"/>
      <c r="I48" s="145"/>
      <c r="J48" s="145"/>
    </row>
    <row r="49" spans="1:10" s="195" customFormat="1" ht="24.95" hidden="1" customHeight="1">
      <c r="A49" s="141"/>
      <c r="B49" s="141"/>
      <c r="C49" s="142"/>
      <c r="D49" s="141"/>
      <c r="E49" s="150"/>
      <c r="F49" s="150"/>
      <c r="G49" s="145"/>
      <c r="H49" s="145"/>
      <c r="I49" s="145"/>
      <c r="J49" s="145"/>
    </row>
    <row r="50" spans="1:10" s="195" customFormat="1" ht="24.95" hidden="1" customHeight="1">
      <c r="A50" s="141"/>
      <c r="B50" s="141"/>
      <c r="C50" s="142"/>
      <c r="D50" s="141"/>
      <c r="E50" s="150"/>
      <c r="F50" s="150"/>
      <c r="G50" s="145"/>
      <c r="H50" s="145"/>
      <c r="I50" s="145"/>
      <c r="J50" s="145"/>
    </row>
    <row r="51" spans="1:10" s="195" customFormat="1" ht="24.95" hidden="1" customHeight="1">
      <c r="A51" s="141"/>
      <c r="B51" s="141"/>
      <c r="C51" s="142"/>
      <c r="D51" s="141"/>
      <c r="E51" s="150"/>
      <c r="F51" s="150"/>
      <c r="G51" s="145"/>
      <c r="H51" s="145"/>
      <c r="I51" s="145"/>
      <c r="J51" s="145"/>
    </row>
    <row r="52" spans="1:10" s="195" customFormat="1" ht="24.95" hidden="1" customHeight="1">
      <c r="A52" s="141"/>
      <c r="B52" s="141"/>
      <c r="C52" s="142"/>
      <c r="D52" s="141"/>
      <c r="E52" s="150"/>
      <c r="F52" s="150"/>
      <c r="G52" s="145"/>
      <c r="H52" s="145"/>
      <c r="I52" s="145"/>
      <c r="J52" s="145"/>
    </row>
    <row r="53" spans="1:10" s="195" customFormat="1" ht="24.95" hidden="1" customHeight="1">
      <c r="A53" s="141"/>
      <c r="B53" s="141"/>
      <c r="C53" s="142"/>
      <c r="D53" s="141"/>
      <c r="E53" s="150"/>
      <c r="F53" s="150"/>
      <c r="G53" s="145"/>
      <c r="H53" s="145"/>
      <c r="I53" s="145"/>
      <c r="J53" s="145"/>
    </row>
    <row r="54" spans="1:10" s="195" customFormat="1" ht="24.95" hidden="1" customHeight="1">
      <c r="A54" s="141"/>
      <c r="B54" s="141"/>
      <c r="C54" s="142"/>
      <c r="D54" s="141"/>
      <c r="E54" s="150"/>
      <c r="F54" s="150"/>
      <c r="G54" s="145"/>
      <c r="H54" s="145"/>
      <c r="I54" s="145"/>
      <c r="J54" s="145"/>
    </row>
    <row r="55" spans="1:10" s="195" customFormat="1" ht="24.95" hidden="1" customHeight="1">
      <c r="A55" s="141"/>
      <c r="B55" s="141"/>
      <c r="C55" s="142"/>
      <c r="D55" s="141"/>
      <c r="E55" s="150"/>
      <c r="F55" s="150"/>
      <c r="G55" s="145"/>
      <c r="H55" s="145"/>
      <c r="I55" s="145"/>
      <c r="J55" s="145"/>
    </row>
    <row r="56" spans="1:10" s="195" customFormat="1" ht="24.95" hidden="1" customHeight="1">
      <c r="A56" s="141"/>
      <c r="B56" s="141"/>
      <c r="C56" s="142"/>
      <c r="D56" s="141"/>
      <c r="E56" s="150"/>
      <c r="F56" s="150"/>
      <c r="G56" s="145"/>
      <c r="H56" s="145"/>
      <c r="I56" s="145"/>
      <c r="J56" s="145"/>
    </row>
    <row r="57" spans="1:10" s="195" customFormat="1" ht="24.95" hidden="1" customHeight="1">
      <c r="A57" s="141"/>
      <c r="B57" s="141"/>
      <c r="C57" s="142"/>
      <c r="D57" s="141"/>
      <c r="E57" s="150"/>
      <c r="F57" s="150"/>
      <c r="G57" s="145"/>
      <c r="H57" s="145"/>
      <c r="I57" s="145"/>
      <c r="J57" s="145"/>
    </row>
    <row r="58" spans="1:10" s="195" customFormat="1" ht="24.95" hidden="1" customHeight="1">
      <c r="A58" s="141"/>
      <c r="B58" s="141"/>
      <c r="C58" s="142"/>
      <c r="D58" s="141"/>
      <c r="E58" s="150"/>
      <c r="F58" s="150"/>
      <c r="G58" s="145"/>
      <c r="H58" s="145"/>
      <c r="I58" s="145"/>
      <c r="J58" s="145"/>
    </row>
    <row r="59" spans="1:10" s="195" customFormat="1" ht="24.95" hidden="1" customHeight="1">
      <c r="A59" s="141"/>
      <c r="B59" s="141"/>
      <c r="C59" s="142"/>
      <c r="D59" s="141"/>
      <c r="E59" s="150"/>
      <c r="F59" s="150"/>
      <c r="G59" s="145"/>
      <c r="H59" s="145"/>
      <c r="I59" s="145"/>
      <c r="J59" s="145"/>
    </row>
    <row r="60" spans="1:10" s="195" customFormat="1" ht="24.95" hidden="1" customHeight="1">
      <c r="A60" s="141"/>
      <c r="B60" s="141"/>
      <c r="C60" s="142"/>
      <c r="D60" s="141"/>
      <c r="E60" s="150"/>
      <c r="F60" s="150"/>
      <c r="G60" s="145"/>
      <c r="H60" s="145"/>
      <c r="I60" s="145"/>
      <c r="J60" s="145"/>
    </row>
    <row r="61" spans="1:10" s="195" customFormat="1" ht="24.95" hidden="1" customHeight="1">
      <c r="A61" s="141"/>
      <c r="B61" s="141"/>
      <c r="C61" s="142"/>
      <c r="D61" s="141"/>
      <c r="E61" s="150"/>
      <c r="F61" s="150"/>
      <c r="G61" s="145"/>
      <c r="H61" s="145"/>
      <c r="I61" s="145"/>
      <c r="J61" s="145"/>
    </row>
    <row r="62" spans="1:10" s="195" customFormat="1" ht="24.95" hidden="1" customHeight="1">
      <c r="A62" s="141"/>
      <c r="B62" s="141"/>
      <c r="C62" s="142"/>
      <c r="D62" s="141"/>
      <c r="E62" s="150"/>
      <c r="F62" s="150"/>
      <c r="G62" s="145"/>
      <c r="H62" s="145"/>
      <c r="I62" s="145"/>
      <c r="J62" s="145"/>
    </row>
    <row r="63" spans="1:10" s="195" customFormat="1" ht="24.95" hidden="1" customHeight="1">
      <c r="A63" s="141"/>
      <c r="B63" s="141"/>
      <c r="C63" s="142"/>
      <c r="D63" s="141"/>
      <c r="E63" s="150"/>
      <c r="F63" s="150"/>
      <c r="G63" s="145"/>
      <c r="H63" s="145"/>
      <c r="I63" s="145"/>
      <c r="J63" s="145"/>
    </row>
    <row r="64" spans="1:10" s="195" customFormat="1" ht="24.95" hidden="1" customHeight="1">
      <c r="A64" s="141"/>
      <c r="B64" s="141"/>
      <c r="C64" s="142"/>
      <c r="D64" s="141"/>
      <c r="E64" s="150"/>
      <c r="F64" s="150"/>
      <c r="G64" s="145"/>
      <c r="H64" s="145"/>
      <c r="I64" s="145"/>
      <c r="J64" s="145"/>
    </row>
    <row r="65" spans="1:10" s="195" customFormat="1" ht="24.95" hidden="1" customHeight="1">
      <c r="A65" s="141"/>
      <c r="B65" s="141"/>
      <c r="C65" s="142"/>
      <c r="D65" s="141"/>
      <c r="E65" s="150"/>
      <c r="F65" s="150"/>
      <c r="G65" s="145"/>
      <c r="H65" s="145"/>
      <c r="I65" s="145"/>
      <c r="J65" s="145"/>
    </row>
    <row r="66" spans="1:10" s="195" customFormat="1" ht="24.95" hidden="1" customHeight="1">
      <c r="A66" s="141"/>
      <c r="B66" s="141"/>
      <c r="C66" s="142"/>
      <c r="D66" s="141"/>
      <c r="E66" s="150"/>
      <c r="F66" s="150"/>
      <c r="G66" s="145"/>
      <c r="H66" s="145"/>
      <c r="I66" s="145"/>
      <c r="J66" s="145"/>
    </row>
    <row r="67" spans="1:10" s="195" customFormat="1" ht="24.95" hidden="1" customHeight="1">
      <c r="A67" s="141"/>
      <c r="B67" s="141"/>
      <c r="C67" s="142"/>
      <c r="D67" s="141"/>
      <c r="E67" s="150"/>
      <c r="F67" s="150"/>
      <c r="G67" s="145"/>
      <c r="H67" s="145"/>
      <c r="I67" s="145"/>
      <c r="J67" s="145"/>
    </row>
    <row r="68" spans="1:10" s="195" customFormat="1" ht="24.95" hidden="1" customHeight="1">
      <c r="A68" s="141"/>
      <c r="B68" s="141"/>
      <c r="C68" s="142"/>
      <c r="D68" s="141"/>
      <c r="E68" s="150"/>
      <c r="F68" s="150"/>
      <c r="G68" s="145"/>
      <c r="H68" s="145"/>
      <c r="I68" s="145"/>
      <c r="J68" s="145"/>
    </row>
    <row r="69" spans="1:10" s="195" customFormat="1" ht="24.95" hidden="1" customHeight="1">
      <c r="A69" s="141"/>
      <c r="B69" s="141"/>
      <c r="C69" s="142"/>
      <c r="D69" s="141"/>
      <c r="E69" s="150"/>
      <c r="F69" s="150"/>
      <c r="G69" s="145"/>
      <c r="H69" s="145"/>
      <c r="I69" s="145"/>
      <c r="J69" s="145"/>
    </row>
    <row r="70" spans="1:10" s="195" customFormat="1" ht="24.95" hidden="1" customHeight="1">
      <c r="A70" s="141"/>
      <c r="B70" s="141"/>
      <c r="C70" s="142"/>
      <c r="D70" s="141"/>
      <c r="E70" s="150"/>
      <c r="F70" s="150"/>
      <c r="G70" s="145"/>
      <c r="H70" s="145"/>
      <c r="I70" s="145"/>
      <c r="J70" s="145"/>
    </row>
    <row r="71" spans="1:10" s="195" customFormat="1" ht="24.95" hidden="1" customHeight="1">
      <c r="A71" s="141"/>
      <c r="B71" s="141"/>
      <c r="C71" s="142"/>
      <c r="D71" s="141"/>
      <c r="E71" s="150"/>
      <c r="F71" s="150"/>
      <c r="G71" s="145"/>
      <c r="H71" s="145"/>
      <c r="I71" s="145"/>
      <c r="J71" s="145"/>
    </row>
    <row r="72" spans="1:10" s="195" customFormat="1" ht="24.95" hidden="1" customHeight="1">
      <c r="A72" s="141"/>
      <c r="B72" s="141"/>
      <c r="C72" s="142"/>
      <c r="D72" s="141"/>
      <c r="E72" s="150"/>
      <c r="F72" s="150"/>
      <c r="G72" s="145"/>
      <c r="H72" s="145"/>
      <c r="I72" s="145"/>
      <c r="J72" s="145"/>
    </row>
    <row r="73" spans="1:10" s="195" customFormat="1" ht="24.95" hidden="1" customHeight="1">
      <c r="A73" s="141"/>
      <c r="B73" s="141"/>
      <c r="C73" s="142"/>
      <c r="D73" s="141"/>
      <c r="E73" s="150"/>
      <c r="F73" s="150"/>
      <c r="G73" s="145"/>
      <c r="H73" s="145"/>
      <c r="I73" s="145"/>
      <c r="J73" s="145"/>
    </row>
    <row r="74" spans="1:10" s="195" customFormat="1" ht="24.95" hidden="1" customHeight="1">
      <c r="A74" s="141"/>
      <c r="B74" s="141"/>
      <c r="C74" s="142"/>
      <c r="D74" s="141"/>
      <c r="E74" s="150"/>
      <c r="F74" s="150"/>
      <c r="G74" s="145"/>
      <c r="H74" s="145"/>
      <c r="I74" s="145"/>
      <c r="J74" s="145"/>
    </row>
    <row r="75" spans="1:10" s="195" customFormat="1" ht="24.95" hidden="1" customHeight="1">
      <c r="A75" s="141"/>
      <c r="B75" s="141"/>
      <c r="C75" s="142"/>
      <c r="D75" s="141"/>
      <c r="E75" s="150"/>
      <c r="F75" s="150"/>
      <c r="G75" s="145"/>
      <c r="H75" s="145"/>
      <c r="I75" s="145"/>
      <c r="J75" s="145"/>
    </row>
    <row r="76" spans="1:10" s="195" customFormat="1" ht="24.95" hidden="1" customHeight="1">
      <c r="A76" s="141"/>
      <c r="B76" s="141"/>
      <c r="C76" s="142"/>
      <c r="D76" s="141"/>
      <c r="E76" s="150"/>
      <c r="F76" s="150"/>
      <c r="G76" s="145"/>
      <c r="H76" s="145"/>
      <c r="I76" s="145"/>
      <c r="J76" s="145"/>
    </row>
    <row r="77" spans="1:10" s="195" customFormat="1" ht="24.95" hidden="1" customHeight="1">
      <c r="A77" s="141"/>
      <c r="B77" s="141"/>
      <c r="C77" s="142"/>
      <c r="D77" s="141"/>
      <c r="E77" s="150"/>
      <c r="F77" s="150"/>
      <c r="G77" s="145"/>
      <c r="H77" s="145"/>
      <c r="I77" s="145"/>
      <c r="J77" s="145"/>
    </row>
    <row r="78" spans="1:10" s="195" customFormat="1" ht="24.95" hidden="1" customHeight="1">
      <c r="A78" s="141"/>
      <c r="B78" s="141"/>
      <c r="C78" s="142"/>
      <c r="D78" s="141"/>
      <c r="E78" s="150"/>
      <c r="F78" s="150"/>
      <c r="G78" s="145"/>
      <c r="H78" s="145"/>
      <c r="I78" s="145"/>
      <c r="J78" s="145"/>
    </row>
    <row r="79" spans="1:10" s="195" customFormat="1" ht="24.95" hidden="1" customHeight="1">
      <c r="A79" s="141"/>
      <c r="B79" s="141"/>
      <c r="C79" s="142"/>
      <c r="D79" s="141"/>
      <c r="E79" s="150"/>
      <c r="F79" s="150"/>
      <c r="G79" s="145"/>
      <c r="H79" s="145"/>
      <c r="I79" s="145"/>
      <c r="J79" s="145"/>
    </row>
    <row r="80" spans="1:10" s="195" customFormat="1" ht="24.95" hidden="1" customHeight="1">
      <c r="A80" s="141"/>
      <c r="B80" s="141"/>
      <c r="C80" s="142"/>
      <c r="D80" s="141"/>
      <c r="E80" s="150"/>
      <c r="F80" s="150"/>
      <c r="G80" s="145"/>
      <c r="H80" s="145"/>
      <c r="I80" s="145"/>
      <c r="J80" s="145"/>
    </row>
    <row r="81" spans="1:10" s="195" customFormat="1" ht="24.95" hidden="1" customHeight="1">
      <c r="A81" s="141"/>
      <c r="B81" s="141"/>
      <c r="C81" s="142"/>
      <c r="D81" s="141"/>
      <c r="E81" s="150"/>
      <c r="F81" s="150"/>
      <c r="G81" s="145"/>
      <c r="H81" s="145"/>
      <c r="I81" s="145"/>
      <c r="J81" s="145"/>
    </row>
    <row r="82" spans="1:10" s="195" customFormat="1" ht="24.95" hidden="1" customHeight="1">
      <c r="A82" s="141"/>
      <c r="B82" s="141"/>
      <c r="C82" s="142"/>
      <c r="D82" s="141"/>
      <c r="E82" s="150"/>
      <c r="F82" s="150"/>
      <c r="G82" s="145"/>
      <c r="H82" s="145"/>
      <c r="I82" s="145"/>
      <c r="J82" s="145"/>
    </row>
    <row r="83" spans="1:10" s="195" customFormat="1" ht="24.95" hidden="1" customHeight="1">
      <c r="A83" s="141"/>
      <c r="B83" s="141"/>
      <c r="C83" s="142"/>
      <c r="D83" s="141"/>
      <c r="E83" s="150"/>
      <c r="F83" s="150"/>
      <c r="G83" s="145"/>
      <c r="H83" s="145"/>
      <c r="I83" s="145"/>
      <c r="J83" s="145"/>
    </row>
    <row r="84" spans="1:10" s="195" customFormat="1" ht="24.95" hidden="1" customHeight="1">
      <c r="A84" s="141"/>
      <c r="B84" s="141"/>
      <c r="C84" s="142"/>
      <c r="D84" s="141"/>
      <c r="E84" s="150"/>
      <c r="F84" s="150"/>
      <c r="G84" s="145"/>
      <c r="H84" s="145"/>
      <c r="I84" s="145"/>
      <c r="J84" s="145"/>
    </row>
    <row r="85" spans="1:10" s="195" customFormat="1" ht="24.95" hidden="1" customHeight="1">
      <c r="A85" s="141"/>
      <c r="B85" s="141"/>
      <c r="C85" s="142"/>
      <c r="D85" s="141"/>
      <c r="E85" s="150"/>
      <c r="F85" s="150"/>
      <c r="G85" s="145"/>
      <c r="H85" s="145"/>
      <c r="I85" s="145"/>
      <c r="J85" s="145"/>
    </row>
    <row r="86" spans="1:10" s="195" customFormat="1" ht="24.95" hidden="1" customHeight="1">
      <c r="A86" s="141"/>
      <c r="B86" s="141"/>
      <c r="C86" s="142"/>
      <c r="D86" s="141"/>
      <c r="E86" s="150"/>
      <c r="F86" s="150"/>
      <c r="G86" s="145"/>
      <c r="H86" s="145"/>
      <c r="I86" s="145"/>
      <c r="J86" s="145"/>
    </row>
    <row r="87" spans="1:10" s="195" customFormat="1" ht="24.95" hidden="1" customHeight="1">
      <c r="A87" s="141"/>
      <c r="B87" s="141"/>
      <c r="C87" s="142"/>
      <c r="D87" s="141"/>
      <c r="E87" s="150"/>
      <c r="F87" s="150"/>
      <c r="G87" s="145"/>
      <c r="H87" s="145"/>
      <c r="I87" s="145"/>
      <c r="J87" s="145"/>
    </row>
    <row r="88" spans="1:10" s="195" customFormat="1" ht="24.95" hidden="1" customHeight="1">
      <c r="A88" s="141"/>
      <c r="B88" s="141"/>
      <c r="C88" s="142"/>
      <c r="D88" s="141"/>
      <c r="E88" s="150"/>
      <c r="F88" s="150"/>
      <c r="G88" s="145"/>
      <c r="H88" s="145"/>
      <c r="I88" s="145"/>
      <c r="J88" s="145"/>
    </row>
    <row r="89" spans="1:10" s="195" customFormat="1" ht="24.95" hidden="1" customHeight="1">
      <c r="A89" s="141"/>
      <c r="B89" s="141"/>
      <c r="C89" s="142"/>
      <c r="D89" s="141"/>
      <c r="E89" s="150"/>
      <c r="F89" s="150"/>
      <c r="G89" s="145"/>
      <c r="H89" s="145"/>
      <c r="I89" s="145"/>
      <c r="J89" s="145"/>
    </row>
    <row r="90" spans="1:10" s="195" customFormat="1" ht="24.95" hidden="1" customHeight="1">
      <c r="A90" s="141"/>
      <c r="B90" s="141"/>
      <c r="C90" s="142"/>
      <c r="D90" s="141"/>
      <c r="E90" s="150"/>
      <c r="F90" s="150"/>
      <c r="G90" s="145"/>
      <c r="H90" s="145"/>
      <c r="I90" s="145"/>
      <c r="J90" s="145"/>
    </row>
    <row r="91" spans="1:10" s="195" customFormat="1" ht="24.95" hidden="1" customHeight="1">
      <c r="A91" s="141"/>
      <c r="B91" s="141"/>
      <c r="C91" s="142"/>
      <c r="D91" s="141"/>
      <c r="E91" s="150"/>
      <c r="F91" s="150"/>
      <c r="G91" s="145"/>
      <c r="H91" s="145"/>
      <c r="I91" s="145"/>
      <c r="J91" s="145"/>
    </row>
    <row r="92" spans="1:10" s="195" customFormat="1" ht="24.95" hidden="1" customHeight="1">
      <c r="A92" s="141"/>
      <c r="B92" s="141"/>
      <c r="C92" s="142"/>
      <c r="D92" s="141"/>
      <c r="E92" s="150"/>
      <c r="F92" s="150"/>
      <c r="G92" s="145"/>
      <c r="H92" s="145"/>
      <c r="I92" s="145"/>
      <c r="J92" s="145"/>
    </row>
    <row r="93" spans="1:10" s="195" customFormat="1" ht="24.95" hidden="1" customHeight="1">
      <c r="A93" s="141"/>
      <c r="B93" s="141"/>
      <c r="C93" s="142"/>
      <c r="D93" s="141"/>
      <c r="E93" s="150"/>
      <c r="F93" s="150"/>
      <c r="G93" s="145"/>
      <c r="H93" s="145"/>
      <c r="I93" s="145"/>
      <c r="J93" s="145"/>
    </row>
    <row r="94" spans="1:10" s="195" customFormat="1" ht="24.95" hidden="1" customHeight="1">
      <c r="A94" s="141"/>
      <c r="B94" s="141"/>
      <c r="C94" s="142"/>
      <c r="D94" s="141"/>
      <c r="E94" s="150"/>
      <c r="F94" s="150"/>
      <c r="G94" s="145"/>
      <c r="H94" s="145"/>
      <c r="I94" s="145"/>
      <c r="J94" s="145"/>
    </row>
    <row r="95" spans="1:10" s="195" customFormat="1" ht="24.95" hidden="1" customHeight="1">
      <c r="A95" s="141"/>
      <c r="B95" s="141"/>
      <c r="C95" s="142"/>
      <c r="D95" s="141"/>
      <c r="E95" s="150"/>
      <c r="F95" s="150"/>
      <c r="G95" s="145"/>
      <c r="H95" s="145"/>
      <c r="I95" s="145"/>
      <c r="J95" s="145"/>
    </row>
    <row r="96" spans="1:10" s="195" customFormat="1" ht="24.95" hidden="1" customHeight="1">
      <c r="A96" s="141"/>
      <c r="B96" s="141"/>
      <c r="C96" s="142"/>
      <c r="D96" s="141"/>
      <c r="E96" s="150"/>
      <c r="F96" s="150"/>
      <c r="G96" s="145"/>
      <c r="H96" s="145"/>
      <c r="I96" s="145"/>
      <c r="J96" s="145"/>
    </row>
    <row r="97" spans="1:10" s="195" customFormat="1" ht="24.95" hidden="1" customHeight="1">
      <c r="A97" s="141"/>
      <c r="B97" s="141"/>
      <c r="C97" s="142"/>
      <c r="D97" s="141"/>
      <c r="E97" s="150"/>
      <c r="F97" s="150"/>
      <c r="G97" s="145"/>
      <c r="H97" s="145"/>
      <c r="I97" s="145"/>
      <c r="J97" s="145"/>
    </row>
    <row r="98" spans="1:10" s="195" customFormat="1" ht="24.95" hidden="1" customHeight="1">
      <c r="A98" s="141"/>
      <c r="B98" s="141"/>
      <c r="C98" s="142"/>
      <c r="D98" s="141"/>
      <c r="E98" s="150"/>
      <c r="F98" s="150"/>
      <c r="G98" s="145"/>
      <c r="H98" s="145"/>
      <c r="I98" s="145"/>
      <c r="J98" s="145"/>
    </row>
    <row r="99" spans="1:10" s="195" customFormat="1" ht="24.95" hidden="1" customHeight="1">
      <c r="A99" s="141"/>
      <c r="B99" s="141"/>
      <c r="C99" s="142"/>
      <c r="D99" s="141"/>
      <c r="E99" s="150"/>
      <c r="F99" s="150"/>
      <c r="G99" s="145"/>
      <c r="H99" s="145"/>
      <c r="I99" s="145"/>
      <c r="J99" s="145"/>
    </row>
    <row r="100" spans="1:10" s="195" customFormat="1" ht="24.95" hidden="1" customHeight="1">
      <c r="A100" s="141"/>
      <c r="B100" s="141"/>
      <c r="C100" s="142"/>
      <c r="D100" s="141"/>
      <c r="E100" s="150"/>
      <c r="F100" s="150"/>
      <c r="G100" s="145"/>
      <c r="H100" s="145"/>
      <c r="I100" s="145"/>
      <c r="J100" s="145"/>
    </row>
    <row r="101" spans="1:10" s="195" customFormat="1" ht="24.95" hidden="1" customHeight="1">
      <c r="A101" s="141"/>
      <c r="B101" s="141"/>
      <c r="C101" s="142"/>
      <c r="D101" s="141"/>
      <c r="E101" s="150"/>
      <c r="F101" s="150"/>
      <c r="G101" s="145"/>
      <c r="H101" s="145"/>
      <c r="I101" s="145"/>
      <c r="J101" s="145"/>
    </row>
    <row r="102" spans="1:10" s="195" customFormat="1" ht="24.95" hidden="1" customHeight="1">
      <c r="A102" s="141"/>
      <c r="B102" s="141"/>
      <c r="C102" s="142"/>
      <c r="D102" s="141"/>
      <c r="E102" s="150"/>
      <c r="F102" s="150"/>
      <c r="G102" s="145"/>
      <c r="H102" s="145"/>
      <c r="I102" s="145"/>
      <c r="J102" s="145"/>
    </row>
    <row r="103" spans="1:10" s="195" customFormat="1" ht="24.95" hidden="1" customHeight="1">
      <c r="A103" s="141"/>
      <c r="B103" s="141"/>
      <c r="C103" s="142"/>
      <c r="D103" s="141"/>
      <c r="E103" s="150"/>
      <c r="F103" s="150"/>
      <c r="G103" s="145"/>
      <c r="H103" s="145"/>
      <c r="I103" s="145"/>
      <c r="J103" s="145"/>
    </row>
    <row r="104" spans="1:10" s="195" customFormat="1" ht="24.95" hidden="1" customHeight="1">
      <c r="A104" s="141"/>
      <c r="B104" s="141"/>
      <c r="C104" s="142"/>
      <c r="D104" s="141"/>
      <c r="E104" s="150"/>
      <c r="F104" s="150"/>
      <c r="G104" s="145"/>
      <c r="H104" s="145"/>
      <c r="I104" s="145"/>
      <c r="J104" s="145"/>
    </row>
    <row r="105" spans="1:10" s="195" customFormat="1" ht="24.95" hidden="1" customHeight="1">
      <c r="A105" s="141"/>
      <c r="B105" s="141"/>
      <c r="C105" s="142"/>
      <c r="D105" s="141"/>
      <c r="E105" s="150"/>
      <c r="F105" s="150"/>
      <c r="G105" s="145"/>
      <c r="H105" s="145"/>
      <c r="I105" s="145"/>
      <c r="J105" s="145"/>
    </row>
    <row r="106" spans="1:10" s="195" customFormat="1" ht="24.95" hidden="1" customHeight="1">
      <c r="A106" s="141"/>
      <c r="B106" s="141"/>
      <c r="C106" s="142"/>
      <c r="D106" s="141"/>
      <c r="E106" s="150"/>
      <c r="F106" s="150"/>
      <c r="G106" s="145"/>
      <c r="H106" s="145"/>
      <c r="I106" s="145"/>
      <c r="J106" s="145"/>
    </row>
    <row r="107" spans="1:10" s="195" customFormat="1" ht="24.95" hidden="1" customHeight="1">
      <c r="A107" s="141"/>
      <c r="B107" s="141"/>
      <c r="C107" s="142"/>
      <c r="D107" s="141"/>
      <c r="E107" s="150"/>
      <c r="F107" s="150"/>
      <c r="G107" s="145"/>
      <c r="H107" s="145"/>
      <c r="I107" s="145"/>
      <c r="J107" s="145"/>
    </row>
    <row r="108" spans="1:10" s="195" customFormat="1" ht="24.95" hidden="1" customHeight="1">
      <c r="A108" s="141"/>
      <c r="B108" s="141"/>
      <c r="C108" s="142"/>
      <c r="D108" s="141"/>
      <c r="E108" s="150"/>
      <c r="F108" s="150"/>
      <c r="G108" s="145"/>
      <c r="H108" s="145"/>
      <c r="I108" s="145"/>
      <c r="J108" s="145"/>
    </row>
    <row r="109" spans="1:10" s="195" customFormat="1" ht="24.95" hidden="1" customHeight="1">
      <c r="A109" s="141"/>
      <c r="B109" s="141"/>
      <c r="C109" s="142"/>
      <c r="D109" s="141"/>
      <c r="E109" s="150"/>
      <c r="F109" s="150"/>
      <c r="G109" s="145"/>
      <c r="H109" s="145"/>
      <c r="I109" s="145"/>
      <c r="J109" s="145"/>
    </row>
    <row r="110" spans="1:10" s="195" customFormat="1" ht="24.95" hidden="1" customHeight="1">
      <c r="A110" s="141"/>
      <c r="B110" s="141"/>
      <c r="C110" s="142"/>
      <c r="D110" s="141"/>
      <c r="E110" s="150"/>
      <c r="F110" s="150"/>
      <c r="G110" s="145"/>
      <c r="H110" s="145"/>
      <c r="I110" s="145"/>
      <c r="J110" s="145"/>
    </row>
    <row r="111" spans="1:10" s="195" customFormat="1" ht="24.95" hidden="1" customHeight="1">
      <c r="A111" s="141"/>
      <c r="B111" s="141"/>
      <c r="C111" s="142"/>
      <c r="D111" s="141"/>
      <c r="E111" s="150"/>
      <c r="F111" s="150"/>
      <c r="G111" s="145"/>
      <c r="H111" s="145"/>
      <c r="I111" s="145"/>
      <c r="J111" s="145"/>
    </row>
    <row r="112" spans="1:10" s="195" customFormat="1" ht="24.95" hidden="1" customHeight="1">
      <c r="A112" s="141"/>
      <c r="B112" s="141"/>
      <c r="C112" s="142"/>
      <c r="D112" s="141"/>
      <c r="E112" s="150"/>
      <c r="F112" s="150"/>
      <c r="G112" s="145"/>
      <c r="H112" s="145"/>
      <c r="I112" s="145"/>
      <c r="J112" s="145"/>
    </row>
    <row r="113" spans="1:10" s="195" customFormat="1" ht="24.95" hidden="1" customHeight="1">
      <c r="A113" s="141"/>
      <c r="B113" s="141"/>
      <c r="C113" s="142"/>
      <c r="D113" s="141"/>
      <c r="E113" s="150"/>
      <c r="F113" s="150"/>
      <c r="G113" s="145"/>
      <c r="H113" s="145"/>
      <c r="I113" s="145"/>
      <c r="J113" s="145"/>
    </row>
    <row r="114" spans="1:10" s="195" customFormat="1" ht="24.95" hidden="1" customHeight="1">
      <c r="A114" s="141"/>
      <c r="B114" s="141"/>
      <c r="C114" s="142"/>
      <c r="D114" s="141"/>
      <c r="E114" s="150"/>
      <c r="F114" s="150"/>
      <c r="G114" s="145"/>
      <c r="H114" s="145"/>
      <c r="I114" s="145"/>
      <c r="J114" s="145"/>
    </row>
    <row r="115" spans="1:10" s="195" customFormat="1" ht="24.95" hidden="1" customHeight="1">
      <c r="A115" s="141"/>
      <c r="B115" s="141"/>
      <c r="C115" s="142"/>
      <c r="D115" s="141"/>
      <c r="E115" s="150"/>
      <c r="F115" s="150"/>
      <c r="G115" s="145"/>
      <c r="H115" s="145"/>
      <c r="I115" s="145"/>
      <c r="J115" s="145"/>
    </row>
    <row r="116" spans="1:10" s="195" customFormat="1" ht="24.95" hidden="1" customHeight="1">
      <c r="A116" s="141"/>
      <c r="B116" s="141"/>
      <c r="C116" s="142"/>
      <c r="D116" s="141"/>
      <c r="E116" s="150"/>
      <c r="F116" s="150"/>
      <c r="G116" s="145"/>
      <c r="H116" s="145"/>
      <c r="I116" s="145"/>
      <c r="J116" s="145"/>
    </row>
    <row r="117" spans="1:10" s="195" customFormat="1" ht="24.95" hidden="1" customHeight="1">
      <c r="A117" s="141"/>
      <c r="B117" s="141"/>
      <c r="C117" s="142"/>
      <c r="D117" s="141"/>
      <c r="E117" s="150"/>
      <c r="F117" s="150"/>
      <c r="G117" s="145"/>
      <c r="H117" s="145"/>
      <c r="I117" s="145"/>
      <c r="J117" s="145"/>
    </row>
    <row r="118" spans="1:10" s="195" customFormat="1" ht="24.95" hidden="1" customHeight="1">
      <c r="A118" s="141"/>
      <c r="B118" s="141"/>
      <c r="C118" s="142"/>
      <c r="D118" s="141"/>
      <c r="E118" s="150"/>
      <c r="F118" s="150"/>
      <c r="G118" s="145"/>
      <c r="H118" s="145"/>
      <c r="I118" s="145"/>
      <c r="J118" s="145"/>
    </row>
    <row r="119" spans="1:10" s="195" customFormat="1" ht="24.95" hidden="1" customHeight="1">
      <c r="A119" s="141"/>
      <c r="B119" s="141"/>
      <c r="C119" s="142"/>
      <c r="D119" s="141"/>
      <c r="E119" s="150"/>
      <c r="F119" s="150"/>
      <c r="G119" s="145"/>
      <c r="H119" s="145"/>
      <c r="I119" s="145"/>
      <c r="J119" s="145"/>
    </row>
    <row r="120" spans="1:10" s="195" customFormat="1" ht="24.95" hidden="1" customHeight="1">
      <c r="A120" s="141"/>
      <c r="B120" s="141"/>
      <c r="C120" s="142"/>
      <c r="D120" s="141"/>
      <c r="E120" s="150"/>
      <c r="F120" s="150"/>
      <c r="G120" s="145"/>
      <c r="H120" s="145"/>
      <c r="I120" s="145"/>
      <c r="J120" s="145"/>
    </row>
    <row r="121" spans="1:10" s="195" customFormat="1" ht="24.95" hidden="1" customHeight="1">
      <c r="A121" s="141"/>
      <c r="B121" s="141"/>
      <c r="C121" s="142"/>
      <c r="D121" s="141"/>
      <c r="E121" s="150"/>
      <c r="F121" s="150"/>
      <c r="G121" s="145"/>
      <c r="H121" s="145"/>
      <c r="I121" s="145"/>
      <c r="J121" s="145"/>
    </row>
    <row r="122" spans="1:10" s="195" customFormat="1" ht="24.95" hidden="1" customHeight="1">
      <c r="A122" s="141"/>
      <c r="B122" s="141"/>
      <c r="C122" s="142"/>
      <c r="D122" s="141"/>
      <c r="E122" s="150"/>
      <c r="F122" s="150"/>
      <c r="G122" s="145"/>
      <c r="H122" s="145"/>
      <c r="I122" s="145"/>
      <c r="J122" s="145"/>
    </row>
    <row r="123" spans="1:10" s="195" customFormat="1" ht="24.95" hidden="1" customHeight="1">
      <c r="A123" s="141"/>
      <c r="B123" s="141"/>
      <c r="C123" s="142"/>
      <c r="D123" s="141"/>
      <c r="E123" s="150"/>
      <c r="F123" s="150"/>
      <c r="G123" s="145"/>
      <c r="H123" s="145"/>
      <c r="I123" s="145"/>
      <c r="J123" s="145"/>
    </row>
    <row r="124" spans="1:10" s="195" customFormat="1" ht="24.95" hidden="1" customHeight="1">
      <c r="A124" s="141"/>
      <c r="B124" s="141"/>
      <c r="C124" s="142"/>
      <c r="D124" s="141"/>
      <c r="E124" s="150"/>
      <c r="F124" s="150"/>
      <c r="G124" s="145"/>
      <c r="H124" s="145"/>
      <c r="I124" s="145"/>
      <c r="J124" s="145"/>
    </row>
    <row r="125" spans="1:10" s="195" customFormat="1" ht="24.95" hidden="1" customHeight="1">
      <c r="A125" s="141"/>
      <c r="B125" s="141"/>
      <c r="C125" s="142"/>
      <c r="D125" s="141"/>
      <c r="E125" s="150"/>
      <c r="F125" s="150"/>
      <c r="G125" s="145"/>
      <c r="H125" s="145"/>
      <c r="I125" s="145"/>
      <c r="J125" s="145"/>
    </row>
    <row r="126" spans="1:10" s="195" customFormat="1" ht="24.95" hidden="1" customHeight="1">
      <c r="A126" s="141"/>
      <c r="B126" s="141"/>
      <c r="C126" s="142"/>
      <c r="D126" s="141"/>
      <c r="E126" s="150"/>
      <c r="F126" s="150"/>
      <c r="G126" s="145"/>
      <c r="H126" s="145"/>
      <c r="I126" s="145"/>
      <c r="J126" s="145"/>
    </row>
    <row r="127" spans="1:10" s="195" customFormat="1" ht="24.95" hidden="1" customHeight="1">
      <c r="A127" s="141"/>
      <c r="B127" s="141"/>
      <c r="C127" s="142"/>
      <c r="D127" s="141"/>
      <c r="E127" s="150"/>
      <c r="F127" s="150"/>
      <c r="G127" s="145"/>
      <c r="H127" s="145"/>
      <c r="I127" s="145"/>
      <c r="J127" s="145"/>
    </row>
    <row r="128" spans="1:10" s="195" customFormat="1" ht="24.95" hidden="1" customHeight="1">
      <c r="A128" s="141"/>
      <c r="B128" s="141"/>
      <c r="C128" s="142"/>
      <c r="D128" s="141"/>
      <c r="E128" s="150"/>
      <c r="F128" s="150"/>
      <c r="G128" s="145"/>
      <c r="H128" s="145"/>
      <c r="I128" s="145"/>
      <c r="J128" s="145"/>
    </row>
    <row r="129" spans="1:10" s="195" customFormat="1" ht="24.95" hidden="1" customHeight="1">
      <c r="A129" s="141"/>
      <c r="B129" s="141"/>
      <c r="C129" s="142"/>
      <c r="D129" s="141"/>
      <c r="E129" s="150"/>
      <c r="F129" s="150"/>
      <c r="G129" s="145"/>
      <c r="H129" s="145"/>
      <c r="I129" s="145"/>
      <c r="J129" s="145"/>
    </row>
    <row r="130" spans="1:10" s="195" customFormat="1" ht="24.95" hidden="1" customHeight="1">
      <c r="A130" s="141"/>
      <c r="B130" s="141"/>
      <c r="C130" s="142"/>
      <c r="D130" s="141"/>
      <c r="E130" s="150"/>
      <c r="F130" s="150"/>
      <c r="G130" s="145"/>
      <c r="H130" s="145"/>
      <c r="I130" s="145"/>
      <c r="J130" s="145"/>
    </row>
    <row r="131" spans="1:10" s="195" customFormat="1" ht="24.95" hidden="1" customHeight="1">
      <c r="A131" s="141"/>
      <c r="B131" s="141"/>
      <c r="C131" s="142"/>
      <c r="D131" s="141"/>
      <c r="E131" s="150"/>
      <c r="F131" s="150"/>
      <c r="G131" s="145"/>
      <c r="H131" s="145"/>
      <c r="I131" s="145"/>
      <c r="J131" s="145"/>
    </row>
    <row r="132" spans="1:10" s="195" customFormat="1" ht="24.95" hidden="1" customHeight="1">
      <c r="A132" s="141"/>
      <c r="B132" s="141"/>
      <c r="C132" s="142"/>
      <c r="D132" s="141"/>
      <c r="E132" s="150"/>
      <c r="F132" s="150"/>
      <c r="G132" s="145"/>
      <c r="H132" s="145"/>
      <c r="I132" s="145"/>
      <c r="J132" s="145"/>
    </row>
    <row r="133" spans="1:10" s="195" customFormat="1" ht="24.95" hidden="1" customHeight="1">
      <c r="A133" s="141"/>
      <c r="B133" s="141"/>
      <c r="C133" s="142"/>
      <c r="D133" s="141"/>
      <c r="E133" s="150"/>
      <c r="F133" s="150"/>
      <c r="G133" s="145"/>
      <c r="H133" s="145"/>
      <c r="I133" s="145"/>
      <c r="J133" s="145"/>
    </row>
    <row r="134" spans="1:10" s="195" customFormat="1" ht="24.95" hidden="1" customHeight="1">
      <c r="A134" s="141"/>
      <c r="B134" s="141"/>
      <c r="C134" s="142"/>
      <c r="D134" s="141"/>
      <c r="E134" s="150"/>
      <c r="F134" s="150"/>
      <c r="G134" s="145"/>
      <c r="H134" s="145"/>
      <c r="I134" s="145"/>
      <c r="J134" s="145"/>
    </row>
    <row r="135" spans="1:10" s="195" customFormat="1" ht="24.95" hidden="1" customHeight="1">
      <c r="A135" s="141"/>
      <c r="B135" s="141"/>
      <c r="C135" s="142"/>
      <c r="D135" s="141"/>
      <c r="E135" s="150"/>
      <c r="F135" s="150"/>
      <c r="G135" s="145"/>
      <c r="H135" s="145"/>
      <c r="I135" s="145"/>
      <c r="J135" s="145"/>
    </row>
    <row r="136" spans="1:10" s="195" customFormat="1" ht="24.95" hidden="1" customHeight="1">
      <c r="A136" s="141"/>
      <c r="B136" s="141"/>
      <c r="C136" s="142"/>
      <c r="D136" s="141"/>
      <c r="E136" s="150"/>
      <c r="F136" s="150"/>
      <c r="G136" s="145"/>
      <c r="H136" s="145"/>
      <c r="I136" s="145"/>
      <c r="J136" s="145"/>
    </row>
    <row r="137" spans="1:10" s="195" customFormat="1" ht="24.95" hidden="1" customHeight="1">
      <c r="A137" s="141"/>
      <c r="B137" s="141"/>
      <c r="C137" s="142"/>
      <c r="D137" s="141"/>
      <c r="E137" s="150"/>
      <c r="F137" s="150"/>
      <c r="G137" s="145"/>
      <c r="H137" s="145"/>
      <c r="I137" s="145"/>
      <c r="J137" s="145"/>
    </row>
    <row r="138" spans="1:10" s="195" customFormat="1" ht="24.95" hidden="1" customHeight="1">
      <c r="A138" s="141"/>
      <c r="B138" s="141"/>
      <c r="C138" s="142"/>
      <c r="D138" s="141"/>
      <c r="E138" s="150"/>
      <c r="F138" s="150"/>
      <c r="G138" s="145"/>
      <c r="H138" s="145"/>
      <c r="I138" s="145"/>
      <c r="J138" s="145"/>
    </row>
    <row r="139" spans="1:10" s="195" customFormat="1" ht="24.95" hidden="1" customHeight="1">
      <c r="A139" s="141"/>
      <c r="B139" s="141"/>
      <c r="C139" s="142"/>
      <c r="D139" s="141"/>
      <c r="E139" s="150"/>
      <c r="F139" s="150"/>
      <c r="G139" s="145"/>
      <c r="H139" s="145"/>
      <c r="I139" s="145"/>
      <c r="J139" s="145"/>
    </row>
    <row r="140" spans="1:10" s="195" customFormat="1" ht="24.95" hidden="1" customHeight="1">
      <c r="A140" s="141"/>
      <c r="B140" s="141"/>
      <c r="C140" s="142"/>
      <c r="D140" s="141"/>
      <c r="E140" s="150"/>
      <c r="F140" s="150"/>
      <c r="G140" s="145"/>
      <c r="H140" s="145"/>
      <c r="I140" s="145"/>
      <c r="J140" s="145"/>
    </row>
    <row r="141" spans="1:10" s="195" customFormat="1" ht="24.95" hidden="1" customHeight="1">
      <c r="A141" s="141"/>
      <c r="B141" s="141"/>
      <c r="C141" s="142"/>
      <c r="D141" s="141"/>
      <c r="E141" s="150"/>
      <c r="F141" s="150"/>
      <c r="G141" s="145"/>
      <c r="H141" s="145"/>
      <c r="I141" s="145"/>
      <c r="J141" s="145"/>
    </row>
    <row r="142" spans="1:10" s="195" customFormat="1" ht="24.95" hidden="1" customHeight="1">
      <c r="A142" s="141"/>
      <c r="B142" s="141"/>
      <c r="C142" s="142"/>
      <c r="D142" s="141"/>
      <c r="E142" s="150"/>
      <c r="F142" s="150"/>
      <c r="G142" s="145"/>
      <c r="H142" s="145"/>
      <c r="I142" s="145"/>
      <c r="J142" s="145"/>
    </row>
    <row r="143" spans="1:10" s="195" customFormat="1" ht="24.95" hidden="1" customHeight="1">
      <c r="A143" s="141"/>
      <c r="B143" s="141"/>
      <c r="C143" s="142"/>
      <c r="D143" s="141"/>
      <c r="E143" s="150"/>
      <c r="F143" s="150"/>
      <c r="G143" s="145"/>
      <c r="H143" s="145"/>
      <c r="I143" s="145"/>
      <c r="J143" s="145"/>
    </row>
    <row r="144" spans="1:10" s="195" customFormat="1" ht="24.95" hidden="1" customHeight="1">
      <c r="A144" s="141"/>
      <c r="B144" s="141"/>
      <c r="C144" s="142"/>
      <c r="D144" s="141"/>
      <c r="E144" s="150"/>
      <c r="F144" s="150"/>
      <c r="G144" s="145"/>
      <c r="H144" s="145"/>
      <c r="I144" s="145"/>
      <c r="J144" s="145"/>
    </row>
    <row r="145" spans="1:10" s="195" customFormat="1" ht="24.95" hidden="1" customHeight="1">
      <c r="A145" s="141"/>
      <c r="B145" s="141"/>
      <c r="C145" s="142"/>
      <c r="D145" s="141"/>
      <c r="E145" s="150"/>
      <c r="F145" s="150"/>
      <c r="G145" s="145"/>
      <c r="H145" s="145"/>
      <c r="I145" s="145"/>
      <c r="J145" s="145"/>
    </row>
    <row r="146" spans="1:10" s="195" customFormat="1" ht="24.95" hidden="1" customHeight="1">
      <c r="A146" s="141"/>
      <c r="B146" s="141"/>
      <c r="C146" s="142"/>
      <c r="D146" s="141"/>
      <c r="E146" s="150"/>
      <c r="F146" s="150"/>
      <c r="G146" s="145"/>
      <c r="H146" s="145"/>
      <c r="I146" s="145"/>
      <c r="J146" s="145"/>
    </row>
    <row r="147" spans="1:10" s="195" customFormat="1" ht="24.95" hidden="1" customHeight="1">
      <c r="A147" s="141"/>
      <c r="B147" s="141"/>
      <c r="C147" s="142"/>
      <c r="D147" s="141"/>
      <c r="E147" s="150"/>
      <c r="F147" s="150"/>
      <c r="G147" s="145"/>
      <c r="H147" s="145"/>
      <c r="I147" s="145"/>
      <c r="J147" s="145"/>
    </row>
    <row r="148" spans="1:10" s="195" customFormat="1" ht="24.95" hidden="1" customHeight="1">
      <c r="A148" s="141"/>
      <c r="B148" s="141"/>
      <c r="C148" s="142"/>
      <c r="D148" s="141"/>
      <c r="E148" s="150"/>
      <c r="F148" s="150"/>
      <c r="G148" s="145"/>
      <c r="H148" s="145"/>
      <c r="I148" s="145"/>
      <c r="J148" s="145"/>
    </row>
    <row r="149" spans="1:10" s="195" customFormat="1" ht="24.95" hidden="1" customHeight="1">
      <c r="A149" s="141"/>
      <c r="B149" s="141"/>
      <c r="C149" s="142"/>
      <c r="D149" s="141"/>
      <c r="E149" s="150"/>
      <c r="F149" s="150"/>
      <c r="G149" s="145"/>
      <c r="H149" s="145"/>
      <c r="I149" s="145"/>
      <c r="J149" s="145"/>
    </row>
    <row r="150" spans="1:10" s="195" customFormat="1" ht="24.95" hidden="1" customHeight="1">
      <c r="A150" s="141"/>
      <c r="B150" s="141"/>
      <c r="C150" s="142"/>
      <c r="D150" s="141"/>
      <c r="E150" s="150"/>
      <c r="F150" s="150"/>
      <c r="G150" s="145"/>
      <c r="H150" s="145"/>
      <c r="I150" s="145"/>
      <c r="J150" s="145"/>
    </row>
    <row r="151" spans="1:10" s="195" customFormat="1" ht="24.95" hidden="1" customHeight="1">
      <c r="A151" s="141"/>
      <c r="B151" s="141"/>
      <c r="C151" s="142"/>
      <c r="D151" s="141"/>
      <c r="E151" s="150"/>
      <c r="F151" s="150"/>
      <c r="G151" s="145"/>
      <c r="H151" s="145"/>
      <c r="I151" s="145"/>
      <c r="J151" s="145"/>
    </row>
    <row r="152" spans="1:10" s="195" customFormat="1" ht="24.95" hidden="1" customHeight="1">
      <c r="A152" s="141"/>
      <c r="B152" s="141"/>
      <c r="C152" s="142"/>
      <c r="D152" s="141"/>
      <c r="E152" s="150"/>
      <c r="F152" s="150"/>
      <c r="G152" s="145"/>
      <c r="H152" s="145"/>
      <c r="I152" s="145"/>
      <c r="J152" s="145"/>
    </row>
    <row r="153" spans="1:10" s="195" customFormat="1" ht="24.95" hidden="1" customHeight="1">
      <c r="A153" s="141"/>
      <c r="B153" s="141"/>
      <c r="C153" s="142"/>
      <c r="D153" s="141"/>
      <c r="E153" s="150"/>
      <c r="F153" s="150"/>
      <c r="G153" s="145"/>
      <c r="H153" s="145"/>
      <c r="I153" s="145"/>
      <c r="J153" s="145"/>
    </row>
    <row r="154" spans="1:10" s="195" customFormat="1" ht="24.95" hidden="1" customHeight="1">
      <c r="A154" s="141"/>
      <c r="B154" s="141"/>
      <c r="C154" s="142"/>
      <c r="D154" s="141"/>
      <c r="E154" s="150"/>
      <c r="F154" s="150"/>
      <c r="G154" s="145"/>
      <c r="H154" s="145"/>
      <c r="I154" s="145"/>
      <c r="J154" s="145"/>
    </row>
    <row r="155" spans="1:10" s="195" customFormat="1" ht="24.95" hidden="1" customHeight="1">
      <c r="A155" s="141"/>
      <c r="B155" s="141"/>
      <c r="C155" s="142"/>
      <c r="D155" s="141"/>
      <c r="E155" s="150"/>
      <c r="F155" s="150"/>
      <c r="G155" s="145"/>
      <c r="H155" s="145"/>
      <c r="I155" s="145"/>
      <c r="J155" s="145"/>
    </row>
    <row r="156" spans="1:10" s="195" customFormat="1" ht="24.95" hidden="1" customHeight="1">
      <c r="A156" s="141"/>
      <c r="B156" s="141"/>
      <c r="C156" s="142"/>
      <c r="D156" s="141"/>
      <c r="E156" s="150"/>
      <c r="F156" s="150"/>
      <c r="G156" s="145"/>
      <c r="H156" s="145"/>
      <c r="I156" s="145"/>
      <c r="J156" s="145"/>
    </row>
    <row r="157" spans="1:10" s="195" customFormat="1" ht="24.95" hidden="1" customHeight="1">
      <c r="A157" s="141"/>
      <c r="B157" s="141"/>
      <c r="C157" s="142"/>
      <c r="D157" s="141"/>
      <c r="E157" s="150"/>
      <c r="F157" s="150"/>
      <c r="G157" s="145"/>
      <c r="H157" s="145"/>
      <c r="I157" s="145"/>
      <c r="J157" s="145"/>
    </row>
    <row r="158" spans="1:10" s="195" customFormat="1" ht="24.95" hidden="1" customHeight="1">
      <c r="A158" s="141"/>
      <c r="B158" s="141"/>
      <c r="C158" s="142"/>
      <c r="D158" s="141"/>
      <c r="E158" s="150"/>
      <c r="F158" s="150"/>
      <c r="G158" s="145"/>
      <c r="H158" s="145"/>
      <c r="I158" s="145"/>
      <c r="J158" s="145"/>
    </row>
    <row r="159" spans="1:10" s="195" customFormat="1" ht="24.95" hidden="1" customHeight="1">
      <c r="A159" s="141"/>
      <c r="B159" s="141"/>
      <c r="C159" s="142"/>
      <c r="D159" s="141"/>
      <c r="E159" s="150"/>
      <c r="F159" s="150"/>
      <c r="G159" s="145"/>
      <c r="H159" s="145"/>
      <c r="I159" s="145"/>
      <c r="J159" s="145"/>
    </row>
    <row r="160" spans="1:10" s="195" customFormat="1" ht="24.95" hidden="1" customHeight="1">
      <c r="A160" s="141"/>
      <c r="B160" s="141"/>
      <c r="C160" s="142"/>
      <c r="D160" s="141"/>
      <c r="E160" s="150"/>
      <c r="F160" s="150"/>
      <c r="G160" s="145"/>
      <c r="H160" s="145"/>
      <c r="I160" s="145"/>
      <c r="J160" s="145"/>
    </row>
    <row r="161" spans="1:10" s="195" customFormat="1" ht="24.95" hidden="1" customHeight="1">
      <c r="A161" s="141"/>
      <c r="B161" s="141"/>
      <c r="C161" s="142"/>
      <c r="D161" s="141"/>
      <c r="E161" s="150"/>
      <c r="F161" s="150"/>
      <c r="G161" s="145"/>
      <c r="H161" s="145"/>
      <c r="I161" s="145"/>
      <c r="J161" s="145"/>
    </row>
    <row r="162" spans="1:10" s="195" customFormat="1" ht="24.95" hidden="1" customHeight="1">
      <c r="A162" s="141"/>
      <c r="B162" s="141"/>
      <c r="C162" s="142"/>
      <c r="D162" s="141"/>
      <c r="E162" s="150"/>
      <c r="F162" s="150"/>
      <c r="G162" s="145"/>
      <c r="H162" s="145"/>
      <c r="I162" s="145"/>
      <c r="J162" s="145"/>
    </row>
    <row r="163" spans="1:10" s="195" customFormat="1" ht="24.95" hidden="1" customHeight="1">
      <c r="A163" s="141"/>
      <c r="B163" s="141"/>
      <c r="C163" s="142"/>
      <c r="D163" s="141"/>
      <c r="E163" s="150"/>
      <c r="F163" s="150"/>
      <c r="G163" s="145"/>
      <c r="H163" s="145"/>
      <c r="I163" s="145"/>
      <c r="J163" s="145"/>
    </row>
    <row r="164" spans="1:10" s="195" customFormat="1" ht="24.95" hidden="1" customHeight="1">
      <c r="A164" s="141"/>
      <c r="B164" s="141"/>
      <c r="C164" s="142"/>
      <c r="D164" s="141"/>
      <c r="E164" s="150"/>
      <c r="F164" s="150"/>
      <c r="G164" s="145"/>
      <c r="H164" s="145"/>
      <c r="I164" s="145"/>
      <c r="J164" s="145"/>
    </row>
    <row r="165" spans="1:10" s="195" customFormat="1" ht="24.95" hidden="1" customHeight="1">
      <c r="A165" s="141"/>
      <c r="B165" s="141"/>
      <c r="C165" s="142"/>
      <c r="D165" s="141"/>
      <c r="E165" s="150"/>
      <c r="F165" s="150"/>
      <c r="G165" s="145"/>
      <c r="H165" s="145"/>
      <c r="I165" s="145"/>
      <c r="J165" s="145"/>
    </row>
    <row r="166" spans="1:10" s="195" customFormat="1" ht="24.95" hidden="1" customHeight="1">
      <c r="A166" s="141"/>
      <c r="B166" s="141"/>
      <c r="C166" s="142"/>
      <c r="D166" s="141"/>
      <c r="E166" s="150"/>
      <c r="F166" s="150"/>
      <c r="G166" s="145"/>
      <c r="H166" s="145"/>
      <c r="I166" s="145"/>
      <c r="J166" s="145"/>
    </row>
    <row r="167" spans="1:10" s="195" customFormat="1" ht="24.95" hidden="1" customHeight="1">
      <c r="A167" s="141"/>
      <c r="B167" s="141"/>
      <c r="C167" s="142"/>
      <c r="D167" s="141"/>
      <c r="E167" s="150"/>
      <c r="F167" s="150"/>
      <c r="G167" s="145"/>
      <c r="H167" s="145"/>
      <c r="I167" s="145"/>
      <c r="J167" s="145"/>
    </row>
    <row r="168" spans="1:10" s="195" customFormat="1" ht="24.95" hidden="1" customHeight="1">
      <c r="A168" s="141"/>
      <c r="B168" s="141"/>
      <c r="C168" s="142"/>
      <c r="D168" s="141"/>
      <c r="E168" s="150"/>
      <c r="F168" s="150"/>
      <c r="G168" s="145"/>
      <c r="H168" s="145"/>
      <c r="I168" s="145"/>
      <c r="J168" s="145"/>
    </row>
    <row r="169" spans="1:10" s="195" customFormat="1" ht="24.95" hidden="1" customHeight="1">
      <c r="A169" s="141"/>
      <c r="B169" s="141"/>
      <c r="C169" s="142"/>
      <c r="D169" s="141"/>
      <c r="E169" s="150"/>
      <c r="F169" s="150"/>
      <c r="G169" s="145"/>
      <c r="H169" s="145"/>
      <c r="I169" s="145"/>
      <c r="J169" s="145"/>
    </row>
    <row r="170" spans="1:10" s="195" customFormat="1" ht="24.95" hidden="1" customHeight="1">
      <c r="A170" s="141"/>
      <c r="B170" s="141"/>
      <c r="C170" s="142"/>
      <c r="D170" s="141"/>
      <c r="E170" s="150"/>
      <c r="F170" s="150"/>
      <c r="G170" s="145"/>
      <c r="H170" s="145"/>
      <c r="I170" s="145"/>
      <c r="J170" s="145"/>
    </row>
    <row r="171" spans="1:10" s="195" customFormat="1" ht="24.95" hidden="1" customHeight="1">
      <c r="A171" s="141"/>
      <c r="B171" s="141"/>
      <c r="C171" s="142"/>
      <c r="D171" s="141"/>
      <c r="E171" s="150"/>
      <c r="F171" s="150"/>
      <c r="G171" s="145"/>
      <c r="H171" s="145"/>
      <c r="I171" s="145"/>
      <c r="J171" s="145"/>
    </row>
    <row r="172" spans="1:10" s="195" customFormat="1" ht="24.95" hidden="1" customHeight="1">
      <c r="A172" s="141"/>
      <c r="B172" s="141"/>
      <c r="C172" s="142"/>
      <c r="D172" s="141"/>
      <c r="E172" s="150"/>
      <c r="F172" s="150"/>
      <c r="G172" s="145"/>
      <c r="H172" s="145"/>
      <c r="I172" s="145"/>
      <c r="J172" s="145"/>
    </row>
    <row r="173" spans="1:10" s="195" customFormat="1" ht="24.95" hidden="1" customHeight="1">
      <c r="A173" s="141"/>
      <c r="B173" s="141"/>
      <c r="C173" s="142"/>
      <c r="D173" s="141"/>
      <c r="E173" s="150"/>
      <c r="F173" s="150"/>
      <c r="G173" s="145"/>
      <c r="H173" s="145"/>
      <c r="I173" s="145"/>
      <c r="J173" s="145"/>
    </row>
    <row r="174" spans="1:10" s="195" customFormat="1" ht="24.95" hidden="1" customHeight="1">
      <c r="A174" s="141"/>
      <c r="B174" s="141"/>
      <c r="C174" s="142"/>
      <c r="D174" s="141"/>
      <c r="E174" s="150"/>
      <c r="F174" s="150"/>
      <c r="G174" s="145"/>
      <c r="H174" s="145"/>
      <c r="I174" s="145"/>
      <c r="J174" s="145"/>
    </row>
    <row r="175" spans="1:10" s="195" customFormat="1" ht="24.95" hidden="1" customHeight="1">
      <c r="A175" s="141"/>
      <c r="B175" s="141"/>
      <c r="C175" s="142"/>
      <c r="D175" s="141"/>
      <c r="E175" s="150"/>
      <c r="F175" s="150"/>
      <c r="G175" s="145"/>
      <c r="H175" s="145"/>
      <c r="I175" s="145"/>
      <c r="J175" s="145"/>
    </row>
    <row r="176" spans="1:10" s="195" customFormat="1" ht="24.95" hidden="1" customHeight="1">
      <c r="A176" s="141"/>
      <c r="B176" s="141"/>
      <c r="C176" s="142"/>
      <c r="D176" s="141"/>
      <c r="E176" s="150"/>
      <c r="F176" s="150"/>
      <c r="G176" s="145"/>
      <c r="H176" s="145"/>
      <c r="I176" s="145"/>
      <c r="J176" s="145"/>
    </row>
    <row r="177" spans="1:10" s="195" customFormat="1" ht="24.95" hidden="1" customHeight="1">
      <c r="A177" s="141"/>
      <c r="B177" s="141"/>
      <c r="C177" s="142"/>
      <c r="D177" s="141"/>
      <c r="E177" s="150"/>
      <c r="F177" s="150"/>
      <c r="G177" s="145"/>
      <c r="H177" s="145"/>
      <c r="I177" s="145"/>
      <c r="J177" s="145"/>
    </row>
    <row r="178" spans="1:10" s="195" customFormat="1" ht="24.95" hidden="1" customHeight="1">
      <c r="A178" s="141"/>
      <c r="B178" s="141"/>
      <c r="C178" s="142"/>
      <c r="D178" s="141"/>
      <c r="E178" s="150"/>
      <c r="F178" s="150"/>
      <c r="G178" s="145"/>
      <c r="H178" s="145"/>
      <c r="I178" s="145"/>
      <c r="J178" s="145"/>
    </row>
    <row r="179" spans="1:10" s="195" customFormat="1" ht="24.95" hidden="1" customHeight="1">
      <c r="A179" s="141"/>
      <c r="B179" s="141"/>
      <c r="C179" s="142"/>
      <c r="D179" s="141"/>
      <c r="E179" s="150"/>
      <c r="F179" s="150"/>
      <c r="G179" s="145"/>
      <c r="H179" s="145"/>
      <c r="I179" s="145"/>
      <c r="J179" s="145"/>
    </row>
    <row r="180" spans="1:10" s="195" customFormat="1" ht="24.95" hidden="1" customHeight="1">
      <c r="A180" s="141"/>
      <c r="B180" s="141"/>
      <c r="C180" s="142"/>
      <c r="D180" s="141"/>
      <c r="E180" s="150"/>
      <c r="F180" s="150"/>
      <c r="G180" s="145"/>
      <c r="H180" s="145"/>
      <c r="I180" s="145"/>
      <c r="J180" s="145"/>
    </row>
    <row r="181" spans="1:10" s="195" customFormat="1" ht="24.95" hidden="1" customHeight="1">
      <c r="A181" s="141"/>
      <c r="B181" s="141"/>
      <c r="C181" s="142"/>
      <c r="D181" s="141"/>
      <c r="E181" s="150"/>
      <c r="F181" s="150"/>
      <c r="G181" s="145"/>
      <c r="H181" s="145"/>
      <c r="I181" s="145"/>
      <c r="J181" s="145"/>
    </row>
    <row r="182" spans="1:10" s="195" customFormat="1" ht="24.95" hidden="1" customHeight="1">
      <c r="A182" s="141"/>
      <c r="B182" s="141"/>
      <c r="C182" s="142"/>
      <c r="D182" s="141"/>
      <c r="E182" s="150"/>
      <c r="F182" s="150"/>
      <c r="G182" s="145"/>
      <c r="H182" s="145"/>
      <c r="I182" s="145"/>
      <c r="J182" s="145"/>
    </row>
    <row r="183" spans="1:10" s="195" customFormat="1" ht="24.95" hidden="1" customHeight="1">
      <c r="A183" s="141"/>
      <c r="B183" s="141"/>
      <c r="C183" s="142"/>
      <c r="D183" s="141"/>
      <c r="E183" s="150"/>
      <c r="F183" s="150"/>
      <c r="G183" s="145"/>
      <c r="H183" s="145"/>
      <c r="I183" s="145"/>
      <c r="J183" s="145"/>
    </row>
    <row r="184" spans="1:10" s="195" customFormat="1" ht="24.95" hidden="1" customHeight="1">
      <c r="A184" s="141"/>
      <c r="B184" s="141"/>
      <c r="C184" s="142"/>
      <c r="D184" s="141"/>
      <c r="E184" s="150"/>
      <c r="F184" s="150"/>
      <c r="G184" s="145"/>
      <c r="H184" s="145"/>
      <c r="I184" s="145"/>
      <c r="J184" s="145"/>
    </row>
    <row r="185" spans="1:10" s="195" customFormat="1" ht="24.95" hidden="1" customHeight="1">
      <c r="A185" s="141"/>
      <c r="B185" s="141"/>
      <c r="C185" s="142"/>
      <c r="D185" s="141"/>
      <c r="E185" s="150"/>
      <c r="F185" s="150"/>
      <c r="G185" s="145"/>
      <c r="H185" s="145"/>
      <c r="I185" s="145"/>
      <c r="J185" s="145"/>
    </row>
    <row r="186" spans="1:10" s="195" customFormat="1" ht="24.95" hidden="1" customHeight="1">
      <c r="A186" s="141"/>
      <c r="B186" s="141"/>
      <c r="C186" s="142"/>
      <c r="D186" s="141"/>
      <c r="E186" s="150"/>
      <c r="F186" s="150"/>
      <c r="G186" s="145"/>
      <c r="H186" s="145"/>
      <c r="I186" s="145"/>
      <c r="J186" s="145"/>
    </row>
    <row r="187" spans="1:10" s="195" customFormat="1" ht="24.95" hidden="1" customHeight="1">
      <c r="A187" s="141"/>
      <c r="B187" s="141"/>
      <c r="C187" s="142"/>
      <c r="D187" s="141"/>
      <c r="E187" s="150"/>
      <c r="F187" s="150"/>
      <c r="G187" s="145"/>
      <c r="H187" s="145"/>
      <c r="I187" s="145"/>
      <c r="J187" s="145"/>
    </row>
    <row r="188" spans="1:10" s="195" customFormat="1" ht="24.95" hidden="1" customHeight="1">
      <c r="A188" s="141"/>
      <c r="B188" s="141"/>
      <c r="C188" s="142"/>
      <c r="D188" s="141"/>
      <c r="E188" s="150"/>
      <c r="F188" s="150"/>
      <c r="G188" s="145"/>
      <c r="H188" s="145"/>
      <c r="I188" s="145"/>
      <c r="J188" s="145"/>
    </row>
    <row r="189" spans="1:10" s="195" customFormat="1" ht="24.95" hidden="1" customHeight="1">
      <c r="A189" s="141"/>
      <c r="B189" s="141"/>
      <c r="C189" s="142"/>
      <c r="D189" s="141"/>
      <c r="E189" s="150"/>
      <c r="F189" s="150"/>
      <c r="G189" s="145"/>
      <c r="H189" s="145"/>
      <c r="I189" s="145"/>
      <c r="J189" s="145"/>
    </row>
    <row r="190" spans="1:10" s="195" customFormat="1" ht="24.95" hidden="1" customHeight="1">
      <c r="A190" s="141"/>
      <c r="B190" s="141"/>
      <c r="C190" s="142"/>
      <c r="D190" s="141"/>
      <c r="E190" s="150"/>
      <c r="F190" s="150"/>
      <c r="G190" s="145"/>
      <c r="H190" s="145"/>
      <c r="I190" s="145"/>
      <c r="J190" s="145"/>
    </row>
    <row r="191" spans="1:10" s="195" customFormat="1" ht="24.95" hidden="1" customHeight="1">
      <c r="A191" s="141"/>
      <c r="B191" s="141"/>
      <c r="C191" s="142"/>
      <c r="D191" s="141"/>
      <c r="E191" s="150"/>
      <c r="F191" s="150"/>
      <c r="G191" s="145"/>
      <c r="H191" s="145"/>
      <c r="I191" s="145"/>
      <c r="J191" s="145"/>
    </row>
    <row r="192" spans="1:10" s="195" customFormat="1" ht="24.95" hidden="1" customHeight="1">
      <c r="A192" s="141"/>
      <c r="B192" s="141"/>
      <c r="C192" s="142"/>
      <c r="D192" s="141"/>
      <c r="E192" s="150"/>
      <c r="F192" s="150"/>
      <c r="G192" s="145"/>
      <c r="H192" s="145"/>
      <c r="I192" s="145"/>
      <c r="J192" s="145"/>
    </row>
    <row r="193" spans="1:10" s="195" customFormat="1" ht="24.95" hidden="1" customHeight="1">
      <c r="A193" s="141"/>
      <c r="B193" s="141"/>
      <c r="C193" s="142"/>
      <c r="D193" s="141"/>
      <c r="E193" s="150"/>
      <c r="F193" s="150"/>
      <c r="G193" s="145"/>
      <c r="H193" s="145"/>
      <c r="I193" s="145"/>
      <c r="J193" s="145"/>
    </row>
    <row r="194" spans="1:10" s="195" customFormat="1" ht="24.95" hidden="1" customHeight="1">
      <c r="A194" s="141"/>
      <c r="B194" s="141"/>
      <c r="C194" s="142"/>
      <c r="D194" s="141"/>
      <c r="E194" s="150"/>
      <c r="F194" s="150"/>
      <c r="G194" s="145"/>
      <c r="H194" s="145"/>
      <c r="I194" s="145"/>
      <c r="J194" s="145"/>
    </row>
    <row r="195" spans="1:10" s="195" customFormat="1" ht="24.95" hidden="1" customHeight="1">
      <c r="A195" s="141"/>
      <c r="B195" s="141"/>
      <c r="C195" s="142"/>
      <c r="D195" s="141"/>
      <c r="E195" s="150"/>
      <c r="F195" s="150"/>
      <c r="G195" s="145"/>
      <c r="H195" s="145"/>
      <c r="I195" s="145"/>
      <c r="J195" s="145"/>
    </row>
    <row r="196" spans="1:10" s="195" customFormat="1" ht="24.95" hidden="1" customHeight="1">
      <c r="A196" s="141"/>
      <c r="B196" s="141"/>
      <c r="C196" s="142"/>
      <c r="D196" s="141"/>
      <c r="E196" s="150"/>
      <c r="F196" s="150"/>
      <c r="G196" s="145"/>
      <c r="H196" s="145"/>
      <c r="I196" s="145"/>
      <c r="J196" s="145"/>
    </row>
    <row r="197" spans="1:10" s="195" customFormat="1" ht="24.95" hidden="1" customHeight="1">
      <c r="A197" s="141"/>
      <c r="B197" s="141"/>
      <c r="C197" s="142"/>
      <c r="D197" s="141"/>
      <c r="E197" s="150"/>
      <c r="F197" s="150"/>
      <c r="G197" s="145"/>
      <c r="H197" s="145"/>
      <c r="I197" s="145"/>
      <c r="J197" s="145"/>
    </row>
    <row r="198" spans="1:10" s="195" customFormat="1" ht="24.95" hidden="1" customHeight="1">
      <c r="A198" s="141"/>
      <c r="B198" s="141"/>
      <c r="C198" s="142"/>
      <c r="D198" s="141"/>
      <c r="E198" s="150"/>
      <c r="F198" s="150"/>
      <c r="G198" s="145"/>
      <c r="H198" s="145"/>
      <c r="I198" s="145"/>
      <c r="J198" s="145"/>
    </row>
    <row r="199" spans="1:10" s="195" customFormat="1" ht="24.95" hidden="1" customHeight="1">
      <c r="A199" s="141"/>
      <c r="B199" s="141"/>
      <c r="C199" s="142"/>
      <c r="D199" s="141"/>
      <c r="E199" s="150"/>
      <c r="F199" s="150"/>
      <c r="G199" s="145"/>
      <c r="H199" s="145"/>
      <c r="I199" s="145"/>
      <c r="J199" s="145"/>
    </row>
    <row r="200" spans="1:10" s="195" customFormat="1" ht="24.95" hidden="1" customHeight="1">
      <c r="A200" s="141"/>
      <c r="B200" s="141"/>
      <c r="C200" s="142"/>
      <c r="D200" s="141"/>
      <c r="E200" s="150"/>
      <c r="F200" s="150"/>
      <c r="G200" s="145"/>
      <c r="H200" s="145"/>
      <c r="I200" s="145"/>
      <c r="J200" s="145"/>
    </row>
    <row r="201" spans="1:10" s="195" customFormat="1" ht="24.95" hidden="1" customHeight="1">
      <c r="A201" s="141"/>
      <c r="B201" s="141"/>
      <c r="C201" s="142"/>
      <c r="D201" s="141"/>
      <c r="E201" s="150"/>
      <c r="F201" s="150"/>
      <c r="G201" s="145"/>
      <c r="H201" s="145"/>
      <c r="I201" s="145"/>
      <c r="J201" s="145"/>
    </row>
    <row r="202" spans="1:10" s="195" customFormat="1" ht="24.95" hidden="1" customHeight="1">
      <c r="A202" s="141"/>
      <c r="B202" s="141"/>
      <c r="C202" s="142"/>
      <c r="D202" s="141"/>
      <c r="E202" s="150"/>
      <c r="F202" s="150"/>
      <c r="G202" s="145"/>
      <c r="H202" s="145"/>
      <c r="I202" s="145"/>
      <c r="J202" s="145"/>
    </row>
    <row r="203" spans="1:10" s="195" customFormat="1" ht="24.95" hidden="1" customHeight="1">
      <c r="A203" s="141"/>
      <c r="B203" s="141"/>
      <c r="C203" s="142"/>
      <c r="D203" s="141"/>
      <c r="E203" s="150"/>
      <c r="F203" s="150"/>
      <c r="G203" s="145"/>
      <c r="H203" s="145"/>
      <c r="I203" s="145"/>
      <c r="J203" s="145"/>
    </row>
    <row r="204" spans="1:10" s="195" customFormat="1" ht="24.95" hidden="1" customHeight="1">
      <c r="A204" s="141"/>
      <c r="B204" s="141"/>
      <c r="C204" s="142"/>
      <c r="D204" s="141"/>
      <c r="E204" s="150"/>
      <c r="F204" s="150"/>
      <c r="G204" s="145"/>
      <c r="H204" s="145"/>
      <c r="I204" s="145"/>
      <c r="J204" s="145"/>
    </row>
    <row r="205" spans="1:10" s="195" customFormat="1" ht="24.95" hidden="1" customHeight="1">
      <c r="A205" s="141"/>
      <c r="B205" s="141"/>
      <c r="C205" s="142"/>
      <c r="D205" s="141"/>
      <c r="E205" s="150"/>
      <c r="F205" s="150"/>
      <c r="G205" s="145"/>
      <c r="H205" s="145"/>
      <c r="I205" s="145"/>
      <c r="J205" s="145"/>
    </row>
    <row r="206" spans="1:10" s="195" customFormat="1" ht="24.95" hidden="1" customHeight="1">
      <c r="A206" s="141"/>
      <c r="B206" s="141"/>
      <c r="C206" s="142"/>
      <c r="D206" s="141"/>
      <c r="E206" s="150"/>
      <c r="F206" s="150"/>
      <c r="G206" s="145"/>
      <c r="H206" s="145"/>
      <c r="I206" s="145"/>
      <c r="J206" s="145"/>
    </row>
    <row r="207" spans="1:10" s="195" customFormat="1" ht="24.95" hidden="1" customHeight="1">
      <c r="A207" s="141"/>
      <c r="B207" s="141"/>
      <c r="C207" s="142"/>
      <c r="D207" s="141"/>
      <c r="E207" s="150"/>
      <c r="F207" s="150"/>
      <c r="G207" s="145"/>
      <c r="H207" s="145"/>
      <c r="I207" s="145"/>
      <c r="J207" s="145"/>
    </row>
    <row r="208" spans="1:10" s="195" customFormat="1" ht="24.95" hidden="1" customHeight="1">
      <c r="A208" s="141"/>
      <c r="B208" s="141"/>
      <c r="C208" s="142"/>
      <c r="D208" s="141"/>
      <c r="E208" s="150"/>
      <c r="F208" s="150"/>
      <c r="G208" s="145"/>
      <c r="H208" s="145"/>
      <c r="I208" s="145"/>
      <c r="J208" s="145"/>
    </row>
    <row r="209" spans="1:10" s="195" customFormat="1" ht="24.95" hidden="1" customHeight="1">
      <c r="A209" s="141"/>
      <c r="B209" s="141"/>
      <c r="C209" s="142"/>
      <c r="D209" s="141"/>
      <c r="E209" s="150"/>
      <c r="F209" s="150"/>
      <c r="G209" s="145"/>
      <c r="H209" s="145"/>
      <c r="I209" s="145"/>
      <c r="J209" s="145"/>
    </row>
    <row r="210" spans="1:10" s="195" customFormat="1" ht="24.95" hidden="1" customHeight="1">
      <c r="A210" s="141"/>
      <c r="B210" s="141"/>
      <c r="C210" s="142"/>
      <c r="D210" s="141"/>
      <c r="E210" s="150"/>
      <c r="F210" s="150"/>
      <c r="G210" s="145"/>
      <c r="H210" s="145"/>
      <c r="I210" s="145"/>
      <c r="J210" s="145"/>
    </row>
    <row r="211" spans="1:10" s="195" customFormat="1" ht="24.95" hidden="1" customHeight="1">
      <c r="A211" s="141"/>
      <c r="B211" s="141"/>
      <c r="C211" s="142"/>
      <c r="D211" s="141"/>
      <c r="E211" s="150"/>
      <c r="F211" s="150"/>
      <c r="G211" s="145"/>
      <c r="H211" s="145"/>
      <c r="I211" s="145"/>
      <c r="J211" s="145"/>
    </row>
    <row r="212" spans="1:10" s="195" customFormat="1" ht="24.95" hidden="1" customHeight="1">
      <c r="A212" s="141"/>
      <c r="B212" s="141"/>
      <c r="C212" s="142"/>
      <c r="D212" s="141"/>
      <c r="E212" s="150"/>
      <c r="F212" s="150"/>
      <c r="G212" s="145"/>
      <c r="H212" s="145"/>
      <c r="I212" s="145"/>
      <c r="J212" s="145"/>
    </row>
    <row r="213" spans="1:10" s="195" customFormat="1" ht="24.95" hidden="1" customHeight="1">
      <c r="A213" s="141"/>
      <c r="B213" s="141"/>
      <c r="C213" s="142"/>
      <c r="D213" s="141"/>
      <c r="E213" s="150"/>
      <c r="F213" s="150"/>
      <c r="G213" s="145"/>
      <c r="H213" s="145"/>
      <c r="I213" s="145"/>
      <c r="J213" s="145"/>
    </row>
    <row r="214" spans="1:10" s="195" customFormat="1" ht="24.95" hidden="1" customHeight="1">
      <c r="A214" s="141"/>
      <c r="B214" s="141"/>
      <c r="C214" s="142"/>
      <c r="D214" s="141"/>
      <c r="E214" s="150"/>
      <c r="F214" s="150"/>
      <c r="G214" s="145"/>
      <c r="H214" s="145"/>
      <c r="I214" s="145"/>
      <c r="J214" s="145"/>
    </row>
    <row r="215" spans="1:10" s="195" customFormat="1" ht="24.95" hidden="1" customHeight="1">
      <c r="A215" s="141"/>
      <c r="B215" s="141"/>
      <c r="C215" s="142"/>
      <c r="D215" s="141"/>
      <c r="E215" s="150"/>
      <c r="F215" s="150"/>
      <c r="G215" s="145"/>
      <c r="H215" s="145"/>
      <c r="I215" s="145"/>
      <c r="J215" s="145"/>
    </row>
    <row r="216" spans="1:10" s="195" customFormat="1" ht="24.95" hidden="1" customHeight="1">
      <c r="A216" s="141"/>
      <c r="B216" s="141"/>
      <c r="C216" s="142"/>
      <c r="D216" s="141"/>
      <c r="E216" s="150"/>
      <c r="F216" s="150"/>
      <c r="G216" s="145"/>
      <c r="H216" s="145"/>
      <c r="I216" s="145"/>
      <c r="J216" s="145"/>
    </row>
    <row r="217" spans="1:10" s="195" customFormat="1" ht="24.95" hidden="1" customHeight="1">
      <c r="A217" s="141"/>
      <c r="B217" s="141"/>
      <c r="C217" s="142"/>
      <c r="D217" s="141"/>
      <c r="E217" s="150"/>
      <c r="F217" s="150"/>
      <c r="G217" s="145"/>
      <c r="H217" s="145"/>
      <c r="I217" s="145"/>
      <c r="J217" s="145"/>
    </row>
    <row r="218" spans="1:10" s="195" customFormat="1" ht="24.95" hidden="1" customHeight="1">
      <c r="A218" s="141"/>
      <c r="B218" s="141"/>
      <c r="C218" s="142"/>
      <c r="D218" s="141"/>
      <c r="E218" s="150"/>
      <c r="F218" s="150"/>
      <c r="G218" s="145"/>
      <c r="H218" s="145"/>
      <c r="I218" s="145"/>
      <c r="J218" s="145"/>
    </row>
    <row r="219" spans="1:10" s="195" customFormat="1" ht="24.95" hidden="1" customHeight="1">
      <c r="A219" s="141"/>
      <c r="B219" s="141"/>
      <c r="C219" s="142"/>
      <c r="D219" s="141"/>
      <c r="E219" s="150"/>
      <c r="F219" s="150"/>
      <c r="G219" s="145"/>
      <c r="H219" s="145"/>
      <c r="I219" s="145"/>
      <c r="J219" s="145"/>
    </row>
    <row r="220" spans="1:10" s="195" customFormat="1" ht="24.95" hidden="1" customHeight="1">
      <c r="A220" s="141"/>
      <c r="B220" s="141"/>
      <c r="C220" s="142"/>
      <c r="D220" s="141"/>
      <c r="E220" s="150"/>
      <c r="F220" s="150"/>
      <c r="G220" s="145"/>
      <c r="H220" s="145"/>
      <c r="I220" s="145"/>
      <c r="J220" s="145"/>
    </row>
    <row r="221" spans="1:10" s="195" customFormat="1" ht="24.95" hidden="1" customHeight="1">
      <c r="A221" s="141"/>
      <c r="B221" s="141"/>
      <c r="C221" s="142"/>
      <c r="D221" s="141"/>
      <c r="E221" s="150"/>
      <c r="F221" s="150"/>
      <c r="G221" s="145"/>
      <c r="H221" s="145"/>
      <c r="I221" s="145"/>
      <c r="J221" s="145"/>
    </row>
    <row r="222" spans="1:10" s="195" customFormat="1" ht="24.95" hidden="1" customHeight="1">
      <c r="A222" s="141"/>
      <c r="B222" s="141"/>
      <c r="C222" s="142"/>
      <c r="D222" s="141"/>
      <c r="E222" s="150"/>
      <c r="F222" s="150"/>
      <c r="G222" s="145"/>
      <c r="H222" s="145"/>
      <c r="I222" s="145"/>
      <c r="J222" s="145"/>
    </row>
    <row r="223" spans="1:10" s="195" customFormat="1" ht="24.95" hidden="1" customHeight="1">
      <c r="A223" s="141"/>
      <c r="B223" s="141"/>
      <c r="C223" s="142"/>
      <c r="D223" s="141"/>
      <c r="E223" s="150"/>
      <c r="F223" s="150"/>
      <c r="G223" s="145"/>
      <c r="H223" s="145"/>
      <c r="I223" s="145"/>
      <c r="J223" s="145"/>
    </row>
    <row r="224" spans="1:10" s="195" customFormat="1" ht="24.95" hidden="1" customHeight="1">
      <c r="A224" s="141"/>
      <c r="B224" s="141"/>
      <c r="C224" s="142"/>
      <c r="D224" s="141"/>
      <c r="E224" s="150"/>
      <c r="F224" s="150"/>
      <c r="G224" s="145"/>
      <c r="H224" s="145"/>
      <c r="I224" s="145"/>
      <c r="J224" s="145"/>
    </row>
    <row r="225" spans="1:10" s="195" customFormat="1" ht="24.95" hidden="1" customHeight="1">
      <c r="A225" s="141"/>
      <c r="B225" s="141"/>
      <c r="C225" s="142"/>
      <c r="D225" s="141"/>
      <c r="E225" s="150"/>
      <c r="F225" s="150"/>
      <c r="G225" s="145"/>
      <c r="H225" s="145"/>
      <c r="I225" s="145"/>
      <c r="J225" s="145"/>
    </row>
    <row r="226" spans="1:10" s="195" customFormat="1" ht="24.95" hidden="1" customHeight="1">
      <c r="A226" s="141"/>
      <c r="B226" s="141"/>
      <c r="C226" s="142"/>
      <c r="D226" s="141"/>
      <c r="E226" s="150"/>
      <c r="F226" s="150"/>
      <c r="G226" s="145"/>
      <c r="H226" s="145"/>
      <c r="I226" s="145"/>
      <c r="J226" s="145"/>
    </row>
    <row r="227" spans="1:10" s="195" customFormat="1" ht="24.95" hidden="1" customHeight="1">
      <c r="A227" s="141"/>
      <c r="B227" s="141"/>
      <c r="C227" s="142"/>
      <c r="D227" s="141"/>
      <c r="E227" s="150"/>
      <c r="F227" s="150"/>
      <c r="G227" s="145"/>
      <c r="H227" s="145"/>
      <c r="I227" s="145"/>
      <c r="J227" s="145"/>
    </row>
    <row r="228" spans="1:10" s="195" customFormat="1" ht="24.95" hidden="1" customHeight="1">
      <c r="A228" s="141"/>
      <c r="B228" s="141"/>
      <c r="C228" s="142"/>
      <c r="D228" s="141"/>
      <c r="E228" s="150"/>
      <c r="F228" s="150"/>
      <c r="G228" s="145"/>
      <c r="H228" s="145"/>
      <c r="I228" s="145"/>
      <c r="J228" s="145"/>
    </row>
    <row r="229" spans="1:10" s="195" customFormat="1" ht="24.95" hidden="1" customHeight="1">
      <c r="A229" s="141"/>
      <c r="B229" s="141"/>
      <c r="C229" s="142"/>
      <c r="D229" s="141"/>
      <c r="E229" s="150"/>
      <c r="F229" s="150"/>
      <c r="G229" s="145"/>
      <c r="H229" s="145"/>
      <c r="I229" s="145"/>
      <c r="J229" s="145"/>
    </row>
    <row r="230" spans="1:10" s="195" customFormat="1" ht="24.95" hidden="1" customHeight="1">
      <c r="A230" s="141"/>
      <c r="B230" s="141"/>
      <c r="C230" s="142"/>
      <c r="D230" s="141"/>
      <c r="E230" s="150"/>
      <c r="F230" s="150"/>
      <c r="G230" s="145"/>
      <c r="H230" s="145"/>
      <c r="I230" s="145"/>
      <c r="J230" s="145"/>
    </row>
    <row r="231" spans="1:10" s="195" customFormat="1" ht="24.95" hidden="1" customHeight="1">
      <c r="A231" s="141"/>
      <c r="B231" s="141"/>
      <c r="C231" s="142"/>
      <c r="D231" s="141"/>
      <c r="E231" s="150"/>
      <c r="F231" s="150"/>
      <c r="G231" s="145"/>
      <c r="H231" s="145"/>
      <c r="I231" s="145"/>
      <c r="J231" s="145"/>
    </row>
    <row r="232" spans="1:10" s="195" customFormat="1" ht="24.95" hidden="1" customHeight="1">
      <c r="A232" s="141"/>
      <c r="B232" s="141"/>
      <c r="C232" s="142"/>
      <c r="D232" s="141"/>
      <c r="E232" s="150"/>
      <c r="F232" s="150"/>
      <c r="G232" s="145"/>
      <c r="H232" s="145"/>
      <c r="I232" s="145"/>
      <c r="J232" s="145"/>
    </row>
    <row r="233" spans="1:10" s="195" customFormat="1" ht="24.95" hidden="1" customHeight="1">
      <c r="A233" s="141"/>
      <c r="B233" s="141"/>
      <c r="C233" s="142"/>
      <c r="D233" s="141"/>
      <c r="E233" s="150"/>
      <c r="F233" s="150"/>
      <c r="G233" s="145"/>
      <c r="H233" s="145"/>
      <c r="I233" s="145"/>
      <c r="J233" s="145"/>
    </row>
    <row r="234" spans="1:10" s="195" customFormat="1" ht="24.95" hidden="1" customHeight="1">
      <c r="A234" s="141"/>
      <c r="B234" s="141"/>
      <c r="C234" s="142"/>
      <c r="D234" s="141"/>
      <c r="E234" s="150"/>
      <c r="F234" s="150"/>
      <c r="G234" s="145"/>
      <c r="H234" s="145"/>
      <c r="I234" s="145"/>
      <c r="J234" s="145"/>
    </row>
    <row r="235" spans="1:10" s="195" customFormat="1" ht="24.95" hidden="1" customHeight="1">
      <c r="A235" s="141"/>
      <c r="B235" s="141"/>
      <c r="C235" s="142"/>
      <c r="D235" s="141"/>
      <c r="E235" s="150"/>
      <c r="F235" s="150"/>
      <c r="G235" s="145"/>
      <c r="H235" s="145"/>
      <c r="I235" s="145"/>
      <c r="J235" s="145"/>
    </row>
    <row r="236" spans="1:10" s="195" customFormat="1" ht="24.95" hidden="1" customHeight="1">
      <c r="A236" s="141"/>
      <c r="B236" s="141"/>
      <c r="C236" s="142"/>
      <c r="D236" s="141"/>
      <c r="E236" s="150"/>
      <c r="F236" s="150"/>
      <c r="G236" s="145"/>
      <c r="H236" s="145"/>
      <c r="I236" s="145"/>
      <c r="J236" s="145"/>
    </row>
    <row r="237" spans="1:10" s="195" customFormat="1" ht="24.95" hidden="1" customHeight="1">
      <c r="A237" s="141"/>
      <c r="B237" s="141"/>
      <c r="C237" s="142"/>
      <c r="D237" s="141"/>
      <c r="E237" s="150"/>
      <c r="F237" s="150"/>
      <c r="G237" s="145"/>
      <c r="H237" s="145"/>
      <c r="I237" s="145"/>
      <c r="J237" s="145"/>
    </row>
    <row r="238" spans="1:10" s="195" customFormat="1" ht="24.95" hidden="1" customHeight="1">
      <c r="A238" s="141"/>
      <c r="B238" s="141"/>
      <c r="C238" s="142"/>
      <c r="D238" s="141"/>
      <c r="E238" s="150"/>
      <c r="F238" s="150"/>
      <c r="G238" s="145"/>
      <c r="H238" s="145"/>
      <c r="I238" s="145"/>
      <c r="J238" s="145"/>
    </row>
    <row r="239" spans="1:10" s="195" customFormat="1" ht="24.95" hidden="1" customHeight="1">
      <c r="A239" s="141"/>
      <c r="B239" s="141"/>
      <c r="C239" s="142"/>
      <c r="D239" s="141"/>
      <c r="E239" s="150"/>
      <c r="F239" s="150"/>
      <c r="G239" s="145"/>
      <c r="H239" s="145"/>
      <c r="I239" s="145"/>
      <c r="J239" s="145"/>
    </row>
    <row r="240" spans="1:10" s="195" customFormat="1" ht="24.95" hidden="1" customHeight="1">
      <c r="A240" s="141"/>
      <c r="B240" s="141"/>
      <c r="C240" s="142"/>
      <c r="D240" s="141"/>
      <c r="E240" s="150"/>
      <c r="F240" s="150"/>
      <c r="G240" s="145"/>
      <c r="H240" s="145"/>
      <c r="I240" s="145"/>
      <c r="J240" s="145"/>
    </row>
    <row r="241" spans="1:10" s="195" customFormat="1" ht="24.95" hidden="1" customHeight="1">
      <c r="A241" s="141"/>
      <c r="B241" s="141"/>
      <c r="C241" s="142"/>
      <c r="D241" s="141"/>
      <c r="E241" s="150"/>
      <c r="F241" s="150"/>
      <c r="G241" s="145"/>
      <c r="H241" s="145"/>
      <c r="I241" s="145"/>
      <c r="J241" s="145"/>
    </row>
    <row r="242" spans="1:10" s="195" customFormat="1" ht="24.95" hidden="1" customHeight="1">
      <c r="A242" s="141"/>
      <c r="B242" s="141"/>
      <c r="C242" s="142"/>
      <c r="D242" s="141"/>
      <c r="E242" s="150"/>
      <c r="F242" s="150"/>
      <c r="G242" s="145"/>
      <c r="H242" s="145"/>
      <c r="I242" s="145"/>
      <c r="J242" s="145"/>
    </row>
    <row r="243" spans="1:10" s="195" customFormat="1" ht="24.95" hidden="1" customHeight="1">
      <c r="A243" s="141"/>
      <c r="B243" s="141"/>
      <c r="C243" s="142"/>
      <c r="D243" s="141"/>
      <c r="E243" s="150"/>
      <c r="F243" s="150"/>
      <c r="G243" s="145"/>
      <c r="H243" s="145"/>
      <c r="I243" s="145"/>
      <c r="J243" s="145"/>
    </row>
    <row r="244" spans="1:10" s="195" customFormat="1" ht="24.95" hidden="1" customHeight="1">
      <c r="A244" s="141"/>
      <c r="B244" s="141"/>
      <c r="C244" s="142"/>
      <c r="D244" s="141"/>
      <c r="E244" s="150"/>
      <c r="F244" s="150"/>
      <c r="G244" s="145"/>
      <c r="H244" s="145"/>
      <c r="I244" s="145"/>
      <c r="J244" s="145"/>
    </row>
    <row r="245" spans="1:10" s="195" customFormat="1" ht="24.95" hidden="1" customHeight="1">
      <c r="A245" s="141"/>
      <c r="B245" s="141"/>
      <c r="C245" s="142"/>
      <c r="D245" s="141"/>
      <c r="E245" s="150"/>
      <c r="F245" s="150"/>
      <c r="G245" s="145"/>
      <c r="H245" s="145"/>
      <c r="I245" s="145"/>
      <c r="J245" s="145"/>
    </row>
    <row r="246" spans="1:10" s="195" customFormat="1" ht="24.95" hidden="1" customHeight="1">
      <c r="A246" s="141"/>
      <c r="B246" s="141"/>
      <c r="C246" s="142"/>
      <c r="D246" s="141"/>
      <c r="E246" s="150"/>
      <c r="F246" s="150"/>
      <c r="G246" s="145"/>
      <c r="H246" s="145"/>
      <c r="I246" s="145"/>
      <c r="J246" s="145"/>
    </row>
    <row r="247" spans="1:10" s="195" customFormat="1" ht="24.95" hidden="1" customHeight="1">
      <c r="A247" s="141"/>
      <c r="B247" s="141"/>
      <c r="C247" s="142"/>
      <c r="D247" s="141"/>
      <c r="E247" s="150"/>
      <c r="F247" s="150"/>
      <c r="G247" s="145"/>
      <c r="H247" s="145"/>
      <c r="I247" s="145"/>
      <c r="J247" s="145"/>
    </row>
    <row r="248" spans="1:10" s="195" customFormat="1" ht="24.95" hidden="1" customHeight="1">
      <c r="A248" s="141"/>
      <c r="B248" s="141"/>
      <c r="C248" s="142"/>
      <c r="D248" s="141"/>
      <c r="E248" s="150"/>
      <c r="F248" s="150"/>
      <c r="G248" s="145"/>
      <c r="H248" s="145"/>
      <c r="I248" s="145"/>
      <c r="J248" s="145"/>
    </row>
    <row r="249" spans="1:10" s="195" customFormat="1" ht="24.95" hidden="1" customHeight="1">
      <c r="A249" s="141"/>
      <c r="B249" s="141"/>
      <c r="C249" s="142"/>
      <c r="D249" s="141"/>
      <c r="E249" s="150"/>
      <c r="F249" s="150"/>
      <c r="G249" s="145"/>
      <c r="H249" s="145"/>
      <c r="I249" s="145"/>
      <c r="J249" s="145"/>
    </row>
    <row r="250" spans="1:10" s="195" customFormat="1" ht="24.95" hidden="1" customHeight="1">
      <c r="A250" s="141"/>
      <c r="B250" s="141"/>
      <c r="C250" s="142"/>
      <c r="D250" s="141"/>
      <c r="E250" s="150"/>
      <c r="F250" s="150"/>
      <c r="G250" s="145"/>
      <c r="H250" s="145"/>
      <c r="I250" s="145"/>
      <c r="J250" s="145"/>
    </row>
    <row r="251" spans="1:10" s="195" customFormat="1" ht="24.95" hidden="1" customHeight="1">
      <c r="A251" s="141"/>
      <c r="B251" s="141"/>
      <c r="C251" s="142"/>
      <c r="D251" s="141"/>
      <c r="E251" s="150"/>
      <c r="F251" s="150"/>
      <c r="G251" s="145"/>
      <c r="H251" s="145"/>
      <c r="I251" s="145"/>
      <c r="J251" s="145"/>
    </row>
    <row r="252" spans="1:10" s="195" customFormat="1" ht="24.95" hidden="1" customHeight="1">
      <c r="A252" s="141"/>
      <c r="B252" s="141"/>
      <c r="C252" s="142"/>
      <c r="D252" s="141"/>
      <c r="E252" s="150"/>
      <c r="F252" s="150"/>
      <c r="G252" s="145"/>
      <c r="H252" s="145"/>
      <c r="I252" s="145"/>
      <c r="J252" s="145"/>
    </row>
    <row r="253" spans="1:10" s="195" customFormat="1" ht="24.95" hidden="1" customHeight="1">
      <c r="A253" s="141"/>
      <c r="B253" s="141"/>
      <c r="C253" s="142"/>
      <c r="D253" s="141"/>
      <c r="E253" s="150"/>
      <c r="F253" s="150"/>
      <c r="G253" s="145"/>
      <c r="H253" s="145"/>
      <c r="I253" s="145"/>
      <c r="J253" s="145"/>
    </row>
    <row r="254" spans="1:10" s="195" customFormat="1" ht="24.95" hidden="1" customHeight="1">
      <c r="A254" s="141"/>
      <c r="B254" s="141"/>
      <c r="C254" s="142"/>
      <c r="D254" s="141"/>
      <c r="E254" s="150"/>
      <c r="F254" s="150"/>
      <c r="G254" s="145"/>
      <c r="H254" s="145"/>
      <c r="I254" s="145"/>
      <c r="J254" s="145"/>
    </row>
    <row r="255" spans="1:10" s="195" customFormat="1" ht="24.95" hidden="1" customHeight="1">
      <c r="A255" s="141"/>
      <c r="B255" s="141"/>
      <c r="C255" s="142"/>
      <c r="D255" s="141"/>
      <c r="E255" s="150"/>
      <c r="F255" s="150"/>
      <c r="G255" s="145"/>
      <c r="H255" s="145"/>
      <c r="I255" s="145"/>
      <c r="J255" s="145"/>
    </row>
    <row r="256" spans="1:10" s="195" customFormat="1" ht="24.95" hidden="1" customHeight="1">
      <c r="A256" s="141"/>
      <c r="B256" s="141"/>
      <c r="C256" s="142"/>
      <c r="D256" s="141"/>
      <c r="E256" s="150"/>
      <c r="F256" s="150"/>
      <c r="G256" s="145"/>
      <c r="H256" s="145"/>
      <c r="I256" s="145"/>
      <c r="J256" s="145"/>
    </row>
    <row r="257" spans="1:10" s="195" customFormat="1" ht="24.95" hidden="1" customHeight="1">
      <c r="A257" s="141"/>
      <c r="B257" s="141"/>
      <c r="C257" s="142"/>
      <c r="D257" s="141"/>
      <c r="E257" s="150"/>
      <c r="F257" s="150"/>
      <c r="G257" s="145"/>
      <c r="H257" s="145"/>
      <c r="I257" s="145"/>
      <c r="J257" s="145"/>
    </row>
    <row r="258" spans="1:10" s="195" customFormat="1" ht="24.95" hidden="1" customHeight="1">
      <c r="A258" s="141"/>
      <c r="B258" s="141"/>
      <c r="C258" s="142"/>
      <c r="D258" s="141"/>
      <c r="E258" s="150"/>
      <c r="F258" s="150"/>
      <c r="G258" s="145"/>
      <c r="H258" s="145"/>
      <c r="I258" s="145"/>
      <c r="J258" s="145"/>
    </row>
    <row r="259" spans="1:10" s="195" customFormat="1" ht="24.95" hidden="1" customHeight="1">
      <c r="A259" s="141"/>
      <c r="B259" s="141"/>
      <c r="C259" s="142"/>
      <c r="D259" s="141"/>
      <c r="E259" s="150"/>
      <c r="F259" s="150"/>
      <c r="G259" s="145"/>
      <c r="H259" s="145"/>
      <c r="I259" s="145"/>
      <c r="J259" s="145"/>
    </row>
    <row r="260" spans="1:10" s="195" customFormat="1" ht="24.95" hidden="1" customHeight="1">
      <c r="A260" s="141"/>
      <c r="B260" s="141"/>
      <c r="C260" s="142"/>
      <c r="D260" s="141"/>
      <c r="E260" s="150"/>
      <c r="F260" s="150"/>
      <c r="G260" s="145"/>
      <c r="H260" s="145"/>
      <c r="I260" s="145"/>
      <c r="J260" s="145"/>
    </row>
    <row r="261" spans="1:10" s="195" customFormat="1" ht="24.95" hidden="1" customHeight="1">
      <c r="A261" s="141"/>
      <c r="B261" s="141"/>
      <c r="C261" s="142"/>
      <c r="D261" s="141"/>
      <c r="E261" s="150"/>
      <c r="F261" s="150"/>
      <c r="G261" s="145"/>
      <c r="H261" s="145"/>
      <c r="I261" s="145"/>
      <c r="J261" s="145"/>
    </row>
    <row r="262" spans="1:10" s="195" customFormat="1" ht="24.95" hidden="1" customHeight="1">
      <c r="A262" s="141"/>
      <c r="B262" s="141"/>
      <c r="C262" s="142"/>
      <c r="D262" s="141"/>
      <c r="E262" s="150"/>
      <c r="F262" s="150"/>
      <c r="G262" s="145"/>
      <c r="H262" s="145"/>
      <c r="I262" s="145"/>
      <c r="J262" s="145"/>
    </row>
    <row r="263" spans="1:10" s="195" customFormat="1" ht="24.95" hidden="1" customHeight="1">
      <c r="A263" s="141"/>
      <c r="B263" s="141"/>
      <c r="C263" s="142"/>
      <c r="D263" s="141"/>
      <c r="E263" s="150"/>
      <c r="F263" s="150"/>
      <c r="G263" s="145"/>
      <c r="H263" s="145"/>
      <c r="I263" s="145"/>
      <c r="J263" s="145"/>
    </row>
    <row r="264" spans="1:10" s="195" customFormat="1" ht="24.95" hidden="1" customHeight="1">
      <c r="A264" s="141"/>
      <c r="B264" s="141"/>
      <c r="C264" s="142"/>
      <c r="D264" s="141"/>
      <c r="E264" s="150"/>
      <c r="F264" s="150"/>
      <c r="G264" s="145"/>
      <c r="H264" s="145"/>
      <c r="I264" s="145"/>
      <c r="J264" s="145"/>
    </row>
    <row r="265" spans="1:10" s="195" customFormat="1" ht="24.95" hidden="1" customHeight="1">
      <c r="A265" s="141"/>
      <c r="B265" s="141"/>
      <c r="C265" s="142"/>
      <c r="D265" s="141"/>
      <c r="E265" s="150"/>
      <c r="F265" s="150"/>
      <c r="G265" s="145"/>
      <c r="H265" s="145"/>
      <c r="I265" s="145"/>
      <c r="J265" s="145"/>
    </row>
    <row r="266" spans="1:10" s="195" customFormat="1" ht="24.95" hidden="1" customHeight="1">
      <c r="A266" s="141"/>
      <c r="B266" s="141"/>
      <c r="C266" s="142"/>
      <c r="D266" s="141"/>
      <c r="E266" s="150"/>
      <c r="F266" s="150"/>
      <c r="G266" s="145"/>
      <c r="H266" s="145"/>
      <c r="I266" s="145"/>
      <c r="J266" s="145"/>
    </row>
    <row r="267" spans="1:10" s="195" customFormat="1" ht="24.95" hidden="1" customHeight="1">
      <c r="A267" s="141"/>
      <c r="B267" s="141"/>
      <c r="C267" s="142"/>
      <c r="D267" s="141"/>
      <c r="E267" s="150"/>
      <c r="F267" s="150"/>
      <c r="G267" s="145"/>
      <c r="H267" s="145"/>
      <c r="I267" s="145"/>
      <c r="J267" s="145"/>
    </row>
    <row r="268" spans="1:10" s="195" customFormat="1" ht="24.95" hidden="1" customHeight="1">
      <c r="A268" s="141"/>
      <c r="B268" s="141"/>
      <c r="C268" s="142"/>
      <c r="D268" s="141"/>
      <c r="E268" s="150"/>
      <c r="F268" s="150"/>
      <c r="G268" s="145"/>
      <c r="H268" s="145"/>
      <c r="I268" s="145"/>
      <c r="J268" s="145"/>
    </row>
    <row r="269" spans="1:10" s="195" customFormat="1" ht="24.95" hidden="1" customHeight="1">
      <c r="A269" s="141"/>
      <c r="B269" s="141"/>
      <c r="C269" s="142"/>
      <c r="D269" s="141"/>
      <c r="E269" s="150"/>
      <c r="F269" s="150"/>
      <c r="G269" s="145"/>
      <c r="H269" s="145"/>
      <c r="I269" s="145"/>
      <c r="J269" s="145"/>
    </row>
    <row r="270" spans="1:10" s="195" customFormat="1" ht="24.95" hidden="1" customHeight="1">
      <c r="A270" s="141"/>
      <c r="B270" s="141"/>
      <c r="C270" s="142"/>
      <c r="D270" s="141"/>
      <c r="E270" s="150"/>
      <c r="F270" s="150"/>
      <c r="G270" s="145"/>
      <c r="H270" s="145"/>
      <c r="I270" s="145"/>
      <c r="J270" s="145"/>
    </row>
    <row r="271" spans="1:10" s="195" customFormat="1" ht="24.95" hidden="1" customHeight="1">
      <c r="A271" s="141"/>
      <c r="B271" s="141"/>
      <c r="C271" s="142"/>
      <c r="D271" s="141"/>
      <c r="E271" s="150"/>
      <c r="F271" s="150"/>
      <c r="G271" s="145"/>
      <c r="H271" s="145"/>
      <c r="I271" s="145"/>
      <c r="J271" s="145"/>
    </row>
    <row r="272" spans="1:10" s="195" customFormat="1" ht="24.95" hidden="1" customHeight="1">
      <c r="A272" s="141"/>
      <c r="B272" s="141"/>
      <c r="C272" s="142"/>
      <c r="D272" s="141"/>
      <c r="E272" s="150"/>
      <c r="F272" s="150"/>
      <c r="G272" s="145"/>
      <c r="H272" s="145"/>
      <c r="I272" s="145"/>
      <c r="J272" s="145"/>
    </row>
    <row r="273" spans="1:10" s="195" customFormat="1" ht="24.95" hidden="1" customHeight="1">
      <c r="A273" s="141"/>
      <c r="B273" s="141"/>
      <c r="C273" s="142"/>
      <c r="D273" s="141"/>
      <c r="E273" s="150"/>
      <c r="F273" s="150"/>
      <c r="G273" s="145"/>
      <c r="H273" s="145"/>
      <c r="I273" s="145"/>
      <c r="J273" s="145"/>
    </row>
    <row r="274" spans="1:10" s="195" customFormat="1" ht="24.95" hidden="1" customHeight="1">
      <c r="A274" s="141"/>
      <c r="B274" s="141"/>
      <c r="C274" s="142"/>
      <c r="D274" s="141"/>
      <c r="E274" s="150"/>
      <c r="F274" s="150"/>
      <c r="G274" s="145"/>
      <c r="H274" s="145"/>
      <c r="I274" s="145"/>
      <c r="J274" s="145"/>
    </row>
    <row r="275" spans="1:10" s="195" customFormat="1" ht="24.95" hidden="1" customHeight="1">
      <c r="A275" s="141"/>
      <c r="B275" s="141"/>
      <c r="C275" s="142"/>
      <c r="D275" s="141"/>
      <c r="E275" s="150"/>
      <c r="F275" s="150"/>
      <c r="G275" s="145"/>
      <c r="H275" s="145"/>
      <c r="I275" s="145"/>
      <c r="J275" s="145"/>
    </row>
    <row r="276" spans="1:10" s="195" customFormat="1" ht="24.95" hidden="1" customHeight="1">
      <c r="A276" s="141"/>
      <c r="B276" s="141"/>
      <c r="C276" s="142"/>
      <c r="D276" s="141"/>
      <c r="E276" s="150"/>
      <c r="F276" s="150"/>
      <c r="G276" s="145"/>
      <c r="H276" s="145"/>
      <c r="I276" s="145"/>
      <c r="J276" s="145"/>
    </row>
    <row r="277" spans="1:10" s="195" customFormat="1" ht="24.95" hidden="1" customHeight="1">
      <c r="A277" s="141"/>
      <c r="B277" s="141"/>
      <c r="C277" s="142"/>
      <c r="D277" s="141"/>
      <c r="E277" s="150"/>
      <c r="F277" s="150"/>
      <c r="G277" s="145"/>
      <c r="H277" s="145"/>
      <c r="I277" s="145"/>
      <c r="J277" s="145"/>
    </row>
    <row r="278" spans="1:10" s="195" customFormat="1" ht="24.95" hidden="1" customHeight="1">
      <c r="A278" s="141"/>
      <c r="B278" s="141"/>
      <c r="C278" s="142"/>
      <c r="D278" s="141"/>
      <c r="E278" s="150"/>
      <c r="F278" s="150"/>
      <c r="G278" s="145"/>
      <c r="H278" s="145"/>
      <c r="I278" s="145"/>
      <c r="J278" s="145"/>
    </row>
    <row r="279" spans="1:10" s="195" customFormat="1" ht="24.95" hidden="1" customHeight="1">
      <c r="A279" s="141"/>
      <c r="B279" s="141"/>
      <c r="C279" s="142"/>
      <c r="D279" s="141"/>
      <c r="E279" s="150"/>
      <c r="F279" s="150"/>
      <c r="G279" s="145"/>
      <c r="H279" s="145"/>
      <c r="I279" s="145"/>
      <c r="J279" s="145"/>
    </row>
    <row r="280" spans="1:10" s="195" customFormat="1" ht="24.95" hidden="1" customHeight="1">
      <c r="A280" s="141"/>
      <c r="B280" s="141"/>
      <c r="C280" s="142"/>
      <c r="D280" s="141"/>
      <c r="E280" s="150"/>
      <c r="F280" s="150"/>
      <c r="G280" s="145"/>
      <c r="H280" s="145"/>
      <c r="I280" s="145"/>
      <c r="J280" s="145"/>
    </row>
    <row r="281" spans="1:10" s="195" customFormat="1" ht="24.95" hidden="1" customHeight="1">
      <c r="A281" s="141"/>
      <c r="B281" s="141"/>
      <c r="C281" s="142"/>
      <c r="D281" s="141"/>
      <c r="E281" s="150"/>
      <c r="F281" s="150"/>
      <c r="G281" s="145"/>
      <c r="H281" s="145"/>
      <c r="I281" s="145"/>
      <c r="J281" s="145"/>
    </row>
    <row r="282" spans="1:10" s="195" customFormat="1" ht="24.95" hidden="1" customHeight="1">
      <c r="A282" s="141"/>
      <c r="B282" s="141"/>
      <c r="C282" s="142"/>
      <c r="D282" s="141"/>
      <c r="E282" s="150"/>
      <c r="F282" s="150"/>
      <c r="G282" s="145"/>
      <c r="H282" s="145"/>
      <c r="I282" s="145"/>
      <c r="J282" s="145"/>
    </row>
    <row r="283" spans="1:10" s="195" customFormat="1" ht="24.95" hidden="1" customHeight="1">
      <c r="A283" s="141"/>
      <c r="B283" s="141"/>
      <c r="C283" s="142"/>
      <c r="D283" s="141"/>
      <c r="E283" s="150"/>
      <c r="F283" s="150"/>
      <c r="G283" s="145"/>
      <c r="H283" s="145"/>
      <c r="I283" s="145"/>
      <c r="J283" s="145"/>
    </row>
    <row r="284" spans="1:10" s="195" customFormat="1" ht="24.95" hidden="1" customHeight="1">
      <c r="A284" s="141"/>
      <c r="B284" s="141"/>
      <c r="C284" s="142"/>
      <c r="D284" s="141"/>
      <c r="E284" s="150"/>
      <c r="F284" s="150"/>
      <c r="G284" s="145"/>
      <c r="H284" s="145"/>
      <c r="I284" s="145"/>
      <c r="J284" s="145"/>
    </row>
    <row r="285" spans="1:10" s="195" customFormat="1" ht="24.95" hidden="1" customHeight="1">
      <c r="A285" s="141"/>
      <c r="B285" s="141"/>
      <c r="C285" s="142"/>
      <c r="D285" s="141"/>
      <c r="E285" s="150"/>
      <c r="F285" s="150"/>
      <c r="G285" s="145"/>
      <c r="H285" s="145"/>
      <c r="I285" s="145"/>
      <c r="J285" s="145"/>
    </row>
    <row r="286" spans="1:10" s="195" customFormat="1" ht="24.95" hidden="1" customHeight="1">
      <c r="A286" s="141"/>
      <c r="B286" s="141"/>
      <c r="C286" s="142"/>
      <c r="D286" s="141"/>
      <c r="E286" s="150"/>
      <c r="F286" s="150"/>
      <c r="G286" s="145"/>
      <c r="H286" s="145"/>
      <c r="I286" s="145"/>
      <c r="J286" s="145"/>
    </row>
    <row r="287" spans="1:10" s="195" customFormat="1" ht="24.95" hidden="1" customHeight="1">
      <c r="A287" s="141"/>
      <c r="B287" s="141"/>
      <c r="C287" s="142"/>
      <c r="D287" s="141"/>
      <c r="E287" s="150"/>
      <c r="F287" s="150"/>
      <c r="G287" s="145"/>
      <c r="H287" s="145"/>
      <c r="I287" s="145"/>
      <c r="J287" s="145"/>
    </row>
    <row r="288" spans="1:10" s="195" customFormat="1" ht="24.95" hidden="1" customHeight="1">
      <c r="A288" s="141"/>
      <c r="B288" s="141"/>
      <c r="C288" s="142"/>
      <c r="D288" s="141"/>
      <c r="E288" s="150"/>
      <c r="F288" s="150"/>
      <c r="G288" s="145"/>
      <c r="H288" s="145"/>
      <c r="I288" s="145"/>
      <c r="J288" s="145"/>
    </row>
    <row r="289" spans="1:10" s="195" customFormat="1" ht="24.95" hidden="1" customHeight="1">
      <c r="A289" s="141"/>
      <c r="B289" s="141"/>
      <c r="C289" s="142"/>
      <c r="D289" s="141"/>
      <c r="E289" s="150"/>
      <c r="F289" s="150"/>
      <c r="G289" s="145"/>
      <c r="H289" s="145"/>
      <c r="I289" s="145"/>
      <c r="J289" s="145"/>
    </row>
    <row r="290" spans="1:10" s="195" customFormat="1" ht="24.95" hidden="1" customHeight="1">
      <c r="A290" s="141"/>
      <c r="B290" s="141"/>
      <c r="C290" s="142"/>
      <c r="D290" s="141"/>
      <c r="E290" s="150"/>
      <c r="F290" s="150"/>
      <c r="G290" s="145"/>
      <c r="H290" s="145"/>
      <c r="I290" s="145"/>
      <c r="J290" s="145"/>
    </row>
    <row r="291" spans="1:10" s="195" customFormat="1" ht="24.95" hidden="1" customHeight="1">
      <c r="A291" s="141"/>
      <c r="B291" s="141"/>
      <c r="C291" s="142"/>
      <c r="D291" s="141"/>
      <c r="E291" s="150"/>
      <c r="F291" s="150"/>
      <c r="G291" s="145"/>
      <c r="H291" s="145"/>
      <c r="I291" s="145"/>
      <c r="J291" s="145"/>
    </row>
    <row r="292" spans="1:10" s="195" customFormat="1" ht="24.95" hidden="1" customHeight="1">
      <c r="A292" s="141"/>
      <c r="B292" s="141"/>
      <c r="C292" s="142"/>
      <c r="D292" s="141"/>
      <c r="E292" s="150"/>
      <c r="F292" s="150"/>
      <c r="G292" s="145"/>
      <c r="H292" s="145"/>
      <c r="I292" s="145"/>
      <c r="J292" s="145"/>
    </row>
    <row r="293" spans="1:10" s="195" customFormat="1" ht="24.95" hidden="1" customHeight="1">
      <c r="A293" s="141"/>
      <c r="B293" s="141"/>
      <c r="C293" s="142"/>
      <c r="D293" s="141"/>
      <c r="E293" s="150"/>
      <c r="F293" s="150"/>
      <c r="G293" s="145"/>
      <c r="H293" s="145"/>
      <c r="I293" s="145"/>
      <c r="J293" s="145"/>
    </row>
    <row r="294" spans="1:10" s="195" customFormat="1" ht="24.95" hidden="1" customHeight="1">
      <c r="A294" s="141"/>
      <c r="B294" s="141"/>
      <c r="C294" s="142"/>
      <c r="D294" s="141"/>
      <c r="E294" s="150"/>
      <c r="F294" s="150"/>
      <c r="G294" s="145"/>
      <c r="H294" s="145"/>
      <c r="I294" s="145"/>
      <c r="J294" s="145"/>
    </row>
    <row r="295" spans="1:10" s="195" customFormat="1" ht="24.95" hidden="1" customHeight="1">
      <c r="A295" s="141"/>
      <c r="B295" s="141"/>
      <c r="C295" s="142"/>
      <c r="D295" s="141"/>
      <c r="E295" s="150"/>
      <c r="F295" s="150"/>
      <c r="G295" s="145"/>
      <c r="H295" s="145"/>
      <c r="I295" s="145"/>
      <c r="J295" s="145"/>
    </row>
    <row r="296" spans="1:10" s="195" customFormat="1" ht="24.95" hidden="1" customHeight="1">
      <c r="A296" s="141"/>
      <c r="B296" s="141"/>
      <c r="C296" s="142"/>
      <c r="D296" s="141"/>
      <c r="E296" s="150"/>
      <c r="F296" s="150"/>
      <c r="G296" s="145"/>
      <c r="H296" s="145"/>
      <c r="I296" s="145"/>
      <c r="J296" s="145"/>
    </row>
    <row r="297" spans="1:10" s="195" customFormat="1" ht="24.95" hidden="1" customHeight="1">
      <c r="A297" s="141"/>
      <c r="B297" s="141"/>
      <c r="C297" s="142"/>
      <c r="D297" s="141"/>
      <c r="E297" s="150"/>
      <c r="F297" s="150"/>
      <c r="G297" s="145"/>
      <c r="H297" s="145"/>
      <c r="I297" s="145"/>
      <c r="J297" s="145"/>
    </row>
    <row r="298" spans="1:10" s="195" customFormat="1" ht="24.95" hidden="1" customHeight="1">
      <c r="A298" s="141"/>
      <c r="B298" s="141"/>
      <c r="C298" s="142"/>
      <c r="D298" s="141"/>
      <c r="E298" s="150"/>
      <c r="F298" s="150"/>
      <c r="G298" s="145"/>
      <c r="H298" s="145"/>
      <c r="I298" s="145"/>
      <c r="J298" s="145"/>
    </row>
    <row r="299" spans="1:10" s="195" customFormat="1" ht="24.95" hidden="1" customHeight="1">
      <c r="A299" s="141"/>
      <c r="B299" s="141"/>
      <c r="C299" s="142"/>
      <c r="D299" s="141"/>
      <c r="E299" s="150"/>
      <c r="F299" s="150"/>
      <c r="G299" s="145"/>
      <c r="H299" s="145"/>
      <c r="I299" s="145"/>
      <c r="J299" s="145"/>
    </row>
    <row r="300" spans="1:10" s="195" customFormat="1" ht="24.95" hidden="1" customHeight="1">
      <c r="A300" s="141"/>
      <c r="B300" s="141"/>
      <c r="C300" s="142"/>
      <c r="D300" s="141"/>
      <c r="E300" s="150"/>
      <c r="F300" s="150"/>
      <c r="G300" s="145"/>
      <c r="H300" s="145"/>
      <c r="I300" s="145"/>
      <c r="J300" s="145"/>
    </row>
    <row r="301" spans="1:10" s="195" customFormat="1" ht="24.95" hidden="1" customHeight="1">
      <c r="A301" s="141"/>
      <c r="B301" s="141"/>
      <c r="C301" s="142"/>
      <c r="D301" s="141"/>
      <c r="E301" s="150"/>
      <c r="F301" s="150"/>
      <c r="G301" s="145"/>
      <c r="H301" s="145"/>
      <c r="I301" s="145"/>
      <c r="J301" s="145"/>
    </row>
    <row r="302" spans="1:10" s="195" customFormat="1" ht="24.95" hidden="1" customHeight="1">
      <c r="A302" s="141"/>
      <c r="B302" s="141"/>
      <c r="C302" s="142"/>
      <c r="D302" s="141"/>
      <c r="E302" s="150"/>
      <c r="F302" s="150"/>
      <c r="G302" s="145"/>
      <c r="H302" s="145"/>
      <c r="I302" s="145"/>
      <c r="J302" s="145"/>
    </row>
    <row r="303" spans="1:10" s="195" customFormat="1" ht="24.95" hidden="1" customHeight="1">
      <c r="A303" s="141"/>
      <c r="B303" s="141"/>
      <c r="C303" s="142"/>
      <c r="D303" s="141"/>
      <c r="E303" s="150"/>
      <c r="F303" s="150"/>
      <c r="G303" s="145"/>
      <c r="H303" s="145"/>
      <c r="I303" s="145"/>
      <c r="J303" s="145"/>
    </row>
    <row r="304" spans="1:10" s="195" customFormat="1" ht="24.95" hidden="1" customHeight="1">
      <c r="A304" s="141"/>
      <c r="B304" s="141"/>
      <c r="C304" s="142"/>
      <c r="D304" s="141"/>
      <c r="E304" s="150"/>
      <c r="F304" s="150"/>
      <c r="G304" s="145"/>
      <c r="H304" s="145"/>
      <c r="I304" s="145"/>
      <c r="J304" s="145"/>
    </row>
    <row r="305" spans="1:10" s="195" customFormat="1" ht="24.95" hidden="1" customHeight="1">
      <c r="A305" s="141"/>
      <c r="B305" s="141"/>
      <c r="C305" s="142"/>
      <c r="D305" s="141"/>
      <c r="E305" s="150"/>
      <c r="F305" s="150"/>
      <c r="G305" s="145"/>
      <c r="H305" s="145"/>
      <c r="I305" s="145"/>
      <c r="J305" s="145"/>
    </row>
    <row r="306" spans="1:10" s="195" customFormat="1" ht="24.95" hidden="1" customHeight="1">
      <c r="A306" s="141"/>
      <c r="B306" s="141"/>
      <c r="C306" s="142"/>
      <c r="D306" s="141"/>
      <c r="E306" s="150"/>
      <c r="F306" s="150"/>
      <c r="G306" s="145"/>
      <c r="H306" s="145"/>
      <c r="I306" s="145"/>
      <c r="J306" s="145"/>
    </row>
    <row r="307" spans="1:10" s="195" customFormat="1" ht="24.95" hidden="1" customHeight="1">
      <c r="A307" s="141"/>
      <c r="B307" s="141"/>
      <c r="C307" s="142"/>
      <c r="D307" s="141"/>
      <c r="E307" s="150"/>
      <c r="F307" s="150"/>
      <c r="G307" s="145"/>
      <c r="H307" s="145"/>
      <c r="I307" s="145"/>
      <c r="J307" s="145"/>
    </row>
    <row r="308" spans="1:10" s="195" customFormat="1" ht="24.95" hidden="1" customHeight="1">
      <c r="A308" s="141"/>
      <c r="B308" s="141"/>
      <c r="C308" s="142"/>
      <c r="D308" s="141"/>
      <c r="E308" s="150"/>
      <c r="F308" s="150"/>
      <c r="G308" s="145"/>
      <c r="H308" s="145"/>
      <c r="I308" s="145"/>
      <c r="J308" s="145"/>
    </row>
    <row r="309" spans="1:10" s="195" customFormat="1" ht="24.95" hidden="1" customHeight="1">
      <c r="A309" s="141"/>
      <c r="B309" s="141"/>
      <c r="C309" s="142"/>
      <c r="D309" s="141"/>
      <c r="E309" s="150"/>
      <c r="F309" s="150"/>
      <c r="G309" s="145"/>
      <c r="H309" s="145"/>
      <c r="I309" s="145"/>
      <c r="J309" s="145"/>
    </row>
    <row r="310" spans="1:10" s="195" customFormat="1" ht="24.95" hidden="1" customHeight="1">
      <c r="A310" s="141"/>
      <c r="B310" s="141"/>
      <c r="C310" s="142"/>
      <c r="D310" s="141"/>
      <c r="E310" s="150"/>
      <c r="F310" s="150"/>
      <c r="G310" s="145"/>
      <c r="H310" s="145"/>
      <c r="I310" s="145"/>
      <c r="J310" s="145"/>
    </row>
    <row r="311" spans="1:10" s="195" customFormat="1" ht="24.95" hidden="1" customHeight="1">
      <c r="A311" s="141"/>
      <c r="B311" s="141"/>
      <c r="C311" s="142"/>
      <c r="D311" s="141"/>
      <c r="E311" s="150"/>
      <c r="F311" s="150"/>
      <c r="G311" s="145"/>
      <c r="H311" s="145"/>
      <c r="I311" s="145"/>
      <c r="J311" s="145"/>
    </row>
    <row r="312" spans="1:10" s="195" customFormat="1" ht="24.95" hidden="1" customHeight="1">
      <c r="A312" s="141"/>
      <c r="B312" s="141"/>
      <c r="C312" s="142"/>
      <c r="D312" s="141"/>
      <c r="E312" s="150"/>
      <c r="F312" s="150"/>
      <c r="G312" s="145"/>
      <c r="H312" s="145"/>
      <c r="I312" s="145"/>
      <c r="J312" s="145"/>
    </row>
    <row r="313" spans="1:10" s="195" customFormat="1" ht="24.95" hidden="1" customHeight="1">
      <c r="A313" s="141"/>
      <c r="B313" s="141"/>
      <c r="C313" s="142"/>
      <c r="D313" s="141"/>
      <c r="E313" s="150"/>
      <c r="F313" s="150"/>
      <c r="G313" s="145"/>
      <c r="H313" s="145"/>
      <c r="I313" s="145"/>
      <c r="J313" s="145"/>
    </row>
    <row r="314" spans="1:10" s="195" customFormat="1" ht="24.95" hidden="1" customHeight="1">
      <c r="A314" s="141"/>
      <c r="B314" s="141"/>
      <c r="C314" s="142"/>
      <c r="D314" s="141"/>
      <c r="E314" s="150"/>
      <c r="F314" s="150"/>
      <c r="G314" s="145"/>
      <c r="H314" s="145"/>
      <c r="I314" s="145"/>
      <c r="J314" s="145"/>
    </row>
    <row r="315" spans="1:10" s="195" customFormat="1" ht="24.95" hidden="1" customHeight="1">
      <c r="A315" s="141"/>
      <c r="B315" s="141"/>
      <c r="C315" s="142"/>
      <c r="D315" s="141"/>
      <c r="E315" s="150"/>
      <c r="F315" s="150"/>
      <c r="G315" s="145"/>
      <c r="H315" s="145"/>
      <c r="I315" s="145"/>
      <c r="J315" s="145"/>
    </row>
    <row r="316" spans="1:10" s="195" customFormat="1" ht="24.95" hidden="1" customHeight="1">
      <c r="A316" s="141"/>
      <c r="B316" s="141"/>
      <c r="C316" s="142"/>
      <c r="D316" s="141"/>
      <c r="E316" s="150"/>
      <c r="F316" s="150"/>
      <c r="G316" s="145"/>
      <c r="H316" s="145"/>
      <c r="I316" s="145"/>
      <c r="J316" s="145"/>
    </row>
    <row r="317" spans="1:10" s="195" customFormat="1" ht="24.95" hidden="1" customHeight="1">
      <c r="A317" s="141"/>
      <c r="B317" s="141"/>
      <c r="C317" s="142"/>
      <c r="D317" s="141"/>
      <c r="E317" s="150"/>
      <c r="F317" s="150"/>
      <c r="G317" s="145"/>
      <c r="H317" s="145"/>
      <c r="I317" s="145"/>
      <c r="J317" s="145"/>
    </row>
    <row r="318" spans="1:10" s="195" customFormat="1" ht="24.95" hidden="1" customHeight="1">
      <c r="A318" s="141"/>
      <c r="B318" s="141"/>
      <c r="C318" s="142"/>
      <c r="D318" s="141"/>
      <c r="E318" s="150"/>
      <c r="F318" s="150"/>
      <c r="G318" s="145"/>
      <c r="H318" s="145"/>
      <c r="I318" s="145"/>
      <c r="J318" s="145"/>
    </row>
    <row r="319" spans="1:10" s="195" customFormat="1" ht="24.95" hidden="1" customHeight="1">
      <c r="A319" s="141"/>
      <c r="B319" s="141"/>
      <c r="C319" s="142"/>
      <c r="D319" s="141"/>
      <c r="E319" s="150"/>
      <c r="F319" s="150"/>
      <c r="G319" s="145"/>
      <c r="H319" s="145"/>
      <c r="I319" s="145"/>
      <c r="J319" s="145"/>
    </row>
    <row r="320" spans="1:10" s="195" customFormat="1" ht="24.95" hidden="1" customHeight="1">
      <c r="A320" s="141"/>
      <c r="B320" s="141"/>
      <c r="C320" s="142"/>
      <c r="D320" s="141"/>
      <c r="E320" s="150"/>
      <c r="F320" s="150"/>
      <c r="G320" s="145"/>
      <c r="H320" s="145"/>
      <c r="I320" s="145"/>
      <c r="J320" s="145"/>
    </row>
    <row r="321" spans="1:10" s="195" customFormat="1" ht="24.95" hidden="1" customHeight="1">
      <c r="A321" s="141"/>
      <c r="B321" s="141"/>
      <c r="C321" s="142"/>
      <c r="D321" s="141"/>
      <c r="E321" s="150"/>
      <c r="F321" s="150"/>
      <c r="G321" s="145"/>
      <c r="H321" s="145"/>
      <c r="I321" s="145"/>
      <c r="J321" s="145"/>
    </row>
    <row r="322" spans="1:10" s="195" customFormat="1" ht="24.95" hidden="1" customHeight="1">
      <c r="A322" s="141"/>
      <c r="B322" s="141"/>
      <c r="C322" s="142"/>
      <c r="D322" s="141"/>
      <c r="E322" s="150"/>
      <c r="F322" s="150"/>
      <c r="G322" s="145"/>
      <c r="H322" s="145"/>
      <c r="I322" s="145"/>
      <c r="J322" s="145"/>
    </row>
    <row r="323" spans="1:10" s="195" customFormat="1" ht="24.95" hidden="1" customHeight="1">
      <c r="A323" s="141"/>
      <c r="B323" s="141"/>
      <c r="C323" s="142"/>
      <c r="D323" s="141"/>
      <c r="E323" s="150"/>
      <c r="F323" s="150"/>
      <c r="G323" s="145"/>
      <c r="H323" s="145"/>
      <c r="I323" s="145"/>
      <c r="J323" s="145"/>
    </row>
    <row r="324" spans="1:10" s="195" customFormat="1" ht="24.95" hidden="1" customHeight="1">
      <c r="A324" s="141"/>
      <c r="B324" s="141"/>
      <c r="C324" s="142"/>
      <c r="D324" s="141"/>
      <c r="E324" s="150"/>
      <c r="F324" s="150"/>
      <c r="G324" s="145"/>
      <c r="H324" s="145"/>
      <c r="I324" s="145"/>
      <c r="J324" s="145"/>
    </row>
    <row r="325" spans="1:10" s="195" customFormat="1" ht="24.95" hidden="1" customHeight="1">
      <c r="A325" s="141"/>
      <c r="B325" s="141"/>
      <c r="C325" s="142"/>
      <c r="D325" s="141"/>
      <c r="E325" s="150"/>
      <c r="F325" s="150"/>
      <c r="G325" s="145"/>
      <c r="H325" s="145"/>
      <c r="I325" s="145"/>
      <c r="J325" s="145"/>
    </row>
    <row r="326" spans="1:10" s="195" customFormat="1" ht="24.95" hidden="1" customHeight="1">
      <c r="A326" s="141"/>
      <c r="B326" s="141"/>
      <c r="C326" s="142"/>
      <c r="D326" s="141"/>
      <c r="E326" s="150"/>
      <c r="F326" s="150"/>
      <c r="G326" s="145"/>
      <c r="H326" s="145"/>
      <c r="I326" s="145"/>
      <c r="J326" s="145"/>
    </row>
    <row r="327" spans="1:10" s="195" customFormat="1" ht="24.95" hidden="1" customHeight="1">
      <c r="A327" s="141"/>
      <c r="B327" s="141"/>
      <c r="C327" s="142"/>
      <c r="D327" s="141"/>
      <c r="E327" s="150"/>
      <c r="F327" s="150"/>
      <c r="G327" s="145"/>
      <c r="H327" s="145"/>
      <c r="I327" s="145"/>
      <c r="J327" s="145"/>
    </row>
    <row r="328" spans="1:10" s="195" customFormat="1" ht="24.95" hidden="1" customHeight="1">
      <c r="A328" s="141"/>
      <c r="B328" s="141"/>
      <c r="C328" s="142"/>
      <c r="D328" s="141"/>
      <c r="E328" s="150"/>
      <c r="F328" s="150"/>
      <c r="G328" s="145"/>
      <c r="H328" s="145"/>
      <c r="I328" s="145"/>
      <c r="J328" s="145"/>
    </row>
    <row r="329" spans="1:10" s="195" customFormat="1" ht="24.95" hidden="1" customHeight="1">
      <c r="A329" s="141"/>
      <c r="B329" s="141"/>
      <c r="C329" s="142"/>
      <c r="D329" s="141"/>
      <c r="E329" s="150"/>
      <c r="F329" s="150"/>
      <c r="G329" s="145"/>
      <c r="H329" s="145"/>
      <c r="I329" s="145"/>
      <c r="J329" s="145"/>
    </row>
    <row r="330" spans="1:10" s="195" customFormat="1" ht="24.95" hidden="1" customHeight="1">
      <c r="A330" s="141"/>
      <c r="B330" s="141"/>
      <c r="C330" s="142"/>
      <c r="D330" s="141"/>
      <c r="E330" s="150"/>
      <c r="F330" s="150"/>
      <c r="G330" s="145"/>
      <c r="H330" s="145"/>
      <c r="I330" s="145"/>
      <c r="J330" s="145"/>
    </row>
    <row r="331" spans="1:10" s="195" customFormat="1" ht="24.95" hidden="1" customHeight="1">
      <c r="A331" s="141"/>
      <c r="B331" s="141"/>
      <c r="C331" s="142"/>
      <c r="D331" s="141"/>
      <c r="E331" s="150"/>
      <c r="F331" s="150"/>
      <c r="G331" s="145"/>
      <c r="H331" s="145"/>
      <c r="I331" s="145"/>
      <c r="J331" s="145"/>
    </row>
    <row r="332" spans="1:10" s="195" customFormat="1" ht="24.95" hidden="1" customHeight="1">
      <c r="A332" s="141"/>
      <c r="B332" s="141"/>
      <c r="C332" s="142"/>
      <c r="D332" s="141"/>
      <c r="E332" s="150"/>
      <c r="F332" s="150"/>
      <c r="G332" s="145"/>
      <c r="H332" s="145"/>
      <c r="I332" s="145"/>
      <c r="J332" s="145"/>
    </row>
    <row r="333" spans="1:10" s="195" customFormat="1" ht="24.95" hidden="1" customHeight="1">
      <c r="A333" s="141"/>
      <c r="B333" s="141"/>
      <c r="C333" s="142"/>
      <c r="D333" s="141"/>
      <c r="E333" s="150"/>
      <c r="F333" s="150"/>
      <c r="G333" s="145"/>
      <c r="H333" s="145"/>
      <c r="I333" s="145"/>
      <c r="J333" s="145"/>
    </row>
    <row r="334" spans="1:10" s="195" customFormat="1" ht="24.95" hidden="1" customHeight="1">
      <c r="A334" s="141"/>
      <c r="B334" s="141"/>
      <c r="C334" s="142"/>
      <c r="D334" s="141"/>
      <c r="E334" s="150"/>
      <c r="F334" s="150"/>
      <c r="G334" s="145"/>
      <c r="H334" s="145"/>
      <c r="I334" s="145"/>
      <c r="J334" s="145"/>
    </row>
    <row r="335" spans="1:10" s="195" customFormat="1" ht="24.95" hidden="1" customHeight="1">
      <c r="A335" s="141"/>
      <c r="B335" s="141"/>
      <c r="C335" s="142"/>
      <c r="D335" s="141"/>
      <c r="E335" s="150"/>
      <c r="F335" s="150"/>
      <c r="G335" s="145"/>
      <c r="H335" s="145"/>
      <c r="I335" s="145"/>
      <c r="J335" s="145"/>
    </row>
    <row r="336" spans="1:10" s="195" customFormat="1" ht="24.95" hidden="1" customHeight="1">
      <c r="A336" s="141"/>
      <c r="B336" s="141"/>
      <c r="C336" s="142"/>
      <c r="D336" s="141"/>
      <c r="E336" s="150"/>
      <c r="F336" s="150"/>
      <c r="G336" s="145"/>
      <c r="H336" s="145"/>
      <c r="I336" s="145"/>
      <c r="J336" s="145"/>
    </row>
    <row r="337" spans="1:10" s="195" customFormat="1" ht="24.95" hidden="1" customHeight="1">
      <c r="A337" s="141"/>
      <c r="B337" s="141"/>
      <c r="C337" s="142"/>
      <c r="D337" s="141"/>
      <c r="E337" s="150"/>
      <c r="F337" s="150"/>
      <c r="G337" s="145"/>
      <c r="H337" s="145"/>
      <c r="I337" s="145"/>
      <c r="J337" s="145"/>
    </row>
    <row r="338" spans="1:10" s="195" customFormat="1" ht="24.95" hidden="1" customHeight="1">
      <c r="A338" s="141"/>
      <c r="B338" s="141"/>
      <c r="C338" s="142"/>
      <c r="D338" s="141"/>
      <c r="E338" s="150"/>
      <c r="F338" s="150"/>
      <c r="G338" s="145"/>
      <c r="H338" s="145"/>
      <c r="I338" s="145"/>
      <c r="J338" s="145"/>
    </row>
    <row r="339" spans="1:10" s="195" customFormat="1" ht="24.95" hidden="1" customHeight="1">
      <c r="A339" s="141"/>
      <c r="B339" s="141"/>
      <c r="C339" s="142"/>
      <c r="D339" s="141"/>
      <c r="E339" s="150"/>
      <c r="F339" s="150"/>
      <c r="G339" s="145"/>
      <c r="H339" s="145"/>
      <c r="I339" s="145"/>
      <c r="J339" s="145"/>
    </row>
    <row r="340" spans="1:10" s="195" customFormat="1" ht="24.95" hidden="1" customHeight="1">
      <c r="A340" s="141"/>
      <c r="B340" s="141"/>
      <c r="C340" s="142"/>
      <c r="D340" s="141"/>
      <c r="E340" s="150"/>
      <c r="F340" s="150"/>
      <c r="G340" s="145"/>
      <c r="H340" s="145"/>
      <c r="I340" s="145"/>
      <c r="J340" s="145"/>
    </row>
    <row r="341" spans="1:10" s="195" customFormat="1" ht="24.95" hidden="1" customHeight="1">
      <c r="A341" s="141"/>
      <c r="B341" s="141"/>
      <c r="C341" s="142"/>
      <c r="D341" s="141"/>
      <c r="E341" s="150"/>
      <c r="F341" s="150"/>
      <c r="G341" s="145"/>
      <c r="H341" s="145"/>
      <c r="I341" s="145"/>
      <c r="J341" s="145"/>
    </row>
    <row r="342" spans="1:10" s="195" customFormat="1" ht="24.95" hidden="1" customHeight="1">
      <c r="A342" s="141"/>
      <c r="B342" s="141"/>
      <c r="C342" s="142"/>
      <c r="D342" s="141"/>
      <c r="E342" s="150"/>
      <c r="F342" s="150"/>
      <c r="G342" s="145"/>
      <c r="H342" s="145"/>
      <c r="I342" s="145"/>
      <c r="J342" s="145"/>
    </row>
    <row r="343" spans="1:10" s="195" customFormat="1" ht="24.95" hidden="1" customHeight="1">
      <c r="A343" s="141"/>
      <c r="B343" s="141"/>
      <c r="C343" s="142"/>
      <c r="D343" s="141"/>
      <c r="E343" s="150"/>
      <c r="F343" s="150"/>
      <c r="G343" s="145"/>
      <c r="H343" s="145"/>
      <c r="I343" s="145"/>
      <c r="J343" s="145"/>
    </row>
    <row r="344" spans="1:10" s="195" customFormat="1" ht="24.95" hidden="1" customHeight="1">
      <c r="A344" s="141"/>
      <c r="B344" s="141"/>
      <c r="C344" s="142"/>
      <c r="D344" s="141"/>
      <c r="E344" s="150"/>
      <c r="F344" s="150"/>
      <c r="G344" s="145"/>
      <c r="H344" s="145"/>
      <c r="I344" s="145"/>
      <c r="J344" s="145"/>
    </row>
    <row r="345" spans="1:10" s="195" customFormat="1" ht="24.95" hidden="1" customHeight="1">
      <c r="A345" s="141"/>
      <c r="B345" s="141"/>
      <c r="C345" s="142"/>
      <c r="D345" s="141"/>
      <c r="E345" s="150"/>
      <c r="F345" s="150"/>
      <c r="G345" s="145"/>
      <c r="H345" s="145"/>
      <c r="I345" s="145"/>
      <c r="J345" s="145"/>
    </row>
    <row r="346" spans="1:10" s="195" customFormat="1" ht="24.95" hidden="1" customHeight="1">
      <c r="A346" s="141"/>
      <c r="B346" s="141"/>
      <c r="C346" s="142"/>
      <c r="D346" s="141"/>
      <c r="E346" s="150"/>
      <c r="F346" s="150"/>
      <c r="G346" s="145"/>
      <c r="H346" s="145"/>
      <c r="I346" s="145"/>
      <c r="J346" s="145"/>
    </row>
    <row r="347" spans="1:10" s="195" customFormat="1" ht="24.95" hidden="1" customHeight="1">
      <c r="A347" s="141"/>
      <c r="B347" s="141"/>
      <c r="C347" s="142"/>
      <c r="D347" s="141"/>
      <c r="E347" s="150"/>
      <c r="F347" s="150"/>
      <c r="G347" s="145"/>
      <c r="H347" s="145"/>
      <c r="I347" s="145"/>
      <c r="J347" s="145"/>
    </row>
    <row r="348" spans="1:10" s="195" customFormat="1" ht="24.95" hidden="1" customHeight="1">
      <c r="A348" s="141"/>
      <c r="B348" s="141"/>
      <c r="C348" s="142"/>
      <c r="D348" s="141"/>
      <c r="E348" s="150"/>
      <c r="F348" s="150"/>
      <c r="G348" s="145"/>
      <c r="H348" s="145"/>
      <c r="I348" s="145"/>
      <c r="J348" s="145"/>
    </row>
    <row r="349" spans="1:10" s="195" customFormat="1" ht="24.95" hidden="1" customHeight="1">
      <c r="A349" s="141"/>
      <c r="B349" s="141"/>
      <c r="C349" s="142"/>
      <c r="D349" s="141"/>
      <c r="E349" s="150"/>
      <c r="F349" s="150"/>
      <c r="G349" s="145"/>
      <c r="H349" s="145"/>
      <c r="I349" s="145"/>
      <c r="J349" s="145"/>
    </row>
    <row r="350" spans="1:10" s="195" customFormat="1" ht="24.95" hidden="1" customHeight="1">
      <c r="A350" s="141"/>
      <c r="B350" s="141"/>
      <c r="C350" s="142"/>
      <c r="D350" s="141"/>
      <c r="E350" s="150"/>
      <c r="F350" s="150"/>
      <c r="G350" s="145"/>
      <c r="H350" s="145"/>
      <c r="I350" s="145"/>
      <c r="J350" s="145"/>
    </row>
    <row r="351" spans="1:10" s="195" customFormat="1" ht="24.95" hidden="1" customHeight="1">
      <c r="A351" s="141"/>
      <c r="B351" s="141"/>
      <c r="C351" s="142"/>
      <c r="D351" s="141"/>
      <c r="E351" s="150"/>
      <c r="F351" s="150"/>
      <c r="G351" s="145"/>
      <c r="H351" s="145"/>
      <c r="I351" s="145"/>
      <c r="J351" s="145"/>
    </row>
    <row r="352" spans="1:10" s="195" customFormat="1" ht="24.95" hidden="1" customHeight="1">
      <c r="A352" s="141"/>
      <c r="B352" s="141"/>
      <c r="C352" s="142"/>
      <c r="D352" s="141"/>
      <c r="E352" s="150"/>
      <c r="F352" s="150"/>
      <c r="G352" s="145"/>
      <c r="H352" s="145"/>
      <c r="I352" s="145"/>
      <c r="J352" s="145"/>
    </row>
    <row r="353" spans="1:10" s="195" customFormat="1" ht="24.95" hidden="1" customHeight="1">
      <c r="A353" s="141"/>
      <c r="B353" s="141"/>
      <c r="C353" s="142"/>
      <c r="D353" s="141"/>
      <c r="E353" s="150"/>
      <c r="F353" s="150"/>
      <c r="G353" s="145"/>
      <c r="H353" s="145"/>
      <c r="I353" s="145"/>
      <c r="J353" s="145"/>
    </row>
    <row r="354" spans="1:10" s="195" customFormat="1" ht="24.95" hidden="1" customHeight="1">
      <c r="A354" s="141"/>
      <c r="B354" s="141"/>
      <c r="C354" s="142"/>
      <c r="D354" s="141"/>
      <c r="E354" s="150"/>
      <c r="F354" s="150"/>
      <c r="G354" s="145"/>
      <c r="H354" s="145"/>
      <c r="I354" s="145"/>
      <c r="J354" s="145"/>
    </row>
    <row r="355" spans="1:10" s="195" customFormat="1" ht="24.95" hidden="1" customHeight="1">
      <c r="A355" s="141"/>
      <c r="B355" s="141"/>
      <c r="C355" s="142"/>
      <c r="D355" s="141"/>
      <c r="E355" s="150"/>
      <c r="F355" s="150"/>
      <c r="G355" s="145"/>
      <c r="H355" s="145"/>
      <c r="I355" s="145"/>
      <c r="J355" s="145"/>
    </row>
    <row r="356" spans="1:10" s="195" customFormat="1" ht="24.95" hidden="1" customHeight="1">
      <c r="A356" s="141"/>
      <c r="B356" s="141"/>
      <c r="C356" s="142"/>
      <c r="D356" s="141"/>
      <c r="E356" s="150"/>
      <c r="F356" s="150"/>
      <c r="G356" s="145"/>
      <c r="H356" s="145"/>
      <c r="I356" s="145"/>
      <c r="J356" s="145"/>
    </row>
    <row r="357" spans="1:10" s="195" customFormat="1" ht="24.95" hidden="1" customHeight="1">
      <c r="A357" s="141"/>
      <c r="B357" s="141"/>
      <c r="C357" s="142"/>
      <c r="D357" s="141"/>
      <c r="E357" s="150"/>
      <c r="F357" s="150"/>
      <c r="G357" s="145"/>
      <c r="H357" s="145"/>
      <c r="I357" s="145"/>
      <c r="J357" s="145"/>
    </row>
    <row r="358" spans="1:10" s="195" customFormat="1" ht="24.95" hidden="1" customHeight="1">
      <c r="A358" s="141"/>
      <c r="B358" s="141"/>
      <c r="C358" s="142"/>
      <c r="D358" s="141"/>
      <c r="E358" s="150"/>
      <c r="F358" s="150"/>
      <c r="G358" s="145"/>
      <c r="H358" s="145"/>
      <c r="I358" s="145"/>
      <c r="J358" s="145"/>
    </row>
    <row r="359" spans="1:10" s="195" customFormat="1" ht="24.95" hidden="1" customHeight="1">
      <c r="A359" s="141"/>
      <c r="B359" s="141"/>
      <c r="C359" s="142"/>
      <c r="D359" s="141"/>
      <c r="E359" s="150"/>
      <c r="F359" s="150"/>
      <c r="G359" s="145"/>
      <c r="H359" s="145"/>
      <c r="I359" s="145"/>
      <c r="J359" s="145"/>
    </row>
    <row r="360" spans="1:10" s="195" customFormat="1" ht="24.95" hidden="1" customHeight="1">
      <c r="A360" s="141"/>
      <c r="B360" s="141"/>
      <c r="C360" s="142"/>
      <c r="D360" s="141"/>
      <c r="E360" s="150"/>
      <c r="F360" s="150"/>
      <c r="G360" s="145"/>
      <c r="H360" s="145"/>
      <c r="I360" s="145"/>
      <c r="J360" s="145"/>
    </row>
    <row r="361" spans="1:10" s="195" customFormat="1" ht="24.95" hidden="1" customHeight="1">
      <c r="A361" s="141"/>
      <c r="B361" s="141"/>
      <c r="C361" s="142"/>
      <c r="D361" s="141"/>
      <c r="E361" s="150"/>
      <c r="F361" s="150"/>
      <c r="G361" s="145"/>
      <c r="H361" s="145"/>
      <c r="I361" s="145"/>
      <c r="J361" s="145"/>
    </row>
    <row r="362" spans="1:10" s="195" customFormat="1" ht="24.95" hidden="1" customHeight="1">
      <c r="A362" s="141"/>
      <c r="B362" s="141"/>
      <c r="C362" s="142"/>
      <c r="D362" s="141"/>
      <c r="E362" s="150"/>
      <c r="F362" s="150"/>
      <c r="G362" s="145"/>
      <c r="H362" s="145"/>
      <c r="I362" s="145"/>
      <c r="J362" s="145"/>
    </row>
    <row r="363" spans="1:10" s="195" customFormat="1" ht="24.95" hidden="1" customHeight="1">
      <c r="A363" s="141"/>
      <c r="B363" s="141"/>
      <c r="C363" s="142"/>
      <c r="D363" s="141"/>
      <c r="E363" s="150"/>
      <c r="F363" s="150"/>
      <c r="G363" s="145"/>
      <c r="H363" s="145"/>
      <c r="I363" s="145"/>
      <c r="J363" s="145"/>
    </row>
    <row r="364" spans="1:10" s="195" customFormat="1" ht="24.95" hidden="1" customHeight="1">
      <c r="A364" s="141"/>
      <c r="B364" s="141"/>
      <c r="C364" s="142"/>
      <c r="D364" s="141"/>
      <c r="E364" s="150"/>
      <c r="F364" s="150"/>
      <c r="G364" s="145"/>
      <c r="H364" s="145"/>
      <c r="I364" s="145"/>
      <c r="J364" s="145"/>
    </row>
    <row r="365" spans="1:10" s="195" customFormat="1" ht="24.95" hidden="1" customHeight="1">
      <c r="A365" s="141"/>
      <c r="B365" s="141"/>
      <c r="C365" s="142"/>
      <c r="D365" s="141"/>
      <c r="E365" s="150"/>
      <c r="F365" s="150"/>
      <c r="G365" s="145"/>
      <c r="H365" s="145"/>
      <c r="I365" s="145"/>
      <c r="J365" s="145"/>
    </row>
    <row r="366" spans="1:10" s="195" customFormat="1" ht="24.95" hidden="1" customHeight="1">
      <c r="A366" s="141"/>
      <c r="B366" s="141"/>
      <c r="C366" s="142"/>
      <c r="D366" s="141"/>
      <c r="E366" s="150"/>
      <c r="F366" s="150"/>
      <c r="G366" s="145"/>
      <c r="H366" s="145"/>
      <c r="I366" s="145"/>
      <c r="J366" s="145"/>
    </row>
    <row r="367" spans="1:10" s="195" customFormat="1" ht="24.95" hidden="1" customHeight="1">
      <c r="A367" s="141"/>
      <c r="B367" s="141"/>
      <c r="C367" s="142"/>
      <c r="D367" s="141"/>
      <c r="E367" s="150"/>
      <c r="F367" s="150"/>
      <c r="G367" s="145"/>
      <c r="H367" s="145"/>
      <c r="I367" s="145"/>
      <c r="J367" s="145"/>
    </row>
    <row r="368" spans="1:10" s="195" customFormat="1" ht="24.95" hidden="1" customHeight="1">
      <c r="A368" s="141"/>
      <c r="B368" s="141"/>
      <c r="C368" s="142"/>
      <c r="D368" s="141"/>
      <c r="E368" s="150"/>
      <c r="F368" s="150"/>
      <c r="G368" s="145"/>
      <c r="H368" s="145"/>
      <c r="I368" s="145"/>
      <c r="J368" s="145"/>
    </row>
    <row r="369" spans="1:10" s="195" customFormat="1" ht="24.95" hidden="1" customHeight="1">
      <c r="A369" s="141"/>
      <c r="B369" s="141"/>
      <c r="C369" s="142"/>
      <c r="D369" s="141"/>
      <c r="E369" s="150"/>
      <c r="F369" s="150"/>
      <c r="G369" s="145"/>
      <c r="H369" s="145"/>
      <c r="I369" s="145"/>
      <c r="J369" s="145"/>
    </row>
    <row r="370" spans="1:10" s="195" customFormat="1" ht="24.95" hidden="1" customHeight="1">
      <c r="A370" s="141"/>
      <c r="B370" s="141"/>
      <c r="C370" s="142"/>
      <c r="D370" s="141"/>
      <c r="E370" s="150"/>
      <c r="F370" s="150"/>
      <c r="G370" s="145"/>
      <c r="H370" s="145"/>
      <c r="I370" s="145"/>
      <c r="J370" s="145"/>
    </row>
    <row r="371" spans="1:10" s="195" customFormat="1" ht="24.95" hidden="1" customHeight="1">
      <c r="A371" s="141"/>
      <c r="B371" s="141"/>
      <c r="C371" s="142"/>
      <c r="D371" s="141"/>
      <c r="E371" s="150"/>
      <c r="F371" s="150"/>
      <c r="G371" s="145"/>
      <c r="H371" s="145"/>
      <c r="I371" s="145"/>
      <c r="J371" s="145"/>
    </row>
    <row r="372" spans="1:10" s="195" customFormat="1" ht="24.95" hidden="1" customHeight="1">
      <c r="A372" s="141"/>
      <c r="B372" s="141"/>
      <c r="C372" s="142"/>
      <c r="D372" s="141"/>
      <c r="E372" s="150"/>
      <c r="F372" s="150"/>
      <c r="G372" s="145"/>
      <c r="H372" s="145"/>
      <c r="I372" s="145"/>
      <c r="J372" s="145"/>
    </row>
    <row r="373" spans="1:10" s="195" customFormat="1" ht="24.95" hidden="1" customHeight="1">
      <c r="A373" s="141"/>
      <c r="B373" s="141"/>
      <c r="C373" s="142"/>
      <c r="D373" s="141"/>
      <c r="E373" s="150"/>
      <c r="F373" s="150"/>
      <c r="G373" s="145"/>
      <c r="H373" s="145"/>
      <c r="I373" s="145"/>
      <c r="J373" s="145"/>
    </row>
    <row r="374" spans="1:10" s="195" customFormat="1" ht="24.95" hidden="1" customHeight="1">
      <c r="A374" s="141"/>
      <c r="B374" s="141"/>
      <c r="C374" s="142"/>
      <c r="D374" s="141"/>
      <c r="E374" s="150"/>
      <c r="F374" s="150"/>
      <c r="G374" s="145"/>
      <c r="H374" s="145"/>
      <c r="I374" s="145"/>
      <c r="J374" s="145"/>
    </row>
    <row r="375" spans="1:10" s="195" customFormat="1" ht="24.95" hidden="1" customHeight="1">
      <c r="A375" s="141"/>
      <c r="B375" s="141"/>
      <c r="C375" s="142"/>
      <c r="D375" s="141"/>
      <c r="E375" s="150"/>
      <c r="F375" s="150"/>
      <c r="G375" s="145"/>
      <c r="H375" s="145"/>
      <c r="I375" s="145"/>
      <c r="J375" s="145"/>
    </row>
    <row r="376" spans="1:10" s="195" customFormat="1" ht="24.95" hidden="1" customHeight="1">
      <c r="A376" s="141"/>
      <c r="B376" s="141"/>
      <c r="C376" s="142"/>
      <c r="D376" s="141"/>
      <c r="E376" s="150"/>
      <c r="F376" s="150"/>
      <c r="G376" s="145"/>
      <c r="H376" s="145"/>
      <c r="I376" s="145"/>
      <c r="J376" s="145"/>
    </row>
    <row r="377" spans="1:10" s="195" customFormat="1" ht="24.95" hidden="1" customHeight="1">
      <c r="A377" s="141"/>
      <c r="B377" s="141"/>
      <c r="C377" s="142"/>
      <c r="D377" s="141"/>
      <c r="E377" s="150"/>
      <c r="F377" s="150"/>
      <c r="G377" s="145"/>
      <c r="H377" s="145"/>
      <c r="I377" s="145"/>
      <c r="J377" s="145"/>
    </row>
    <row r="378" spans="1:10" s="195" customFormat="1" ht="24.95" hidden="1" customHeight="1">
      <c r="A378" s="141"/>
      <c r="B378" s="141"/>
      <c r="C378" s="142"/>
      <c r="D378" s="141"/>
      <c r="E378" s="150"/>
      <c r="F378" s="150"/>
      <c r="G378" s="145"/>
      <c r="H378" s="145"/>
      <c r="I378" s="145"/>
      <c r="J378" s="145"/>
    </row>
    <row r="379" spans="1:10" s="195" customFormat="1" ht="24.95" hidden="1" customHeight="1">
      <c r="A379" s="141"/>
      <c r="B379" s="141"/>
      <c r="C379" s="142"/>
      <c r="D379" s="141"/>
      <c r="E379" s="150"/>
      <c r="F379" s="150"/>
      <c r="G379" s="145"/>
      <c r="H379" s="145"/>
      <c r="I379" s="145"/>
      <c r="J379" s="145"/>
    </row>
    <row r="380" spans="1:10" s="195" customFormat="1" ht="24.95" hidden="1" customHeight="1">
      <c r="A380" s="141"/>
      <c r="B380" s="141"/>
      <c r="C380" s="142"/>
      <c r="D380" s="141"/>
      <c r="E380" s="150"/>
      <c r="F380" s="150"/>
      <c r="G380" s="145"/>
      <c r="H380" s="145"/>
      <c r="I380" s="145"/>
      <c r="J380" s="145"/>
    </row>
    <row r="381" spans="1:10" s="195" customFormat="1" ht="24.95" hidden="1" customHeight="1">
      <c r="A381" s="141"/>
      <c r="B381" s="141"/>
      <c r="C381" s="142"/>
      <c r="D381" s="141"/>
      <c r="E381" s="150"/>
      <c r="F381" s="150"/>
      <c r="G381" s="145"/>
      <c r="H381" s="145"/>
      <c r="I381" s="145"/>
      <c r="J381" s="145"/>
    </row>
    <row r="382" spans="1:10" s="195" customFormat="1" ht="24.95" hidden="1" customHeight="1">
      <c r="A382" s="141"/>
      <c r="B382" s="141"/>
      <c r="C382" s="142"/>
      <c r="D382" s="141"/>
      <c r="E382" s="150"/>
      <c r="F382" s="150"/>
      <c r="G382" s="145"/>
      <c r="H382" s="145"/>
      <c r="I382" s="145"/>
      <c r="J382" s="145"/>
    </row>
    <row r="383" spans="1:10" s="195" customFormat="1" ht="24.95" hidden="1" customHeight="1">
      <c r="A383" s="141"/>
      <c r="B383" s="141"/>
      <c r="C383" s="142"/>
      <c r="D383" s="141"/>
      <c r="E383" s="150"/>
      <c r="F383" s="150"/>
      <c r="G383" s="145"/>
      <c r="H383" s="145"/>
      <c r="I383" s="145"/>
      <c r="J383" s="145"/>
    </row>
    <row r="384" spans="1:10" s="195" customFormat="1" ht="24.95" hidden="1" customHeight="1">
      <c r="A384" s="141"/>
      <c r="B384" s="141"/>
      <c r="C384" s="142"/>
      <c r="D384" s="141"/>
      <c r="E384" s="150"/>
      <c r="F384" s="150"/>
      <c r="G384" s="145"/>
      <c r="H384" s="145"/>
      <c r="I384" s="145"/>
      <c r="J384" s="145"/>
    </row>
    <row r="385" spans="1:10" s="195" customFormat="1" ht="24.95" hidden="1" customHeight="1">
      <c r="A385" s="141"/>
      <c r="B385" s="141"/>
      <c r="C385" s="142"/>
      <c r="D385" s="141"/>
      <c r="E385" s="150"/>
      <c r="F385" s="150"/>
      <c r="G385" s="145"/>
      <c r="H385" s="145"/>
      <c r="I385" s="145"/>
      <c r="J385" s="145"/>
    </row>
    <row r="386" spans="1:10" s="195" customFormat="1" ht="24.95" hidden="1" customHeight="1">
      <c r="A386" s="141"/>
      <c r="B386" s="141"/>
      <c r="C386" s="142"/>
      <c r="D386" s="141"/>
      <c r="E386" s="150"/>
      <c r="F386" s="150"/>
      <c r="G386" s="145"/>
      <c r="H386" s="145"/>
      <c r="I386" s="145"/>
      <c r="J386" s="145"/>
    </row>
    <row r="387" spans="1:10" s="195" customFormat="1" ht="24.95" hidden="1" customHeight="1">
      <c r="A387" s="141"/>
      <c r="B387" s="141"/>
      <c r="C387" s="142"/>
      <c r="D387" s="141"/>
      <c r="E387" s="150"/>
      <c r="F387" s="150"/>
      <c r="G387" s="145"/>
      <c r="H387" s="145"/>
      <c r="I387" s="145"/>
      <c r="J387" s="145"/>
    </row>
    <row r="388" spans="1:10" s="195" customFormat="1" ht="24.95" hidden="1" customHeight="1">
      <c r="A388" s="141"/>
      <c r="B388" s="141"/>
      <c r="C388" s="142"/>
      <c r="D388" s="141"/>
      <c r="E388" s="150"/>
      <c r="F388" s="150"/>
      <c r="G388" s="145"/>
      <c r="H388" s="145"/>
      <c r="I388" s="145"/>
      <c r="J388" s="145"/>
    </row>
    <row r="389" spans="1:10" s="195" customFormat="1" ht="24.95" hidden="1" customHeight="1">
      <c r="A389" s="141"/>
      <c r="B389" s="141"/>
      <c r="C389" s="142"/>
      <c r="D389" s="141"/>
      <c r="E389" s="150"/>
      <c r="F389" s="150"/>
      <c r="G389" s="145"/>
      <c r="H389" s="145"/>
      <c r="I389" s="145"/>
      <c r="J389" s="145"/>
    </row>
    <row r="390" spans="1:10" s="195" customFormat="1" ht="24.95" hidden="1" customHeight="1">
      <c r="A390" s="141"/>
      <c r="B390" s="141"/>
      <c r="C390" s="142"/>
      <c r="D390" s="141"/>
      <c r="E390" s="150"/>
      <c r="F390" s="150"/>
      <c r="G390" s="145"/>
      <c r="H390" s="145"/>
      <c r="I390" s="145"/>
      <c r="J390" s="145"/>
    </row>
    <row r="391" spans="1:10" s="195" customFormat="1" ht="24.95" hidden="1" customHeight="1">
      <c r="A391" s="141"/>
      <c r="B391" s="141"/>
      <c r="C391" s="142"/>
      <c r="D391" s="141"/>
      <c r="E391" s="150"/>
      <c r="F391" s="150"/>
      <c r="G391" s="145"/>
      <c r="H391" s="145"/>
      <c r="I391" s="145"/>
      <c r="J391" s="145"/>
    </row>
    <row r="392" spans="1:10" s="195" customFormat="1" ht="24.95" hidden="1" customHeight="1">
      <c r="A392" s="141"/>
      <c r="B392" s="141"/>
      <c r="C392" s="142"/>
      <c r="D392" s="141"/>
      <c r="E392" s="150"/>
      <c r="F392" s="150"/>
      <c r="G392" s="145"/>
      <c r="H392" s="145"/>
      <c r="I392" s="145"/>
      <c r="J392" s="145"/>
    </row>
    <row r="393" spans="1:10" s="195" customFormat="1" ht="24.95" hidden="1" customHeight="1">
      <c r="A393" s="141"/>
      <c r="B393" s="141"/>
      <c r="C393" s="142"/>
      <c r="D393" s="141"/>
      <c r="E393" s="150"/>
      <c r="F393" s="150"/>
      <c r="G393" s="145"/>
      <c r="H393" s="145"/>
      <c r="I393" s="145"/>
      <c r="J393" s="145"/>
    </row>
    <row r="394" spans="1:10" s="195" customFormat="1" ht="24.95" hidden="1" customHeight="1">
      <c r="A394" s="141"/>
      <c r="B394" s="141"/>
      <c r="C394" s="142"/>
      <c r="D394" s="141"/>
      <c r="E394" s="150"/>
      <c r="F394" s="150"/>
      <c r="G394" s="145"/>
      <c r="H394" s="145"/>
      <c r="I394" s="145"/>
      <c r="J394" s="145"/>
    </row>
    <row r="395" spans="1:10" s="195" customFormat="1" ht="24.95" hidden="1" customHeight="1">
      <c r="A395" s="141"/>
      <c r="B395" s="141"/>
      <c r="C395" s="142"/>
      <c r="D395" s="141"/>
      <c r="E395" s="150"/>
      <c r="F395" s="150"/>
      <c r="G395" s="145"/>
      <c r="H395" s="145"/>
      <c r="I395" s="145"/>
      <c r="J395" s="145"/>
    </row>
    <row r="396" spans="1:10" s="195" customFormat="1" ht="24.95" hidden="1" customHeight="1">
      <c r="A396" s="141"/>
      <c r="B396" s="141"/>
      <c r="C396" s="142"/>
      <c r="D396" s="141"/>
      <c r="E396" s="150"/>
      <c r="F396" s="150"/>
      <c r="G396" s="145"/>
      <c r="H396" s="145"/>
      <c r="I396" s="145"/>
      <c r="J396" s="145"/>
    </row>
    <row r="397" spans="1:10" s="195" customFormat="1" ht="24.95" hidden="1" customHeight="1">
      <c r="A397" s="141"/>
      <c r="B397" s="141"/>
      <c r="C397" s="142"/>
      <c r="D397" s="141"/>
      <c r="E397" s="150"/>
      <c r="F397" s="150"/>
      <c r="G397" s="145"/>
      <c r="H397" s="145"/>
      <c r="I397" s="145"/>
      <c r="J397" s="145"/>
    </row>
    <row r="398" spans="1:10" s="195" customFormat="1" ht="24.95" hidden="1" customHeight="1">
      <c r="A398" s="141"/>
      <c r="B398" s="141"/>
      <c r="C398" s="142"/>
      <c r="D398" s="141"/>
      <c r="E398" s="150"/>
      <c r="F398" s="150"/>
      <c r="G398" s="145"/>
      <c r="H398" s="145"/>
      <c r="I398" s="145"/>
      <c r="J398" s="145"/>
    </row>
    <row r="399" spans="1:10" s="195" customFormat="1" ht="24.95" hidden="1" customHeight="1">
      <c r="A399" s="141"/>
      <c r="B399" s="141"/>
      <c r="C399" s="142"/>
      <c r="D399" s="141"/>
      <c r="E399" s="150"/>
      <c r="F399" s="150"/>
      <c r="G399" s="145"/>
      <c r="H399" s="145"/>
      <c r="I399" s="145"/>
      <c r="J399" s="145"/>
    </row>
    <row r="400" spans="1:10" s="195" customFormat="1" ht="24.95" hidden="1" customHeight="1">
      <c r="A400" s="141"/>
      <c r="B400" s="141"/>
      <c r="C400" s="142"/>
      <c r="D400" s="141"/>
      <c r="E400" s="150"/>
      <c r="F400" s="150"/>
      <c r="G400" s="145"/>
      <c r="H400" s="145"/>
      <c r="I400" s="145"/>
      <c r="J400" s="145"/>
    </row>
    <row r="401" spans="1:10" s="195" customFormat="1" ht="24.95" hidden="1" customHeight="1">
      <c r="A401" s="141"/>
      <c r="B401" s="141"/>
      <c r="C401" s="142"/>
      <c r="D401" s="141"/>
      <c r="E401" s="150"/>
      <c r="F401" s="150"/>
      <c r="G401" s="145"/>
      <c r="H401" s="145"/>
      <c r="I401" s="145"/>
      <c r="J401" s="145"/>
    </row>
    <row r="402" spans="1:10" s="195" customFormat="1" ht="24.95" hidden="1" customHeight="1">
      <c r="A402" s="141"/>
      <c r="B402" s="141"/>
      <c r="C402" s="142"/>
      <c r="D402" s="141"/>
      <c r="E402" s="150"/>
      <c r="F402" s="150"/>
      <c r="G402" s="145"/>
      <c r="H402" s="145"/>
      <c r="I402" s="145"/>
      <c r="J402" s="145"/>
    </row>
    <row r="403" spans="1:10" s="195" customFormat="1" ht="24.95" hidden="1" customHeight="1">
      <c r="A403" s="141"/>
      <c r="B403" s="141"/>
      <c r="C403" s="142"/>
      <c r="D403" s="141"/>
      <c r="E403" s="150"/>
      <c r="F403" s="150"/>
      <c r="G403" s="145"/>
      <c r="H403" s="145"/>
      <c r="I403" s="145"/>
      <c r="J403" s="145"/>
    </row>
    <row r="404" spans="1:10" s="195" customFormat="1" ht="24.95" hidden="1" customHeight="1">
      <c r="A404" s="141"/>
      <c r="B404" s="141"/>
      <c r="C404" s="142"/>
      <c r="D404" s="141"/>
      <c r="E404" s="150"/>
      <c r="F404" s="150"/>
      <c r="G404" s="145"/>
      <c r="H404" s="145"/>
      <c r="I404" s="145"/>
      <c r="J404" s="145"/>
    </row>
    <row r="405" spans="1:10" s="195" customFormat="1" ht="24.95" hidden="1" customHeight="1">
      <c r="A405" s="141"/>
      <c r="B405" s="141"/>
      <c r="C405" s="142"/>
      <c r="D405" s="141"/>
      <c r="E405" s="150"/>
      <c r="F405" s="150"/>
      <c r="G405" s="145"/>
      <c r="H405" s="145"/>
      <c r="I405" s="145"/>
      <c r="J405" s="145"/>
    </row>
    <row r="406" spans="1:10" s="195" customFormat="1" ht="24.95" hidden="1" customHeight="1">
      <c r="A406" s="141"/>
      <c r="B406" s="141"/>
      <c r="C406" s="142"/>
      <c r="D406" s="141"/>
      <c r="E406" s="150"/>
      <c r="F406" s="150"/>
      <c r="G406" s="145"/>
      <c r="H406" s="145"/>
      <c r="I406" s="145"/>
      <c r="J406" s="145"/>
    </row>
    <row r="407" spans="1:10" s="195" customFormat="1" ht="24.95" hidden="1" customHeight="1">
      <c r="A407" s="141"/>
      <c r="B407" s="141"/>
      <c r="C407" s="142"/>
      <c r="D407" s="141"/>
      <c r="E407" s="150"/>
      <c r="F407" s="150"/>
      <c r="G407" s="145"/>
      <c r="H407" s="145"/>
      <c r="I407" s="145"/>
      <c r="J407" s="145"/>
    </row>
    <row r="408" spans="1:10" s="195" customFormat="1" ht="24.95" hidden="1" customHeight="1">
      <c r="A408" s="141"/>
      <c r="B408" s="141"/>
      <c r="C408" s="142"/>
      <c r="D408" s="141"/>
      <c r="E408" s="150"/>
      <c r="F408" s="150"/>
      <c r="G408" s="145"/>
      <c r="H408" s="145"/>
      <c r="I408" s="145"/>
      <c r="J408" s="145"/>
    </row>
    <row r="409" spans="1:10" s="195" customFormat="1" ht="24.95" hidden="1" customHeight="1">
      <c r="A409" s="141"/>
      <c r="B409" s="141"/>
      <c r="C409" s="142"/>
      <c r="D409" s="141"/>
      <c r="E409" s="150"/>
      <c r="F409" s="150"/>
      <c r="G409" s="145"/>
      <c r="H409" s="145"/>
      <c r="I409" s="145"/>
      <c r="J409" s="145"/>
    </row>
    <row r="410" spans="1:10" s="195" customFormat="1" ht="24.95" hidden="1" customHeight="1">
      <c r="A410" s="141"/>
      <c r="B410" s="141"/>
      <c r="C410" s="142"/>
      <c r="D410" s="141"/>
      <c r="E410" s="150"/>
      <c r="F410" s="150"/>
      <c r="G410" s="145"/>
      <c r="H410" s="145"/>
      <c r="I410" s="145"/>
      <c r="J410" s="145"/>
    </row>
    <row r="411" spans="1:10" s="195" customFormat="1" ht="24.95" hidden="1" customHeight="1">
      <c r="A411" s="141"/>
      <c r="B411" s="141"/>
      <c r="C411" s="142"/>
      <c r="D411" s="141"/>
      <c r="E411" s="150"/>
      <c r="F411" s="150"/>
      <c r="G411" s="145"/>
      <c r="H411" s="145"/>
      <c r="I411" s="145"/>
      <c r="J411" s="145"/>
    </row>
    <row r="412" spans="1:10" s="195" customFormat="1" ht="24.95" hidden="1" customHeight="1">
      <c r="A412" s="141"/>
      <c r="B412" s="141"/>
      <c r="C412" s="142"/>
      <c r="D412" s="141"/>
      <c r="E412" s="150"/>
      <c r="F412" s="150"/>
      <c r="G412" s="145"/>
      <c r="H412" s="145"/>
      <c r="I412" s="145"/>
      <c r="J412" s="145"/>
    </row>
    <row r="413" spans="1:10" s="195" customFormat="1" ht="24.95" hidden="1" customHeight="1">
      <c r="A413" s="141"/>
      <c r="B413" s="141"/>
      <c r="C413" s="142"/>
      <c r="D413" s="141"/>
      <c r="E413" s="150"/>
      <c r="F413" s="150"/>
      <c r="G413" s="145"/>
      <c r="H413" s="145"/>
      <c r="I413" s="145"/>
      <c r="J413" s="145"/>
    </row>
    <row r="414" spans="1:10" s="195" customFormat="1" ht="24.95" hidden="1" customHeight="1">
      <c r="A414" s="141"/>
      <c r="B414" s="141"/>
      <c r="C414" s="142"/>
      <c r="D414" s="141"/>
      <c r="E414" s="150"/>
      <c r="F414" s="150"/>
      <c r="G414" s="145"/>
      <c r="H414" s="145"/>
      <c r="I414" s="145"/>
      <c r="J414" s="145"/>
    </row>
    <row r="415" spans="1:10" s="195" customFormat="1" ht="24.95" hidden="1" customHeight="1">
      <c r="A415" s="141"/>
      <c r="B415" s="141"/>
      <c r="C415" s="142"/>
      <c r="D415" s="141"/>
      <c r="E415" s="150"/>
      <c r="F415" s="150"/>
      <c r="G415" s="145"/>
      <c r="H415" s="145"/>
      <c r="I415" s="145"/>
      <c r="J415" s="145"/>
    </row>
    <row r="416" spans="1:10" s="195" customFormat="1" ht="24.95" hidden="1" customHeight="1">
      <c r="A416" s="141"/>
      <c r="B416" s="141"/>
      <c r="C416" s="142"/>
      <c r="D416" s="141"/>
      <c r="E416" s="150"/>
      <c r="F416" s="150"/>
      <c r="G416" s="145"/>
      <c r="H416" s="145"/>
      <c r="I416" s="145"/>
      <c r="J416" s="145"/>
    </row>
    <row r="417" spans="1:10" s="195" customFormat="1" ht="24.95" hidden="1" customHeight="1">
      <c r="A417" s="141"/>
      <c r="B417" s="141"/>
      <c r="C417" s="142"/>
      <c r="D417" s="143"/>
      <c r="E417" s="150"/>
      <c r="F417" s="150"/>
      <c r="G417" s="145"/>
      <c r="H417" s="145"/>
      <c r="I417" s="145"/>
      <c r="J417" s="145"/>
    </row>
    <row r="418" spans="1:10" s="195" customFormat="1" ht="24.95" hidden="1" customHeight="1">
      <c r="A418" s="141"/>
      <c r="B418" s="141"/>
      <c r="C418" s="142"/>
      <c r="D418" s="141"/>
      <c r="E418" s="150"/>
      <c r="F418" s="150"/>
      <c r="G418" s="145"/>
      <c r="H418" s="145"/>
      <c r="I418" s="145"/>
      <c r="J418" s="145"/>
    </row>
    <row r="419" spans="1:10" s="195" customFormat="1" ht="24.95" hidden="1" customHeight="1">
      <c r="A419" s="141"/>
      <c r="B419" s="141"/>
      <c r="C419" s="142"/>
      <c r="D419" s="141"/>
      <c r="E419" s="150"/>
      <c r="F419" s="150"/>
      <c r="G419" s="145"/>
      <c r="H419" s="145"/>
      <c r="I419" s="145"/>
      <c r="J419" s="145"/>
    </row>
    <row r="420" spans="1:10" s="195" customFormat="1" ht="24.95" hidden="1" customHeight="1">
      <c r="A420" s="141"/>
      <c r="B420" s="141"/>
      <c r="C420" s="142"/>
      <c r="D420" s="141"/>
      <c r="E420" s="150"/>
      <c r="F420" s="150"/>
      <c r="G420" s="145"/>
      <c r="H420" s="145"/>
      <c r="I420" s="145"/>
      <c r="J420" s="145"/>
    </row>
    <row r="421" spans="1:10" s="195" customFormat="1" ht="24.95" hidden="1" customHeight="1">
      <c r="A421" s="141"/>
      <c r="B421" s="141"/>
      <c r="C421" s="142"/>
      <c r="D421" s="141"/>
      <c r="E421" s="150"/>
      <c r="F421" s="150"/>
      <c r="G421" s="145"/>
      <c r="H421" s="145"/>
      <c r="I421" s="145"/>
      <c r="J421" s="145"/>
    </row>
    <row r="422" spans="1:10" s="195" customFormat="1" ht="24.95" hidden="1" customHeight="1">
      <c r="A422" s="141"/>
      <c r="B422" s="141"/>
      <c r="C422" s="142"/>
      <c r="D422" s="143"/>
      <c r="E422" s="150"/>
      <c r="F422" s="150"/>
      <c r="G422" s="145"/>
      <c r="H422" s="145"/>
      <c r="I422" s="145"/>
      <c r="J422" s="145"/>
    </row>
    <row r="423" spans="1:10" s="195" customFormat="1" ht="24.95" hidden="1" customHeight="1">
      <c r="A423" s="141"/>
      <c r="B423" s="141"/>
      <c r="C423" s="142"/>
      <c r="D423" s="141"/>
      <c r="E423" s="150"/>
      <c r="F423" s="150"/>
      <c r="G423" s="145"/>
      <c r="H423" s="145"/>
      <c r="I423" s="145"/>
      <c r="J423" s="145"/>
    </row>
    <row r="424" spans="1:10" s="195" customFormat="1" ht="24.95" hidden="1" customHeight="1">
      <c r="A424" s="141"/>
      <c r="B424" s="141"/>
      <c r="C424" s="142"/>
      <c r="D424" s="141"/>
      <c r="E424" s="150"/>
      <c r="F424" s="150"/>
      <c r="G424" s="145"/>
      <c r="H424" s="145"/>
      <c r="I424" s="145"/>
      <c r="J424" s="145"/>
    </row>
    <row r="425" spans="1:10" s="195" customFormat="1" ht="24.95" hidden="1" customHeight="1">
      <c r="A425" s="141"/>
      <c r="B425" s="141"/>
      <c r="C425" s="142"/>
      <c r="D425" s="141"/>
      <c r="E425" s="150"/>
      <c r="F425" s="150"/>
      <c r="G425" s="145"/>
      <c r="H425" s="145"/>
      <c r="I425" s="145"/>
      <c r="J425" s="145"/>
    </row>
    <row r="426" spans="1:10" s="195" customFormat="1" ht="24.95" hidden="1" customHeight="1">
      <c r="A426" s="141"/>
      <c r="B426" s="141"/>
      <c r="C426" s="142"/>
      <c r="D426" s="141"/>
      <c r="E426" s="150"/>
      <c r="F426" s="150"/>
      <c r="G426" s="145"/>
      <c r="H426" s="145"/>
      <c r="I426" s="145"/>
      <c r="J426" s="145"/>
    </row>
    <row r="427" spans="1:10" s="195" customFormat="1" ht="24.95" hidden="1" customHeight="1">
      <c r="A427" s="141"/>
      <c r="B427" s="141"/>
      <c r="C427" s="142"/>
      <c r="D427" s="141"/>
      <c r="E427" s="150"/>
      <c r="F427" s="150"/>
      <c r="G427" s="145"/>
      <c r="H427" s="145"/>
      <c r="I427" s="145"/>
      <c r="J427" s="145"/>
    </row>
    <row r="428" spans="1:10" s="195" customFormat="1" ht="24.95" hidden="1" customHeight="1">
      <c r="A428" s="141"/>
      <c r="B428" s="141"/>
      <c r="C428" s="142"/>
      <c r="D428" s="141"/>
      <c r="E428" s="150"/>
      <c r="F428" s="150"/>
      <c r="G428" s="145"/>
      <c r="H428" s="145"/>
      <c r="I428" s="145"/>
      <c r="J428" s="145"/>
    </row>
    <row r="429" spans="1:10" s="195" customFormat="1" ht="24.95" hidden="1" customHeight="1">
      <c r="A429" s="141"/>
      <c r="B429" s="141"/>
      <c r="C429" s="142"/>
      <c r="D429" s="141"/>
      <c r="E429" s="150"/>
      <c r="F429" s="150"/>
      <c r="G429" s="145"/>
      <c r="H429" s="145"/>
      <c r="I429" s="145"/>
      <c r="J429" s="145"/>
    </row>
    <row r="430" spans="1:10" s="195" customFormat="1" ht="24.95" hidden="1" customHeight="1">
      <c r="A430" s="141"/>
      <c r="B430" s="141"/>
      <c r="C430" s="142"/>
      <c r="D430" s="141"/>
      <c r="E430" s="150"/>
      <c r="F430" s="150"/>
      <c r="G430" s="145"/>
      <c r="H430" s="145"/>
      <c r="I430" s="145"/>
      <c r="J430" s="145"/>
    </row>
    <row r="431" spans="1:10" s="195" customFormat="1" ht="24.95" hidden="1" customHeight="1">
      <c r="A431" s="141"/>
      <c r="B431" s="141"/>
      <c r="C431" s="142"/>
      <c r="D431" s="141"/>
      <c r="E431" s="150"/>
      <c r="F431" s="150"/>
      <c r="G431" s="145"/>
      <c r="H431" s="145"/>
      <c r="I431" s="145"/>
      <c r="J431" s="145"/>
    </row>
    <row r="432" spans="1:10" s="195" customFormat="1" ht="24.95" hidden="1" customHeight="1">
      <c r="A432" s="141"/>
      <c r="B432" s="141"/>
      <c r="C432" s="142"/>
      <c r="D432" s="141"/>
      <c r="E432" s="150"/>
      <c r="F432" s="150"/>
      <c r="G432" s="145"/>
      <c r="H432" s="145"/>
      <c r="I432" s="145"/>
      <c r="J432" s="145"/>
    </row>
    <row r="433" spans="1:10" s="195" customFormat="1" ht="24.95" hidden="1" customHeight="1">
      <c r="A433" s="141"/>
      <c r="B433" s="141"/>
      <c r="C433" s="142"/>
      <c r="D433" s="141"/>
      <c r="E433" s="150"/>
      <c r="F433" s="150"/>
      <c r="G433" s="145"/>
      <c r="H433" s="145"/>
      <c r="I433" s="145"/>
      <c r="J433" s="145"/>
    </row>
    <row r="434" spans="1:10" s="195" customFormat="1" ht="24.95" hidden="1" customHeight="1">
      <c r="A434" s="141"/>
      <c r="B434" s="141"/>
      <c r="C434" s="142"/>
      <c r="D434" s="141"/>
      <c r="E434" s="150"/>
      <c r="F434" s="150"/>
      <c r="G434" s="145"/>
      <c r="H434" s="145"/>
      <c r="I434" s="145"/>
      <c r="J434" s="145"/>
    </row>
    <row r="435" spans="1:10" s="195" customFormat="1" ht="24.95" hidden="1" customHeight="1">
      <c r="A435" s="141"/>
      <c r="B435" s="141"/>
      <c r="C435" s="142"/>
      <c r="D435" s="141"/>
      <c r="E435" s="150"/>
      <c r="F435" s="150"/>
      <c r="G435" s="145"/>
      <c r="H435" s="145"/>
      <c r="I435" s="145"/>
      <c r="J435" s="145"/>
    </row>
    <row r="436" spans="1:10" s="195" customFormat="1" ht="24.95" hidden="1" customHeight="1">
      <c r="A436" s="141"/>
      <c r="B436" s="141"/>
      <c r="C436" s="142"/>
      <c r="D436" s="141"/>
      <c r="E436" s="150"/>
      <c r="F436" s="150"/>
      <c r="G436" s="145"/>
      <c r="H436" s="145"/>
      <c r="I436" s="145"/>
      <c r="J436" s="145"/>
    </row>
    <row r="437" spans="1:10" s="195" customFormat="1" ht="24.95" hidden="1" customHeight="1">
      <c r="A437" s="141"/>
      <c r="B437" s="141"/>
      <c r="C437" s="142"/>
      <c r="D437" s="141"/>
      <c r="E437" s="150"/>
      <c r="F437" s="150"/>
      <c r="G437" s="145"/>
      <c r="H437" s="145"/>
      <c r="I437" s="145"/>
      <c r="J437" s="145"/>
    </row>
    <row r="438" spans="1:10" s="195" customFormat="1" ht="24.95" hidden="1" customHeight="1">
      <c r="A438" s="141"/>
      <c r="B438" s="141"/>
      <c r="C438" s="142"/>
      <c r="D438" s="141"/>
      <c r="E438" s="150"/>
      <c r="F438" s="150"/>
      <c r="G438" s="145"/>
      <c r="H438" s="145"/>
      <c r="I438" s="145"/>
      <c r="J438" s="145"/>
    </row>
    <row r="439" spans="1:10" s="195" customFormat="1" ht="24.95" hidden="1" customHeight="1">
      <c r="A439" s="141"/>
      <c r="B439" s="141"/>
      <c r="C439" s="142"/>
      <c r="D439" s="141"/>
      <c r="E439" s="150"/>
      <c r="F439" s="150"/>
      <c r="G439" s="145"/>
      <c r="H439" s="145"/>
      <c r="I439" s="145"/>
      <c r="J439" s="145"/>
    </row>
    <row r="440" spans="1:10" s="195" customFormat="1" ht="24.95" hidden="1" customHeight="1">
      <c r="A440" s="141"/>
      <c r="B440" s="141"/>
      <c r="C440" s="142"/>
      <c r="D440" s="141"/>
      <c r="E440" s="150"/>
      <c r="F440" s="150"/>
      <c r="G440" s="145"/>
      <c r="H440" s="145"/>
      <c r="I440" s="145"/>
      <c r="J440" s="145"/>
    </row>
    <row r="441" spans="1:10" s="195" customFormat="1" ht="24.95" hidden="1" customHeight="1">
      <c r="A441" s="141"/>
      <c r="B441" s="141"/>
      <c r="C441" s="142"/>
      <c r="D441" s="141"/>
      <c r="E441" s="150"/>
      <c r="F441" s="150"/>
      <c r="G441" s="145"/>
      <c r="H441" s="145"/>
      <c r="I441" s="145"/>
      <c r="J441" s="145"/>
    </row>
    <row r="442" spans="1:10" s="195" customFormat="1" ht="24.95" hidden="1" customHeight="1">
      <c r="A442" s="141"/>
      <c r="B442" s="141"/>
      <c r="C442" s="142"/>
      <c r="D442" s="141"/>
      <c r="E442" s="150"/>
      <c r="F442" s="150"/>
      <c r="G442" s="145"/>
      <c r="H442" s="145"/>
      <c r="I442" s="145"/>
      <c r="J442" s="145"/>
    </row>
    <row r="443" spans="1:10" s="195" customFormat="1" ht="24.95" hidden="1" customHeight="1">
      <c r="A443" s="141"/>
      <c r="B443" s="141"/>
      <c r="C443" s="142"/>
      <c r="D443" s="141"/>
      <c r="E443" s="150"/>
      <c r="F443" s="150"/>
      <c r="G443" s="145"/>
      <c r="H443" s="145"/>
      <c r="I443" s="145"/>
      <c r="J443" s="145"/>
    </row>
    <row r="444" spans="1:10" s="195" customFormat="1" ht="24.95" hidden="1" customHeight="1">
      <c r="A444" s="141"/>
      <c r="B444" s="141"/>
      <c r="C444" s="142"/>
      <c r="D444" s="141"/>
      <c r="E444" s="150"/>
      <c r="F444" s="150"/>
      <c r="G444" s="145"/>
      <c r="H444" s="145"/>
      <c r="I444" s="145"/>
      <c r="J444" s="145"/>
    </row>
    <row r="445" spans="1:10" s="195" customFormat="1" ht="24.95" hidden="1" customHeight="1">
      <c r="A445" s="141"/>
      <c r="B445" s="141"/>
      <c r="C445" s="142"/>
      <c r="D445" s="141"/>
      <c r="E445" s="150"/>
      <c r="F445" s="150"/>
      <c r="G445" s="145"/>
      <c r="H445" s="145"/>
      <c r="I445" s="145"/>
      <c r="J445" s="145"/>
    </row>
    <row r="446" spans="1:10" s="195" customFormat="1" ht="24.95" hidden="1" customHeight="1">
      <c r="A446" s="141"/>
      <c r="B446" s="141"/>
      <c r="C446" s="142"/>
      <c r="D446" s="141"/>
      <c r="E446" s="150"/>
      <c r="F446" s="150"/>
      <c r="G446" s="145"/>
      <c r="H446" s="145"/>
      <c r="I446" s="145"/>
      <c r="J446" s="145"/>
    </row>
    <row r="447" spans="1:10" s="195" customFormat="1" ht="24.95" hidden="1" customHeight="1">
      <c r="A447" s="141"/>
      <c r="B447" s="141"/>
      <c r="C447" s="142"/>
      <c r="D447" s="141"/>
      <c r="E447" s="150"/>
      <c r="F447" s="150"/>
      <c r="G447" s="145"/>
      <c r="H447" s="145"/>
      <c r="I447" s="145"/>
      <c r="J447" s="145"/>
    </row>
    <row r="448" spans="1:10" s="195" customFormat="1" ht="24.95" hidden="1" customHeight="1">
      <c r="A448" s="141"/>
      <c r="B448" s="141"/>
      <c r="C448" s="142"/>
      <c r="D448" s="141"/>
      <c r="E448" s="150"/>
      <c r="F448" s="150"/>
      <c r="G448" s="145"/>
      <c r="H448" s="145"/>
      <c r="I448" s="145"/>
      <c r="J448" s="145"/>
    </row>
    <row r="449" spans="1:10" s="195" customFormat="1" ht="24.95" hidden="1" customHeight="1">
      <c r="A449" s="141"/>
      <c r="B449" s="141"/>
      <c r="C449" s="142"/>
      <c r="D449" s="141"/>
      <c r="E449" s="150"/>
      <c r="F449" s="150"/>
      <c r="G449" s="145"/>
      <c r="H449" s="145"/>
      <c r="I449" s="145"/>
      <c r="J449" s="145"/>
    </row>
    <row r="450" spans="1:10" s="195" customFormat="1" ht="24.95" hidden="1" customHeight="1">
      <c r="A450" s="141"/>
      <c r="B450" s="141"/>
      <c r="C450" s="142"/>
      <c r="D450" s="141"/>
      <c r="E450" s="150"/>
      <c r="F450" s="150"/>
      <c r="G450" s="145"/>
      <c r="H450" s="145"/>
      <c r="I450" s="145"/>
      <c r="J450" s="145"/>
    </row>
    <row r="451" spans="1:10" s="195" customFormat="1" ht="24.95" hidden="1" customHeight="1">
      <c r="A451" s="141"/>
      <c r="B451" s="141"/>
      <c r="C451" s="142"/>
      <c r="D451" s="141"/>
      <c r="E451" s="150"/>
      <c r="F451" s="150"/>
      <c r="G451" s="145"/>
      <c r="H451" s="145"/>
      <c r="I451" s="145"/>
      <c r="J451" s="145"/>
    </row>
    <row r="452" spans="1:10" s="195" customFormat="1" ht="24.95" hidden="1" customHeight="1">
      <c r="A452" s="141"/>
      <c r="B452" s="141"/>
      <c r="C452" s="142"/>
      <c r="D452" s="141"/>
      <c r="E452" s="150"/>
      <c r="F452" s="150"/>
      <c r="G452" s="145"/>
      <c r="H452" s="145"/>
      <c r="I452" s="145"/>
      <c r="J452" s="145"/>
    </row>
    <row r="453" spans="1:10" s="195" customFormat="1" ht="24.95" hidden="1" customHeight="1">
      <c r="A453" s="141"/>
      <c r="B453" s="141"/>
      <c r="C453" s="142"/>
      <c r="D453" s="141"/>
      <c r="E453" s="150"/>
      <c r="F453" s="150"/>
      <c r="G453" s="145"/>
      <c r="H453" s="145"/>
      <c r="I453" s="145"/>
      <c r="J453" s="145"/>
    </row>
    <row r="454" spans="1:10" s="195" customFormat="1" ht="24.95" hidden="1" customHeight="1">
      <c r="A454" s="141"/>
      <c r="B454" s="141"/>
      <c r="C454" s="142"/>
      <c r="D454" s="141"/>
      <c r="E454" s="150"/>
      <c r="F454" s="150"/>
      <c r="G454" s="145"/>
      <c r="H454" s="145"/>
      <c r="I454" s="145"/>
      <c r="J454" s="145"/>
    </row>
    <row r="455" spans="1:10" s="195" customFormat="1" ht="24.95" hidden="1" customHeight="1">
      <c r="A455" s="141"/>
      <c r="B455" s="141"/>
      <c r="C455" s="142"/>
      <c r="D455" s="141"/>
      <c r="E455" s="150"/>
      <c r="F455" s="150"/>
      <c r="G455" s="145"/>
      <c r="H455" s="145"/>
      <c r="I455" s="145"/>
      <c r="J455" s="145"/>
    </row>
    <row r="456" spans="1:10" s="195" customFormat="1" ht="24.95" hidden="1" customHeight="1">
      <c r="A456" s="141"/>
      <c r="B456" s="141"/>
      <c r="C456" s="142"/>
      <c r="D456" s="141"/>
      <c r="E456" s="150"/>
      <c r="F456" s="150"/>
      <c r="G456" s="145"/>
      <c r="H456" s="145"/>
      <c r="I456" s="145"/>
      <c r="J456" s="145"/>
    </row>
    <row r="457" spans="1:10" s="195" customFormat="1" ht="24.95" hidden="1" customHeight="1">
      <c r="A457" s="141"/>
      <c r="B457" s="141"/>
      <c r="C457" s="142"/>
      <c r="D457" s="141"/>
      <c r="E457" s="150"/>
      <c r="F457" s="150"/>
      <c r="G457" s="145"/>
      <c r="H457" s="145"/>
      <c r="I457" s="145"/>
      <c r="J457" s="145"/>
    </row>
    <row r="458" spans="1:10" s="195" customFormat="1" ht="24.95" hidden="1" customHeight="1">
      <c r="A458" s="141"/>
      <c r="B458" s="141"/>
      <c r="C458" s="142"/>
      <c r="D458" s="141"/>
      <c r="E458" s="150"/>
      <c r="F458" s="150"/>
      <c r="G458" s="145"/>
      <c r="H458" s="145"/>
      <c r="I458" s="145"/>
      <c r="J458" s="145"/>
    </row>
    <row r="459" spans="1:10" s="195" customFormat="1" ht="24.95" hidden="1" customHeight="1">
      <c r="A459" s="141"/>
      <c r="B459" s="141"/>
      <c r="C459" s="142"/>
      <c r="D459" s="141"/>
      <c r="E459" s="150"/>
      <c r="F459" s="150"/>
      <c r="G459" s="145"/>
      <c r="H459" s="145"/>
      <c r="I459" s="145"/>
      <c r="J459" s="145"/>
    </row>
    <row r="460" spans="1:10" s="195" customFormat="1" ht="24.95" hidden="1" customHeight="1">
      <c r="A460" s="141"/>
      <c r="B460" s="141"/>
      <c r="C460" s="142"/>
      <c r="D460" s="141"/>
      <c r="E460" s="150"/>
      <c r="F460" s="150"/>
      <c r="G460" s="145"/>
      <c r="H460" s="145"/>
      <c r="I460" s="145"/>
      <c r="J460" s="145"/>
    </row>
    <row r="461" spans="1:10" s="195" customFormat="1" ht="24.95" hidden="1" customHeight="1">
      <c r="A461" s="141"/>
      <c r="B461" s="141"/>
      <c r="C461" s="142"/>
      <c r="D461" s="141"/>
      <c r="E461" s="150"/>
      <c r="F461" s="150"/>
      <c r="G461" s="145"/>
      <c r="H461" s="145"/>
      <c r="I461" s="145"/>
      <c r="J461" s="145"/>
    </row>
    <row r="462" spans="1:10" s="195" customFormat="1" ht="24.95" hidden="1" customHeight="1">
      <c r="A462" s="141"/>
      <c r="B462" s="141"/>
      <c r="C462" s="142"/>
      <c r="D462" s="141"/>
      <c r="E462" s="150"/>
      <c r="F462" s="150"/>
      <c r="G462" s="145"/>
      <c r="H462" s="145"/>
      <c r="I462" s="145"/>
      <c r="J462" s="145"/>
    </row>
    <row r="463" spans="1:10" s="195" customFormat="1" ht="24.95" hidden="1" customHeight="1">
      <c r="A463" s="141"/>
      <c r="B463" s="141"/>
      <c r="C463" s="142"/>
      <c r="D463" s="141"/>
      <c r="E463" s="150"/>
      <c r="F463" s="150"/>
      <c r="G463" s="145"/>
      <c r="H463" s="145"/>
      <c r="I463" s="145"/>
      <c r="J463" s="145"/>
    </row>
    <row r="464" spans="1:10" s="195" customFormat="1" ht="24.95" hidden="1" customHeight="1">
      <c r="A464" s="141"/>
      <c r="B464" s="141"/>
      <c r="C464" s="142"/>
      <c r="D464" s="141"/>
      <c r="E464" s="150"/>
      <c r="F464" s="150"/>
      <c r="G464" s="145"/>
      <c r="H464" s="145"/>
      <c r="I464" s="145"/>
      <c r="J464" s="145"/>
    </row>
    <row r="465" spans="1:10" s="195" customFormat="1" ht="24.95" hidden="1" customHeight="1">
      <c r="A465" s="141"/>
      <c r="B465" s="141"/>
      <c r="C465" s="142"/>
      <c r="D465" s="141"/>
      <c r="E465" s="150"/>
      <c r="F465" s="150"/>
      <c r="G465" s="145"/>
      <c r="H465" s="145"/>
      <c r="I465" s="145"/>
      <c r="J465" s="145"/>
    </row>
    <row r="466" spans="1:10" s="195" customFormat="1" ht="24.95" hidden="1" customHeight="1">
      <c r="A466" s="141"/>
      <c r="B466" s="141"/>
      <c r="C466" s="142"/>
      <c r="D466" s="141"/>
      <c r="E466" s="150"/>
      <c r="F466" s="150"/>
      <c r="G466" s="145"/>
      <c r="H466" s="145"/>
      <c r="I466" s="145"/>
      <c r="J466" s="145"/>
    </row>
    <row r="467" spans="1:10" s="195" customFormat="1" ht="24.95" hidden="1" customHeight="1">
      <c r="A467" s="141"/>
      <c r="B467" s="141"/>
      <c r="C467" s="142"/>
      <c r="D467" s="141"/>
      <c r="E467" s="150"/>
      <c r="F467" s="150"/>
      <c r="G467" s="145"/>
      <c r="H467" s="145"/>
      <c r="I467" s="145"/>
      <c r="J467" s="145"/>
    </row>
    <row r="468" spans="1:10" s="195" customFormat="1" ht="24.95" hidden="1" customHeight="1">
      <c r="A468" s="141"/>
      <c r="B468" s="141"/>
      <c r="C468" s="142"/>
      <c r="D468" s="141"/>
      <c r="E468" s="150"/>
      <c r="F468" s="150"/>
      <c r="G468" s="145"/>
      <c r="H468" s="145"/>
      <c r="I468" s="145"/>
      <c r="J468" s="145"/>
    </row>
    <row r="469" spans="1:10" s="195" customFormat="1" ht="24.95" hidden="1" customHeight="1">
      <c r="A469" s="141"/>
      <c r="B469" s="141"/>
      <c r="C469" s="142"/>
      <c r="D469" s="143"/>
      <c r="E469" s="150"/>
      <c r="F469" s="150"/>
      <c r="G469" s="145"/>
      <c r="H469" s="145"/>
      <c r="I469" s="145"/>
      <c r="J469" s="145"/>
    </row>
    <row r="470" spans="1:10" s="195" customFormat="1" ht="24.95" hidden="1" customHeight="1">
      <c r="A470" s="141"/>
      <c r="B470" s="141"/>
      <c r="C470" s="142"/>
      <c r="D470" s="141"/>
      <c r="E470" s="150"/>
      <c r="F470" s="150"/>
      <c r="G470" s="145"/>
      <c r="H470" s="145"/>
      <c r="I470" s="145"/>
      <c r="J470" s="145"/>
    </row>
    <row r="471" spans="1:10" s="195" customFormat="1" ht="24.95" hidden="1" customHeight="1">
      <c r="A471" s="141"/>
      <c r="B471" s="141"/>
      <c r="C471" s="142"/>
      <c r="D471" s="141"/>
      <c r="E471" s="150"/>
      <c r="F471" s="150"/>
      <c r="G471" s="145"/>
      <c r="H471" s="145"/>
      <c r="I471" s="145"/>
      <c r="J471" s="145"/>
    </row>
    <row r="472" spans="1:10" s="195" customFormat="1" ht="24.95" hidden="1" customHeight="1">
      <c r="A472" s="141"/>
      <c r="B472" s="141"/>
      <c r="C472" s="142"/>
      <c r="D472" s="141"/>
      <c r="E472" s="150"/>
      <c r="F472" s="150"/>
      <c r="G472" s="145"/>
      <c r="H472" s="145"/>
      <c r="I472" s="145"/>
      <c r="J472" s="145"/>
    </row>
    <row r="473" spans="1:10" s="195" customFormat="1" ht="24.95" hidden="1" customHeight="1">
      <c r="A473" s="141"/>
      <c r="B473" s="141"/>
      <c r="C473" s="142"/>
      <c r="D473" s="141"/>
      <c r="E473" s="150"/>
      <c r="F473" s="150"/>
      <c r="G473" s="145"/>
      <c r="H473" s="145"/>
      <c r="I473" s="145"/>
      <c r="J473" s="145"/>
    </row>
    <row r="474" spans="1:10" s="195" customFormat="1" ht="24.95" hidden="1" customHeight="1">
      <c r="A474" s="141"/>
      <c r="B474" s="141"/>
      <c r="C474" s="142"/>
      <c r="D474" s="141"/>
      <c r="E474" s="150"/>
      <c r="F474" s="150"/>
      <c r="G474" s="145"/>
      <c r="H474" s="145"/>
      <c r="I474" s="145"/>
      <c r="J474" s="145"/>
    </row>
    <row r="475" spans="1:10" s="195" customFormat="1" ht="24.95" hidden="1" customHeight="1">
      <c r="A475" s="141"/>
      <c r="B475" s="141"/>
      <c r="C475" s="142"/>
      <c r="D475" s="141"/>
      <c r="E475" s="150"/>
      <c r="F475" s="150"/>
      <c r="G475" s="145"/>
      <c r="H475" s="145"/>
      <c r="I475" s="145"/>
      <c r="J475" s="145"/>
    </row>
    <row r="476" spans="1:10" s="195" customFormat="1" ht="24.95" hidden="1" customHeight="1">
      <c r="A476" s="141"/>
      <c r="B476" s="141"/>
      <c r="C476" s="142"/>
      <c r="D476" s="141"/>
      <c r="E476" s="150"/>
      <c r="F476" s="150"/>
      <c r="G476" s="145"/>
      <c r="H476" s="145"/>
      <c r="I476" s="145"/>
      <c r="J476" s="145"/>
    </row>
    <row r="477" spans="1:10" s="195" customFormat="1" ht="24.95" hidden="1" customHeight="1">
      <c r="A477" s="141"/>
      <c r="B477" s="141"/>
      <c r="C477" s="142"/>
      <c r="D477" s="141"/>
      <c r="E477" s="150"/>
      <c r="F477" s="150"/>
      <c r="G477" s="145"/>
      <c r="H477" s="145"/>
      <c r="I477" s="145"/>
      <c r="J477" s="145"/>
    </row>
    <row r="478" spans="1:10" s="195" customFormat="1" ht="24.95" hidden="1" customHeight="1">
      <c r="A478" s="141"/>
      <c r="B478" s="141"/>
      <c r="C478" s="142"/>
      <c r="D478" s="141"/>
      <c r="E478" s="150"/>
      <c r="F478" s="150"/>
      <c r="G478" s="145"/>
      <c r="H478" s="145"/>
      <c r="I478" s="145"/>
      <c r="J478" s="145"/>
    </row>
    <row r="479" spans="1:10" s="195" customFormat="1" ht="24.95" hidden="1" customHeight="1">
      <c r="A479" s="141"/>
      <c r="B479" s="141"/>
      <c r="C479" s="142"/>
      <c r="D479" s="141"/>
      <c r="E479" s="150"/>
      <c r="F479" s="150"/>
      <c r="G479" s="145"/>
      <c r="H479" s="145"/>
      <c r="I479" s="145"/>
      <c r="J479" s="145"/>
    </row>
    <row r="480" spans="1:10" s="195" customFormat="1" ht="24.95" hidden="1" customHeight="1">
      <c r="A480" s="141"/>
      <c r="B480" s="141"/>
      <c r="C480" s="142"/>
      <c r="D480" s="141"/>
      <c r="E480" s="150"/>
      <c r="F480" s="150"/>
      <c r="G480" s="145"/>
      <c r="H480" s="145"/>
      <c r="I480" s="145"/>
      <c r="J480" s="145"/>
    </row>
    <row r="481" spans="1:10" s="195" customFormat="1" ht="24.95" hidden="1" customHeight="1">
      <c r="A481" s="141"/>
      <c r="B481" s="141"/>
      <c r="C481" s="142"/>
      <c r="D481" s="141"/>
      <c r="E481" s="150"/>
      <c r="F481" s="150"/>
      <c r="G481" s="145"/>
      <c r="H481" s="145"/>
      <c r="I481" s="145"/>
      <c r="J481" s="145"/>
    </row>
    <row r="482" spans="1:10" s="195" customFormat="1" ht="24.95" hidden="1" customHeight="1">
      <c r="A482" s="141"/>
      <c r="B482" s="141"/>
      <c r="C482" s="142"/>
      <c r="D482" s="141"/>
      <c r="E482" s="150"/>
      <c r="F482" s="150"/>
      <c r="G482" s="145"/>
      <c r="H482" s="145"/>
      <c r="I482" s="145"/>
      <c r="J482" s="145"/>
    </row>
    <row r="483" spans="1:10" s="195" customFormat="1" ht="24.95" hidden="1" customHeight="1">
      <c r="A483" s="141"/>
      <c r="B483" s="141"/>
      <c r="C483" s="142"/>
      <c r="D483" s="141"/>
      <c r="E483" s="150"/>
      <c r="F483" s="150"/>
      <c r="G483" s="145"/>
      <c r="H483" s="145"/>
      <c r="I483" s="145"/>
      <c r="J483" s="145"/>
    </row>
    <row r="484" spans="1:10" s="195" customFormat="1" ht="24.95" hidden="1" customHeight="1">
      <c r="A484" s="141"/>
      <c r="B484" s="141"/>
      <c r="C484" s="142"/>
      <c r="D484" s="141"/>
      <c r="E484" s="150"/>
      <c r="F484" s="150"/>
      <c r="G484" s="145"/>
      <c r="H484" s="145"/>
      <c r="I484" s="145"/>
      <c r="J484" s="145"/>
    </row>
    <row r="485" spans="1:10" s="195" customFormat="1" ht="24.95" hidden="1" customHeight="1">
      <c r="A485" s="141"/>
      <c r="B485" s="141"/>
      <c r="C485" s="142"/>
      <c r="D485" s="141"/>
      <c r="E485" s="150"/>
      <c r="F485" s="150"/>
      <c r="G485" s="145"/>
      <c r="H485" s="145"/>
      <c r="I485" s="145"/>
      <c r="J485" s="145"/>
    </row>
    <row r="486" spans="1:10" s="195" customFormat="1" ht="24.95" hidden="1" customHeight="1">
      <c r="A486" s="141"/>
      <c r="B486" s="141"/>
      <c r="C486" s="142"/>
      <c r="D486" s="141"/>
      <c r="E486" s="150"/>
      <c r="F486" s="150"/>
      <c r="G486" s="145"/>
      <c r="H486" s="145"/>
      <c r="I486" s="145"/>
      <c r="J486" s="145"/>
    </row>
    <row r="487" spans="1:10" s="195" customFormat="1" ht="24.95" hidden="1" customHeight="1">
      <c r="A487" s="141"/>
      <c r="B487" s="141"/>
      <c r="C487" s="142"/>
      <c r="D487" s="141"/>
      <c r="E487" s="150"/>
      <c r="F487" s="150"/>
      <c r="G487" s="145"/>
      <c r="H487" s="145"/>
      <c r="I487" s="145"/>
      <c r="J487" s="145"/>
    </row>
    <row r="488" spans="1:10" s="195" customFormat="1" ht="24.95" hidden="1" customHeight="1">
      <c r="A488" s="141"/>
      <c r="B488" s="141"/>
      <c r="C488" s="142"/>
      <c r="D488" s="141"/>
      <c r="E488" s="150"/>
      <c r="F488" s="150"/>
      <c r="G488" s="145"/>
      <c r="H488" s="145"/>
      <c r="I488" s="145"/>
      <c r="J488" s="145"/>
    </row>
    <row r="489" spans="1:10" s="195" customFormat="1" ht="24.95" hidden="1" customHeight="1">
      <c r="A489" s="141"/>
      <c r="B489" s="141"/>
      <c r="C489" s="142"/>
      <c r="D489" s="141"/>
      <c r="E489" s="150"/>
      <c r="F489" s="150"/>
      <c r="G489" s="145"/>
      <c r="H489" s="145"/>
      <c r="I489" s="145"/>
      <c r="J489" s="145"/>
    </row>
    <row r="490" spans="1:10" s="195" customFormat="1" ht="24.95" hidden="1" customHeight="1">
      <c r="A490" s="141"/>
      <c r="B490" s="141"/>
      <c r="C490" s="142"/>
      <c r="D490" s="141"/>
      <c r="E490" s="150"/>
      <c r="F490" s="150"/>
      <c r="G490" s="145"/>
      <c r="H490" s="145"/>
      <c r="I490" s="145"/>
      <c r="J490" s="145"/>
    </row>
    <row r="491" spans="1:10" s="195" customFormat="1" ht="24.95" hidden="1" customHeight="1">
      <c r="A491" s="141"/>
      <c r="B491" s="141"/>
      <c r="C491" s="142"/>
      <c r="D491" s="141"/>
      <c r="E491" s="150"/>
      <c r="F491" s="150"/>
      <c r="G491" s="145"/>
      <c r="H491" s="145"/>
      <c r="I491" s="145"/>
      <c r="J491" s="145"/>
    </row>
    <row r="492" spans="1:10" s="195" customFormat="1" ht="24.95" hidden="1" customHeight="1">
      <c r="A492" s="141"/>
      <c r="B492" s="141"/>
      <c r="C492" s="142"/>
      <c r="D492" s="141"/>
      <c r="E492" s="150"/>
      <c r="F492" s="150"/>
      <c r="G492" s="145"/>
      <c r="H492" s="145"/>
      <c r="I492" s="145"/>
      <c r="J492" s="145"/>
    </row>
    <row r="493" spans="1:10" s="195" customFormat="1" ht="24.95" hidden="1" customHeight="1">
      <c r="A493" s="141"/>
      <c r="B493" s="141"/>
      <c r="C493" s="142"/>
      <c r="D493" s="141"/>
      <c r="E493" s="150"/>
      <c r="F493" s="150"/>
      <c r="G493" s="145"/>
      <c r="H493" s="145"/>
      <c r="I493" s="145"/>
      <c r="J493" s="145"/>
    </row>
    <row r="494" spans="1:10" s="195" customFormat="1" ht="24.95" hidden="1" customHeight="1">
      <c r="A494" s="141"/>
      <c r="B494" s="141"/>
      <c r="C494" s="142"/>
      <c r="D494" s="141"/>
      <c r="E494" s="150"/>
      <c r="F494" s="150"/>
      <c r="G494" s="145"/>
      <c r="H494" s="145"/>
      <c r="I494" s="145"/>
      <c r="J494" s="145"/>
    </row>
    <row r="495" spans="1:10" s="195" customFormat="1" ht="24.95" hidden="1" customHeight="1">
      <c r="A495" s="141"/>
      <c r="B495" s="141"/>
      <c r="C495" s="142"/>
      <c r="D495" s="141"/>
      <c r="E495" s="150"/>
      <c r="F495" s="150"/>
      <c r="G495" s="145"/>
      <c r="H495" s="145"/>
      <c r="I495" s="145"/>
      <c r="J495" s="145"/>
    </row>
    <row r="496" spans="1:10" s="195" customFormat="1" ht="24.95" hidden="1" customHeight="1">
      <c r="A496" s="141"/>
      <c r="B496" s="141"/>
      <c r="C496" s="142"/>
      <c r="D496" s="141"/>
      <c r="E496" s="150"/>
      <c r="F496" s="150"/>
      <c r="G496" s="145"/>
      <c r="H496" s="145"/>
      <c r="I496" s="145"/>
      <c r="J496" s="145"/>
    </row>
    <row r="497" spans="1:10" s="195" customFormat="1" ht="24.95" hidden="1" customHeight="1">
      <c r="A497" s="141"/>
      <c r="B497" s="141"/>
      <c r="C497" s="142"/>
      <c r="D497" s="141"/>
      <c r="E497" s="150"/>
      <c r="F497" s="150"/>
      <c r="G497" s="145"/>
      <c r="H497" s="145"/>
      <c r="I497" s="145"/>
      <c r="J497" s="145"/>
    </row>
    <row r="498" spans="1:10" s="195" customFormat="1" ht="24.95" hidden="1" customHeight="1">
      <c r="A498" s="141"/>
      <c r="B498" s="141"/>
      <c r="C498" s="142"/>
      <c r="D498" s="141"/>
      <c r="E498" s="150"/>
      <c r="F498" s="150"/>
      <c r="G498" s="145"/>
      <c r="H498" s="145"/>
      <c r="I498" s="145"/>
      <c r="J498" s="145"/>
    </row>
    <row r="499" spans="1:10" s="195" customFormat="1" ht="24.95" hidden="1" customHeight="1">
      <c r="A499" s="141"/>
      <c r="B499" s="141"/>
      <c r="C499" s="142"/>
      <c r="D499" s="141"/>
      <c r="E499" s="150"/>
      <c r="F499" s="150"/>
      <c r="G499" s="145"/>
      <c r="H499" s="145"/>
      <c r="I499" s="145"/>
      <c r="J499" s="145"/>
    </row>
    <row r="500" spans="1:10" s="195" customFormat="1" ht="24.95" hidden="1" customHeight="1">
      <c r="A500" s="141"/>
      <c r="B500" s="141"/>
      <c r="C500" s="142"/>
      <c r="D500" s="141"/>
      <c r="E500" s="150"/>
      <c r="F500" s="150"/>
      <c r="G500" s="145"/>
      <c r="H500" s="145"/>
      <c r="I500" s="145"/>
      <c r="J500" s="145"/>
    </row>
    <row r="501" spans="1:10" s="195" customFormat="1" ht="24.95" hidden="1" customHeight="1">
      <c r="A501" s="141"/>
      <c r="B501" s="141"/>
      <c r="C501" s="142"/>
      <c r="D501" s="141"/>
      <c r="E501" s="150"/>
      <c r="F501" s="150"/>
      <c r="G501" s="145"/>
      <c r="H501" s="145"/>
      <c r="I501" s="145"/>
      <c r="J501" s="145"/>
    </row>
    <row r="502" spans="1:10" s="195" customFormat="1" ht="24.95" hidden="1" customHeight="1">
      <c r="A502" s="141"/>
      <c r="B502" s="141"/>
      <c r="C502" s="142"/>
      <c r="D502" s="141"/>
      <c r="E502" s="150"/>
      <c r="F502" s="150"/>
      <c r="G502" s="145"/>
      <c r="H502" s="145"/>
      <c r="I502" s="145"/>
      <c r="J502" s="145"/>
    </row>
    <row r="503" spans="1:10" s="195" customFormat="1" ht="24.95" hidden="1" customHeight="1">
      <c r="A503" s="141"/>
      <c r="B503" s="141"/>
      <c r="C503" s="142"/>
      <c r="D503" s="141"/>
      <c r="E503" s="150"/>
      <c r="F503" s="150"/>
      <c r="G503" s="145"/>
      <c r="H503" s="145"/>
      <c r="I503" s="145"/>
      <c r="J503" s="145"/>
    </row>
    <row r="504" spans="1:10" s="195" customFormat="1" ht="24.95" hidden="1" customHeight="1">
      <c r="A504" s="141"/>
      <c r="B504" s="141"/>
      <c r="C504" s="142"/>
      <c r="D504" s="141"/>
      <c r="E504" s="150"/>
      <c r="F504" s="150"/>
      <c r="G504" s="145"/>
      <c r="H504" s="145"/>
      <c r="I504" s="145"/>
      <c r="J504" s="145"/>
    </row>
    <row r="505" spans="1:10" s="195" customFormat="1" ht="24.95" hidden="1" customHeight="1">
      <c r="A505" s="141"/>
      <c r="B505" s="141"/>
      <c r="C505" s="142"/>
      <c r="D505" s="141"/>
      <c r="E505" s="150"/>
      <c r="F505" s="150"/>
      <c r="G505" s="145"/>
      <c r="H505" s="145"/>
      <c r="I505" s="145"/>
      <c r="J505" s="145"/>
    </row>
    <row r="506" spans="1:10" s="195" customFormat="1" ht="24.95" hidden="1" customHeight="1">
      <c r="A506" s="141"/>
      <c r="B506" s="141"/>
      <c r="C506" s="142"/>
      <c r="D506" s="141"/>
      <c r="E506" s="150"/>
      <c r="F506" s="150"/>
      <c r="G506" s="145"/>
      <c r="H506" s="145"/>
      <c r="I506" s="145"/>
      <c r="J506" s="145"/>
    </row>
    <row r="507" spans="1:10" s="195" customFormat="1" ht="24.95" hidden="1" customHeight="1">
      <c r="A507" s="141"/>
      <c r="B507" s="141"/>
      <c r="C507" s="142"/>
      <c r="D507" s="141"/>
      <c r="E507" s="150"/>
      <c r="F507" s="150"/>
      <c r="G507" s="145"/>
      <c r="H507" s="145"/>
      <c r="I507" s="145"/>
      <c r="J507" s="145"/>
    </row>
    <row r="508" spans="1:10" s="195" customFormat="1" ht="24.95" hidden="1" customHeight="1">
      <c r="A508" s="141"/>
      <c r="B508" s="141"/>
      <c r="C508" s="142"/>
      <c r="D508" s="141"/>
      <c r="E508" s="150"/>
      <c r="F508" s="150"/>
      <c r="G508" s="145"/>
      <c r="H508" s="145"/>
      <c r="I508" s="145"/>
      <c r="J508" s="145"/>
    </row>
    <row r="509" spans="1:10" s="195" customFormat="1" ht="24.95" hidden="1" customHeight="1">
      <c r="A509" s="141"/>
      <c r="B509" s="141"/>
      <c r="C509" s="142"/>
      <c r="D509" s="141"/>
      <c r="E509" s="150"/>
      <c r="F509" s="150"/>
      <c r="G509" s="145"/>
      <c r="H509" s="145"/>
      <c r="I509" s="145"/>
      <c r="J509" s="145"/>
    </row>
    <row r="510" spans="1:10" s="195" customFormat="1" ht="24.95" hidden="1" customHeight="1">
      <c r="A510" s="141"/>
      <c r="B510" s="141"/>
      <c r="C510" s="142"/>
      <c r="D510" s="141"/>
      <c r="E510" s="150"/>
      <c r="F510" s="150"/>
      <c r="G510" s="145"/>
      <c r="H510" s="145"/>
      <c r="I510" s="145"/>
      <c r="J510" s="145"/>
    </row>
    <row r="511" spans="1:10" s="195" customFormat="1" ht="24.95" hidden="1" customHeight="1">
      <c r="A511" s="141"/>
      <c r="B511" s="141"/>
      <c r="C511" s="142"/>
      <c r="D511" s="141"/>
      <c r="E511" s="150"/>
      <c r="F511" s="150"/>
      <c r="G511" s="145"/>
      <c r="H511" s="145"/>
      <c r="I511" s="145"/>
      <c r="J511" s="145"/>
    </row>
    <row r="512" spans="1:10" s="195" customFormat="1" ht="24.95" hidden="1" customHeight="1">
      <c r="A512" s="141"/>
      <c r="B512" s="141"/>
      <c r="C512" s="142"/>
      <c r="D512" s="141"/>
      <c r="E512" s="150"/>
      <c r="F512" s="150"/>
      <c r="G512" s="145"/>
      <c r="H512" s="145"/>
      <c r="I512" s="145"/>
      <c r="J512" s="145"/>
    </row>
    <row r="513" spans="1:10" s="195" customFormat="1" ht="24.95" hidden="1" customHeight="1">
      <c r="A513" s="141"/>
      <c r="B513" s="141"/>
      <c r="C513" s="142"/>
      <c r="D513" s="141"/>
      <c r="E513" s="150"/>
      <c r="F513" s="150"/>
      <c r="G513" s="145"/>
      <c r="H513" s="145"/>
      <c r="I513" s="145"/>
      <c r="J513" s="145"/>
    </row>
    <row r="514" spans="1:10" s="195" customFormat="1" ht="24.95" hidden="1" customHeight="1">
      <c r="A514" s="141"/>
      <c r="B514" s="141"/>
      <c r="C514" s="142"/>
      <c r="D514" s="141"/>
      <c r="E514" s="150"/>
      <c r="F514" s="150"/>
      <c r="G514" s="145"/>
      <c r="H514" s="145"/>
      <c r="I514" s="145"/>
      <c r="J514" s="145"/>
    </row>
    <row r="515" spans="1:10" s="195" customFormat="1" ht="24.95" hidden="1" customHeight="1">
      <c r="A515" s="141"/>
      <c r="B515" s="141"/>
      <c r="C515" s="142"/>
      <c r="D515" s="141"/>
      <c r="E515" s="150"/>
      <c r="F515" s="150"/>
      <c r="G515" s="145"/>
      <c r="H515" s="145"/>
      <c r="I515" s="145"/>
      <c r="J515" s="145"/>
    </row>
    <row r="516" spans="1:10" s="195" customFormat="1" ht="24.95" hidden="1" customHeight="1">
      <c r="A516" s="141"/>
      <c r="B516" s="141"/>
      <c r="C516" s="142"/>
      <c r="D516" s="141"/>
      <c r="E516" s="150"/>
      <c r="F516" s="150"/>
      <c r="G516" s="145"/>
      <c r="H516" s="145"/>
      <c r="I516" s="145"/>
      <c r="J516" s="145"/>
    </row>
    <row r="517" spans="1:10" s="195" customFormat="1" ht="24.95" hidden="1" customHeight="1">
      <c r="A517" s="141"/>
      <c r="B517" s="141"/>
      <c r="C517" s="142"/>
      <c r="D517" s="141"/>
      <c r="E517" s="150"/>
      <c r="F517" s="150"/>
      <c r="G517" s="145"/>
      <c r="H517" s="145"/>
      <c r="I517" s="145"/>
      <c r="J517" s="145"/>
    </row>
    <row r="518" spans="1:10" s="195" customFormat="1" ht="24.95" hidden="1" customHeight="1">
      <c r="A518" s="141"/>
      <c r="B518" s="141"/>
      <c r="C518" s="142"/>
      <c r="D518" s="141"/>
      <c r="E518" s="150"/>
      <c r="F518" s="150"/>
      <c r="G518" s="145"/>
      <c r="H518" s="145"/>
      <c r="I518" s="145"/>
      <c r="J518" s="145"/>
    </row>
    <row r="519" spans="1:10" s="195" customFormat="1" ht="24.95" hidden="1" customHeight="1">
      <c r="A519" s="141"/>
      <c r="B519" s="141"/>
      <c r="C519" s="142"/>
      <c r="D519" s="141"/>
      <c r="E519" s="150"/>
      <c r="F519" s="150"/>
      <c r="G519" s="145"/>
      <c r="H519" s="145"/>
      <c r="I519" s="145"/>
      <c r="J519" s="145"/>
    </row>
    <row r="520" spans="1:10" s="195" customFormat="1" ht="24.95" hidden="1" customHeight="1">
      <c r="A520" s="141"/>
      <c r="B520" s="141"/>
      <c r="C520" s="142"/>
      <c r="D520" s="141"/>
      <c r="E520" s="150"/>
      <c r="F520" s="150"/>
      <c r="G520" s="145"/>
      <c r="H520" s="145"/>
      <c r="I520" s="145"/>
      <c r="J520" s="145"/>
    </row>
    <row r="521" spans="1:10" s="195" customFormat="1" ht="24.95" hidden="1" customHeight="1">
      <c r="A521" s="141"/>
      <c r="B521" s="141"/>
      <c r="C521" s="142"/>
      <c r="D521" s="141"/>
      <c r="E521" s="150"/>
      <c r="F521" s="150"/>
      <c r="G521" s="145"/>
      <c r="H521" s="145"/>
      <c r="I521" s="145"/>
      <c r="J521" s="145"/>
    </row>
    <row r="522" spans="1:10" s="195" customFormat="1" ht="24.95" hidden="1" customHeight="1">
      <c r="A522" s="141"/>
      <c r="B522" s="141"/>
      <c r="C522" s="142"/>
      <c r="D522" s="141"/>
      <c r="E522" s="150"/>
      <c r="F522" s="150"/>
      <c r="G522" s="145"/>
      <c r="H522" s="145"/>
      <c r="I522" s="145"/>
      <c r="J522" s="145"/>
    </row>
    <row r="523" spans="1:10" s="195" customFormat="1" ht="24.95" hidden="1" customHeight="1">
      <c r="A523" s="141"/>
      <c r="B523" s="141"/>
      <c r="C523" s="142"/>
      <c r="D523" s="141"/>
      <c r="E523" s="150"/>
      <c r="F523" s="150"/>
      <c r="G523" s="145"/>
      <c r="H523" s="145"/>
      <c r="I523" s="145"/>
      <c r="J523" s="145"/>
    </row>
    <row r="524" spans="1:10" s="195" customFormat="1" ht="24.95" hidden="1" customHeight="1">
      <c r="A524" s="141"/>
      <c r="B524" s="141"/>
      <c r="C524" s="142"/>
      <c r="D524" s="141"/>
      <c r="E524" s="150"/>
      <c r="F524" s="150"/>
      <c r="G524" s="145"/>
      <c r="H524" s="145"/>
      <c r="I524" s="145"/>
      <c r="J524" s="145"/>
    </row>
    <row r="525" spans="1:10" s="195" customFormat="1" ht="24.95" hidden="1" customHeight="1">
      <c r="A525" s="141"/>
      <c r="B525" s="141"/>
      <c r="C525" s="142"/>
      <c r="D525" s="141"/>
      <c r="E525" s="150"/>
      <c r="F525" s="150"/>
      <c r="G525" s="145"/>
      <c r="H525" s="145"/>
      <c r="I525" s="145"/>
      <c r="J525" s="145"/>
    </row>
    <row r="526" spans="1:10" s="195" customFormat="1" ht="24.95" hidden="1" customHeight="1">
      <c r="A526" s="141"/>
      <c r="B526" s="141"/>
      <c r="C526" s="142"/>
      <c r="D526" s="141"/>
      <c r="E526" s="150"/>
      <c r="F526" s="150"/>
      <c r="G526" s="145"/>
      <c r="H526" s="145"/>
      <c r="I526" s="145"/>
      <c r="J526" s="145"/>
    </row>
    <row r="527" spans="1:10" s="195" customFormat="1" ht="24.95" hidden="1" customHeight="1">
      <c r="A527" s="141"/>
      <c r="B527" s="141"/>
      <c r="C527" s="142"/>
      <c r="D527" s="141"/>
      <c r="E527" s="150"/>
      <c r="F527" s="150"/>
      <c r="G527" s="145"/>
      <c r="H527" s="145"/>
      <c r="I527" s="145"/>
      <c r="J527" s="145"/>
    </row>
    <row r="528" spans="1:10" s="195" customFormat="1" ht="24.95" hidden="1" customHeight="1">
      <c r="A528" s="141"/>
      <c r="B528" s="141"/>
      <c r="C528" s="142"/>
      <c r="D528" s="141"/>
      <c r="E528" s="150"/>
      <c r="F528" s="150"/>
      <c r="G528" s="145"/>
      <c r="H528" s="145"/>
      <c r="I528" s="145"/>
      <c r="J528" s="145"/>
    </row>
    <row r="529" spans="1:10" s="195" customFormat="1" ht="24.95" hidden="1" customHeight="1">
      <c r="A529" s="141"/>
      <c r="B529" s="141"/>
      <c r="C529" s="142"/>
      <c r="D529" s="141"/>
      <c r="E529" s="150"/>
      <c r="F529" s="150"/>
      <c r="G529" s="145"/>
      <c r="H529" s="145"/>
      <c r="I529" s="145"/>
      <c r="J529" s="145"/>
    </row>
    <row r="530" spans="1:10" s="195" customFormat="1" ht="24.95" hidden="1" customHeight="1">
      <c r="A530" s="141"/>
      <c r="B530" s="141"/>
      <c r="C530" s="142"/>
      <c r="D530" s="141"/>
      <c r="E530" s="150"/>
      <c r="F530" s="150"/>
      <c r="G530" s="145"/>
      <c r="H530" s="145"/>
      <c r="I530" s="145"/>
      <c r="J530" s="145"/>
    </row>
    <row r="531" spans="1:10" s="195" customFormat="1" ht="24.95" hidden="1" customHeight="1">
      <c r="A531" s="141"/>
      <c r="B531" s="141"/>
      <c r="C531" s="142"/>
      <c r="D531" s="141"/>
      <c r="E531" s="150"/>
      <c r="F531" s="150"/>
      <c r="G531" s="145"/>
      <c r="H531" s="145"/>
      <c r="I531" s="145"/>
      <c r="J531" s="145"/>
    </row>
    <row r="532" spans="1:10" s="195" customFormat="1" ht="24.95" hidden="1" customHeight="1">
      <c r="A532" s="141"/>
      <c r="B532" s="141"/>
      <c r="C532" s="142"/>
      <c r="D532" s="141"/>
      <c r="E532" s="150"/>
      <c r="F532" s="150"/>
      <c r="G532" s="145"/>
      <c r="H532" s="145"/>
      <c r="I532" s="145"/>
      <c r="J532" s="145"/>
    </row>
    <row r="533" spans="1:10" s="195" customFormat="1" ht="24.95" hidden="1" customHeight="1">
      <c r="A533" s="141"/>
      <c r="B533" s="141"/>
      <c r="C533" s="142"/>
      <c r="D533" s="141"/>
      <c r="E533" s="150"/>
      <c r="F533" s="150"/>
      <c r="G533" s="145"/>
      <c r="H533" s="145"/>
      <c r="I533" s="145"/>
      <c r="J533" s="145"/>
    </row>
    <row r="534" spans="1:10" s="195" customFormat="1" ht="24.95" hidden="1" customHeight="1">
      <c r="A534" s="141"/>
      <c r="B534" s="141"/>
      <c r="C534" s="142"/>
      <c r="D534" s="141"/>
      <c r="E534" s="150"/>
      <c r="F534" s="150"/>
      <c r="G534" s="145"/>
      <c r="H534" s="145"/>
      <c r="I534" s="145"/>
      <c r="J534" s="145"/>
    </row>
    <row r="535" spans="1:10" s="195" customFormat="1" ht="24.95" hidden="1" customHeight="1">
      <c r="A535" s="141"/>
      <c r="B535" s="141"/>
      <c r="C535" s="142"/>
      <c r="D535" s="141"/>
      <c r="E535" s="150"/>
      <c r="F535" s="150"/>
      <c r="G535" s="145"/>
      <c r="H535" s="145"/>
      <c r="I535" s="145"/>
      <c r="J535" s="145"/>
    </row>
    <row r="536" spans="1:10" s="195" customFormat="1" ht="24.95" hidden="1" customHeight="1">
      <c r="A536" s="141"/>
      <c r="B536" s="141"/>
      <c r="C536" s="142"/>
      <c r="D536" s="141"/>
      <c r="E536" s="150"/>
      <c r="F536" s="150"/>
      <c r="G536" s="145"/>
      <c r="H536" s="145"/>
      <c r="I536" s="145"/>
      <c r="J536" s="145"/>
    </row>
    <row r="537" spans="1:10" s="195" customFormat="1" ht="24.95" hidden="1" customHeight="1">
      <c r="A537" s="141"/>
      <c r="B537" s="141"/>
      <c r="C537" s="142"/>
      <c r="D537" s="141"/>
      <c r="E537" s="150"/>
      <c r="F537" s="150"/>
      <c r="G537" s="145"/>
      <c r="H537" s="145"/>
      <c r="I537" s="145"/>
      <c r="J537" s="145"/>
    </row>
    <row r="538" spans="1:10" s="195" customFormat="1" ht="24.95" hidden="1" customHeight="1">
      <c r="A538" s="141"/>
      <c r="B538" s="141"/>
      <c r="C538" s="142"/>
      <c r="D538" s="141"/>
      <c r="E538" s="150"/>
      <c r="F538" s="150"/>
      <c r="G538" s="145"/>
      <c r="H538" s="145"/>
      <c r="I538" s="145"/>
      <c r="J538" s="145"/>
    </row>
    <row r="539" spans="1:10" s="195" customFormat="1" ht="24.95" hidden="1" customHeight="1">
      <c r="A539" s="141"/>
      <c r="B539" s="141"/>
      <c r="C539" s="142"/>
      <c r="D539" s="141"/>
      <c r="E539" s="150"/>
      <c r="F539" s="150"/>
      <c r="G539" s="145"/>
      <c r="H539" s="145"/>
      <c r="I539" s="145"/>
      <c r="J539" s="145"/>
    </row>
    <row r="540" spans="1:10" s="195" customFormat="1" ht="24.95" hidden="1" customHeight="1">
      <c r="A540" s="141"/>
      <c r="B540" s="141"/>
      <c r="C540" s="142"/>
      <c r="D540" s="141"/>
      <c r="E540" s="150"/>
      <c r="F540" s="150"/>
      <c r="G540" s="145"/>
      <c r="H540" s="145"/>
      <c r="I540" s="145"/>
      <c r="J540" s="145"/>
    </row>
    <row r="541" spans="1:10" s="195" customFormat="1" ht="24.95" hidden="1" customHeight="1">
      <c r="A541" s="141"/>
      <c r="B541" s="141"/>
      <c r="C541" s="142"/>
      <c r="D541" s="141"/>
      <c r="E541" s="150"/>
      <c r="F541" s="150"/>
      <c r="G541" s="145"/>
      <c r="H541" s="145"/>
      <c r="I541" s="145"/>
      <c r="J541" s="145"/>
    </row>
    <row r="542" spans="1:10" s="195" customFormat="1" ht="24.95" hidden="1" customHeight="1">
      <c r="A542" s="141"/>
      <c r="B542" s="141"/>
      <c r="C542" s="142"/>
      <c r="D542" s="141"/>
      <c r="E542" s="150"/>
      <c r="F542" s="150"/>
      <c r="G542" s="145"/>
      <c r="H542" s="145"/>
      <c r="I542" s="145"/>
      <c r="J542" s="145"/>
    </row>
    <row r="543" spans="1:10" s="195" customFormat="1" ht="24.95" hidden="1" customHeight="1">
      <c r="A543" s="141"/>
      <c r="B543" s="141"/>
      <c r="C543" s="142"/>
      <c r="D543" s="141"/>
      <c r="E543" s="150"/>
      <c r="F543" s="150"/>
      <c r="G543" s="145"/>
      <c r="H543" s="145"/>
      <c r="I543" s="145"/>
      <c r="J543" s="145"/>
    </row>
    <row r="544" spans="1:10" s="195" customFormat="1" ht="24.95" hidden="1" customHeight="1">
      <c r="A544" s="141"/>
      <c r="B544" s="141"/>
      <c r="C544" s="142"/>
      <c r="D544" s="141"/>
      <c r="E544" s="150"/>
      <c r="F544" s="150"/>
      <c r="G544" s="145"/>
      <c r="H544" s="145"/>
      <c r="I544" s="145"/>
      <c r="J544" s="145"/>
    </row>
    <row r="545" spans="1:10" s="195" customFormat="1" ht="24.95" hidden="1" customHeight="1">
      <c r="A545" s="141"/>
      <c r="B545" s="141"/>
      <c r="C545" s="142"/>
      <c r="D545" s="141"/>
      <c r="E545" s="150"/>
      <c r="F545" s="150"/>
      <c r="G545" s="145"/>
      <c r="H545" s="145"/>
      <c r="I545" s="145"/>
      <c r="J545" s="145"/>
    </row>
    <row r="546" spans="1:10" s="195" customFormat="1" ht="24.95" hidden="1" customHeight="1">
      <c r="A546" s="141"/>
      <c r="B546" s="141"/>
      <c r="C546" s="142"/>
      <c r="D546" s="141"/>
      <c r="E546" s="150"/>
      <c r="F546" s="150"/>
      <c r="G546" s="145"/>
      <c r="H546" s="145"/>
      <c r="I546" s="145"/>
      <c r="J546" s="145"/>
    </row>
    <row r="547" spans="1:10" s="195" customFormat="1" ht="24.95" hidden="1" customHeight="1">
      <c r="A547" s="141"/>
      <c r="B547" s="141"/>
      <c r="C547" s="142"/>
      <c r="D547" s="141"/>
      <c r="E547" s="150"/>
      <c r="F547" s="150"/>
      <c r="G547" s="145"/>
      <c r="H547" s="145"/>
      <c r="I547" s="145"/>
      <c r="J547" s="145"/>
    </row>
    <row r="548" spans="1:10" s="195" customFormat="1" ht="24.95" hidden="1" customHeight="1">
      <c r="A548" s="141"/>
      <c r="B548" s="141"/>
      <c r="C548" s="142"/>
      <c r="D548" s="141"/>
      <c r="E548" s="150"/>
      <c r="F548" s="150"/>
      <c r="G548" s="145"/>
      <c r="H548" s="145"/>
      <c r="I548" s="145"/>
      <c r="J548" s="145"/>
    </row>
    <row r="549" spans="1:10" s="195" customFormat="1" ht="24.95" hidden="1" customHeight="1">
      <c r="A549" s="141"/>
      <c r="B549" s="141"/>
      <c r="C549" s="142"/>
      <c r="D549" s="141"/>
      <c r="E549" s="150"/>
      <c r="F549" s="150"/>
      <c r="G549" s="145"/>
      <c r="H549" s="145"/>
      <c r="I549" s="145"/>
      <c r="J549" s="145"/>
    </row>
    <row r="550" spans="1:10" s="195" customFormat="1" ht="24.95" hidden="1" customHeight="1">
      <c r="A550" s="141"/>
      <c r="B550" s="141"/>
      <c r="C550" s="142"/>
      <c r="D550" s="141"/>
      <c r="E550" s="150"/>
      <c r="F550" s="150"/>
      <c r="G550" s="145"/>
      <c r="H550" s="145"/>
      <c r="I550" s="145"/>
      <c r="J550" s="145"/>
    </row>
    <row r="551" spans="1:10" s="195" customFormat="1" ht="24.95" hidden="1" customHeight="1">
      <c r="A551" s="141"/>
      <c r="B551" s="141"/>
      <c r="C551" s="142"/>
      <c r="D551" s="141"/>
      <c r="E551" s="150"/>
      <c r="F551" s="150"/>
      <c r="G551" s="145"/>
      <c r="H551" s="145"/>
      <c r="I551" s="145"/>
      <c r="J551" s="145"/>
    </row>
    <row r="552" spans="1:10" s="195" customFormat="1" ht="24.95" hidden="1" customHeight="1">
      <c r="A552" s="141"/>
      <c r="B552" s="141"/>
      <c r="C552" s="142"/>
      <c r="D552" s="141"/>
      <c r="E552" s="150"/>
      <c r="F552" s="150"/>
      <c r="G552" s="145"/>
      <c r="H552" s="145"/>
      <c r="I552" s="145"/>
      <c r="J552" s="145"/>
    </row>
    <row r="553" spans="1:10" s="195" customFormat="1" ht="24.95" hidden="1" customHeight="1">
      <c r="A553" s="141"/>
      <c r="B553" s="141"/>
      <c r="C553" s="142"/>
      <c r="D553" s="141"/>
      <c r="E553" s="150"/>
      <c r="F553" s="150"/>
      <c r="G553" s="145"/>
      <c r="H553" s="145"/>
      <c r="I553" s="145"/>
      <c r="J553" s="145"/>
    </row>
    <row r="554" spans="1:10" s="195" customFormat="1" ht="24.95" hidden="1" customHeight="1">
      <c r="A554" s="141"/>
      <c r="B554" s="141"/>
      <c r="C554" s="142"/>
      <c r="D554" s="141"/>
      <c r="E554" s="150"/>
      <c r="F554" s="150"/>
      <c r="G554" s="145"/>
      <c r="H554" s="145"/>
      <c r="I554" s="145"/>
      <c r="J554" s="145"/>
    </row>
    <row r="555" spans="1:10" s="195" customFormat="1" ht="24.95" hidden="1" customHeight="1">
      <c r="A555" s="141"/>
      <c r="B555" s="141"/>
      <c r="C555" s="142"/>
      <c r="D555" s="141"/>
      <c r="E555" s="150"/>
      <c r="F555" s="150"/>
      <c r="G555" s="145"/>
      <c r="H555" s="145"/>
      <c r="I555" s="145"/>
      <c r="J555" s="145"/>
    </row>
    <row r="556" spans="1:10" s="195" customFormat="1" ht="24.95" hidden="1" customHeight="1">
      <c r="A556" s="141"/>
      <c r="B556" s="141"/>
      <c r="C556" s="142"/>
      <c r="D556" s="141"/>
      <c r="E556" s="150"/>
      <c r="F556" s="150"/>
      <c r="G556" s="145"/>
      <c r="H556" s="145"/>
      <c r="I556" s="145"/>
      <c r="J556" s="145"/>
    </row>
    <row r="557" spans="1:10" s="195" customFormat="1" ht="24.95" hidden="1" customHeight="1">
      <c r="A557" s="141"/>
      <c r="B557" s="141"/>
      <c r="C557" s="142"/>
      <c r="D557" s="141"/>
      <c r="E557" s="150"/>
      <c r="F557" s="150"/>
      <c r="G557" s="145"/>
      <c r="H557" s="145"/>
      <c r="I557" s="145"/>
      <c r="J557" s="145"/>
    </row>
    <row r="558" spans="1:10" s="195" customFormat="1" ht="24.95" hidden="1" customHeight="1">
      <c r="A558" s="141"/>
      <c r="B558" s="141"/>
      <c r="C558" s="142"/>
      <c r="D558" s="141"/>
      <c r="E558" s="150"/>
      <c r="F558" s="150"/>
      <c r="G558" s="145"/>
      <c r="H558" s="145"/>
      <c r="I558" s="145"/>
      <c r="J558" s="145"/>
    </row>
    <row r="559" spans="1:10" s="195" customFormat="1" ht="24.95" hidden="1" customHeight="1">
      <c r="A559" s="141"/>
      <c r="B559" s="141"/>
      <c r="C559" s="142"/>
      <c r="D559" s="141"/>
      <c r="E559" s="150"/>
      <c r="F559" s="150"/>
      <c r="G559" s="145"/>
      <c r="H559" s="145"/>
      <c r="I559" s="145"/>
      <c r="J559" s="145"/>
    </row>
    <row r="560" spans="1:10" s="195" customFormat="1" ht="24.95" hidden="1" customHeight="1">
      <c r="A560" s="141"/>
      <c r="B560" s="141"/>
      <c r="C560" s="142"/>
      <c r="D560" s="141"/>
      <c r="E560" s="150"/>
      <c r="F560" s="150"/>
      <c r="G560" s="145"/>
      <c r="H560" s="145"/>
      <c r="I560" s="145"/>
      <c r="J560" s="145"/>
    </row>
    <row r="561" spans="1:10" s="195" customFormat="1" ht="24.95" hidden="1" customHeight="1">
      <c r="A561" s="141"/>
      <c r="B561" s="141"/>
      <c r="C561" s="142"/>
      <c r="D561" s="141"/>
      <c r="E561" s="150"/>
      <c r="F561" s="150"/>
      <c r="G561" s="145"/>
      <c r="H561" s="145"/>
      <c r="I561" s="145"/>
      <c r="J561" s="145"/>
    </row>
    <row r="562" spans="1:10" s="195" customFormat="1" ht="24.95" hidden="1" customHeight="1">
      <c r="A562" s="141"/>
      <c r="B562" s="141"/>
      <c r="C562" s="142"/>
      <c r="D562" s="141"/>
      <c r="E562" s="150"/>
      <c r="F562" s="150"/>
      <c r="G562" s="145"/>
      <c r="H562" s="145"/>
      <c r="I562" s="145"/>
      <c r="J562" s="145"/>
    </row>
    <row r="563" spans="1:10" s="195" customFormat="1" ht="24.95" hidden="1" customHeight="1">
      <c r="A563" s="141"/>
      <c r="B563" s="141"/>
      <c r="C563" s="142"/>
      <c r="D563" s="141"/>
      <c r="E563" s="150"/>
      <c r="F563" s="150"/>
      <c r="G563" s="145"/>
      <c r="H563" s="145"/>
      <c r="I563" s="145"/>
      <c r="J563" s="145"/>
    </row>
    <row r="564" spans="1:10" s="195" customFormat="1" ht="24.95" hidden="1" customHeight="1">
      <c r="A564" s="141"/>
      <c r="B564" s="141"/>
      <c r="C564" s="142"/>
      <c r="D564" s="141"/>
      <c r="E564" s="150"/>
      <c r="F564" s="150"/>
      <c r="G564" s="145"/>
      <c r="H564" s="145"/>
      <c r="I564" s="145"/>
      <c r="J564" s="145"/>
    </row>
    <row r="565" spans="1:10" s="195" customFormat="1" ht="24.95" hidden="1" customHeight="1">
      <c r="A565" s="141"/>
      <c r="B565" s="141"/>
      <c r="C565" s="142"/>
      <c r="D565" s="141"/>
      <c r="E565" s="150"/>
      <c r="F565" s="150"/>
      <c r="G565" s="145"/>
      <c r="H565" s="145"/>
      <c r="I565" s="145"/>
      <c r="J565" s="145"/>
    </row>
    <row r="566" spans="1:10" s="195" customFormat="1" ht="24.95" hidden="1" customHeight="1">
      <c r="A566" s="141"/>
      <c r="B566" s="141"/>
      <c r="C566" s="142"/>
      <c r="D566" s="141"/>
      <c r="E566" s="150"/>
      <c r="F566" s="150"/>
      <c r="G566" s="145"/>
      <c r="H566" s="145"/>
      <c r="I566" s="145"/>
      <c r="J566" s="145"/>
    </row>
    <row r="567" spans="1:10" s="195" customFormat="1" ht="24.95" hidden="1" customHeight="1">
      <c r="A567" s="141"/>
      <c r="B567" s="141"/>
      <c r="C567" s="142"/>
      <c r="D567" s="141"/>
      <c r="E567" s="150"/>
      <c r="F567" s="150"/>
      <c r="G567" s="145"/>
      <c r="H567" s="145"/>
      <c r="I567" s="145"/>
      <c r="J567" s="145"/>
    </row>
    <row r="568" spans="1:10" s="195" customFormat="1" ht="24.95" hidden="1" customHeight="1">
      <c r="A568" s="141"/>
      <c r="B568" s="141"/>
      <c r="C568" s="142"/>
      <c r="D568" s="141"/>
      <c r="E568" s="150"/>
      <c r="F568" s="150"/>
      <c r="G568" s="145"/>
      <c r="H568" s="145"/>
      <c r="I568" s="145"/>
      <c r="J568" s="145"/>
    </row>
    <row r="569" spans="1:10" s="195" customFormat="1" ht="24.95" hidden="1" customHeight="1">
      <c r="A569" s="141"/>
      <c r="B569" s="141"/>
      <c r="C569" s="142"/>
      <c r="D569" s="141"/>
      <c r="E569" s="150"/>
      <c r="F569" s="150"/>
      <c r="G569" s="145"/>
      <c r="H569" s="145"/>
      <c r="I569" s="145"/>
      <c r="J569" s="145"/>
    </row>
    <row r="570" spans="1:10" s="195" customFormat="1" ht="24.95" hidden="1" customHeight="1">
      <c r="A570" s="141"/>
      <c r="B570" s="141"/>
      <c r="C570" s="142"/>
      <c r="D570" s="141"/>
      <c r="E570" s="150"/>
      <c r="F570" s="150"/>
      <c r="G570" s="145"/>
      <c r="H570" s="145"/>
      <c r="I570" s="145"/>
      <c r="J570" s="145"/>
    </row>
    <row r="571" spans="1:10" s="195" customFormat="1" ht="24.95" hidden="1" customHeight="1">
      <c r="A571" s="141"/>
      <c r="B571" s="141"/>
      <c r="C571" s="142"/>
      <c r="D571" s="141"/>
      <c r="E571" s="150"/>
      <c r="F571" s="150"/>
      <c r="G571" s="145"/>
      <c r="H571" s="145"/>
      <c r="I571" s="145"/>
      <c r="J571" s="145"/>
    </row>
    <row r="572" spans="1:10" s="195" customFormat="1" ht="24.95" hidden="1" customHeight="1">
      <c r="A572" s="141"/>
      <c r="B572" s="141"/>
      <c r="C572" s="142"/>
      <c r="D572" s="141"/>
      <c r="E572" s="150"/>
      <c r="F572" s="150"/>
      <c r="G572" s="145"/>
      <c r="H572" s="145"/>
      <c r="I572" s="145"/>
      <c r="J572" s="145"/>
    </row>
    <row r="573" spans="1:10" s="195" customFormat="1" ht="24.95" hidden="1" customHeight="1">
      <c r="A573" s="141"/>
      <c r="B573" s="141"/>
      <c r="C573" s="142"/>
      <c r="D573" s="141"/>
      <c r="E573" s="150"/>
      <c r="F573" s="150"/>
      <c r="G573" s="145"/>
      <c r="H573" s="145"/>
      <c r="I573" s="145"/>
      <c r="J573" s="145"/>
    </row>
    <row r="574" spans="1:10" s="195" customFormat="1" ht="24.95" hidden="1" customHeight="1">
      <c r="A574" s="141"/>
      <c r="B574" s="141"/>
      <c r="C574" s="142"/>
      <c r="D574" s="141"/>
      <c r="E574" s="150"/>
      <c r="F574" s="150"/>
      <c r="G574" s="145"/>
      <c r="H574" s="145"/>
      <c r="I574" s="145"/>
      <c r="J574" s="145"/>
    </row>
    <row r="575" spans="1:10" s="195" customFormat="1" ht="24.95" hidden="1" customHeight="1">
      <c r="A575" s="141"/>
      <c r="B575" s="141"/>
      <c r="C575" s="142"/>
      <c r="D575" s="141"/>
      <c r="E575" s="150"/>
      <c r="F575" s="150"/>
      <c r="G575" s="145"/>
      <c r="H575" s="145"/>
      <c r="I575" s="145"/>
      <c r="J575" s="145"/>
    </row>
    <row r="576" spans="1:10" s="195" customFormat="1" ht="24.95" hidden="1" customHeight="1">
      <c r="A576" s="141"/>
      <c r="B576" s="141"/>
      <c r="C576" s="142"/>
      <c r="D576" s="141"/>
      <c r="E576" s="150"/>
      <c r="F576" s="150"/>
      <c r="G576" s="145"/>
      <c r="H576" s="145"/>
      <c r="I576" s="145"/>
      <c r="J576" s="145"/>
    </row>
    <row r="577" spans="1:10" s="195" customFormat="1" ht="24.95" hidden="1" customHeight="1">
      <c r="A577" s="141"/>
      <c r="B577" s="141"/>
      <c r="C577" s="142"/>
      <c r="D577" s="141"/>
      <c r="E577" s="150"/>
      <c r="F577" s="150"/>
      <c r="G577" s="145"/>
      <c r="H577" s="145"/>
      <c r="I577" s="145"/>
      <c r="J577" s="145"/>
    </row>
    <row r="578" spans="1:10" s="195" customFormat="1" ht="24.95" hidden="1" customHeight="1">
      <c r="A578" s="141"/>
      <c r="B578" s="141"/>
      <c r="C578" s="142"/>
      <c r="D578" s="141"/>
      <c r="E578" s="150"/>
      <c r="F578" s="150"/>
      <c r="G578" s="145"/>
      <c r="H578" s="145"/>
      <c r="I578" s="145"/>
      <c r="J578" s="145"/>
    </row>
    <row r="579" spans="1:10" s="195" customFormat="1" ht="24.95" hidden="1" customHeight="1">
      <c r="A579" s="141"/>
      <c r="B579" s="141"/>
      <c r="C579" s="142"/>
      <c r="D579" s="141"/>
      <c r="E579" s="150"/>
      <c r="F579" s="150"/>
      <c r="G579" s="145"/>
      <c r="H579" s="145"/>
      <c r="I579" s="145"/>
      <c r="J579" s="145"/>
    </row>
    <row r="580" spans="1:10" s="195" customFormat="1" ht="24.95" hidden="1" customHeight="1">
      <c r="A580" s="141"/>
      <c r="B580" s="141"/>
      <c r="C580" s="142"/>
      <c r="D580" s="141"/>
      <c r="E580" s="150"/>
      <c r="F580" s="150"/>
      <c r="G580" s="145"/>
      <c r="H580" s="145"/>
      <c r="I580" s="145"/>
      <c r="J580" s="145"/>
    </row>
    <row r="581" spans="1:10" s="195" customFormat="1" ht="24.95" hidden="1" customHeight="1">
      <c r="A581" s="141"/>
      <c r="B581" s="141"/>
      <c r="C581" s="142"/>
      <c r="D581" s="141"/>
      <c r="E581" s="150"/>
      <c r="F581" s="150"/>
      <c r="G581" s="145"/>
      <c r="H581" s="145"/>
      <c r="I581" s="145"/>
      <c r="J581" s="145"/>
    </row>
    <row r="582" spans="1:10" s="195" customFormat="1" ht="24.95" hidden="1" customHeight="1">
      <c r="A582" s="141"/>
      <c r="B582" s="141"/>
      <c r="C582" s="142"/>
      <c r="D582" s="141"/>
      <c r="E582" s="150"/>
      <c r="F582" s="150"/>
      <c r="G582" s="145"/>
      <c r="H582" s="145"/>
      <c r="I582" s="145"/>
      <c r="J582" s="145"/>
    </row>
    <row r="583" spans="1:10" s="195" customFormat="1" ht="24.95" hidden="1" customHeight="1">
      <c r="A583" s="141"/>
      <c r="B583" s="141"/>
      <c r="C583" s="142"/>
      <c r="D583" s="141"/>
      <c r="E583" s="150"/>
      <c r="F583" s="150"/>
      <c r="G583" s="145"/>
      <c r="H583" s="145"/>
      <c r="I583" s="145"/>
      <c r="J583" s="145"/>
    </row>
    <row r="584" spans="1:10" s="195" customFormat="1" ht="24.95" hidden="1" customHeight="1">
      <c r="A584" s="141"/>
      <c r="B584" s="141"/>
      <c r="C584" s="142"/>
      <c r="D584" s="141"/>
      <c r="E584" s="150"/>
      <c r="F584" s="150"/>
      <c r="G584" s="145"/>
      <c r="H584" s="145"/>
      <c r="I584" s="145"/>
      <c r="J584" s="145"/>
    </row>
    <row r="585" spans="1:10" s="195" customFormat="1" ht="24.95" hidden="1" customHeight="1">
      <c r="A585" s="141"/>
      <c r="B585" s="141"/>
      <c r="C585" s="142"/>
      <c r="D585" s="141"/>
      <c r="E585" s="150"/>
      <c r="F585" s="150"/>
      <c r="G585" s="145"/>
      <c r="H585" s="145"/>
      <c r="I585" s="145"/>
      <c r="J585" s="145"/>
    </row>
    <row r="586" spans="1:10" s="195" customFormat="1" ht="24.95" hidden="1" customHeight="1">
      <c r="A586" s="141"/>
      <c r="B586" s="141"/>
      <c r="C586" s="142"/>
      <c r="D586" s="141"/>
      <c r="E586" s="150"/>
      <c r="F586" s="150"/>
      <c r="G586" s="145"/>
      <c r="H586" s="145"/>
      <c r="I586" s="145"/>
      <c r="J586" s="145"/>
    </row>
    <row r="587" spans="1:10" s="195" customFormat="1" ht="24.95" hidden="1" customHeight="1">
      <c r="A587" s="141"/>
      <c r="B587" s="141"/>
      <c r="C587" s="142"/>
      <c r="D587" s="141"/>
      <c r="E587" s="150"/>
      <c r="F587" s="150"/>
      <c r="G587" s="145"/>
      <c r="H587" s="145"/>
      <c r="I587" s="145"/>
      <c r="J587" s="145"/>
    </row>
    <row r="588" spans="1:10" s="195" customFormat="1" ht="24.95" hidden="1" customHeight="1">
      <c r="A588" s="141"/>
      <c r="B588" s="141"/>
      <c r="C588" s="142"/>
      <c r="D588" s="141"/>
      <c r="E588" s="150"/>
      <c r="F588" s="150"/>
      <c r="G588" s="145"/>
      <c r="H588" s="145"/>
      <c r="I588" s="145"/>
      <c r="J588" s="145"/>
    </row>
    <row r="589" spans="1:10" s="195" customFormat="1" ht="24.95" hidden="1" customHeight="1">
      <c r="A589" s="141"/>
      <c r="B589" s="141"/>
      <c r="C589" s="142"/>
      <c r="D589" s="141"/>
      <c r="E589" s="150"/>
      <c r="F589" s="150"/>
      <c r="G589" s="145"/>
      <c r="H589" s="145"/>
      <c r="I589" s="145"/>
      <c r="J589" s="145"/>
    </row>
    <row r="590" spans="1:10" s="195" customFormat="1" ht="24.95" hidden="1" customHeight="1">
      <c r="A590" s="141"/>
      <c r="B590" s="141"/>
      <c r="C590" s="142"/>
      <c r="D590" s="141"/>
      <c r="E590" s="150"/>
      <c r="F590" s="150"/>
      <c r="G590" s="145"/>
      <c r="H590" s="145"/>
      <c r="I590" s="145"/>
      <c r="J590" s="145"/>
    </row>
    <row r="591" spans="1:10" s="195" customFormat="1" ht="24.95" hidden="1" customHeight="1">
      <c r="A591" s="141"/>
      <c r="B591" s="141"/>
      <c r="C591" s="142"/>
      <c r="D591" s="141"/>
      <c r="E591" s="150"/>
      <c r="F591" s="150"/>
      <c r="G591" s="145"/>
      <c r="H591" s="145"/>
      <c r="I591" s="145"/>
      <c r="J591" s="145"/>
    </row>
    <row r="592" spans="1:10" s="195" customFormat="1" ht="24.95" hidden="1" customHeight="1">
      <c r="A592" s="141"/>
      <c r="B592" s="141"/>
      <c r="C592" s="142"/>
      <c r="D592" s="141"/>
      <c r="E592" s="150"/>
      <c r="F592" s="150"/>
      <c r="G592" s="145"/>
      <c r="H592" s="145"/>
      <c r="I592" s="145"/>
      <c r="J592" s="145"/>
    </row>
    <row r="593" spans="1:10" s="195" customFormat="1" ht="24.95" hidden="1" customHeight="1">
      <c r="A593" s="141"/>
      <c r="B593" s="141"/>
      <c r="C593" s="142"/>
      <c r="D593" s="141"/>
      <c r="E593" s="150"/>
      <c r="F593" s="150"/>
      <c r="G593" s="145"/>
      <c r="H593" s="145"/>
      <c r="I593" s="145"/>
      <c r="J593" s="145"/>
    </row>
    <row r="594" spans="1:10" s="195" customFormat="1" ht="24.95" hidden="1" customHeight="1">
      <c r="A594" s="141"/>
      <c r="B594" s="141"/>
      <c r="C594" s="142"/>
      <c r="D594" s="141"/>
      <c r="E594" s="150"/>
      <c r="F594" s="150"/>
      <c r="G594" s="145"/>
      <c r="H594" s="145"/>
      <c r="I594" s="145"/>
      <c r="J594" s="145"/>
    </row>
    <row r="595" spans="1:10" s="195" customFormat="1" ht="24.95" hidden="1" customHeight="1">
      <c r="A595" s="141"/>
      <c r="B595" s="141"/>
      <c r="C595" s="142"/>
      <c r="D595" s="141"/>
      <c r="E595" s="150"/>
      <c r="F595" s="150"/>
      <c r="G595" s="145"/>
      <c r="H595" s="145"/>
      <c r="I595" s="145"/>
      <c r="J595" s="145"/>
    </row>
    <row r="596" spans="1:10" s="195" customFormat="1" ht="24.95" hidden="1" customHeight="1">
      <c r="A596" s="141"/>
      <c r="B596" s="141"/>
      <c r="C596" s="142"/>
      <c r="D596" s="141"/>
      <c r="E596" s="150"/>
      <c r="F596" s="150"/>
      <c r="G596" s="145"/>
      <c r="H596" s="145"/>
      <c r="I596" s="145"/>
      <c r="J596" s="145"/>
    </row>
    <row r="597" spans="1:10" s="195" customFormat="1" ht="24.95" hidden="1" customHeight="1">
      <c r="A597" s="141"/>
      <c r="B597" s="141"/>
      <c r="C597" s="142"/>
      <c r="D597" s="141"/>
      <c r="E597" s="150"/>
      <c r="F597" s="150"/>
      <c r="G597" s="145"/>
      <c r="H597" s="145"/>
      <c r="I597" s="145"/>
      <c r="J597" s="145"/>
    </row>
    <row r="598" spans="1:10" s="195" customFormat="1" ht="24.95" hidden="1" customHeight="1">
      <c r="A598" s="141"/>
      <c r="B598" s="141"/>
      <c r="C598" s="142"/>
      <c r="D598" s="141"/>
      <c r="E598" s="150"/>
      <c r="F598" s="150"/>
      <c r="G598" s="145"/>
      <c r="H598" s="145"/>
      <c r="I598" s="145"/>
      <c r="J598" s="145"/>
    </row>
    <row r="599" spans="1:10" s="195" customFormat="1" ht="24.95" hidden="1" customHeight="1">
      <c r="A599" s="141"/>
      <c r="B599" s="141"/>
      <c r="C599" s="142"/>
      <c r="D599" s="141"/>
      <c r="E599" s="150"/>
      <c r="F599" s="150"/>
      <c r="G599" s="145"/>
      <c r="H599" s="145"/>
      <c r="I599" s="145"/>
      <c r="J599" s="145"/>
    </row>
    <row r="600" spans="1:10" s="195" customFormat="1" ht="24.95" hidden="1" customHeight="1">
      <c r="A600" s="141"/>
      <c r="B600" s="141"/>
      <c r="C600" s="142"/>
      <c r="D600" s="141"/>
      <c r="E600" s="150"/>
      <c r="F600" s="150"/>
      <c r="G600" s="145"/>
      <c r="H600" s="145"/>
      <c r="I600" s="145"/>
      <c r="J600" s="145"/>
    </row>
    <row r="601" spans="1:10" s="195" customFormat="1" ht="24.95" hidden="1" customHeight="1">
      <c r="A601" s="141"/>
      <c r="B601" s="141"/>
      <c r="C601" s="142"/>
      <c r="D601" s="141"/>
      <c r="E601" s="150"/>
      <c r="F601" s="150"/>
      <c r="G601" s="145"/>
      <c r="H601" s="145"/>
      <c r="I601" s="145"/>
      <c r="J601" s="145"/>
    </row>
    <row r="602" spans="1:10" s="195" customFormat="1" ht="24.95" hidden="1" customHeight="1">
      <c r="A602" s="141"/>
      <c r="B602" s="141"/>
      <c r="C602" s="142"/>
      <c r="D602" s="141"/>
      <c r="E602" s="150"/>
      <c r="F602" s="150"/>
      <c r="G602" s="145"/>
      <c r="H602" s="145"/>
      <c r="I602" s="145"/>
      <c r="J602" s="145"/>
    </row>
    <row r="603" spans="1:10" s="195" customFormat="1" ht="24.95" hidden="1" customHeight="1">
      <c r="A603" s="141"/>
      <c r="B603" s="141"/>
      <c r="C603" s="142"/>
      <c r="D603" s="141"/>
      <c r="E603" s="150"/>
      <c r="F603" s="150"/>
      <c r="G603" s="145"/>
      <c r="H603" s="145"/>
      <c r="I603" s="145"/>
      <c r="J603" s="145"/>
    </row>
    <row r="604" spans="1:10" s="195" customFormat="1" ht="24.95" hidden="1" customHeight="1">
      <c r="A604" s="141"/>
      <c r="B604" s="141"/>
      <c r="C604" s="142"/>
      <c r="D604" s="141"/>
      <c r="E604" s="150"/>
      <c r="F604" s="150"/>
      <c r="G604" s="145"/>
      <c r="H604" s="145"/>
      <c r="I604" s="145"/>
      <c r="J604" s="145"/>
    </row>
    <row r="605" spans="1:10" s="195" customFormat="1" ht="24.95" hidden="1" customHeight="1">
      <c r="A605" s="141"/>
      <c r="B605" s="141"/>
      <c r="C605" s="142"/>
      <c r="D605" s="141"/>
      <c r="E605" s="150"/>
      <c r="F605" s="150"/>
      <c r="G605" s="145"/>
      <c r="H605" s="145"/>
      <c r="I605" s="145"/>
      <c r="J605" s="145"/>
    </row>
    <row r="606" spans="1:10" s="195" customFormat="1" ht="24.95" hidden="1" customHeight="1">
      <c r="A606" s="141"/>
      <c r="B606" s="141"/>
      <c r="C606" s="142"/>
      <c r="D606" s="141"/>
      <c r="E606" s="150"/>
      <c r="F606" s="150"/>
      <c r="G606" s="145"/>
      <c r="H606" s="145"/>
      <c r="I606" s="145"/>
      <c r="J606" s="145"/>
    </row>
    <row r="607" spans="1:10" s="195" customFormat="1" ht="24.95" hidden="1" customHeight="1">
      <c r="A607" s="141"/>
      <c r="B607" s="141"/>
      <c r="C607" s="142"/>
      <c r="D607" s="141"/>
      <c r="E607" s="150"/>
      <c r="F607" s="150"/>
      <c r="G607" s="145"/>
      <c r="H607" s="145"/>
      <c r="I607" s="145"/>
      <c r="J607" s="145"/>
    </row>
    <row r="608" spans="1:10" s="195" customFormat="1" ht="24.95" hidden="1" customHeight="1">
      <c r="A608" s="141"/>
      <c r="B608" s="141"/>
      <c r="C608" s="142"/>
      <c r="D608" s="141"/>
      <c r="E608" s="150"/>
      <c r="F608" s="150"/>
      <c r="G608" s="145"/>
      <c r="H608" s="145"/>
      <c r="I608" s="145"/>
      <c r="J608" s="145"/>
    </row>
    <row r="609" spans="1:10" s="195" customFormat="1" ht="24.95" hidden="1" customHeight="1">
      <c r="A609" s="141"/>
      <c r="B609" s="141"/>
      <c r="C609" s="142"/>
      <c r="D609" s="141"/>
      <c r="E609" s="150"/>
      <c r="F609" s="150"/>
      <c r="G609" s="145"/>
      <c r="H609" s="145"/>
      <c r="I609" s="145"/>
      <c r="J609" s="145"/>
    </row>
    <row r="610" spans="1:10" s="195" customFormat="1" ht="24.95" hidden="1" customHeight="1">
      <c r="A610" s="141"/>
      <c r="B610" s="141"/>
      <c r="C610" s="142"/>
      <c r="D610" s="141"/>
      <c r="E610" s="150"/>
      <c r="F610" s="150"/>
      <c r="G610" s="145"/>
      <c r="H610" s="145"/>
      <c r="I610" s="145"/>
      <c r="J610" s="145"/>
    </row>
    <row r="611" spans="1:10" s="195" customFormat="1" ht="24.95" hidden="1" customHeight="1">
      <c r="A611" s="141"/>
      <c r="B611" s="141"/>
      <c r="C611" s="142"/>
      <c r="D611" s="141"/>
      <c r="E611" s="150"/>
      <c r="F611" s="150"/>
      <c r="G611" s="145"/>
      <c r="H611" s="145"/>
      <c r="I611" s="145"/>
      <c r="J611" s="145"/>
    </row>
    <row r="612" spans="1:10" s="195" customFormat="1" ht="24.95" hidden="1" customHeight="1">
      <c r="A612" s="141"/>
      <c r="B612" s="141"/>
      <c r="C612" s="142"/>
      <c r="D612" s="141"/>
      <c r="E612" s="150"/>
      <c r="F612" s="150"/>
      <c r="G612" s="145"/>
      <c r="H612" s="145"/>
      <c r="I612" s="145"/>
      <c r="J612" s="145"/>
    </row>
    <row r="613" spans="1:10" s="195" customFormat="1" ht="24.95" hidden="1" customHeight="1">
      <c r="A613" s="141"/>
      <c r="B613" s="141"/>
      <c r="C613" s="142"/>
      <c r="D613" s="141"/>
      <c r="E613" s="150"/>
      <c r="F613" s="150"/>
      <c r="G613" s="145"/>
      <c r="H613" s="145"/>
      <c r="I613" s="145"/>
      <c r="J613" s="145"/>
    </row>
    <row r="614" spans="1:10" s="195" customFormat="1" ht="24.95" hidden="1" customHeight="1">
      <c r="A614" s="141"/>
      <c r="B614" s="141"/>
      <c r="C614" s="142"/>
      <c r="D614" s="141"/>
      <c r="E614" s="150"/>
      <c r="F614" s="150"/>
      <c r="G614" s="145"/>
      <c r="H614" s="145"/>
      <c r="I614" s="145"/>
      <c r="J614" s="145"/>
    </row>
    <row r="615" spans="1:10" s="195" customFormat="1" ht="24.95" hidden="1" customHeight="1">
      <c r="A615" s="141"/>
      <c r="B615" s="141"/>
      <c r="C615" s="142"/>
      <c r="D615" s="141"/>
      <c r="E615" s="150"/>
      <c r="F615" s="150"/>
      <c r="G615" s="145"/>
      <c r="H615" s="145"/>
      <c r="I615" s="145"/>
      <c r="J615" s="145"/>
    </row>
    <row r="616" spans="1:10" s="195" customFormat="1" ht="24.95" hidden="1" customHeight="1">
      <c r="A616" s="141"/>
      <c r="B616" s="141"/>
      <c r="C616" s="142"/>
      <c r="D616" s="141"/>
      <c r="E616" s="150"/>
      <c r="F616" s="150"/>
      <c r="G616" s="145"/>
      <c r="H616" s="145"/>
      <c r="I616" s="145"/>
      <c r="J616" s="145"/>
    </row>
    <row r="617" spans="1:10" s="195" customFormat="1" ht="24.95" hidden="1" customHeight="1">
      <c r="A617" s="141"/>
      <c r="B617" s="141"/>
      <c r="C617" s="142"/>
      <c r="D617" s="141"/>
      <c r="E617" s="150"/>
      <c r="F617" s="150"/>
      <c r="G617" s="145"/>
      <c r="H617" s="145"/>
      <c r="I617" s="145"/>
      <c r="J617" s="145"/>
    </row>
    <row r="618" spans="1:10" s="195" customFormat="1" ht="24.95" hidden="1" customHeight="1">
      <c r="A618" s="141"/>
      <c r="B618" s="141"/>
      <c r="C618" s="142"/>
      <c r="D618" s="141"/>
      <c r="E618" s="150"/>
      <c r="F618" s="150"/>
      <c r="G618" s="145"/>
      <c r="H618" s="145"/>
      <c r="I618" s="145"/>
      <c r="J618" s="145"/>
    </row>
    <row r="619" spans="1:10" s="195" customFormat="1" ht="24.95" hidden="1" customHeight="1">
      <c r="A619" s="141"/>
      <c r="B619" s="141"/>
      <c r="C619" s="142"/>
      <c r="D619" s="141"/>
      <c r="E619" s="150"/>
      <c r="F619" s="150"/>
      <c r="G619" s="145"/>
      <c r="H619" s="145"/>
      <c r="I619" s="145"/>
      <c r="J619" s="145"/>
    </row>
    <row r="620" spans="1:10" s="195" customFormat="1" ht="24.95" hidden="1" customHeight="1">
      <c r="A620" s="141"/>
      <c r="B620" s="141"/>
      <c r="C620" s="142"/>
      <c r="D620" s="141"/>
      <c r="E620" s="150"/>
      <c r="F620" s="150"/>
      <c r="G620" s="145"/>
      <c r="H620" s="145"/>
      <c r="I620" s="145"/>
      <c r="J620" s="145"/>
    </row>
    <row r="621" spans="1:10" s="195" customFormat="1" ht="24.95" hidden="1" customHeight="1">
      <c r="A621" s="141"/>
      <c r="B621" s="141"/>
      <c r="C621" s="142"/>
      <c r="D621" s="141"/>
      <c r="E621" s="150"/>
      <c r="F621" s="150"/>
      <c r="G621" s="145"/>
      <c r="H621" s="145"/>
      <c r="I621" s="145"/>
      <c r="J621" s="145"/>
    </row>
    <row r="622" spans="1:10" s="195" customFormat="1" ht="24.95" hidden="1" customHeight="1">
      <c r="A622" s="141"/>
      <c r="B622" s="141"/>
      <c r="C622" s="142"/>
      <c r="D622" s="141"/>
      <c r="E622" s="150"/>
      <c r="F622" s="150"/>
      <c r="G622" s="145"/>
      <c r="H622" s="145"/>
      <c r="I622" s="145"/>
      <c r="J622" s="145"/>
    </row>
    <row r="623" spans="1:10" s="195" customFormat="1" ht="24.95" hidden="1" customHeight="1">
      <c r="A623" s="141"/>
      <c r="B623" s="141"/>
      <c r="C623" s="142"/>
      <c r="D623" s="141"/>
      <c r="E623" s="150"/>
      <c r="F623" s="150"/>
      <c r="G623" s="145"/>
      <c r="H623" s="145"/>
      <c r="I623" s="145"/>
      <c r="J623" s="145"/>
    </row>
    <row r="624" spans="1:10" s="195" customFormat="1" ht="24.95" hidden="1" customHeight="1">
      <c r="A624" s="141"/>
      <c r="B624" s="141"/>
      <c r="C624" s="142"/>
      <c r="D624" s="141"/>
      <c r="E624" s="150"/>
      <c r="F624" s="150"/>
      <c r="G624" s="145"/>
      <c r="H624" s="145"/>
      <c r="I624" s="145"/>
      <c r="J624" s="145"/>
    </row>
    <row r="625" spans="1:10" s="195" customFormat="1" ht="24.95" hidden="1" customHeight="1">
      <c r="A625" s="141"/>
      <c r="B625" s="141"/>
      <c r="C625" s="142"/>
      <c r="D625" s="141"/>
      <c r="E625" s="150"/>
      <c r="F625" s="150"/>
      <c r="G625" s="145"/>
      <c r="H625" s="145"/>
      <c r="I625" s="145"/>
      <c r="J625" s="145"/>
    </row>
    <row r="626" spans="1:10" s="195" customFormat="1" ht="24.95" hidden="1" customHeight="1">
      <c r="A626" s="141"/>
      <c r="B626" s="141"/>
      <c r="C626" s="142"/>
      <c r="D626" s="141"/>
      <c r="E626" s="150"/>
      <c r="F626" s="150"/>
      <c r="G626" s="145"/>
      <c r="H626" s="145"/>
      <c r="I626" s="145"/>
      <c r="J626" s="145"/>
    </row>
    <row r="627" spans="1:10" s="195" customFormat="1" ht="24.95" hidden="1" customHeight="1">
      <c r="A627" s="141"/>
      <c r="B627" s="141"/>
      <c r="C627" s="142"/>
      <c r="D627" s="141"/>
      <c r="E627" s="150"/>
      <c r="F627" s="150"/>
      <c r="G627" s="145"/>
      <c r="H627" s="145"/>
      <c r="I627" s="145"/>
      <c r="J627" s="145"/>
    </row>
    <row r="628" spans="1:10" s="195" customFormat="1" ht="24.95" hidden="1" customHeight="1">
      <c r="A628" s="141"/>
      <c r="B628" s="141"/>
      <c r="C628" s="142"/>
      <c r="D628" s="141"/>
      <c r="E628" s="150"/>
      <c r="F628" s="150"/>
      <c r="G628" s="145"/>
      <c r="H628" s="145"/>
      <c r="I628" s="145"/>
      <c r="J628" s="145"/>
    </row>
    <row r="629" spans="1:10" s="195" customFormat="1" ht="24.95" hidden="1" customHeight="1">
      <c r="A629" s="141"/>
      <c r="B629" s="141"/>
      <c r="C629" s="142"/>
      <c r="D629" s="141"/>
      <c r="E629" s="150"/>
      <c r="F629" s="150"/>
      <c r="G629" s="145"/>
      <c r="H629" s="145"/>
      <c r="I629" s="145"/>
      <c r="J629" s="145"/>
    </row>
    <row r="630" spans="1:10" s="195" customFormat="1" ht="24.95" hidden="1" customHeight="1">
      <c r="A630" s="141"/>
      <c r="B630" s="141"/>
      <c r="C630" s="142"/>
      <c r="D630" s="141"/>
      <c r="E630" s="150"/>
      <c r="F630" s="150"/>
      <c r="G630" s="145"/>
      <c r="H630" s="145"/>
      <c r="I630" s="145"/>
      <c r="J630" s="145"/>
    </row>
    <row r="631" spans="1:10" s="195" customFormat="1" ht="24.95" hidden="1" customHeight="1">
      <c r="A631" s="141"/>
      <c r="B631" s="141"/>
      <c r="C631" s="142"/>
      <c r="D631" s="141"/>
      <c r="E631" s="150"/>
      <c r="F631" s="150"/>
      <c r="G631" s="145"/>
      <c r="H631" s="145"/>
      <c r="I631" s="145"/>
      <c r="J631" s="145"/>
    </row>
    <row r="632" spans="1:10" s="195" customFormat="1" ht="24.95" hidden="1" customHeight="1">
      <c r="A632" s="141"/>
      <c r="B632" s="141"/>
      <c r="C632" s="142"/>
      <c r="D632" s="141"/>
      <c r="E632" s="150"/>
      <c r="F632" s="150"/>
      <c r="G632" s="145"/>
      <c r="H632" s="145"/>
      <c r="I632" s="145"/>
      <c r="J632" s="145"/>
    </row>
    <row r="633" spans="1:10" s="195" customFormat="1" ht="24.95" hidden="1" customHeight="1">
      <c r="A633" s="141"/>
      <c r="B633" s="141"/>
      <c r="C633" s="142"/>
      <c r="D633" s="141"/>
      <c r="E633" s="150"/>
      <c r="F633" s="150"/>
      <c r="G633" s="145"/>
      <c r="H633" s="145"/>
      <c r="I633" s="145"/>
      <c r="J633" s="145"/>
    </row>
    <row r="634" spans="1:10" s="195" customFormat="1" ht="24.95" hidden="1" customHeight="1">
      <c r="A634" s="141"/>
      <c r="B634" s="141"/>
      <c r="C634" s="142"/>
      <c r="D634" s="141"/>
      <c r="E634" s="150"/>
      <c r="F634" s="150"/>
      <c r="G634" s="145"/>
      <c r="H634" s="145"/>
      <c r="I634" s="145"/>
      <c r="J634" s="145"/>
    </row>
    <row r="635" spans="1:10" s="195" customFormat="1" ht="24.95" hidden="1" customHeight="1">
      <c r="A635" s="141"/>
      <c r="B635" s="141"/>
      <c r="C635" s="142"/>
      <c r="D635" s="141"/>
      <c r="E635" s="150"/>
      <c r="F635" s="150"/>
      <c r="G635" s="145"/>
      <c r="H635" s="145"/>
      <c r="I635" s="145"/>
      <c r="J635" s="145"/>
    </row>
    <row r="636" spans="1:10" s="195" customFormat="1" ht="24.95" hidden="1" customHeight="1">
      <c r="A636" s="141"/>
      <c r="B636" s="141"/>
      <c r="C636" s="142"/>
      <c r="D636" s="141"/>
      <c r="E636" s="150"/>
      <c r="F636" s="150"/>
      <c r="G636" s="145"/>
      <c r="H636" s="145"/>
      <c r="I636" s="145"/>
      <c r="J636" s="145"/>
    </row>
    <row r="637" spans="1:10" s="195" customFormat="1" ht="24.95" hidden="1" customHeight="1">
      <c r="A637" s="141"/>
      <c r="B637" s="141"/>
      <c r="C637" s="142"/>
      <c r="D637" s="141"/>
      <c r="E637" s="150"/>
      <c r="F637" s="150"/>
      <c r="G637" s="145"/>
      <c r="H637" s="145"/>
      <c r="I637" s="145"/>
      <c r="J637" s="145"/>
    </row>
    <row r="638" spans="1:10" s="195" customFormat="1" ht="24.95" hidden="1" customHeight="1">
      <c r="A638" s="141"/>
      <c r="B638" s="141"/>
      <c r="C638" s="142"/>
      <c r="D638" s="141"/>
      <c r="E638" s="150"/>
      <c r="F638" s="150"/>
      <c r="G638" s="145"/>
      <c r="H638" s="145"/>
      <c r="I638" s="145"/>
      <c r="J638" s="145"/>
    </row>
    <row r="639" spans="1:10" s="195" customFormat="1" ht="24.95" hidden="1" customHeight="1">
      <c r="A639" s="141"/>
      <c r="B639" s="141"/>
      <c r="C639" s="142"/>
      <c r="D639" s="141"/>
      <c r="E639" s="150"/>
      <c r="F639" s="150"/>
      <c r="G639" s="145"/>
      <c r="H639" s="145"/>
      <c r="I639" s="145"/>
      <c r="J639" s="145"/>
    </row>
    <row r="640" spans="1:10" s="195" customFormat="1" ht="24.95" hidden="1" customHeight="1">
      <c r="A640" s="141"/>
      <c r="B640" s="141"/>
      <c r="C640" s="142"/>
      <c r="D640" s="141"/>
      <c r="E640" s="150"/>
      <c r="F640" s="150"/>
      <c r="G640" s="145"/>
      <c r="H640" s="145"/>
      <c r="I640" s="145"/>
      <c r="J640" s="145"/>
    </row>
    <row r="641" spans="1:10" s="195" customFormat="1" ht="24.95" hidden="1" customHeight="1">
      <c r="A641" s="141"/>
      <c r="B641" s="141"/>
      <c r="C641" s="142"/>
      <c r="D641" s="141"/>
      <c r="E641" s="150"/>
      <c r="F641" s="150"/>
      <c r="G641" s="145"/>
      <c r="H641" s="145"/>
      <c r="I641" s="145"/>
      <c r="J641" s="145"/>
    </row>
    <row r="642" spans="1:10" s="195" customFormat="1" ht="24.95" hidden="1" customHeight="1">
      <c r="A642" s="141"/>
      <c r="B642" s="141"/>
      <c r="C642" s="142"/>
      <c r="D642" s="141"/>
      <c r="E642" s="150"/>
      <c r="F642" s="150"/>
      <c r="G642" s="145"/>
      <c r="H642" s="145"/>
      <c r="I642" s="145"/>
      <c r="J642" s="145"/>
    </row>
    <row r="643" spans="1:10" s="195" customFormat="1" ht="24.95" hidden="1" customHeight="1">
      <c r="A643" s="141"/>
      <c r="B643" s="141"/>
      <c r="C643" s="142"/>
      <c r="D643" s="141"/>
      <c r="E643" s="150"/>
      <c r="F643" s="150"/>
      <c r="G643" s="145"/>
      <c r="H643" s="145"/>
      <c r="I643" s="145"/>
      <c r="J643" s="145"/>
    </row>
    <row r="644" spans="1:10" s="195" customFormat="1" ht="24.95" hidden="1" customHeight="1">
      <c r="A644" s="141"/>
      <c r="B644" s="141"/>
      <c r="C644" s="142"/>
      <c r="D644" s="141"/>
      <c r="E644" s="150"/>
      <c r="F644" s="150"/>
      <c r="G644" s="145"/>
      <c r="H644" s="145"/>
      <c r="I644" s="145"/>
      <c r="J644" s="145"/>
    </row>
    <row r="645" spans="1:10" s="195" customFormat="1" ht="24.95" hidden="1" customHeight="1">
      <c r="A645" s="141"/>
      <c r="B645" s="141"/>
      <c r="C645" s="142"/>
      <c r="D645" s="141"/>
      <c r="E645" s="150"/>
      <c r="F645" s="150"/>
      <c r="G645" s="145"/>
      <c r="H645" s="145"/>
      <c r="I645" s="145"/>
      <c r="J645" s="145"/>
    </row>
    <row r="646" spans="1:10" s="195" customFormat="1" ht="24.95" hidden="1" customHeight="1">
      <c r="A646" s="141"/>
      <c r="B646" s="141"/>
      <c r="C646" s="142"/>
      <c r="D646" s="141"/>
      <c r="E646" s="150"/>
      <c r="F646" s="150"/>
      <c r="G646" s="145"/>
      <c r="H646" s="145"/>
      <c r="I646" s="145"/>
      <c r="J646" s="145"/>
    </row>
    <row r="647" spans="1:10" s="195" customFormat="1" ht="24.95" hidden="1" customHeight="1">
      <c r="A647" s="141"/>
      <c r="B647" s="141"/>
      <c r="C647" s="142"/>
      <c r="D647" s="141"/>
      <c r="E647" s="150"/>
      <c r="F647" s="150"/>
      <c r="G647" s="145"/>
      <c r="H647" s="145"/>
      <c r="I647" s="145"/>
      <c r="J647" s="145"/>
    </row>
    <row r="648" spans="1:10" s="195" customFormat="1" ht="24.95" hidden="1" customHeight="1">
      <c r="A648" s="141"/>
      <c r="B648" s="141"/>
      <c r="C648" s="142"/>
      <c r="D648" s="141"/>
      <c r="E648" s="150"/>
      <c r="F648" s="150"/>
      <c r="G648" s="145"/>
      <c r="H648" s="145"/>
      <c r="I648" s="145"/>
      <c r="J648" s="145"/>
    </row>
    <row r="649" spans="1:10" s="195" customFormat="1" ht="24.95" hidden="1" customHeight="1">
      <c r="A649" s="141"/>
      <c r="B649" s="141"/>
      <c r="C649" s="142"/>
      <c r="D649" s="141"/>
      <c r="E649" s="150"/>
      <c r="F649" s="150"/>
      <c r="G649" s="145"/>
      <c r="H649" s="145"/>
      <c r="I649" s="145"/>
      <c r="J649" s="145"/>
    </row>
    <row r="650" spans="1:10" s="195" customFormat="1" ht="24.95" hidden="1" customHeight="1">
      <c r="A650" s="141"/>
      <c r="B650" s="141"/>
      <c r="C650" s="142"/>
      <c r="D650" s="141"/>
      <c r="E650" s="150"/>
      <c r="F650" s="150"/>
      <c r="G650" s="145"/>
      <c r="H650" s="145"/>
      <c r="I650" s="145"/>
      <c r="J650" s="145"/>
    </row>
    <row r="651" spans="1:10" s="195" customFormat="1" ht="24.95" hidden="1" customHeight="1">
      <c r="A651" s="141"/>
      <c r="B651" s="141"/>
      <c r="C651" s="142"/>
      <c r="D651" s="141"/>
      <c r="E651" s="150"/>
      <c r="F651" s="150"/>
      <c r="G651" s="145"/>
      <c r="H651" s="145"/>
      <c r="I651" s="145"/>
      <c r="J651" s="145"/>
    </row>
    <row r="652" spans="1:10" s="195" customFormat="1" ht="24.95" hidden="1" customHeight="1">
      <c r="A652" s="141"/>
      <c r="B652" s="141"/>
      <c r="C652" s="142"/>
      <c r="D652" s="141"/>
      <c r="E652" s="150"/>
      <c r="F652" s="150"/>
      <c r="G652" s="145"/>
      <c r="H652" s="145"/>
      <c r="I652" s="145"/>
      <c r="J652" s="145"/>
    </row>
    <row r="653" spans="1:10" s="195" customFormat="1" ht="24.95" hidden="1" customHeight="1">
      <c r="A653" s="141"/>
      <c r="B653" s="141"/>
      <c r="C653" s="142"/>
      <c r="D653" s="141"/>
      <c r="E653" s="150"/>
      <c r="F653" s="150"/>
      <c r="G653" s="145"/>
      <c r="H653" s="145"/>
      <c r="I653" s="145"/>
      <c r="J653" s="145"/>
    </row>
    <row r="654" spans="1:10" s="195" customFormat="1" ht="24.95" hidden="1" customHeight="1">
      <c r="A654" s="141"/>
      <c r="B654" s="141"/>
      <c r="C654" s="142"/>
      <c r="D654" s="141"/>
      <c r="E654" s="150"/>
      <c r="F654" s="150"/>
      <c r="G654" s="145"/>
      <c r="H654" s="145"/>
      <c r="I654" s="145"/>
      <c r="J654" s="145"/>
    </row>
    <row r="655" spans="1:10" s="195" customFormat="1" ht="24.95" hidden="1" customHeight="1">
      <c r="A655" s="141"/>
      <c r="B655" s="141"/>
      <c r="C655" s="142"/>
      <c r="D655" s="141"/>
      <c r="E655" s="150"/>
      <c r="F655" s="150"/>
      <c r="G655" s="145"/>
      <c r="H655" s="145"/>
      <c r="I655" s="145"/>
      <c r="J655" s="145"/>
    </row>
    <row r="656" spans="1:10" s="195" customFormat="1" ht="24.95" hidden="1" customHeight="1">
      <c r="A656" s="141"/>
      <c r="B656" s="141"/>
      <c r="C656" s="142"/>
      <c r="D656" s="141"/>
      <c r="E656" s="150"/>
      <c r="F656" s="150"/>
      <c r="G656" s="145"/>
      <c r="H656" s="145"/>
      <c r="I656" s="145"/>
      <c r="J656" s="145"/>
    </row>
    <row r="657" spans="1:10" s="195" customFormat="1" ht="24.95" hidden="1" customHeight="1">
      <c r="A657" s="141"/>
      <c r="B657" s="141"/>
      <c r="C657" s="142"/>
      <c r="D657" s="141"/>
      <c r="E657" s="150"/>
      <c r="F657" s="150"/>
      <c r="G657" s="145"/>
      <c r="H657" s="145"/>
      <c r="I657" s="145"/>
      <c r="J657" s="145"/>
    </row>
    <row r="658" spans="1:10" s="195" customFormat="1" ht="24.95" hidden="1" customHeight="1">
      <c r="A658" s="141"/>
      <c r="B658" s="141"/>
      <c r="C658" s="142"/>
      <c r="D658" s="141"/>
      <c r="E658" s="150"/>
      <c r="F658" s="150"/>
      <c r="G658" s="145"/>
      <c r="H658" s="145"/>
      <c r="I658" s="145"/>
      <c r="J658" s="145"/>
    </row>
    <row r="659" spans="1:10" s="195" customFormat="1" ht="24.95" hidden="1" customHeight="1">
      <c r="A659" s="141"/>
      <c r="B659" s="141"/>
      <c r="C659" s="142"/>
      <c r="D659" s="141"/>
      <c r="E659" s="150"/>
      <c r="F659" s="150"/>
      <c r="G659" s="145"/>
      <c r="H659" s="145"/>
      <c r="I659" s="145"/>
      <c r="J659" s="145"/>
    </row>
    <row r="660" spans="1:10" s="195" customFormat="1" ht="24.95" hidden="1" customHeight="1">
      <c r="A660" s="141"/>
      <c r="B660" s="141"/>
      <c r="C660" s="142"/>
      <c r="D660" s="141"/>
      <c r="E660" s="150"/>
      <c r="F660" s="150"/>
      <c r="G660" s="145"/>
      <c r="H660" s="145"/>
      <c r="I660" s="145"/>
      <c r="J660" s="145"/>
    </row>
    <row r="661" spans="1:10" s="195" customFormat="1" ht="24.95" hidden="1" customHeight="1">
      <c r="A661" s="141"/>
      <c r="B661" s="141"/>
      <c r="C661" s="142"/>
      <c r="D661" s="141"/>
      <c r="E661" s="150"/>
      <c r="F661" s="150"/>
      <c r="G661" s="145"/>
      <c r="H661" s="145"/>
      <c r="I661" s="145"/>
      <c r="J661" s="145"/>
    </row>
    <row r="662" spans="1:10" s="195" customFormat="1" ht="24.95" hidden="1" customHeight="1">
      <c r="A662" s="141"/>
      <c r="B662" s="141"/>
      <c r="C662" s="142"/>
      <c r="D662" s="141"/>
      <c r="E662" s="150"/>
      <c r="F662" s="150"/>
      <c r="G662" s="145"/>
      <c r="H662" s="145"/>
      <c r="I662" s="145"/>
      <c r="J662" s="145"/>
    </row>
    <row r="663" spans="1:10" s="195" customFormat="1" ht="24.95" hidden="1" customHeight="1">
      <c r="A663" s="141"/>
      <c r="B663" s="141"/>
      <c r="C663" s="142"/>
      <c r="D663" s="141"/>
      <c r="E663" s="150"/>
      <c r="F663" s="150"/>
      <c r="G663" s="145"/>
      <c r="H663" s="145"/>
      <c r="I663" s="145"/>
      <c r="J663" s="145"/>
    </row>
    <row r="664" spans="1:10" s="195" customFormat="1" ht="24.95" hidden="1" customHeight="1">
      <c r="A664" s="141"/>
      <c r="B664" s="141"/>
      <c r="C664" s="142"/>
      <c r="D664" s="141"/>
      <c r="E664" s="150"/>
      <c r="F664" s="150"/>
      <c r="G664" s="145"/>
      <c r="H664" s="145"/>
      <c r="I664" s="145"/>
      <c r="J664" s="145"/>
    </row>
    <row r="665" spans="1:10" s="195" customFormat="1" ht="24.95" hidden="1" customHeight="1">
      <c r="A665" s="141"/>
      <c r="B665" s="141"/>
      <c r="C665" s="142"/>
      <c r="D665" s="141"/>
      <c r="E665" s="150"/>
      <c r="F665" s="150"/>
      <c r="G665" s="145"/>
      <c r="H665" s="145"/>
      <c r="I665" s="145"/>
      <c r="J665" s="145"/>
    </row>
    <row r="666" spans="1:10" s="195" customFormat="1" ht="24.95" hidden="1" customHeight="1">
      <c r="A666" s="141"/>
      <c r="B666" s="141"/>
      <c r="C666" s="142"/>
      <c r="D666" s="141"/>
      <c r="E666" s="150"/>
      <c r="F666" s="150"/>
      <c r="G666" s="145"/>
      <c r="H666" s="145"/>
      <c r="I666" s="145"/>
      <c r="J666" s="145"/>
    </row>
    <row r="667" spans="1:10" s="195" customFormat="1" ht="24.95" hidden="1" customHeight="1">
      <c r="A667" s="141"/>
      <c r="B667" s="141"/>
      <c r="C667" s="142"/>
      <c r="D667" s="141"/>
      <c r="E667" s="150"/>
      <c r="F667" s="150"/>
      <c r="G667" s="145"/>
      <c r="H667" s="145"/>
      <c r="I667" s="145"/>
      <c r="J667" s="145"/>
    </row>
    <row r="668" spans="1:10" s="195" customFormat="1" ht="24.95" hidden="1" customHeight="1">
      <c r="A668" s="141"/>
      <c r="B668" s="141"/>
      <c r="C668" s="142"/>
      <c r="D668" s="141"/>
      <c r="E668" s="150"/>
      <c r="F668" s="150"/>
      <c r="G668" s="145"/>
      <c r="H668" s="145"/>
      <c r="I668" s="145"/>
      <c r="J668" s="145"/>
    </row>
    <row r="669" spans="1:10" s="195" customFormat="1" ht="24.95" hidden="1" customHeight="1">
      <c r="A669" s="141"/>
      <c r="B669" s="141"/>
      <c r="C669" s="142"/>
      <c r="D669" s="141"/>
      <c r="E669" s="150"/>
      <c r="F669" s="150"/>
      <c r="G669" s="145"/>
      <c r="H669" s="145"/>
      <c r="I669" s="145"/>
      <c r="J669" s="145"/>
    </row>
    <row r="670" spans="1:10" s="195" customFormat="1" ht="24.95" hidden="1" customHeight="1">
      <c r="A670" s="141"/>
      <c r="B670" s="141"/>
      <c r="C670" s="142"/>
      <c r="D670" s="141"/>
      <c r="E670" s="150"/>
      <c r="F670" s="150"/>
      <c r="G670" s="145"/>
      <c r="H670" s="145"/>
      <c r="I670" s="145"/>
      <c r="J670" s="145"/>
    </row>
    <row r="671" spans="1:10" s="195" customFormat="1" ht="24.95" hidden="1" customHeight="1">
      <c r="A671" s="141"/>
      <c r="B671" s="141"/>
      <c r="C671" s="142"/>
      <c r="D671" s="141"/>
      <c r="E671" s="150"/>
      <c r="F671" s="150"/>
      <c r="G671" s="145"/>
      <c r="H671" s="145"/>
      <c r="I671" s="145"/>
      <c r="J671" s="145"/>
    </row>
    <row r="672" spans="1:10" s="195" customFormat="1" ht="24.95" hidden="1" customHeight="1">
      <c r="A672" s="141"/>
      <c r="B672" s="141"/>
      <c r="C672" s="142"/>
      <c r="D672" s="141"/>
      <c r="E672" s="150"/>
      <c r="F672" s="150"/>
      <c r="G672" s="145"/>
      <c r="H672" s="145"/>
      <c r="I672" s="145"/>
      <c r="J672" s="145"/>
    </row>
    <row r="673" spans="1:10" s="195" customFormat="1" ht="24.95" hidden="1" customHeight="1">
      <c r="A673" s="141"/>
      <c r="B673" s="141"/>
      <c r="C673" s="142"/>
      <c r="D673" s="141"/>
      <c r="E673" s="150"/>
      <c r="F673" s="150"/>
      <c r="G673" s="145"/>
      <c r="H673" s="145"/>
      <c r="I673" s="145"/>
      <c r="J673" s="145"/>
    </row>
    <row r="674" spans="1:10" s="195" customFormat="1" ht="24.95" hidden="1" customHeight="1">
      <c r="A674" s="141"/>
      <c r="B674" s="141"/>
      <c r="C674" s="142"/>
      <c r="D674" s="141"/>
      <c r="E674" s="150"/>
      <c r="F674" s="150"/>
      <c r="G674" s="145"/>
      <c r="H674" s="145"/>
      <c r="I674" s="145"/>
      <c r="J674" s="145"/>
    </row>
    <row r="675" spans="1:10" s="195" customFormat="1" ht="24.95" hidden="1" customHeight="1">
      <c r="A675" s="141"/>
      <c r="B675" s="141"/>
      <c r="C675" s="142"/>
      <c r="D675" s="141"/>
      <c r="E675" s="150"/>
      <c r="F675" s="150"/>
      <c r="G675" s="145"/>
      <c r="H675" s="145"/>
      <c r="I675" s="145"/>
      <c r="J675" s="145"/>
    </row>
    <row r="676" spans="1:10" s="195" customFormat="1" ht="24.95" hidden="1" customHeight="1">
      <c r="A676" s="141"/>
      <c r="B676" s="141"/>
      <c r="C676" s="142"/>
      <c r="D676" s="141"/>
      <c r="E676" s="150"/>
      <c r="F676" s="150"/>
      <c r="G676" s="145"/>
      <c r="H676" s="145"/>
      <c r="I676" s="145"/>
      <c r="J676" s="145"/>
    </row>
    <row r="677" spans="1:10" s="195" customFormat="1" ht="24.95" hidden="1" customHeight="1">
      <c r="A677" s="141"/>
      <c r="B677" s="141"/>
      <c r="C677" s="142"/>
      <c r="D677" s="141"/>
      <c r="E677" s="150"/>
      <c r="F677" s="150"/>
      <c r="G677" s="145"/>
      <c r="H677" s="145"/>
      <c r="I677" s="145"/>
      <c r="J677" s="145"/>
    </row>
    <row r="678" spans="1:10" s="195" customFormat="1" ht="24.95" hidden="1" customHeight="1">
      <c r="A678" s="141"/>
      <c r="B678" s="141"/>
      <c r="C678" s="142"/>
      <c r="D678" s="141"/>
      <c r="E678" s="150"/>
      <c r="F678" s="150"/>
      <c r="G678" s="145"/>
      <c r="H678" s="145"/>
      <c r="I678" s="145"/>
      <c r="J678" s="145"/>
    </row>
    <row r="679" spans="1:10" s="195" customFormat="1" ht="24.95" hidden="1" customHeight="1">
      <c r="A679" s="141"/>
      <c r="B679" s="141"/>
      <c r="C679" s="142"/>
      <c r="D679" s="141"/>
      <c r="E679" s="150"/>
      <c r="F679" s="150"/>
      <c r="G679" s="145"/>
      <c r="H679" s="145"/>
      <c r="I679" s="145"/>
      <c r="J679" s="145"/>
    </row>
    <row r="680" spans="1:10" s="195" customFormat="1" ht="24.95" hidden="1" customHeight="1">
      <c r="A680" s="141"/>
      <c r="B680" s="141"/>
      <c r="C680" s="142"/>
      <c r="D680" s="141"/>
      <c r="E680" s="150"/>
      <c r="F680" s="150"/>
      <c r="G680" s="145"/>
      <c r="H680" s="145"/>
      <c r="I680" s="145"/>
      <c r="J680" s="145"/>
    </row>
    <row r="681" spans="1:10" s="195" customFormat="1" ht="24.95" hidden="1" customHeight="1">
      <c r="A681" s="141"/>
      <c r="B681" s="141"/>
      <c r="C681" s="142"/>
      <c r="D681" s="141"/>
      <c r="E681" s="150"/>
      <c r="F681" s="150"/>
      <c r="G681" s="145"/>
      <c r="H681" s="145"/>
      <c r="I681" s="145"/>
      <c r="J681" s="145"/>
    </row>
    <row r="682" spans="1:10" s="195" customFormat="1" ht="24.95" hidden="1" customHeight="1">
      <c r="A682" s="141"/>
      <c r="B682" s="141"/>
      <c r="C682" s="142"/>
      <c r="D682" s="141"/>
      <c r="E682" s="150"/>
      <c r="F682" s="150"/>
      <c r="G682" s="145"/>
      <c r="H682" s="145"/>
      <c r="I682" s="145"/>
      <c r="J682" s="145"/>
    </row>
    <row r="683" spans="1:10" s="195" customFormat="1" ht="24.95" hidden="1" customHeight="1">
      <c r="A683" s="141"/>
      <c r="B683" s="141"/>
      <c r="C683" s="142"/>
      <c r="D683" s="141"/>
      <c r="E683" s="150"/>
      <c r="F683" s="150"/>
      <c r="G683" s="145"/>
      <c r="H683" s="145"/>
      <c r="I683" s="145"/>
      <c r="J683" s="145"/>
    </row>
    <row r="684" spans="1:10" s="195" customFormat="1" ht="24.95" hidden="1" customHeight="1">
      <c r="A684" s="141"/>
      <c r="B684" s="141"/>
      <c r="C684" s="142"/>
      <c r="D684" s="141"/>
      <c r="E684" s="150"/>
      <c r="F684" s="150"/>
      <c r="G684" s="145"/>
      <c r="H684" s="145"/>
      <c r="I684" s="145"/>
      <c r="J684" s="145"/>
    </row>
    <row r="685" spans="1:10" s="195" customFormat="1" ht="24.95" hidden="1" customHeight="1">
      <c r="A685" s="141"/>
      <c r="B685" s="141"/>
      <c r="C685" s="142"/>
      <c r="D685" s="141"/>
      <c r="E685" s="150"/>
      <c r="F685" s="150"/>
      <c r="G685" s="145"/>
      <c r="H685" s="145"/>
      <c r="I685" s="145"/>
      <c r="J685" s="145"/>
    </row>
    <row r="686" spans="1:10" s="195" customFormat="1" ht="24.95" hidden="1" customHeight="1">
      <c r="A686" s="141"/>
      <c r="B686" s="141"/>
      <c r="C686" s="142"/>
      <c r="D686" s="141"/>
      <c r="E686" s="150"/>
      <c r="F686" s="150"/>
      <c r="G686" s="145"/>
      <c r="H686" s="145"/>
      <c r="I686" s="145"/>
      <c r="J686" s="145"/>
    </row>
    <row r="687" spans="1:10" s="195" customFormat="1" ht="24.95" hidden="1" customHeight="1">
      <c r="A687" s="141"/>
      <c r="B687" s="141"/>
      <c r="C687" s="142"/>
      <c r="D687" s="141"/>
      <c r="E687" s="150"/>
      <c r="F687" s="150"/>
      <c r="G687" s="145"/>
      <c r="H687" s="145"/>
      <c r="I687" s="145"/>
      <c r="J687" s="145"/>
    </row>
    <row r="688" spans="1:10" s="195" customFormat="1" ht="24.95" hidden="1" customHeight="1">
      <c r="A688" s="141"/>
      <c r="B688" s="141"/>
      <c r="C688" s="142"/>
      <c r="D688" s="141"/>
      <c r="E688" s="150"/>
      <c r="F688" s="150"/>
      <c r="G688" s="145"/>
      <c r="H688" s="145"/>
      <c r="I688" s="145"/>
      <c r="J688" s="145"/>
    </row>
    <row r="689" spans="1:10" s="195" customFormat="1" ht="24.95" hidden="1" customHeight="1">
      <c r="A689" s="141"/>
      <c r="B689" s="141"/>
      <c r="C689" s="142"/>
      <c r="D689" s="141"/>
      <c r="E689" s="150"/>
      <c r="F689" s="150"/>
      <c r="G689" s="145"/>
      <c r="H689" s="145"/>
      <c r="I689" s="145"/>
      <c r="J689" s="145"/>
    </row>
    <row r="690" spans="1:10" s="195" customFormat="1" ht="24.95" hidden="1" customHeight="1">
      <c r="A690" s="141"/>
      <c r="B690" s="141"/>
      <c r="C690" s="142"/>
      <c r="D690" s="141"/>
      <c r="E690" s="150"/>
      <c r="F690" s="150"/>
      <c r="G690" s="145"/>
      <c r="H690" s="145"/>
      <c r="I690" s="145"/>
      <c r="J690" s="145"/>
    </row>
    <row r="691" spans="1:10" s="195" customFormat="1" ht="24.95" hidden="1" customHeight="1">
      <c r="A691" s="141"/>
      <c r="B691" s="141"/>
      <c r="C691" s="142"/>
      <c r="D691" s="141"/>
      <c r="E691" s="150"/>
      <c r="F691" s="150"/>
      <c r="G691" s="145"/>
      <c r="H691" s="145"/>
      <c r="I691" s="145"/>
      <c r="J691" s="145"/>
    </row>
    <row r="692" spans="1:10" s="195" customFormat="1" ht="24.95" hidden="1" customHeight="1">
      <c r="A692" s="141"/>
      <c r="B692" s="141"/>
      <c r="C692" s="142"/>
      <c r="D692" s="141"/>
      <c r="E692" s="150"/>
      <c r="F692" s="150"/>
      <c r="G692" s="145"/>
      <c r="H692" s="145"/>
      <c r="I692" s="145"/>
      <c r="J692" s="145"/>
    </row>
    <row r="693" spans="1:10" s="195" customFormat="1" ht="24.95" hidden="1" customHeight="1">
      <c r="A693" s="141"/>
      <c r="B693" s="141"/>
      <c r="C693" s="142"/>
      <c r="D693" s="141"/>
      <c r="E693" s="150"/>
      <c r="F693" s="150"/>
      <c r="G693" s="145"/>
      <c r="H693" s="145"/>
      <c r="I693" s="145"/>
      <c r="J693" s="145"/>
    </row>
    <row r="694" spans="1:10" s="195" customFormat="1" ht="24.95" hidden="1" customHeight="1">
      <c r="A694" s="141"/>
      <c r="B694" s="141"/>
      <c r="C694" s="142"/>
      <c r="D694" s="141"/>
      <c r="E694" s="150"/>
      <c r="F694" s="150"/>
      <c r="G694" s="145"/>
      <c r="H694" s="145"/>
      <c r="I694" s="145"/>
      <c r="J694" s="145"/>
    </row>
    <row r="695" spans="1:10" s="195" customFormat="1" ht="24.95" hidden="1" customHeight="1">
      <c r="A695" s="141"/>
      <c r="B695" s="141"/>
      <c r="C695" s="142"/>
      <c r="D695" s="141"/>
      <c r="E695" s="150"/>
      <c r="F695" s="150"/>
      <c r="G695" s="145"/>
      <c r="H695" s="145"/>
      <c r="I695" s="145"/>
      <c r="J695" s="145"/>
    </row>
    <row r="696" spans="1:10" s="195" customFormat="1" ht="24.95" hidden="1" customHeight="1">
      <c r="A696" s="141"/>
      <c r="B696" s="141"/>
      <c r="C696" s="142"/>
      <c r="D696" s="141"/>
      <c r="E696" s="150"/>
      <c r="F696" s="150"/>
      <c r="G696" s="145"/>
      <c r="H696" s="145"/>
      <c r="I696" s="145"/>
      <c r="J696" s="145"/>
    </row>
    <row r="697" spans="1:10" s="195" customFormat="1" ht="24.95" hidden="1" customHeight="1">
      <c r="A697" s="141"/>
      <c r="B697" s="141"/>
      <c r="C697" s="142"/>
      <c r="D697" s="141"/>
      <c r="E697" s="150"/>
      <c r="F697" s="150"/>
      <c r="G697" s="145"/>
      <c r="H697" s="145"/>
      <c r="I697" s="145"/>
      <c r="J697" s="145"/>
    </row>
    <row r="698" spans="1:10" s="195" customFormat="1" ht="24.95" hidden="1" customHeight="1">
      <c r="A698" s="141"/>
      <c r="B698" s="141"/>
      <c r="C698" s="142"/>
      <c r="D698" s="141"/>
      <c r="E698" s="150"/>
      <c r="F698" s="150"/>
      <c r="G698" s="145"/>
      <c r="H698" s="145"/>
      <c r="I698" s="145"/>
      <c r="J698" s="145"/>
    </row>
    <row r="699" spans="1:10" s="195" customFormat="1" ht="24.95" hidden="1" customHeight="1">
      <c r="A699" s="141"/>
      <c r="B699" s="141"/>
      <c r="C699" s="142"/>
      <c r="D699" s="141"/>
      <c r="E699" s="150"/>
      <c r="F699" s="150"/>
      <c r="G699" s="145"/>
      <c r="H699" s="145"/>
      <c r="I699" s="145"/>
      <c r="J699" s="145"/>
    </row>
    <row r="700" spans="1:10" s="195" customFormat="1" ht="24.95" hidden="1" customHeight="1">
      <c r="A700" s="141"/>
      <c r="B700" s="141"/>
      <c r="C700" s="142"/>
      <c r="D700" s="141"/>
      <c r="E700" s="150"/>
      <c r="F700" s="150"/>
      <c r="G700" s="145"/>
      <c r="H700" s="145"/>
      <c r="I700" s="145"/>
      <c r="J700" s="145"/>
    </row>
    <row r="701" spans="1:10" s="195" customFormat="1" ht="24.95" hidden="1" customHeight="1">
      <c r="A701" s="141"/>
      <c r="B701" s="141"/>
      <c r="C701" s="142"/>
      <c r="D701" s="141"/>
      <c r="E701" s="150"/>
      <c r="F701" s="150"/>
      <c r="G701" s="145"/>
      <c r="H701" s="145"/>
      <c r="I701" s="145"/>
      <c r="J701" s="145"/>
    </row>
    <row r="702" spans="1:10" s="195" customFormat="1" ht="24.95" hidden="1" customHeight="1">
      <c r="A702" s="141"/>
      <c r="B702" s="141"/>
      <c r="C702" s="142"/>
      <c r="D702" s="141"/>
      <c r="E702" s="150"/>
      <c r="F702" s="150"/>
      <c r="G702" s="145"/>
      <c r="H702" s="145"/>
      <c r="I702" s="145"/>
      <c r="J702" s="145"/>
    </row>
    <row r="703" spans="1:10" s="195" customFormat="1" ht="24.95" hidden="1" customHeight="1">
      <c r="A703" s="141"/>
      <c r="B703" s="141"/>
      <c r="C703" s="142"/>
      <c r="D703" s="141"/>
      <c r="E703" s="150"/>
      <c r="F703" s="150"/>
      <c r="G703" s="145"/>
      <c r="H703" s="145"/>
      <c r="I703" s="145"/>
      <c r="J703" s="145"/>
    </row>
    <row r="704" spans="1:10" s="195" customFormat="1" ht="24.95" hidden="1" customHeight="1">
      <c r="A704" s="141"/>
      <c r="B704" s="141"/>
      <c r="C704" s="142"/>
      <c r="D704" s="141"/>
      <c r="E704" s="150"/>
      <c r="F704" s="150"/>
      <c r="G704" s="145"/>
      <c r="H704" s="145"/>
      <c r="I704" s="145"/>
      <c r="J704" s="145"/>
    </row>
    <row r="705" spans="1:10" s="195" customFormat="1" ht="24.95" hidden="1" customHeight="1">
      <c r="A705" s="141"/>
      <c r="B705" s="141"/>
      <c r="C705" s="142"/>
      <c r="D705" s="141"/>
      <c r="E705" s="150"/>
      <c r="F705" s="150"/>
      <c r="G705" s="145"/>
      <c r="H705" s="145"/>
      <c r="I705" s="145"/>
      <c r="J705" s="145"/>
    </row>
    <row r="706" spans="1:10" s="195" customFormat="1" ht="24.95" hidden="1" customHeight="1">
      <c r="A706" s="141"/>
      <c r="B706" s="141"/>
      <c r="C706" s="142"/>
      <c r="D706" s="141"/>
      <c r="E706" s="150"/>
      <c r="F706" s="150"/>
      <c r="G706" s="145"/>
      <c r="H706" s="145"/>
      <c r="I706" s="145"/>
      <c r="J706" s="145"/>
    </row>
    <row r="707" spans="1:10" s="195" customFormat="1" ht="24.95" hidden="1" customHeight="1">
      <c r="A707" s="141"/>
      <c r="B707" s="141"/>
      <c r="C707" s="142"/>
      <c r="D707" s="141"/>
      <c r="E707" s="150"/>
      <c r="F707" s="150"/>
      <c r="G707" s="145"/>
      <c r="H707" s="145"/>
      <c r="I707" s="145"/>
      <c r="J707" s="145"/>
    </row>
    <row r="708" spans="1:10" s="195" customFormat="1" ht="24.95" hidden="1" customHeight="1">
      <c r="A708" s="141"/>
      <c r="B708" s="141"/>
      <c r="C708" s="142"/>
      <c r="D708" s="141"/>
      <c r="E708" s="150"/>
      <c r="F708" s="150"/>
      <c r="G708" s="145"/>
      <c r="H708" s="145"/>
      <c r="I708" s="145"/>
      <c r="J708" s="145"/>
    </row>
    <row r="709" spans="1:10" s="195" customFormat="1" ht="24.95" hidden="1" customHeight="1">
      <c r="A709" s="141"/>
      <c r="B709" s="141"/>
      <c r="C709" s="142"/>
      <c r="D709" s="141"/>
      <c r="E709" s="150"/>
      <c r="F709" s="150"/>
      <c r="G709" s="145"/>
      <c r="H709" s="145"/>
      <c r="I709" s="145"/>
      <c r="J709" s="145"/>
    </row>
    <row r="710" spans="1:10" s="195" customFormat="1" ht="24.95" hidden="1" customHeight="1">
      <c r="A710" s="141"/>
      <c r="B710" s="141"/>
      <c r="C710" s="142"/>
      <c r="D710" s="141"/>
      <c r="E710" s="150"/>
      <c r="F710" s="150"/>
      <c r="G710" s="145"/>
      <c r="H710" s="145"/>
      <c r="I710" s="145"/>
      <c r="J710" s="145"/>
    </row>
    <row r="711" spans="1:10" s="195" customFormat="1" ht="24.95" hidden="1" customHeight="1">
      <c r="A711" s="141"/>
      <c r="B711" s="141"/>
      <c r="C711" s="142"/>
      <c r="D711" s="141"/>
      <c r="E711" s="150"/>
      <c r="F711" s="150"/>
      <c r="G711" s="145"/>
      <c r="H711" s="145"/>
      <c r="I711" s="145"/>
      <c r="J711" s="145"/>
    </row>
    <row r="712" spans="1:10" s="195" customFormat="1" ht="24.95" hidden="1" customHeight="1">
      <c r="A712" s="141"/>
      <c r="B712" s="141"/>
      <c r="C712" s="142"/>
      <c r="D712" s="141"/>
      <c r="E712" s="150"/>
      <c r="F712" s="150"/>
      <c r="G712" s="145"/>
      <c r="H712" s="145"/>
      <c r="I712" s="145"/>
      <c r="J712" s="145"/>
    </row>
    <row r="713" spans="1:10" s="195" customFormat="1" ht="24.95" hidden="1" customHeight="1">
      <c r="A713" s="141"/>
      <c r="B713" s="141"/>
      <c r="C713" s="142"/>
      <c r="D713" s="141"/>
      <c r="E713" s="150"/>
      <c r="F713" s="150"/>
      <c r="G713" s="145"/>
      <c r="H713" s="145"/>
      <c r="I713" s="145"/>
      <c r="J713" s="145"/>
    </row>
    <row r="714" spans="1:10" s="195" customFormat="1" ht="24.95" hidden="1" customHeight="1">
      <c r="A714" s="141"/>
      <c r="B714" s="141"/>
      <c r="C714" s="142"/>
      <c r="D714" s="141"/>
      <c r="E714" s="150"/>
      <c r="F714" s="150"/>
      <c r="G714" s="145"/>
      <c r="H714" s="145"/>
      <c r="I714" s="145"/>
      <c r="J714" s="145"/>
    </row>
    <row r="715" spans="1:10" s="195" customFormat="1" ht="24.95" hidden="1" customHeight="1">
      <c r="A715" s="141"/>
      <c r="B715" s="141"/>
      <c r="C715" s="142"/>
      <c r="D715" s="141"/>
      <c r="E715" s="150"/>
      <c r="F715" s="150"/>
      <c r="G715" s="145"/>
      <c r="H715" s="145"/>
      <c r="I715" s="145"/>
      <c r="J715" s="145"/>
    </row>
    <row r="716" spans="1:10" s="195" customFormat="1" ht="24.95" hidden="1" customHeight="1">
      <c r="A716" s="141"/>
      <c r="B716" s="141"/>
      <c r="C716" s="142"/>
      <c r="D716" s="141"/>
      <c r="E716" s="150"/>
      <c r="F716" s="150"/>
      <c r="G716" s="145"/>
      <c r="H716" s="145"/>
      <c r="I716" s="145"/>
      <c r="J716" s="145"/>
    </row>
    <row r="717" spans="1:10" s="195" customFormat="1" ht="24.95" hidden="1" customHeight="1">
      <c r="A717" s="141"/>
      <c r="B717" s="141"/>
      <c r="C717" s="142"/>
      <c r="D717" s="141"/>
      <c r="E717" s="150"/>
      <c r="F717" s="150"/>
      <c r="G717" s="145"/>
      <c r="H717" s="145"/>
      <c r="I717" s="145"/>
      <c r="J717" s="145"/>
    </row>
    <row r="718" spans="1:10" s="195" customFormat="1" ht="24.95" hidden="1" customHeight="1">
      <c r="A718" s="141"/>
      <c r="B718" s="141"/>
      <c r="C718" s="142"/>
      <c r="D718" s="141"/>
      <c r="E718" s="150"/>
      <c r="F718" s="150"/>
      <c r="G718" s="145"/>
      <c r="H718" s="145"/>
      <c r="I718" s="145"/>
      <c r="J718" s="145"/>
    </row>
    <row r="719" spans="1:10" s="195" customFormat="1" ht="24.95" hidden="1" customHeight="1">
      <c r="A719" s="141"/>
      <c r="B719" s="141"/>
      <c r="C719" s="142"/>
      <c r="D719" s="141"/>
      <c r="E719" s="150"/>
      <c r="F719" s="150"/>
      <c r="G719" s="145"/>
      <c r="H719" s="145"/>
      <c r="I719" s="145"/>
      <c r="J719" s="145"/>
    </row>
    <row r="720" spans="1:10" s="195" customFormat="1" ht="24.95" hidden="1" customHeight="1">
      <c r="A720" s="141"/>
      <c r="B720" s="141"/>
      <c r="C720" s="142"/>
      <c r="D720" s="141"/>
      <c r="E720" s="150"/>
      <c r="F720" s="150"/>
      <c r="G720" s="145"/>
      <c r="H720" s="145"/>
      <c r="I720" s="145"/>
      <c r="J720" s="145"/>
    </row>
    <row r="721" spans="1:10" s="195" customFormat="1" ht="24.95" hidden="1" customHeight="1">
      <c r="A721" s="141"/>
      <c r="B721" s="141"/>
      <c r="C721" s="142"/>
      <c r="D721" s="141"/>
      <c r="E721" s="150"/>
      <c r="F721" s="150"/>
      <c r="G721" s="145"/>
      <c r="H721" s="145"/>
      <c r="I721" s="145"/>
      <c r="J721" s="145"/>
    </row>
    <row r="722" spans="1:10" s="195" customFormat="1" ht="24.95" hidden="1" customHeight="1">
      <c r="A722" s="141"/>
      <c r="B722" s="141"/>
      <c r="C722" s="142"/>
      <c r="D722" s="141"/>
      <c r="E722" s="150"/>
      <c r="F722" s="150"/>
      <c r="G722" s="145"/>
      <c r="H722" s="145"/>
      <c r="I722" s="145"/>
      <c r="J722" s="145"/>
    </row>
    <row r="723" spans="1:10" s="195" customFormat="1" ht="24.95" hidden="1" customHeight="1">
      <c r="A723" s="141"/>
      <c r="B723" s="141"/>
      <c r="C723" s="142"/>
      <c r="D723" s="141"/>
      <c r="E723" s="150"/>
      <c r="F723" s="150"/>
      <c r="G723" s="145"/>
      <c r="H723" s="145"/>
      <c r="I723" s="145"/>
      <c r="J723" s="145"/>
    </row>
    <row r="724" spans="1:10" s="195" customFormat="1" ht="24.95" hidden="1" customHeight="1">
      <c r="A724" s="141"/>
      <c r="B724" s="141"/>
      <c r="C724" s="142"/>
      <c r="D724" s="141"/>
      <c r="E724" s="150"/>
      <c r="F724" s="150"/>
      <c r="G724" s="145"/>
      <c r="H724" s="145"/>
      <c r="I724" s="145"/>
      <c r="J724" s="145"/>
    </row>
    <row r="725" spans="1:10" s="195" customFormat="1" ht="24.95" hidden="1" customHeight="1">
      <c r="A725" s="141"/>
      <c r="B725" s="141"/>
      <c r="C725" s="142"/>
      <c r="D725" s="141"/>
      <c r="E725" s="150"/>
      <c r="F725" s="150"/>
      <c r="G725" s="145"/>
      <c r="H725" s="145"/>
      <c r="I725" s="145"/>
      <c r="J725" s="145"/>
    </row>
    <row r="726" spans="1:10" s="195" customFormat="1" ht="24.95" hidden="1" customHeight="1">
      <c r="A726" s="141"/>
      <c r="B726" s="141"/>
      <c r="C726" s="142"/>
      <c r="D726" s="141"/>
      <c r="E726" s="150"/>
      <c r="F726" s="150"/>
      <c r="G726" s="145"/>
      <c r="H726" s="145"/>
      <c r="I726" s="145"/>
      <c r="J726" s="145"/>
    </row>
    <row r="727" spans="1:10" s="195" customFormat="1" ht="24.95" hidden="1" customHeight="1">
      <c r="A727" s="141"/>
      <c r="B727" s="141"/>
      <c r="C727" s="142"/>
      <c r="D727" s="141"/>
      <c r="E727" s="150"/>
      <c r="F727" s="150"/>
      <c r="G727" s="145"/>
      <c r="H727" s="145"/>
      <c r="I727" s="145"/>
      <c r="J727" s="145"/>
    </row>
    <row r="728" spans="1:10" s="195" customFormat="1" ht="24.95" hidden="1" customHeight="1">
      <c r="A728" s="141"/>
      <c r="B728" s="141"/>
      <c r="C728" s="142"/>
      <c r="D728" s="141"/>
      <c r="E728" s="150"/>
      <c r="F728" s="150"/>
      <c r="G728" s="145"/>
      <c r="H728" s="145"/>
      <c r="I728" s="145"/>
      <c r="J728" s="145"/>
    </row>
    <row r="729" spans="1:10" s="195" customFormat="1" ht="24.95" hidden="1" customHeight="1">
      <c r="A729" s="141"/>
      <c r="B729" s="141"/>
      <c r="C729" s="142"/>
      <c r="D729" s="141"/>
      <c r="E729" s="150"/>
      <c r="F729" s="150"/>
      <c r="G729" s="145"/>
      <c r="H729" s="145"/>
      <c r="I729" s="145"/>
      <c r="J729" s="145"/>
    </row>
    <row r="730" spans="1:10" s="195" customFormat="1" ht="24.95" hidden="1" customHeight="1">
      <c r="A730" s="141"/>
      <c r="B730" s="141"/>
      <c r="C730" s="142"/>
      <c r="D730" s="141"/>
      <c r="E730" s="150"/>
      <c r="F730" s="150"/>
      <c r="G730" s="145"/>
      <c r="H730" s="145"/>
      <c r="I730" s="145"/>
      <c r="J730" s="145"/>
    </row>
    <row r="731" spans="1:10" s="195" customFormat="1" ht="24.95" hidden="1" customHeight="1">
      <c r="A731" s="141"/>
      <c r="B731" s="141"/>
      <c r="C731" s="142"/>
      <c r="D731" s="141"/>
      <c r="E731" s="150"/>
      <c r="F731" s="150"/>
      <c r="G731" s="145"/>
      <c r="H731" s="145"/>
      <c r="I731" s="145"/>
      <c r="J731" s="145"/>
    </row>
    <row r="732" spans="1:10" s="195" customFormat="1" ht="24.95" hidden="1" customHeight="1">
      <c r="A732" s="141"/>
      <c r="B732" s="141"/>
      <c r="C732" s="142"/>
      <c r="D732" s="141"/>
      <c r="E732" s="150"/>
      <c r="F732" s="150"/>
      <c r="G732" s="145"/>
      <c r="H732" s="145"/>
      <c r="I732" s="145"/>
      <c r="J732" s="145"/>
    </row>
    <row r="733" spans="1:10" s="195" customFormat="1" ht="24.95" hidden="1" customHeight="1">
      <c r="A733" s="141"/>
      <c r="B733" s="141"/>
      <c r="C733" s="142"/>
      <c r="D733" s="141"/>
      <c r="E733" s="150"/>
      <c r="F733" s="150"/>
      <c r="G733" s="145"/>
      <c r="H733" s="145"/>
      <c r="I733" s="145"/>
      <c r="J733" s="145"/>
    </row>
    <row r="734" spans="1:10" s="195" customFormat="1" ht="24.95" hidden="1" customHeight="1">
      <c r="A734" s="141"/>
      <c r="B734" s="141"/>
      <c r="C734" s="142"/>
      <c r="D734" s="141"/>
      <c r="E734" s="150"/>
      <c r="F734" s="150"/>
      <c r="G734" s="145"/>
      <c r="H734" s="145"/>
      <c r="I734" s="145"/>
      <c r="J734" s="145"/>
    </row>
    <row r="735" spans="1:10" s="195" customFormat="1" ht="24.95" hidden="1" customHeight="1">
      <c r="A735" s="141"/>
      <c r="B735" s="141"/>
      <c r="C735" s="142"/>
      <c r="D735" s="141"/>
      <c r="E735" s="150"/>
      <c r="F735" s="150"/>
      <c r="G735" s="145"/>
      <c r="H735" s="145"/>
      <c r="I735" s="145"/>
      <c r="J735" s="145"/>
    </row>
    <row r="736" spans="1:10" s="195" customFormat="1" ht="24.95" hidden="1" customHeight="1">
      <c r="A736" s="141"/>
      <c r="B736" s="141"/>
      <c r="C736" s="142"/>
      <c r="D736" s="141"/>
      <c r="E736" s="150"/>
      <c r="F736" s="150"/>
      <c r="G736" s="145"/>
      <c r="H736" s="145"/>
      <c r="I736" s="145"/>
      <c r="J736" s="145"/>
    </row>
    <row r="737" spans="1:10" s="195" customFormat="1" ht="24.95" hidden="1" customHeight="1">
      <c r="A737" s="141"/>
      <c r="B737" s="141"/>
      <c r="C737" s="142"/>
      <c r="D737" s="141"/>
      <c r="E737" s="150"/>
      <c r="F737" s="150"/>
      <c r="G737" s="145"/>
      <c r="H737" s="145"/>
      <c r="I737" s="145"/>
      <c r="J737" s="145"/>
    </row>
    <row r="738" spans="1:10" s="195" customFormat="1" ht="24.95" hidden="1" customHeight="1">
      <c r="A738" s="141"/>
      <c r="B738" s="141"/>
      <c r="C738" s="142"/>
      <c r="D738" s="141"/>
      <c r="E738" s="150"/>
      <c r="F738" s="150"/>
      <c r="G738" s="145"/>
      <c r="H738" s="145"/>
      <c r="I738" s="145"/>
      <c r="J738" s="145"/>
    </row>
    <row r="739" spans="1:10" s="195" customFormat="1" ht="24.95" hidden="1" customHeight="1">
      <c r="A739" s="141"/>
      <c r="B739" s="141"/>
      <c r="C739" s="142"/>
      <c r="D739" s="141"/>
      <c r="E739" s="150"/>
      <c r="F739" s="150"/>
      <c r="G739" s="145"/>
      <c r="H739" s="145"/>
      <c r="I739" s="145"/>
      <c r="J739" s="145"/>
    </row>
    <row r="740" spans="1:10" s="195" customFormat="1" ht="24.95" hidden="1" customHeight="1">
      <c r="A740" s="141"/>
      <c r="B740" s="141"/>
      <c r="C740" s="142"/>
      <c r="D740" s="141"/>
      <c r="E740" s="150"/>
      <c r="F740" s="150"/>
      <c r="G740" s="145"/>
      <c r="H740" s="145"/>
      <c r="I740" s="145"/>
      <c r="J740" s="145"/>
    </row>
    <row r="741" spans="1:10" s="195" customFormat="1" ht="24.95" hidden="1" customHeight="1">
      <c r="A741" s="141"/>
      <c r="B741" s="141"/>
      <c r="C741" s="142"/>
      <c r="D741" s="141"/>
      <c r="E741" s="150"/>
      <c r="F741" s="150"/>
      <c r="G741" s="145"/>
      <c r="H741" s="145"/>
      <c r="I741" s="145"/>
      <c r="J741" s="145"/>
    </row>
    <row r="742" spans="1:10" s="195" customFormat="1" ht="24.95" hidden="1" customHeight="1">
      <c r="A742" s="141"/>
      <c r="B742" s="141"/>
      <c r="C742" s="142"/>
      <c r="D742" s="141"/>
      <c r="E742" s="150"/>
      <c r="F742" s="150"/>
      <c r="G742" s="145"/>
      <c r="H742" s="145"/>
      <c r="I742" s="145"/>
      <c r="J742" s="145"/>
    </row>
    <row r="743" spans="1:10" s="195" customFormat="1" ht="24.95" hidden="1" customHeight="1">
      <c r="A743" s="141"/>
      <c r="B743" s="141"/>
      <c r="C743" s="142"/>
      <c r="D743" s="141"/>
      <c r="E743" s="150"/>
      <c r="F743" s="150"/>
      <c r="G743" s="145"/>
      <c r="H743" s="145"/>
      <c r="I743" s="145"/>
      <c r="J743" s="145"/>
    </row>
    <row r="744" spans="1:10" s="195" customFormat="1" ht="24.95" hidden="1" customHeight="1">
      <c r="A744" s="141"/>
      <c r="B744" s="141"/>
      <c r="C744" s="142"/>
      <c r="D744" s="141"/>
      <c r="E744" s="150"/>
      <c r="F744" s="150"/>
      <c r="G744" s="145"/>
      <c r="H744" s="145"/>
      <c r="I744" s="145"/>
      <c r="J744" s="145"/>
    </row>
    <row r="745" spans="1:10" s="195" customFormat="1" ht="24.95" hidden="1" customHeight="1">
      <c r="A745" s="141"/>
      <c r="B745" s="141"/>
      <c r="C745" s="142"/>
      <c r="D745" s="141"/>
      <c r="E745" s="150"/>
      <c r="F745" s="150"/>
      <c r="G745" s="145"/>
      <c r="H745" s="145"/>
      <c r="I745" s="145"/>
      <c r="J745" s="145"/>
    </row>
    <row r="746" spans="1:10" s="195" customFormat="1" ht="24.95" hidden="1" customHeight="1">
      <c r="A746" s="141"/>
      <c r="B746" s="141"/>
      <c r="C746" s="142"/>
      <c r="D746" s="141"/>
      <c r="E746" s="150"/>
      <c r="F746" s="150"/>
      <c r="G746" s="145"/>
      <c r="H746" s="145"/>
      <c r="I746" s="145"/>
      <c r="J746" s="145"/>
    </row>
    <row r="747" spans="1:10" s="195" customFormat="1" ht="24.95" hidden="1" customHeight="1">
      <c r="A747" s="141"/>
      <c r="B747" s="141"/>
      <c r="C747" s="142"/>
      <c r="D747" s="141"/>
      <c r="E747" s="150"/>
      <c r="F747" s="150"/>
      <c r="G747" s="145"/>
      <c r="H747" s="145"/>
      <c r="I747" s="145"/>
      <c r="J747" s="145"/>
    </row>
    <row r="748" spans="1:10" s="195" customFormat="1" ht="24.95" hidden="1" customHeight="1">
      <c r="A748" s="141"/>
      <c r="B748" s="141"/>
      <c r="C748" s="142"/>
      <c r="D748" s="141"/>
      <c r="E748" s="150"/>
      <c r="F748" s="150"/>
      <c r="G748" s="145"/>
      <c r="H748" s="145"/>
      <c r="I748" s="145"/>
      <c r="J748" s="145"/>
    </row>
    <row r="749" spans="1:10" s="195" customFormat="1" ht="24.95" hidden="1" customHeight="1">
      <c r="A749" s="141"/>
      <c r="B749" s="141"/>
      <c r="C749" s="142"/>
      <c r="D749" s="141"/>
      <c r="E749" s="150"/>
      <c r="F749" s="150"/>
      <c r="G749" s="145"/>
      <c r="H749" s="145"/>
      <c r="I749" s="145"/>
      <c r="J749" s="145"/>
    </row>
    <row r="750" spans="1:10" s="195" customFormat="1" ht="24.95" hidden="1" customHeight="1">
      <c r="A750" s="141"/>
      <c r="B750" s="141"/>
      <c r="C750" s="142"/>
      <c r="D750" s="141"/>
      <c r="E750" s="150"/>
      <c r="F750" s="150"/>
      <c r="G750" s="145"/>
      <c r="H750" s="145"/>
      <c r="I750" s="145"/>
      <c r="J750" s="145"/>
    </row>
    <row r="751" spans="1:10" s="195" customFormat="1" ht="24.95" hidden="1" customHeight="1">
      <c r="A751" s="141"/>
      <c r="B751" s="141"/>
      <c r="C751" s="142"/>
      <c r="D751" s="141"/>
      <c r="E751" s="150"/>
      <c r="F751" s="150"/>
      <c r="G751" s="145"/>
      <c r="H751" s="145"/>
      <c r="I751" s="145"/>
      <c r="J751" s="145"/>
    </row>
    <row r="752" spans="1:10" s="195" customFormat="1" ht="24.95" hidden="1" customHeight="1">
      <c r="A752" s="141"/>
      <c r="B752" s="141"/>
      <c r="C752" s="142"/>
      <c r="D752" s="141"/>
      <c r="E752" s="150"/>
      <c r="F752" s="150"/>
      <c r="G752" s="145"/>
      <c r="H752" s="145"/>
      <c r="I752" s="145"/>
      <c r="J752" s="145"/>
    </row>
    <row r="753" spans="1:10" s="195" customFormat="1" ht="24.95" hidden="1" customHeight="1">
      <c r="A753" s="141"/>
      <c r="B753" s="141"/>
      <c r="C753" s="142"/>
      <c r="D753" s="141"/>
      <c r="E753" s="150"/>
      <c r="F753" s="150"/>
      <c r="G753" s="145"/>
      <c r="H753" s="145"/>
      <c r="I753" s="145"/>
      <c r="J753" s="145"/>
    </row>
    <row r="754" spans="1:10" s="195" customFormat="1" ht="24.95" hidden="1" customHeight="1">
      <c r="A754" s="141"/>
      <c r="B754" s="141"/>
      <c r="C754" s="142"/>
      <c r="D754" s="141"/>
      <c r="E754" s="150"/>
      <c r="F754" s="150"/>
      <c r="G754" s="145"/>
      <c r="H754" s="145"/>
      <c r="I754" s="145"/>
      <c r="J754" s="145"/>
    </row>
    <row r="755" spans="1:10" s="195" customFormat="1" ht="24.95" hidden="1" customHeight="1">
      <c r="A755" s="141"/>
      <c r="B755" s="141"/>
      <c r="C755" s="142"/>
      <c r="D755" s="141"/>
      <c r="E755" s="150"/>
      <c r="F755" s="150"/>
      <c r="G755" s="145"/>
      <c r="H755" s="145"/>
      <c r="I755" s="145"/>
      <c r="J755" s="145"/>
    </row>
    <row r="756" spans="1:10" s="195" customFormat="1" ht="24.95" hidden="1" customHeight="1">
      <c r="A756" s="141"/>
      <c r="B756" s="141"/>
      <c r="C756" s="142"/>
      <c r="D756" s="141"/>
      <c r="E756" s="150"/>
      <c r="F756" s="150"/>
      <c r="G756" s="145"/>
      <c r="H756" s="145"/>
      <c r="I756" s="145"/>
      <c r="J756" s="145"/>
    </row>
    <row r="757" spans="1:10" s="195" customFormat="1" ht="24.95" hidden="1" customHeight="1">
      <c r="A757" s="141"/>
      <c r="B757" s="141"/>
      <c r="C757" s="142"/>
      <c r="D757" s="141"/>
      <c r="E757" s="150"/>
      <c r="F757" s="150"/>
      <c r="G757" s="145"/>
      <c r="H757" s="145"/>
      <c r="I757" s="145"/>
      <c r="J757" s="145"/>
    </row>
    <row r="758" spans="1:10" s="195" customFormat="1" ht="24.95" hidden="1" customHeight="1">
      <c r="A758" s="141"/>
      <c r="B758" s="141"/>
      <c r="C758" s="142"/>
      <c r="D758" s="141"/>
      <c r="E758" s="150"/>
      <c r="F758" s="150"/>
      <c r="G758" s="145"/>
      <c r="H758" s="145"/>
      <c r="I758" s="145"/>
      <c r="J758" s="145"/>
    </row>
    <row r="759" spans="1:10" s="195" customFormat="1" ht="24.95" hidden="1" customHeight="1">
      <c r="A759" s="141"/>
      <c r="B759" s="141"/>
      <c r="C759" s="142"/>
      <c r="D759" s="141"/>
      <c r="E759" s="150"/>
      <c r="F759" s="150"/>
      <c r="G759" s="145"/>
      <c r="H759" s="145"/>
      <c r="I759" s="145"/>
      <c r="J759" s="145"/>
    </row>
    <row r="760" spans="1:10" s="195" customFormat="1" ht="24.95" hidden="1" customHeight="1">
      <c r="A760" s="141"/>
      <c r="B760" s="141"/>
      <c r="C760" s="142"/>
      <c r="D760" s="141"/>
      <c r="E760" s="150"/>
      <c r="F760" s="150"/>
      <c r="G760" s="145"/>
      <c r="H760" s="145"/>
      <c r="I760" s="145"/>
      <c r="J760" s="145"/>
    </row>
    <row r="761" spans="1:10" s="195" customFormat="1" ht="24.95" hidden="1" customHeight="1">
      <c r="A761" s="141"/>
      <c r="B761" s="141"/>
      <c r="C761" s="142"/>
      <c r="D761" s="141"/>
      <c r="E761" s="150"/>
      <c r="F761" s="150"/>
      <c r="G761" s="145"/>
      <c r="H761" s="145"/>
      <c r="I761" s="145"/>
      <c r="J761" s="145"/>
    </row>
    <row r="762" spans="1:10" s="195" customFormat="1" ht="24.95" hidden="1" customHeight="1">
      <c r="A762" s="141"/>
      <c r="B762" s="141"/>
      <c r="C762" s="142"/>
      <c r="D762" s="141"/>
      <c r="E762" s="150"/>
      <c r="F762" s="150"/>
      <c r="G762" s="145"/>
      <c r="H762" s="145"/>
      <c r="I762" s="145"/>
      <c r="J762" s="145"/>
    </row>
    <row r="763" spans="1:10" s="195" customFormat="1" ht="24.95" hidden="1" customHeight="1">
      <c r="A763" s="141"/>
      <c r="B763" s="141"/>
      <c r="C763" s="142"/>
      <c r="D763" s="141"/>
      <c r="E763" s="150"/>
      <c r="F763" s="150"/>
      <c r="G763" s="145"/>
      <c r="H763" s="145"/>
      <c r="I763" s="145"/>
      <c r="J763" s="145"/>
    </row>
    <row r="764" spans="1:10" s="195" customFormat="1" ht="24.95" hidden="1" customHeight="1">
      <c r="A764" s="141"/>
      <c r="B764" s="141"/>
      <c r="C764" s="142"/>
      <c r="D764" s="141"/>
      <c r="E764" s="150"/>
      <c r="F764" s="150"/>
      <c r="G764" s="145"/>
      <c r="H764" s="145"/>
      <c r="I764" s="145"/>
      <c r="J764" s="145"/>
    </row>
    <row r="765" spans="1:10" s="195" customFormat="1" ht="24.95" hidden="1" customHeight="1">
      <c r="A765" s="141"/>
      <c r="B765" s="141"/>
      <c r="C765" s="142"/>
      <c r="D765" s="141"/>
      <c r="E765" s="150"/>
      <c r="F765" s="150"/>
      <c r="G765" s="145"/>
      <c r="H765" s="145"/>
      <c r="I765" s="145"/>
      <c r="J765" s="145"/>
    </row>
    <row r="766" spans="1:10" s="195" customFormat="1" ht="24.95" hidden="1" customHeight="1">
      <c r="A766" s="141"/>
      <c r="B766" s="141"/>
      <c r="C766" s="142"/>
      <c r="D766" s="141"/>
      <c r="E766" s="150"/>
      <c r="F766" s="150"/>
      <c r="G766" s="145"/>
      <c r="H766" s="145"/>
      <c r="I766" s="145"/>
      <c r="J766" s="145"/>
    </row>
    <row r="767" spans="1:10" s="195" customFormat="1" ht="24.95" hidden="1" customHeight="1">
      <c r="A767" s="141"/>
      <c r="B767" s="141"/>
      <c r="C767" s="142"/>
      <c r="D767" s="141"/>
      <c r="E767" s="150"/>
      <c r="F767" s="150"/>
      <c r="G767" s="145"/>
      <c r="H767" s="145"/>
      <c r="I767" s="145"/>
      <c r="J767" s="145"/>
    </row>
    <row r="768" spans="1:10" s="195" customFormat="1" ht="24.95" hidden="1" customHeight="1">
      <c r="A768" s="141"/>
      <c r="B768" s="141"/>
      <c r="C768" s="142"/>
      <c r="D768" s="141"/>
      <c r="E768" s="150"/>
      <c r="F768" s="150"/>
      <c r="G768" s="145"/>
      <c r="H768" s="145"/>
      <c r="I768" s="145"/>
      <c r="J768" s="145"/>
    </row>
    <row r="769" spans="1:10" s="195" customFormat="1" ht="24.95" hidden="1" customHeight="1">
      <c r="A769" s="141"/>
      <c r="B769" s="141"/>
      <c r="C769" s="142"/>
      <c r="D769" s="141"/>
      <c r="E769" s="150"/>
      <c r="F769" s="150"/>
      <c r="G769" s="145"/>
      <c r="H769" s="145"/>
      <c r="I769" s="145"/>
      <c r="J769" s="145"/>
    </row>
    <row r="770" spans="1:10" s="195" customFormat="1" ht="24.95" hidden="1" customHeight="1">
      <c r="A770" s="141"/>
      <c r="B770" s="141"/>
      <c r="C770" s="142"/>
      <c r="D770" s="141"/>
      <c r="E770" s="150"/>
      <c r="F770" s="150"/>
      <c r="G770" s="145"/>
      <c r="H770" s="145"/>
      <c r="I770" s="145"/>
      <c r="J770" s="145"/>
    </row>
    <row r="771" spans="1:10" s="195" customFormat="1" ht="24.95" hidden="1" customHeight="1">
      <c r="A771" s="141"/>
      <c r="B771" s="141"/>
      <c r="C771" s="142"/>
      <c r="D771" s="141"/>
      <c r="E771" s="150"/>
      <c r="F771" s="150"/>
      <c r="G771" s="145"/>
      <c r="H771" s="145"/>
      <c r="I771" s="145"/>
      <c r="J771" s="145"/>
    </row>
    <row r="772" spans="1:10" s="195" customFormat="1" ht="24.95" hidden="1" customHeight="1">
      <c r="A772" s="141"/>
      <c r="B772" s="141"/>
      <c r="C772" s="142"/>
      <c r="D772" s="141"/>
      <c r="E772" s="150"/>
      <c r="F772" s="150"/>
      <c r="G772" s="145"/>
      <c r="H772" s="145"/>
      <c r="I772" s="145"/>
      <c r="J772" s="145"/>
    </row>
    <row r="773" spans="1:10" s="195" customFormat="1" ht="24.95" hidden="1" customHeight="1">
      <c r="A773" s="141"/>
      <c r="B773" s="141"/>
      <c r="C773" s="142"/>
      <c r="D773" s="141"/>
      <c r="E773" s="150"/>
      <c r="F773" s="150"/>
      <c r="G773" s="145"/>
      <c r="H773" s="145"/>
      <c r="I773" s="145"/>
      <c r="J773" s="145"/>
    </row>
    <row r="774" spans="1:10" s="195" customFormat="1" ht="24.95" hidden="1" customHeight="1">
      <c r="A774" s="141"/>
      <c r="B774" s="141"/>
      <c r="C774" s="142"/>
      <c r="D774" s="141"/>
      <c r="E774" s="150"/>
      <c r="F774" s="150"/>
      <c r="G774" s="145"/>
      <c r="H774" s="145"/>
      <c r="I774" s="145"/>
      <c r="J774" s="145"/>
    </row>
    <row r="775" spans="1:10" s="195" customFormat="1" ht="24.95" hidden="1" customHeight="1">
      <c r="A775" s="141"/>
      <c r="B775" s="141"/>
      <c r="C775" s="142"/>
      <c r="D775" s="141"/>
      <c r="E775" s="150"/>
      <c r="F775" s="150"/>
      <c r="G775" s="145"/>
      <c r="H775" s="145"/>
      <c r="I775" s="145"/>
      <c r="J775" s="145"/>
    </row>
    <row r="776" spans="1:10" s="195" customFormat="1" ht="24.95" hidden="1" customHeight="1">
      <c r="A776" s="141"/>
      <c r="B776" s="141"/>
      <c r="C776" s="142"/>
      <c r="D776" s="141"/>
      <c r="E776" s="150"/>
      <c r="F776" s="150"/>
      <c r="G776" s="145"/>
      <c r="H776" s="145"/>
      <c r="I776" s="145"/>
      <c r="J776" s="145"/>
    </row>
    <row r="777" spans="1:10" s="195" customFormat="1" ht="24.95" hidden="1" customHeight="1">
      <c r="A777" s="141"/>
      <c r="B777" s="141"/>
      <c r="C777" s="142"/>
      <c r="D777" s="141"/>
      <c r="E777" s="150"/>
      <c r="F777" s="150"/>
      <c r="G777" s="145"/>
      <c r="H777" s="145"/>
      <c r="I777" s="145"/>
      <c r="J777" s="145"/>
    </row>
    <row r="778" spans="1:10" s="195" customFormat="1" ht="24.95" hidden="1" customHeight="1">
      <c r="A778" s="141"/>
      <c r="B778" s="141"/>
      <c r="C778" s="142"/>
      <c r="D778" s="141"/>
      <c r="E778" s="150"/>
      <c r="F778" s="150"/>
      <c r="G778" s="145"/>
      <c r="H778" s="145"/>
      <c r="I778" s="145"/>
      <c r="J778" s="145"/>
    </row>
    <row r="779" spans="1:10" s="195" customFormat="1" ht="24.95" hidden="1" customHeight="1">
      <c r="A779" s="141"/>
      <c r="B779" s="141"/>
      <c r="C779" s="142"/>
      <c r="D779" s="141"/>
      <c r="E779" s="150"/>
      <c r="F779" s="150"/>
      <c r="G779" s="145"/>
      <c r="H779" s="145"/>
      <c r="I779" s="145"/>
      <c r="J779" s="145"/>
    </row>
    <row r="780" spans="1:10" s="195" customFormat="1" ht="24.95" hidden="1" customHeight="1">
      <c r="A780" s="141"/>
      <c r="B780" s="141"/>
      <c r="C780" s="142"/>
      <c r="D780" s="141"/>
      <c r="E780" s="150"/>
      <c r="F780" s="150"/>
      <c r="G780" s="145"/>
      <c r="H780" s="145"/>
      <c r="I780" s="145"/>
      <c r="J780" s="145"/>
    </row>
    <row r="781" spans="1:10" s="195" customFormat="1" ht="24.95" hidden="1" customHeight="1">
      <c r="A781" s="141"/>
      <c r="B781" s="141"/>
      <c r="C781" s="142"/>
      <c r="D781" s="141"/>
      <c r="E781" s="150"/>
      <c r="F781" s="150"/>
      <c r="G781" s="145"/>
      <c r="H781" s="145"/>
      <c r="I781" s="145"/>
      <c r="J781" s="145"/>
    </row>
    <row r="782" spans="1:10" s="195" customFormat="1" ht="24.95" hidden="1" customHeight="1">
      <c r="A782" s="141"/>
      <c r="B782" s="141"/>
      <c r="C782" s="142"/>
      <c r="D782" s="141"/>
      <c r="E782" s="150"/>
      <c r="F782" s="150"/>
      <c r="G782" s="145"/>
      <c r="H782" s="145"/>
      <c r="I782" s="145"/>
      <c r="J782" s="145"/>
    </row>
    <row r="783" spans="1:10" s="195" customFormat="1" ht="24.95" hidden="1" customHeight="1">
      <c r="A783" s="141"/>
      <c r="B783" s="141"/>
      <c r="C783" s="142"/>
      <c r="D783" s="141"/>
      <c r="E783" s="150"/>
      <c r="F783" s="150"/>
      <c r="G783" s="145"/>
      <c r="H783" s="145"/>
      <c r="I783" s="145"/>
      <c r="J783" s="145"/>
    </row>
    <row r="784" spans="1:10" s="195" customFormat="1" ht="24.95" hidden="1" customHeight="1">
      <c r="A784" s="141"/>
      <c r="B784" s="141"/>
      <c r="C784" s="142"/>
      <c r="D784" s="141"/>
      <c r="E784" s="150"/>
      <c r="F784" s="150"/>
      <c r="G784" s="145"/>
      <c r="H784" s="145"/>
      <c r="I784" s="145"/>
      <c r="J784" s="145"/>
    </row>
    <row r="785" spans="1:10" s="195" customFormat="1" ht="24.95" hidden="1" customHeight="1">
      <c r="A785" s="141"/>
      <c r="B785" s="141"/>
      <c r="C785" s="142"/>
      <c r="D785" s="141"/>
      <c r="E785" s="150"/>
      <c r="F785" s="150"/>
      <c r="G785" s="145"/>
      <c r="H785" s="145"/>
      <c r="I785" s="145"/>
      <c r="J785" s="145"/>
    </row>
    <row r="786" spans="1:10" s="195" customFormat="1" ht="24.95" hidden="1" customHeight="1">
      <c r="A786" s="141"/>
      <c r="B786" s="141"/>
      <c r="C786" s="142"/>
      <c r="D786" s="141"/>
      <c r="E786" s="150"/>
      <c r="F786" s="150"/>
      <c r="G786" s="145"/>
      <c r="H786" s="145"/>
      <c r="I786" s="145"/>
      <c r="J786" s="145"/>
    </row>
    <row r="787" spans="1:10" s="195" customFormat="1" ht="24.95" hidden="1" customHeight="1">
      <c r="A787" s="141"/>
      <c r="B787" s="141"/>
      <c r="C787" s="142"/>
      <c r="D787" s="141"/>
      <c r="E787" s="150"/>
      <c r="F787" s="150"/>
      <c r="G787" s="145"/>
      <c r="H787" s="145"/>
      <c r="I787" s="145"/>
      <c r="J787" s="145"/>
    </row>
    <row r="788" spans="1:10" s="195" customFormat="1" ht="24.95" hidden="1" customHeight="1">
      <c r="A788" s="141"/>
      <c r="B788" s="141"/>
      <c r="C788" s="142"/>
      <c r="D788" s="141"/>
      <c r="E788" s="150"/>
      <c r="F788" s="150"/>
      <c r="G788" s="145"/>
      <c r="H788" s="145"/>
      <c r="I788" s="145"/>
      <c r="J788" s="145"/>
    </row>
    <row r="789" spans="1:10" s="195" customFormat="1" ht="24.95" hidden="1" customHeight="1">
      <c r="A789" s="141"/>
      <c r="B789" s="141"/>
      <c r="C789" s="142"/>
      <c r="D789" s="141"/>
      <c r="E789" s="150"/>
      <c r="F789" s="150"/>
      <c r="G789" s="145"/>
      <c r="H789" s="145"/>
      <c r="I789" s="145"/>
      <c r="J789" s="145"/>
    </row>
    <row r="790" spans="1:10" s="195" customFormat="1" ht="24.95" hidden="1" customHeight="1">
      <c r="A790" s="141"/>
      <c r="B790" s="141"/>
      <c r="C790" s="142"/>
      <c r="D790" s="141"/>
      <c r="E790" s="150"/>
      <c r="F790" s="150"/>
      <c r="G790" s="145"/>
      <c r="H790" s="145"/>
      <c r="I790" s="145"/>
      <c r="J790" s="145"/>
    </row>
    <row r="791" spans="1:10" s="195" customFormat="1" ht="24.95" hidden="1" customHeight="1">
      <c r="A791" s="141"/>
      <c r="B791" s="141"/>
      <c r="C791" s="142"/>
      <c r="D791" s="141"/>
      <c r="E791" s="150"/>
      <c r="F791" s="150"/>
      <c r="G791" s="145"/>
      <c r="H791" s="145"/>
      <c r="I791" s="145"/>
      <c r="J791" s="145"/>
    </row>
    <row r="792" spans="1:10" s="195" customFormat="1" ht="24.95" hidden="1" customHeight="1">
      <c r="A792" s="141"/>
      <c r="B792" s="141"/>
      <c r="C792" s="142"/>
      <c r="D792" s="141"/>
      <c r="E792" s="150"/>
      <c r="F792" s="150"/>
      <c r="G792" s="145"/>
      <c r="H792" s="145"/>
      <c r="I792" s="145"/>
      <c r="J792" s="145"/>
    </row>
    <row r="793" spans="1:10" s="195" customFormat="1" ht="24.95" hidden="1" customHeight="1">
      <c r="A793" s="141"/>
      <c r="B793" s="141"/>
      <c r="C793" s="142"/>
      <c r="D793" s="141"/>
      <c r="E793" s="150"/>
      <c r="F793" s="150"/>
      <c r="G793" s="145"/>
      <c r="H793" s="145"/>
      <c r="I793" s="145"/>
      <c r="J793" s="145"/>
    </row>
    <row r="794" spans="1:10" s="195" customFormat="1" ht="24.95" hidden="1" customHeight="1">
      <c r="A794" s="141"/>
      <c r="B794" s="141"/>
      <c r="C794" s="142"/>
      <c r="D794" s="141"/>
      <c r="E794" s="150"/>
      <c r="F794" s="150"/>
      <c r="G794" s="145"/>
      <c r="H794" s="145"/>
      <c r="I794" s="145"/>
      <c r="J794" s="145"/>
    </row>
    <row r="795" spans="1:10" s="195" customFormat="1" ht="24.95" hidden="1" customHeight="1">
      <c r="A795" s="141"/>
      <c r="B795" s="141"/>
      <c r="C795" s="142"/>
      <c r="D795" s="141"/>
      <c r="E795" s="150"/>
      <c r="F795" s="150"/>
      <c r="G795" s="145"/>
      <c r="H795" s="145"/>
      <c r="I795" s="145"/>
      <c r="J795" s="145"/>
    </row>
    <row r="796" spans="1:10" s="195" customFormat="1" ht="24.95" hidden="1" customHeight="1">
      <c r="A796" s="141"/>
      <c r="B796" s="141"/>
      <c r="C796" s="142"/>
      <c r="D796" s="141"/>
      <c r="E796" s="150"/>
      <c r="F796" s="150"/>
      <c r="G796" s="145"/>
      <c r="H796" s="145"/>
      <c r="I796" s="145"/>
      <c r="J796" s="145"/>
    </row>
    <row r="797" spans="1:10" s="195" customFormat="1" ht="24.95" hidden="1" customHeight="1">
      <c r="A797" s="141"/>
      <c r="B797" s="141"/>
      <c r="C797" s="142"/>
      <c r="D797" s="141"/>
      <c r="E797" s="150"/>
      <c r="F797" s="150"/>
      <c r="G797" s="145"/>
      <c r="H797" s="145"/>
      <c r="I797" s="145"/>
      <c r="J797" s="145"/>
    </row>
    <row r="798" spans="1:10" s="195" customFormat="1" ht="24.95" hidden="1" customHeight="1">
      <c r="A798" s="141"/>
      <c r="B798" s="141"/>
      <c r="C798" s="142"/>
      <c r="D798" s="141"/>
      <c r="E798" s="150"/>
      <c r="F798" s="150"/>
      <c r="G798" s="145"/>
      <c r="H798" s="145"/>
      <c r="I798" s="145"/>
      <c r="J798" s="145"/>
    </row>
    <row r="799" spans="1:10" s="195" customFormat="1" ht="24.95" hidden="1" customHeight="1">
      <c r="A799" s="141"/>
      <c r="B799" s="141"/>
      <c r="C799" s="142"/>
      <c r="D799" s="141"/>
      <c r="E799" s="150"/>
      <c r="F799" s="150"/>
      <c r="G799" s="145"/>
      <c r="H799" s="145"/>
      <c r="I799" s="145"/>
      <c r="J799" s="145"/>
    </row>
    <row r="800" spans="1:10" s="195" customFormat="1" ht="24.95" hidden="1" customHeight="1">
      <c r="A800" s="141"/>
      <c r="B800" s="141"/>
      <c r="C800" s="142"/>
      <c r="D800" s="141"/>
      <c r="E800" s="150"/>
      <c r="F800" s="150"/>
      <c r="G800" s="145"/>
      <c r="H800" s="145"/>
      <c r="I800" s="145"/>
      <c r="J800" s="145"/>
    </row>
    <row r="801" spans="1:10" s="195" customFormat="1" ht="24.95" hidden="1" customHeight="1">
      <c r="A801" s="141"/>
      <c r="B801" s="141"/>
      <c r="C801" s="142"/>
      <c r="D801" s="141"/>
      <c r="E801" s="150"/>
      <c r="F801" s="150"/>
      <c r="G801" s="145"/>
      <c r="H801" s="145"/>
      <c r="I801" s="145"/>
      <c r="J801" s="145"/>
    </row>
    <row r="802" spans="1:10" s="195" customFormat="1" ht="24.95" hidden="1" customHeight="1">
      <c r="A802" s="141"/>
      <c r="B802" s="141"/>
      <c r="C802" s="142"/>
      <c r="D802" s="141"/>
      <c r="E802" s="150"/>
      <c r="F802" s="150"/>
      <c r="G802" s="145"/>
      <c r="H802" s="145"/>
      <c r="I802" s="145"/>
      <c r="J802" s="145"/>
    </row>
    <row r="803" spans="1:10" s="195" customFormat="1" ht="24.95" hidden="1" customHeight="1">
      <c r="A803" s="141"/>
      <c r="B803" s="141"/>
      <c r="C803" s="142"/>
      <c r="D803" s="141"/>
      <c r="E803" s="150"/>
      <c r="F803" s="150"/>
      <c r="G803" s="145"/>
      <c r="H803" s="145"/>
      <c r="I803" s="145"/>
      <c r="J803" s="145"/>
    </row>
    <row r="804" spans="1:10" s="195" customFormat="1" ht="24.95" hidden="1" customHeight="1">
      <c r="A804" s="141"/>
      <c r="B804" s="141"/>
      <c r="C804" s="142"/>
      <c r="D804" s="141"/>
      <c r="E804" s="150"/>
      <c r="F804" s="150"/>
      <c r="G804" s="145"/>
      <c r="H804" s="145"/>
      <c r="I804" s="145"/>
      <c r="J804" s="145"/>
    </row>
    <row r="805" spans="1:10" s="195" customFormat="1" ht="24.95" hidden="1" customHeight="1">
      <c r="A805" s="141"/>
      <c r="B805" s="141"/>
      <c r="C805" s="142"/>
      <c r="D805" s="141"/>
      <c r="E805" s="150"/>
      <c r="F805" s="150"/>
      <c r="G805" s="145"/>
      <c r="H805" s="145"/>
      <c r="I805" s="145"/>
      <c r="J805" s="145"/>
    </row>
    <row r="806" spans="1:10" s="195" customFormat="1" ht="24.95" hidden="1" customHeight="1">
      <c r="A806" s="141"/>
      <c r="B806" s="141"/>
      <c r="C806" s="142"/>
      <c r="D806" s="141"/>
      <c r="E806" s="150"/>
      <c r="F806" s="150"/>
      <c r="G806" s="145"/>
      <c r="H806" s="145"/>
      <c r="I806" s="145"/>
      <c r="J806" s="145"/>
    </row>
    <row r="807" spans="1:10" s="195" customFormat="1" ht="24.95" hidden="1" customHeight="1">
      <c r="A807" s="141"/>
      <c r="B807" s="141"/>
      <c r="C807" s="142"/>
      <c r="D807" s="141"/>
      <c r="E807" s="150"/>
      <c r="F807" s="150"/>
      <c r="G807" s="145"/>
      <c r="H807" s="145"/>
      <c r="I807" s="145"/>
      <c r="J807" s="145"/>
    </row>
    <row r="808" spans="1:10" s="195" customFormat="1" ht="24.95" hidden="1" customHeight="1">
      <c r="A808" s="141"/>
      <c r="B808" s="141"/>
      <c r="C808" s="142"/>
      <c r="D808" s="141"/>
      <c r="E808" s="150"/>
      <c r="F808" s="150"/>
      <c r="G808" s="145"/>
      <c r="H808" s="145"/>
      <c r="I808" s="145"/>
      <c r="J808" s="145"/>
    </row>
    <row r="809" spans="1:10" s="195" customFormat="1" ht="24.95" hidden="1" customHeight="1">
      <c r="A809" s="141"/>
      <c r="B809" s="141"/>
      <c r="C809" s="142"/>
      <c r="D809" s="141"/>
      <c r="E809" s="150"/>
      <c r="F809" s="150"/>
      <c r="G809" s="145"/>
      <c r="H809" s="145"/>
      <c r="I809" s="145"/>
      <c r="J809" s="145"/>
    </row>
    <row r="810" spans="1:10" s="195" customFormat="1" ht="24.95" hidden="1" customHeight="1">
      <c r="A810" s="141"/>
      <c r="B810" s="141"/>
      <c r="C810" s="142"/>
      <c r="D810" s="141"/>
      <c r="E810" s="150"/>
      <c r="F810" s="150"/>
      <c r="G810" s="145"/>
      <c r="H810" s="145"/>
      <c r="I810" s="145"/>
      <c r="J810" s="145"/>
    </row>
    <row r="811" spans="1:10" s="195" customFormat="1" ht="24.95" hidden="1" customHeight="1">
      <c r="A811" s="141"/>
      <c r="B811" s="141"/>
      <c r="C811" s="142"/>
      <c r="D811" s="141"/>
      <c r="E811" s="150"/>
      <c r="F811" s="150"/>
      <c r="G811" s="145"/>
      <c r="H811" s="145"/>
      <c r="I811" s="145"/>
      <c r="J811" s="145"/>
    </row>
    <row r="812" spans="1:10" s="195" customFormat="1" ht="24.95" hidden="1" customHeight="1">
      <c r="A812" s="141"/>
      <c r="B812" s="141"/>
      <c r="C812" s="142"/>
      <c r="D812" s="141"/>
      <c r="E812" s="150"/>
      <c r="F812" s="150"/>
      <c r="G812" s="145"/>
      <c r="H812" s="145"/>
      <c r="I812" s="145"/>
      <c r="J812" s="145"/>
    </row>
    <row r="813" spans="1:10" s="195" customFormat="1" ht="24.95" hidden="1" customHeight="1">
      <c r="A813" s="141"/>
      <c r="B813" s="141"/>
      <c r="C813" s="142"/>
      <c r="D813" s="141"/>
      <c r="E813" s="150"/>
      <c r="F813" s="150"/>
      <c r="G813" s="145"/>
      <c r="H813" s="145"/>
      <c r="I813" s="145"/>
      <c r="J813" s="145"/>
    </row>
    <row r="814" spans="1:10" s="195" customFormat="1" ht="24.95" hidden="1" customHeight="1">
      <c r="A814" s="141"/>
      <c r="B814" s="141"/>
      <c r="C814" s="142"/>
      <c r="D814" s="141"/>
      <c r="E814" s="150"/>
      <c r="F814" s="150"/>
      <c r="G814" s="145"/>
      <c r="H814" s="145"/>
      <c r="I814" s="145"/>
      <c r="J814" s="145"/>
    </row>
    <row r="815" spans="1:10" s="195" customFormat="1" ht="24.95" hidden="1" customHeight="1">
      <c r="A815" s="141"/>
      <c r="B815" s="141"/>
      <c r="C815" s="142"/>
      <c r="D815" s="141"/>
      <c r="E815" s="150"/>
      <c r="F815" s="150"/>
      <c r="G815" s="145"/>
      <c r="H815" s="145"/>
      <c r="I815" s="145"/>
      <c r="J815" s="145"/>
    </row>
    <row r="816" spans="1:10" s="195" customFormat="1" ht="24.95" hidden="1" customHeight="1">
      <c r="A816" s="141"/>
      <c r="B816" s="141"/>
      <c r="C816" s="142"/>
      <c r="D816" s="141"/>
      <c r="E816" s="150"/>
      <c r="F816" s="150"/>
      <c r="G816" s="145"/>
      <c r="H816" s="145"/>
      <c r="I816" s="145"/>
      <c r="J816" s="145"/>
    </row>
    <row r="817" spans="1:10" s="195" customFormat="1" ht="24.95" hidden="1" customHeight="1">
      <c r="A817" s="141"/>
      <c r="B817" s="141"/>
      <c r="C817" s="142"/>
      <c r="D817" s="141"/>
      <c r="E817" s="150"/>
      <c r="F817" s="150"/>
      <c r="G817" s="145"/>
      <c r="H817" s="145"/>
      <c r="I817" s="145"/>
      <c r="J817" s="145"/>
    </row>
    <row r="818" spans="1:10" s="195" customFormat="1" ht="24.95" hidden="1" customHeight="1">
      <c r="A818" s="141"/>
      <c r="B818" s="141"/>
      <c r="C818" s="142"/>
      <c r="D818" s="141"/>
      <c r="E818" s="150"/>
      <c r="F818" s="150"/>
      <c r="G818" s="145"/>
      <c r="H818" s="145"/>
      <c r="I818" s="145"/>
      <c r="J818" s="145"/>
    </row>
    <row r="819" spans="1:10" s="195" customFormat="1" ht="24.95" hidden="1" customHeight="1">
      <c r="A819" s="141"/>
      <c r="B819" s="141"/>
      <c r="C819" s="142"/>
      <c r="D819" s="141"/>
      <c r="E819" s="150"/>
      <c r="F819" s="150"/>
      <c r="G819" s="145"/>
      <c r="H819" s="145"/>
      <c r="I819" s="145"/>
      <c r="J819" s="145"/>
    </row>
    <row r="820" spans="1:10" s="195" customFormat="1" ht="24.95" hidden="1" customHeight="1">
      <c r="A820" s="141"/>
      <c r="B820" s="141"/>
      <c r="C820" s="142"/>
      <c r="D820" s="141"/>
      <c r="E820" s="150"/>
      <c r="F820" s="150"/>
      <c r="G820" s="145"/>
      <c r="H820" s="145"/>
      <c r="I820" s="145"/>
      <c r="J820" s="145"/>
    </row>
    <row r="821" spans="1:10" s="195" customFormat="1" ht="24.95" hidden="1" customHeight="1">
      <c r="A821" s="141"/>
      <c r="B821" s="141"/>
      <c r="C821" s="142"/>
      <c r="D821" s="141"/>
      <c r="E821" s="150"/>
      <c r="F821" s="150"/>
      <c r="G821" s="145"/>
      <c r="H821" s="145"/>
      <c r="I821" s="145"/>
      <c r="J821" s="145"/>
    </row>
    <row r="822" spans="1:10" s="195" customFormat="1" ht="24.95" hidden="1" customHeight="1">
      <c r="A822" s="141"/>
      <c r="B822" s="141"/>
      <c r="C822" s="142"/>
      <c r="D822" s="141"/>
      <c r="E822" s="150"/>
      <c r="F822" s="150"/>
      <c r="G822" s="145"/>
      <c r="H822" s="145"/>
      <c r="I822" s="145"/>
      <c r="J822" s="145"/>
    </row>
    <row r="823" spans="1:10" s="195" customFormat="1" ht="24.95" hidden="1" customHeight="1">
      <c r="A823" s="141"/>
      <c r="B823" s="141"/>
      <c r="C823" s="142"/>
      <c r="D823" s="141"/>
      <c r="E823" s="150"/>
      <c r="F823" s="150"/>
      <c r="G823" s="145"/>
      <c r="H823" s="145"/>
      <c r="I823" s="145"/>
      <c r="J823" s="145"/>
    </row>
    <row r="824" spans="1:10" s="195" customFormat="1" ht="24.95" hidden="1" customHeight="1">
      <c r="A824" s="141"/>
      <c r="B824" s="141"/>
      <c r="C824" s="142"/>
      <c r="D824" s="141"/>
      <c r="E824" s="150"/>
      <c r="F824" s="150"/>
      <c r="G824" s="145"/>
      <c r="H824" s="145"/>
      <c r="I824" s="145"/>
      <c r="J824" s="145"/>
    </row>
    <row r="825" spans="1:10" s="195" customFormat="1" ht="24.95" hidden="1" customHeight="1">
      <c r="A825" s="141"/>
      <c r="B825" s="141"/>
      <c r="C825" s="142"/>
      <c r="D825" s="141"/>
      <c r="E825" s="150"/>
      <c r="F825" s="150"/>
      <c r="G825" s="145"/>
      <c r="H825" s="145"/>
      <c r="I825" s="145"/>
      <c r="J825" s="145"/>
    </row>
    <row r="826" spans="1:10" s="195" customFormat="1" ht="24.95" hidden="1" customHeight="1">
      <c r="A826" s="141"/>
      <c r="B826" s="141"/>
      <c r="C826" s="142"/>
      <c r="D826" s="141"/>
      <c r="E826" s="150"/>
      <c r="F826" s="150"/>
      <c r="G826" s="145"/>
      <c r="H826" s="145"/>
      <c r="I826" s="145"/>
      <c r="J826" s="145"/>
    </row>
    <row r="827" spans="1:10" s="195" customFormat="1" ht="24.95" hidden="1" customHeight="1">
      <c r="A827" s="141"/>
      <c r="B827" s="141"/>
      <c r="C827" s="142"/>
      <c r="D827" s="141"/>
      <c r="E827" s="150"/>
      <c r="F827" s="150"/>
      <c r="G827" s="145"/>
      <c r="H827" s="145"/>
      <c r="I827" s="145"/>
      <c r="J827" s="145"/>
    </row>
    <row r="828" spans="1:10" s="195" customFormat="1" ht="24.95" hidden="1" customHeight="1">
      <c r="A828" s="141"/>
      <c r="B828" s="141"/>
      <c r="C828" s="142"/>
      <c r="D828" s="141"/>
      <c r="E828" s="150"/>
      <c r="F828" s="150"/>
      <c r="G828" s="145"/>
      <c r="H828" s="145"/>
      <c r="I828" s="145"/>
      <c r="J828" s="145"/>
    </row>
    <row r="829" spans="1:10" s="195" customFormat="1" ht="24.95" hidden="1" customHeight="1">
      <c r="A829" s="141"/>
      <c r="B829" s="141"/>
      <c r="C829" s="142"/>
      <c r="D829" s="141"/>
      <c r="E829" s="150"/>
      <c r="F829" s="150"/>
      <c r="G829" s="145"/>
      <c r="H829" s="145"/>
      <c r="I829" s="145"/>
      <c r="J829" s="145"/>
    </row>
    <row r="830" spans="1:10" s="195" customFormat="1" ht="24.95" hidden="1" customHeight="1">
      <c r="A830" s="141"/>
      <c r="B830" s="141"/>
      <c r="C830" s="142"/>
      <c r="D830" s="141"/>
      <c r="E830" s="150"/>
      <c r="F830" s="150"/>
      <c r="G830" s="145"/>
      <c r="H830" s="145"/>
      <c r="I830" s="145"/>
      <c r="J830" s="145"/>
    </row>
    <row r="831" spans="1:10" s="195" customFormat="1" ht="24.95" hidden="1" customHeight="1">
      <c r="A831" s="141"/>
      <c r="B831" s="141"/>
      <c r="C831" s="142"/>
      <c r="D831" s="141"/>
      <c r="E831" s="150"/>
      <c r="F831" s="150"/>
      <c r="G831" s="145"/>
      <c r="H831" s="145"/>
      <c r="I831" s="145"/>
      <c r="J831" s="145"/>
    </row>
    <row r="832" spans="1:10" s="195" customFormat="1" ht="24.95" hidden="1" customHeight="1">
      <c r="A832" s="141"/>
      <c r="B832" s="141"/>
      <c r="C832" s="142"/>
      <c r="D832" s="141"/>
      <c r="E832" s="150"/>
      <c r="F832" s="150"/>
      <c r="G832" s="145"/>
      <c r="H832" s="145"/>
      <c r="I832" s="145"/>
      <c r="J832" s="145"/>
    </row>
    <row r="833" spans="1:10" s="195" customFormat="1" ht="24.95" hidden="1" customHeight="1">
      <c r="A833" s="141"/>
      <c r="B833" s="141"/>
      <c r="C833" s="142"/>
      <c r="D833" s="141"/>
      <c r="E833" s="150"/>
      <c r="F833" s="150"/>
      <c r="G833" s="145"/>
      <c r="H833" s="145"/>
      <c r="I833" s="145"/>
      <c r="J833" s="145"/>
    </row>
    <row r="834" spans="1:10" s="195" customFormat="1" ht="24.95" hidden="1" customHeight="1">
      <c r="A834" s="141"/>
      <c r="B834" s="141"/>
      <c r="C834" s="142"/>
      <c r="D834" s="141"/>
      <c r="E834" s="150"/>
      <c r="F834" s="150"/>
      <c r="G834" s="145"/>
      <c r="H834" s="145"/>
      <c r="I834" s="145"/>
      <c r="J834" s="145"/>
    </row>
    <row r="835" spans="1:10" s="195" customFormat="1" ht="24.95" hidden="1" customHeight="1">
      <c r="A835" s="141"/>
      <c r="B835" s="141"/>
      <c r="C835" s="142"/>
      <c r="D835" s="141"/>
      <c r="E835" s="150"/>
      <c r="F835" s="150"/>
      <c r="G835" s="145"/>
      <c r="H835" s="145"/>
      <c r="I835" s="145"/>
      <c r="J835" s="145"/>
    </row>
    <row r="836" spans="1:10" s="195" customFormat="1" ht="24.95" hidden="1" customHeight="1">
      <c r="A836" s="141"/>
      <c r="B836" s="141"/>
      <c r="C836" s="142"/>
      <c r="D836" s="141"/>
      <c r="E836" s="150"/>
      <c r="F836" s="150"/>
      <c r="G836" s="145"/>
      <c r="H836" s="145"/>
      <c r="I836" s="145"/>
      <c r="J836" s="145"/>
    </row>
    <row r="837" spans="1:10" s="195" customFormat="1" ht="24.95" hidden="1" customHeight="1">
      <c r="A837" s="141"/>
      <c r="B837" s="141"/>
      <c r="C837" s="142"/>
      <c r="D837" s="141"/>
      <c r="E837" s="150"/>
      <c r="F837" s="150"/>
      <c r="G837" s="145"/>
      <c r="H837" s="145"/>
      <c r="I837" s="145"/>
      <c r="J837" s="145"/>
    </row>
    <row r="838" spans="1:10" s="195" customFormat="1" ht="24.95" hidden="1" customHeight="1">
      <c r="A838" s="141"/>
      <c r="B838" s="141"/>
      <c r="C838" s="142"/>
      <c r="D838" s="141"/>
      <c r="E838" s="150"/>
      <c r="F838" s="150"/>
      <c r="G838" s="145"/>
      <c r="H838" s="145"/>
      <c r="I838" s="145"/>
      <c r="J838" s="145"/>
    </row>
    <row r="839" spans="1:10" s="195" customFormat="1" ht="24.95" hidden="1" customHeight="1">
      <c r="A839" s="141"/>
      <c r="B839" s="141"/>
      <c r="C839" s="142"/>
      <c r="D839" s="141"/>
      <c r="E839" s="150"/>
      <c r="F839" s="150"/>
      <c r="G839" s="145"/>
      <c r="H839" s="145"/>
      <c r="I839" s="145"/>
      <c r="J839" s="145"/>
    </row>
    <row r="840" spans="1:10" s="195" customFormat="1" ht="24.95" hidden="1" customHeight="1">
      <c r="A840" s="141"/>
      <c r="B840" s="141"/>
      <c r="C840" s="142"/>
      <c r="D840" s="141"/>
      <c r="E840" s="150"/>
      <c r="F840" s="150"/>
      <c r="G840" s="145"/>
      <c r="H840" s="145"/>
      <c r="I840" s="145"/>
      <c r="J840" s="145"/>
    </row>
    <row r="841" spans="1:10" s="195" customFormat="1" ht="24.95" hidden="1" customHeight="1">
      <c r="A841" s="141"/>
      <c r="B841" s="141"/>
      <c r="C841" s="142"/>
      <c r="D841" s="141"/>
      <c r="E841" s="150"/>
      <c r="F841" s="150"/>
      <c r="G841" s="145"/>
      <c r="H841" s="145"/>
      <c r="I841" s="145"/>
      <c r="J841" s="145"/>
    </row>
    <row r="842" spans="1:10" s="195" customFormat="1" ht="24.95" hidden="1" customHeight="1">
      <c r="A842" s="141"/>
      <c r="B842" s="141"/>
      <c r="C842" s="142"/>
      <c r="D842" s="141"/>
      <c r="E842" s="150"/>
      <c r="F842" s="150"/>
      <c r="G842" s="145"/>
      <c r="H842" s="145"/>
      <c r="I842" s="145"/>
      <c r="J842" s="145"/>
    </row>
    <row r="843" spans="1:10" s="195" customFormat="1" ht="24.95" hidden="1" customHeight="1">
      <c r="A843" s="141"/>
      <c r="B843" s="141"/>
      <c r="C843" s="142"/>
      <c r="D843" s="141"/>
      <c r="E843" s="150"/>
      <c r="F843" s="150"/>
      <c r="G843" s="145"/>
      <c r="H843" s="145"/>
      <c r="I843" s="145"/>
      <c r="J843" s="145"/>
    </row>
    <row r="844" spans="1:10" s="195" customFormat="1" ht="24.95" hidden="1" customHeight="1">
      <c r="A844" s="141"/>
      <c r="B844" s="141"/>
      <c r="C844" s="142"/>
      <c r="D844" s="141"/>
      <c r="E844" s="150"/>
      <c r="F844" s="150"/>
      <c r="G844" s="145"/>
      <c r="H844" s="145"/>
      <c r="I844" s="145"/>
      <c r="J844" s="145"/>
    </row>
    <row r="845" spans="1:10" s="195" customFormat="1" ht="24.95" hidden="1" customHeight="1">
      <c r="A845" s="141"/>
      <c r="B845" s="141"/>
      <c r="C845" s="142"/>
      <c r="D845" s="141"/>
      <c r="E845" s="150"/>
      <c r="F845" s="150"/>
      <c r="G845" s="145"/>
      <c r="H845" s="145"/>
      <c r="I845" s="145"/>
      <c r="J845" s="145"/>
    </row>
    <row r="846" spans="1:10" s="195" customFormat="1" ht="24.95" hidden="1" customHeight="1">
      <c r="A846" s="141"/>
      <c r="B846" s="141"/>
      <c r="C846" s="142"/>
      <c r="D846" s="141"/>
      <c r="E846" s="150"/>
      <c r="F846" s="150"/>
      <c r="G846" s="145"/>
      <c r="H846" s="145"/>
      <c r="I846" s="145"/>
      <c r="J846" s="145"/>
    </row>
    <row r="847" spans="1:10" s="195" customFormat="1" ht="24.95" hidden="1" customHeight="1">
      <c r="A847" s="141"/>
      <c r="B847" s="141"/>
      <c r="C847" s="142"/>
      <c r="D847" s="141"/>
      <c r="E847" s="150"/>
      <c r="F847" s="150"/>
      <c r="G847" s="145"/>
      <c r="H847" s="145"/>
      <c r="I847" s="145"/>
      <c r="J847" s="145"/>
    </row>
    <row r="848" spans="1:10" s="195" customFormat="1" ht="24.95" hidden="1" customHeight="1">
      <c r="A848" s="141"/>
      <c r="B848" s="141"/>
      <c r="C848" s="142"/>
      <c r="D848" s="141"/>
      <c r="E848" s="150"/>
      <c r="F848" s="150"/>
      <c r="G848" s="145"/>
      <c r="H848" s="145"/>
      <c r="I848" s="145"/>
      <c r="J848" s="145"/>
    </row>
    <row r="849" spans="1:10" s="195" customFormat="1" ht="24.95" hidden="1" customHeight="1">
      <c r="A849" s="141"/>
      <c r="B849" s="141"/>
      <c r="C849" s="142"/>
      <c r="D849" s="141"/>
      <c r="E849" s="150"/>
      <c r="F849" s="150"/>
      <c r="G849" s="145"/>
      <c r="H849" s="145"/>
      <c r="I849" s="145"/>
      <c r="J849" s="145"/>
    </row>
    <row r="850" spans="1:10" s="195" customFormat="1" ht="24.95" hidden="1" customHeight="1">
      <c r="A850" s="141"/>
      <c r="B850" s="141"/>
      <c r="C850" s="142"/>
      <c r="D850" s="141"/>
      <c r="E850" s="150"/>
      <c r="F850" s="150"/>
      <c r="G850" s="145"/>
      <c r="H850" s="145"/>
      <c r="I850" s="145"/>
      <c r="J850" s="145"/>
    </row>
    <row r="851" spans="1:10" s="195" customFormat="1" ht="24.95" hidden="1" customHeight="1">
      <c r="A851" s="141"/>
      <c r="B851" s="141"/>
      <c r="C851" s="142"/>
      <c r="D851" s="141"/>
      <c r="E851" s="150"/>
      <c r="F851" s="150"/>
      <c r="G851" s="145"/>
      <c r="H851" s="145"/>
      <c r="I851" s="145"/>
      <c r="J851" s="145"/>
    </row>
    <row r="852" spans="1:10" s="195" customFormat="1" ht="24.95" hidden="1" customHeight="1">
      <c r="A852" s="141"/>
      <c r="B852" s="141"/>
      <c r="C852" s="142"/>
      <c r="D852" s="141"/>
      <c r="E852" s="150"/>
      <c r="F852" s="150"/>
      <c r="G852" s="145"/>
      <c r="H852" s="145"/>
      <c r="I852" s="145"/>
      <c r="J852" s="145"/>
    </row>
    <row r="853" spans="1:10" s="195" customFormat="1" ht="24.95" hidden="1" customHeight="1">
      <c r="A853" s="141"/>
      <c r="B853" s="141"/>
      <c r="C853" s="142"/>
      <c r="D853" s="141"/>
      <c r="E853" s="150"/>
      <c r="F853" s="150"/>
      <c r="G853" s="145"/>
      <c r="H853" s="145"/>
      <c r="I853" s="145"/>
      <c r="J853" s="145"/>
    </row>
    <row r="854" spans="1:10" s="195" customFormat="1" ht="24.95" hidden="1" customHeight="1">
      <c r="A854" s="141"/>
      <c r="B854" s="141"/>
      <c r="C854" s="142"/>
      <c r="D854" s="141"/>
      <c r="E854" s="150"/>
      <c r="F854" s="150"/>
      <c r="G854" s="145"/>
      <c r="H854" s="145"/>
      <c r="I854" s="145"/>
      <c r="J854" s="145"/>
    </row>
    <row r="855" spans="1:10" s="195" customFormat="1" ht="24.95" hidden="1" customHeight="1">
      <c r="A855" s="141"/>
      <c r="B855" s="141"/>
      <c r="C855" s="142"/>
      <c r="D855" s="141"/>
      <c r="E855" s="150"/>
      <c r="F855" s="150"/>
      <c r="G855" s="145"/>
      <c r="H855" s="145"/>
      <c r="I855" s="145"/>
      <c r="J855" s="145"/>
    </row>
    <row r="856" spans="1:10" s="195" customFormat="1" ht="24.95" hidden="1" customHeight="1">
      <c r="A856" s="141"/>
      <c r="B856" s="141"/>
      <c r="C856" s="142"/>
      <c r="D856" s="141"/>
      <c r="E856" s="150"/>
      <c r="F856" s="150"/>
      <c r="G856" s="145"/>
      <c r="H856" s="145"/>
      <c r="I856" s="145"/>
      <c r="J856" s="145"/>
    </row>
    <row r="857" spans="1:10" s="195" customFormat="1" ht="24.95" hidden="1" customHeight="1">
      <c r="A857" s="141"/>
      <c r="B857" s="141"/>
      <c r="C857" s="142"/>
      <c r="D857" s="141"/>
      <c r="E857" s="150"/>
      <c r="F857" s="150"/>
      <c r="G857" s="145"/>
      <c r="H857" s="145"/>
      <c r="I857" s="145"/>
      <c r="J857" s="145"/>
    </row>
    <row r="858" spans="1:10" s="195" customFormat="1" ht="24.95" hidden="1" customHeight="1">
      <c r="A858" s="141"/>
      <c r="B858" s="141"/>
      <c r="C858" s="142"/>
      <c r="D858" s="141"/>
      <c r="E858" s="150"/>
      <c r="F858" s="150"/>
      <c r="G858" s="145"/>
      <c r="H858" s="145"/>
      <c r="I858" s="145"/>
      <c r="J858" s="145"/>
    </row>
    <row r="859" spans="1:10" s="195" customFormat="1" ht="24.95" hidden="1" customHeight="1">
      <c r="A859" s="141"/>
      <c r="B859" s="141"/>
      <c r="C859" s="142"/>
      <c r="D859" s="141"/>
      <c r="E859" s="150"/>
      <c r="F859" s="150"/>
      <c r="G859" s="145"/>
      <c r="H859" s="145"/>
      <c r="I859" s="145"/>
      <c r="J859" s="145"/>
    </row>
    <row r="860" spans="1:10" s="195" customFormat="1" ht="24.95" hidden="1" customHeight="1">
      <c r="A860" s="141"/>
      <c r="B860" s="141"/>
      <c r="C860" s="142"/>
      <c r="D860" s="141"/>
      <c r="E860" s="150"/>
      <c r="F860" s="150"/>
      <c r="G860" s="145"/>
      <c r="H860" s="145"/>
      <c r="I860" s="145"/>
      <c r="J860" s="145"/>
    </row>
    <row r="861" spans="1:10" s="195" customFormat="1" ht="24.95" hidden="1" customHeight="1">
      <c r="A861" s="141"/>
      <c r="B861" s="141"/>
      <c r="C861" s="142"/>
      <c r="D861" s="141"/>
      <c r="E861" s="150"/>
      <c r="F861" s="150"/>
      <c r="G861" s="145"/>
      <c r="H861" s="145"/>
      <c r="I861" s="145"/>
      <c r="J861" s="145"/>
    </row>
    <row r="862" spans="1:10" s="195" customFormat="1" ht="24.95" hidden="1" customHeight="1">
      <c r="A862" s="141"/>
      <c r="B862" s="141"/>
      <c r="C862" s="142"/>
      <c r="D862" s="141"/>
      <c r="E862" s="150"/>
      <c r="F862" s="150"/>
      <c r="G862" s="145"/>
      <c r="H862" s="145"/>
      <c r="I862" s="145"/>
      <c r="J862" s="145"/>
    </row>
    <row r="863" spans="1:10" s="195" customFormat="1" ht="24.95" hidden="1" customHeight="1">
      <c r="A863" s="141"/>
      <c r="B863" s="141"/>
      <c r="C863" s="142"/>
      <c r="D863" s="141"/>
      <c r="E863" s="150"/>
      <c r="F863" s="150"/>
      <c r="G863" s="145"/>
      <c r="H863" s="145"/>
      <c r="I863" s="145"/>
      <c r="J863" s="145"/>
    </row>
    <row r="864" spans="1:10" s="195" customFormat="1" ht="24.95" hidden="1" customHeight="1">
      <c r="A864" s="141"/>
      <c r="B864" s="141"/>
      <c r="C864" s="142"/>
      <c r="D864" s="141"/>
      <c r="E864" s="150"/>
      <c r="F864" s="150"/>
      <c r="G864" s="145"/>
      <c r="H864" s="145"/>
      <c r="I864" s="145"/>
      <c r="J864" s="145"/>
    </row>
    <row r="865" spans="1:10" s="195" customFormat="1" ht="24.95" hidden="1" customHeight="1">
      <c r="A865" s="141"/>
      <c r="B865" s="141"/>
      <c r="C865" s="142"/>
      <c r="D865" s="141"/>
      <c r="E865" s="150"/>
      <c r="F865" s="150"/>
      <c r="G865" s="145"/>
      <c r="H865" s="145"/>
      <c r="I865" s="145"/>
      <c r="J865" s="145"/>
    </row>
    <row r="866" spans="1:10" s="195" customFormat="1" ht="24.95" hidden="1" customHeight="1">
      <c r="A866" s="141"/>
      <c r="B866" s="141"/>
      <c r="C866" s="142"/>
      <c r="D866" s="141"/>
      <c r="E866" s="150"/>
      <c r="F866" s="150"/>
      <c r="G866" s="145"/>
      <c r="H866" s="145"/>
      <c r="I866" s="145"/>
      <c r="J866" s="145"/>
    </row>
    <row r="867" spans="1:10" s="195" customFormat="1" ht="24.95" hidden="1" customHeight="1">
      <c r="A867" s="141"/>
      <c r="B867" s="141"/>
      <c r="C867" s="142"/>
      <c r="D867" s="141"/>
      <c r="E867" s="150"/>
      <c r="F867" s="150"/>
      <c r="G867" s="145"/>
      <c r="H867" s="145"/>
      <c r="I867" s="145"/>
      <c r="J867" s="145"/>
    </row>
    <row r="868" spans="1:10" s="195" customFormat="1" ht="24.95" hidden="1" customHeight="1">
      <c r="A868" s="141"/>
      <c r="B868" s="141"/>
      <c r="C868" s="142"/>
      <c r="D868" s="141"/>
      <c r="E868" s="150"/>
      <c r="F868" s="150"/>
      <c r="G868" s="145"/>
      <c r="H868" s="145"/>
      <c r="I868" s="145"/>
      <c r="J868" s="145"/>
    </row>
    <row r="869" spans="1:10" s="195" customFormat="1" ht="24.95" hidden="1" customHeight="1">
      <c r="A869" s="141"/>
      <c r="B869" s="141"/>
      <c r="C869" s="142"/>
      <c r="D869" s="141"/>
      <c r="E869" s="150"/>
      <c r="F869" s="150"/>
      <c r="G869" s="145"/>
      <c r="H869" s="145"/>
      <c r="I869" s="145"/>
      <c r="J869" s="145"/>
    </row>
    <row r="870" spans="1:10" s="195" customFormat="1" ht="24.95" hidden="1" customHeight="1">
      <c r="A870" s="141"/>
      <c r="B870" s="141"/>
      <c r="C870" s="142"/>
      <c r="D870" s="141"/>
      <c r="E870" s="150"/>
      <c r="F870" s="150"/>
      <c r="G870" s="145"/>
      <c r="H870" s="145"/>
      <c r="I870" s="145"/>
      <c r="J870" s="145"/>
    </row>
    <row r="871" spans="1:10" s="195" customFormat="1" ht="24.95" hidden="1" customHeight="1">
      <c r="A871" s="141"/>
      <c r="B871" s="141"/>
      <c r="C871" s="142"/>
      <c r="D871" s="141"/>
      <c r="E871" s="150"/>
      <c r="F871" s="150"/>
      <c r="G871" s="145"/>
      <c r="H871" s="145"/>
      <c r="I871" s="145"/>
      <c r="J871" s="145"/>
    </row>
    <row r="872" spans="1:10" s="195" customFormat="1" ht="24.95" hidden="1" customHeight="1">
      <c r="A872" s="141"/>
      <c r="B872" s="141"/>
      <c r="C872" s="142"/>
      <c r="D872" s="141"/>
      <c r="E872" s="150"/>
      <c r="F872" s="150"/>
      <c r="G872" s="145"/>
      <c r="H872" s="145"/>
      <c r="I872" s="145"/>
      <c r="J872" s="145"/>
    </row>
    <row r="873" spans="1:10" s="195" customFormat="1" ht="24.95" hidden="1" customHeight="1">
      <c r="A873" s="141"/>
      <c r="B873" s="141"/>
      <c r="C873" s="142"/>
      <c r="D873" s="141"/>
      <c r="E873" s="150"/>
      <c r="F873" s="150"/>
      <c r="G873" s="145"/>
      <c r="H873" s="145"/>
      <c r="I873" s="145"/>
      <c r="J873" s="145"/>
    </row>
    <row r="874" spans="1:10" s="195" customFormat="1" ht="24.95" hidden="1" customHeight="1">
      <c r="A874" s="141"/>
      <c r="B874" s="141"/>
      <c r="C874" s="142"/>
      <c r="D874" s="141"/>
      <c r="E874" s="150"/>
      <c r="F874" s="150"/>
      <c r="G874" s="145"/>
      <c r="H874" s="145"/>
      <c r="I874" s="145"/>
      <c r="J874" s="145"/>
    </row>
    <row r="875" spans="1:10" s="195" customFormat="1" ht="24.95" hidden="1" customHeight="1">
      <c r="A875" s="141"/>
      <c r="B875" s="141"/>
      <c r="C875" s="142"/>
      <c r="D875" s="141"/>
      <c r="E875" s="150"/>
      <c r="F875" s="150"/>
      <c r="G875" s="145"/>
      <c r="H875" s="145"/>
      <c r="I875" s="145"/>
      <c r="J875" s="145"/>
    </row>
    <row r="876" spans="1:10" s="195" customFormat="1" ht="24.95" hidden="1" customHeight="1">
      <c r="A876" s="141"/>
      <c r="B876" s="141"/>
      <c r="C876" s="142"/>
      <c r="D876" s="141"/>
      <c r="E876" s="150"/>
      <c r="F876" s="150"/>
      <c r="G876" s="145"/>
      <c r="H876" s="145"/>
      <c r="I876" s="145"/>
      <c r="J876" s="145"/>
    </row>
    <row r="877" spans="1:10" s="195" customFormat="1" ht="24.95" hidden="1" customHeight="1">
      <c r="A877" s="141"/>
      <c r="B877" s="141"/>
      <c r="C877" s="142"/>
      <c r="D877" s="141"/>
      <c r="E877" s="150"/>
      <c r="F877" s="150"/>
      <c r="G877" s="145"/>
      <c r="H877" s="145"/>
      <c r="I877" s="145"/>
      <c r="J877" s="145"/>
    </row>
    <row r="878" spans="1:10" s="195" customFormat="1" ht="24.95" hidden="1" customHeight="1">
      <c r="A878" s="141"/>
      <c r="B878" s="141"/>
      <c r="C878" s="142"/>
      <c r="D878" s="141"/>
      <c r="E878" s="150"/>
      <c r="F878" s="150"/>
      <c r="G878" s="145"/>
      <c r="H878" s="145"/>
      <c r="I878" s="145"/>
      <c r="J878" s="145"/>
    </row>
    <row r="879" spans="1:10" s="195" customFormat="1" ht="24.95" hidden="1" customHeight="1">
      <c r="A879" s="141"/>
      <c r="B879" s="141"/>
      <c r="C879" s="142"/>
      <c r="D879" s="141"/>
      <c r="E879" s="150"/>
      <c r="F879" s="150"/>
      <c r="G879" s="145"/>
      <c r="H879" s="145"/>
      <c r="I879" s="145"/>
      <c r="J879" s="145"/>
    </row>
    <row r="880" spans="1:10" s="195" customFormat="1" ht="24.95" hidden="1" customHeight="1">
      <c r="A880" s="141"/>
      <c r="B880" s="141"/>
      <c r="C880" s="142"/>
      <c r="D880" s="141"/>
      <c r="E880" s="150"/>
      <c r="F880" s="150"/>
      <c r="G880" s="145"/>
      <c r="H880" s="145"/>
      <c r="I880" s="145"/>
      <c r="J880" s="145"/>
    </row>
    <row r="881" spans="1:10" s="195" customFormat="1" ht="24.95" hidden="1" customHeight="1">
      <c r="A881" s="141"/>
      <c r="B881" s="141"/>
      <c r="C881" s="142"/>
      <c r="D881" s="141"/>
      <c r="E881" s="150"/>
      <c r="F881" s="150"/>
      <c r="G881" s="145"/>
      <c r="H881" s="145"/>
      <c r="I881" s="145"/>
      <c r="J881" s="145"/>
    </row>
    <row r="882" spans="1:10" s="195" customFormat="1" ht="24.95" hidden="1" customHeight="1">
      <c r="A882" s="141"/>
      <c r="B882" s="141"/>
      <c r="C882" s="142"/>
      <c r="D882" s="141"/>
      <c r="E882" s="150"/>
      <c r="F882" s="150"/>
      <c r="G882" s="145"/>
      <c r="H882" s="145"/>
      <c r="I882" s="145"/>
      <c r="J882" s="145"/>
    </row>
    <row r="883" spans="1:10" s="195" customFormat="1" ht="24.95" hidden="1" customHeight="1">
      <c r="A883" s="141"/>
      <c r="B883" s="141"/>
      <c r="C883" s="142"/>
      <c r="D883" s="141"/>
      <c r="E883" s="150"/>
      <c r="F883" s="150"/>
      <c r="G883" s="145"/>
      <c r="H883" s="145"/>
      <c r="I883" s="145"/>
      <c r="J883" s="145"/>
    </row>
    <row r="884" spans="1:10" s="195" customFormat="1" ht="24.95" hidden="1" customHeight="1">
      <c r="A884" s="141"/>
      <c r="B884" s="141"/>
      <c r="C884" s="142"/>
      <c r="D884" s="141"/>
      <c r="E884" s="150"/>
      <c r="F884" s="150"/>
      <c r="G884" s="145"/>
      <c r="H884" s="145"/>
      <c r="I884" s="145"/>
      <c r="J884" s="145"/>
    </row>
    <row r="885" spans="1:10" s="195" customFormat="1" ht="24.95" hidden="1" customHeight="1">
      <c r="A885" s="141"/>
      <c r="B885" s="141"/>
      <c r="C885" s="142"/>
      <c r="D885" s="141"/>
      <c r="E885" s="150"/>
      <c r="F885" s="150"/>
      <c r="G885" s="145"/>
      <c r="H885" s="145"/>
      <c r="I885" s="145"/>
      <c r="J885" s="145"/>
    </row>
    <row r="886" spans="1:10" s="195" customFormat="1" ht="24.95" hidden="1" customHeight="1">
      <c r="A886" s="141"/>
      <c r="B886" s="141"/>
      <c r="C886" s="142"/>
      <c r="D886" s="141"/>
      <c r="E886" s="150"/>
      <c r="F886" s="150"/>
      <c r="G886" s="145"/>
      <c r="H886" s="145"/>
      <c r="I886" s="145"/>
      <c r="J886" s="145"/>
    </row>
    <row r="887" spans="1:10" s="195" customFormat="1" ht="24.95" hidden="1" customHeight="1">
      <c r="A887" s="141"/>
      <c r="B887" s="141"/>
      <c r="C887" s="142"/>
      <c r="D887" s="141"/>
      <c r="E887" s="150"/>
      <c r="F887" s="150"/>
      <c r="G887" s="145"/>
      <c r="H887" s="145"/>
      <c r="I887" s="145"/>
      <c r="J887" s="145"/>
    </row>
    <row r="888" spans="1:10" s="195" customFormat="1" ht="24.95" hidden="1" customHeight="1">
      <c r="A888" s="141"/>
      <c r="B888" s="141"/>
      <c r="C888" s="142"/>
      <c r="D888" s="141"/>
      <c r="E888" s="150"/>
      <c r="F888" s="150"/>
      <c r="G888" s="145"/>
      <c r="H888" s="145"/>
      <c r="I888" s="145"/>
      <c r="J888" s="145"/>
    </row>
    <row r="889" spans="1:10" s="195" customFormat="1" ht="24.95" hidden="1" customHeight="1">
      <c r="A889" s="141"/>
      <c r="B889" s="141"/>
      <c r="C889" s="142"/>
      <c r="D889" s="141"/>
      <c r="E889" s="150"/>
      <c r="F889" s="150"/>
      <c r="G889" s="145"/>
      <c r="H889" s="145"/>
      <c r="I889" s="145"/>
      <c r="J889" s="145"/>
    </row>
    <row r="890" spans="1:10" s="195" customFormat="1" ht="24.95" hidden="1" customHeight="1">
      <c r="A890" s="141"/>
      <c r="B890" s="141"/>
      <c r="C890" s="142"/>
      <c r="D890" s="141"/>
      <c r="E890" s="150"/>
      <c r="F890" s="150"/>
      <c r="G890" s="145"/>
      <c r="H890" s="145"/>
      <c r="I890" s="145"/>
      <c r="J890" s="145"/>
    </row>
    <row r="891" spans="1:10" s="195" customFormat="1" ht="24.95" hidden="1" customHeight="1">
      <c r="A891" s="141"/>
      <c r="B891" s="141"/>
      <c r="C891" s="142"/>
      <c r="D891" s="141"/>
      <c r="E891" s="150"/>
      <c r="F891" s="150"/>
      <c r="G891" s="145"/>
      <c r="H891" s="145"/>
      <c r="I891" s="145"/>
      <c r="J891" s="145"/>
    </row>
    <row r="892" spans="1:10" s="195" customFormat="1" ht="24.95" hidden="1" customHeight="1">
      <c r="A892" s="141"/>
      <c r="B892" s="141"/>
      <c r="C892" s="142"/>
      <c r="D892" s="141"/>
      <c r="E892" s="150"/>
      <c r="F892" s="150"/>
      <c r="G892" s="145"/>
      <c r="H892" s="145"/>
      <c r="I892" s="145"/>
      <c r="J892" s="145"/>
    </row>
    <row r="893" spans="1:10" s="195" customFormat="1" ht="24.95" hidden="1" customHeight="1">
      <c r="A893" s="141"/>
      <c r="B893" s="141"/>
      <c r="C893" s="142"/>
      <c r="D893" s="141"/>
      <c r="E893" s="150"/>
      <c r="F893" s="150"/>
      <c r="G893" s="145"/>
      <c r="H893" s="145"/>
      <c r="I893" s="145"/>
      <c r="J893" s="145"/>
    </row>
    <row r="894" spans="1:10" s="195" customFormat="1" ht="24.95" hidden="1" customHeight="1">
      <c r="A894" s="141"/>
      <c r="B894" s="141"/>
      <c r="C894" s="142"/>
      <c r="D894" s="141"/>
      <c r="E894" s="150"/>
      <c r="F894" s="150"/>
      <c r="G894" s="145"/>
      <c r="H894" s="145"/>
      <c r="I894" s="145"/>
      <c r="J894" s="145"/>
    </row>
    <row r="895" spans="1:10" s="195" customFormat="1" ht="24.95" hidden="1" customHeight="1">
      <c r="A895" s="141"/>
      <c r="B895" s="141"/>
      <c r="C895" s="142"/>
      <c r="D895" s="141"/>
      <c r="E895" s="150"/>
      <c r="F895" s="150"/>
      <c r="G895" s="145"/>
      <c r="H895" s="145"/>
      <c r="I895" s="145"/>
      <c r="J895" s="145"/>
    </row>
    <row r="896" spans="1:10" s="195" customFormat="1" ht="24.95" hidden="1" customHeight="1">
      <c r="A896" s="141"/>
      <c r="B896" s="141"/>
      <c r="C896" s="142"/>
      <c r="D896" s="141"/>
      <c r="E896" s="150"/>
      <c r="F896" s="150"/>
      <c r="G896" s="145"/>
      <c r="H896" s="145"/>
      <c r="I896" s="145"/>
      <c r="J896" s="145"/>
    </row>
    <row r="897" spans="1:10" s="195" customFormat="1" ht="24.95" hidden="1" customHeight="1">
      <c r="A897" s="141"/>
      <c r="B897" s="141"/>
      <c r="C897" s="142"/>
      <c r="D897" s="141"/>
      <c r="E897" s="150"/>
      <c r="F897" s="150"/>
      <c r="G897" s="145"/>
      <c r="H897" s="145"/>
      <c r="I897" s="145"/>
      <c r="J897" s="145"/>
    </row>
    <row r="898" spans="1:10" s="195" customFormat="1" ht="24.95" hidden="1" customHeight="1">
      <c r="A898" s="141"/>
      <c r="B898" s="141"/>
      <c r="C898" s="142"/>
      <c r="D898" s="141"/>
      <c r="E898" s="150"/>
      <c r="F898" s="150"/>
      <c r="G898" s="145"/>
      <c r="H898" s="145"/>
      <c r="I898" s="145"/>
      <c r="J898" s="145"/>
    </row>
    <row r="899" spans="1:10" s="195" customFormat="1" ht="24.95" hidden="1" customHeight="1">
      <c r="A899" s="141"/>
      <c r="B899" s="141"/>
      <c r="C899" s="142"/>
      <c r="D899" s="141"/>
      <c r="E899" s="150"/>
      <c r="F899" s="150"/>
      <c r="G899" s="145"/>
      <c r="H899" s="145"/>
      <c r="I899" s="145"/>
      <c r="J899" s="145"/>
    </row>
    <row r="900" spans="1:10" s="195" customFormat="1" ht="24.95" hidden="1" customHeight="1">
      <c r="A900" s="141"/>
      <c r="B900" s="141"/>
      <c r="C900" s="142"/>
      <c r="D900" s="141"/>
      <c r="E900" s="150"/>
      <c r="F900" s="150"/>
      <c r="G900" s="145"/>
      <c r="H900" s="145"/>
      <c r="I900" s="145"/>
      <c r="J900" s="145"/>
    </row>
    <row r="901" spans="1:10" s="195" customFormat="1" ht="24.95" hidden="1" customHeight="1">
      <c r="A901" s="141"/>
      <c r="B901" s="141"/>
      <c r="C901" s="142"/>
      <c r="D901" s="141"/>
      <c r="E901" s="150"/>
      <c r="F901" s="150"/>
      <c r="G901" s="145"/>
      <c r="H901" s="145"/>
      <c r="I901" s="145"/>
      <c r="J901" s="145"/>
    </row>
    <row r="902" spans="1:10" s="195" customFormat="1" ht="24.95" hidden="1" customHeight="1">
      <c r="A902" s="141"/>
      <c r="B902" s="141"/>
      <c r="C902" s="142"/>
      <c r="D902" s="141"/>
      <c r="E902" s="150"/>
      <c r="F902" s="150"/>
      <c r="G902" s="145"/>
      <c r="H902" s="145"/>
      <c r="I902" s="145"/>
      <c r="J902" s="145"/>
    </row>
    <row r="903" spans="1:10" s="195" customFormat="1" ht="24.95" hidden="1" customHeight="1">
      <c r="A903" s="141"/>
      <c r="B903" s="141"/>
      <c r="C903" s="142"/>
      <c r="D903" s="141"/>
      <c r="E903" s="150"/>
      <c r="F903" s="150"/>
      <c r="G903" s="145"/>
      <c r="H903" s="145"/>
      <c r="I903" s="145"/>
      <c r="J903" s="145"/>
    </row>
    <row r="904" spans="1:10" s="195" customFormat="1" ht="24.95" hidden="1" customHeight="1">
      <c r="A904" s="141"/>
      <c r="B904" s="141"/>
      <c r="C904" s="142"/>
      <c r="D904" s="141"/>
      <c r="E904" s="150"/>
      <c r="F904" s="150"/>
      <c r="G904" s="145"/>
      <c r="H904" s="145"/>
      <c r="I904" s="145"/>
      <c r="J904" s="145"/>
    </row>
    <row r="905" spans="1:10" s="195" customFormat="1" ht="24.95" hidden="1" customHeight="1">
      <c r="A905" s="141"/>
      <c r="B905" s="141"/>
      <c r="C905" s="142"/>
      <c r="D905" s="141"/>
      <c r="E905" s="150"/>
      <c r="F905" s="150"/>
      <c r="G905" s="145"/>
      <c r="H905" s="145"/>
      <c r="I905" s="145"/>
      <c r="J905" s="145"/>
    </row>
    <row r="906" spans="1:10" s="195" customFormat="1" ht="24.95" hidden="1" customHeight="1">
      <c r="A906" s="141"/>
      <c r="B906" s="141"/>
      <c r="C906" s="142"/>
      <c r="D906" s="141"/>
      <c r="E906" s="150"/>
      <c r="F906" s="150"/>
      <c r="G906" s="145"/>
      <c r="H906" s="145"/>
      <c r="I906" s="145"/>
      <c r="J906" s="145"/>
    </row>
    <row r="907" spans="1:10" s="195" customFormat="1" ht="24.95" hidden="1" customHeight="1">
      <c r="A907" s="141"/>
      <c r="B907" s="141"/>
      <c r="C907" s="142"/>
      <c r="D907" s="141"/>
      <c r="E907" s="150"/>
      <c r="F907" s="150"/>
      <c r="G907" s="145"/>
      <c r="H907" s="145"/>
      <c r="I907" s="145"/>
      <c r="J907" s="145"/>
    </row>
    <row r="908" spans="1:10" s="195" customFormat="1" ht="24.95" hidden="1" customHeight="1">
      <c r="A908" s="141"/>
      <c r="B908" s="141"/>
      <c r="C908" s="142"/>
      <c r="D908" s="141"/>
      <c r="E908" s="150"/>
      <c r="F908" s="150"/>
      <c r="G908" s="145"/>
      <c r="H908" s="145"/>
      <c r="I908" s="145"/>
      <c r="J908" s="145"/>
    </row>
    <row r="909" spans="1:10" s="195" customFormat="1" ht="24.95" hidden="1" customHeight="1">
      <c r="A909" s="141"/>
      <c r="B909" s="141"/>
      <c r="C909" s="142"/>
      <c r="D909" s="141"/>
      <c r="E909" s="150"/>
      <c r="F909" s="150"/>
      <c r="G909" s="145"/>
      <c r="H909" s="145"/>
      <c r="I909" s="145"/>
      <c r="J909" s="145"/>
    </row>
    <row r="910" spans="1:10" s="195" customFormat="1" ht="24.95" hidden="1" customHeight="1">
      <c r="A910" s="141"/>
      <c r="B910" s="141"/>
      <c r="C910" s="142"/>
      <c r="D910" s="141"/>
      <c r="E910" s="150"/>
      <c r="F910" s="150"/>
      <c r="G910" s="145"/>
      <c r="H910" s="145"/>
      <c r="I910" s="145"/>
      <c r="J910" s="145"/>
    </row>
    <row r="911" spans="1:10" s="195" customFormat="1" ht="24.95" hidden="1" customHeight="1">
      <c r="A911" s="141"/>
      <c r="B911" s="141"/>
      <c r="C911" s="142"/>
      <c r="D911" s="141"/>
      <c r="E911" s="150"/>
      <c r="F911" s="150"/>
      <c r="G911" s="145"/>
      <c r="H911" s="145"/>
      <c r="I911" s="145"/>
      <c r="J911" s="145"/>
    </row>
    <row r="912" spans="1:10" s="195" customFormat="1" ht="24.95" hidden="1" customHeight="1">
      <c r="A912" s="141"/>
      <c r="B912" s="141"/>
      <c r="C912" s="142"/>
      <c r="D912" s="141"/>
      <c r="E912" s="150"/>
      <c r="F912" s="150"/>
      <c r="G912" s="145"/>
      <c r="H912" s="145"/>
      <c r="I912" s="145"/>
      <c r="J912" s="145"/>
    </row>
    <row r="913" spans="1:10" s="195" customFormat="1" ht="24.95" hidden="1" customHeight="1">
      <c r="A913" s="141"/>
      <c r="B913" s="141"/>
      <c r="C913" s="142"/>
      <c r="D913" s="141"/>
      <c r="E913" s="150"/>
      <c r="F913" s="150"/>
      <c r="G913" s="145"/>
      <c r="H913" s="145"/>
      <c r="I913" s="145"/>
      <c r="J913" s="145"/>
    </row>
    <row r="914" spans="1:10" s="195" customFormat="1" ht="24.95" hidden="1" customHeight="1">
      <c r="A914" s="141"/>
      <c r="B914" s="141"/>
      <c r="C914" s="142"/>
      <c r="D914" s="141"/>
      <c r="E914" s="150"/>
      <c r="F914" s="150"/>
      <c r="G914" s="145"/>
      <c r="H914" s="145"/>
      <c r="I914" s="145"/>
      <c r="J914" s="145"/>
    </row>
    <row r="915" spans="1:10" s="195" customFormat="1" ht="24.95" hidden="1" customHeight="1">
      <c r="A915" s="141"/>
      <c r="B915" s="141"/>
      <c r="C915" s="142"/>
      <c r="D915" s="141"/>
      <c r="E915" s="150"/>
      <c r="F915" s="150"/>
      <c r="G915" s="145"/>
      <c r="H915" s="145"/>
      <c r="I915" s="145"/>
      <c r="J915" s="145"/>
    </row>
    <row r="916" spans="1:10" s="195" customFormat="1" ht="24.95" hidden="1" customHeight="1">
      <c r="A916" s="141"/>
      <c r="B916" s="141"/>
      <c r="C916" s="142"/>
      <c r="D916" s="141"/>
      <c r="E916" s="150"/>
      <c r="F916" s="150"/>
      <c r="G916" s="145"/>
      <c r="H916" s="145"/>
      <c r="I916" s="145"/>
      <c r="J916" s="145"/>
    </row>
    <row r="917" spans="1:10" s="195" customFormat="1" ht="24.95" hidden="1" customHeight="1">
      <c r="A917" s="141"/>
      <c r="B917" s="141"/>
      <c r="C917" s="142"/>
      <c r="D917" s="141"/>
      <c r="E917" s="150"/>
      <c r="F917" s="150"/>
      <c r="G917" s="145"/>
      <c r="H917" s="145"/>
      <c r="I917" s="145"/>
      <c r="J917" s="145"/>
    </row>
    <row r="918" spans="1:10" s="195" customFormat="1" ht="24.95" hidden="1" customHeight="1">
      <c r="A918" s="141"/>
      <c r="B918" s="141"/>
      <c r="C918" s="142"/>
      <c r="D918" s="141"/>
      <c r="E918" s="150"/>
      <c r="F918" s="150"/>
      <c r="G918" s="145"/>
      <c r="H918" s="145"/>
      <c r="I918" s="145"/>
      <c r="J918" s="145"/>
    </row>
    <row r="919" spans="1:10" s="195" customFormat="1" ht="24.95" hidden="1" customHeight="1">
      <c r="A919" s="141"/>
      <c r="B919" s="141"/>
      <c r="C919" s="142"/>
      <c r="D919" s="141"/>
      <c r="E919" s="150"/>
      <c r="F919" s="150"/>
      <c r="G919" s="145"/>
      <c r="H919" s="145"/>
      <c r="I919" s="145"/>
      <c r="J919" s="145"/>
    </row>
    <row r="920" spans="1:10" s="195" customFormat="1" ht="24.95" hidden="1" customHeight="1">
      <c r="A920" s="141"/>
      <c r="B920" s="141"/>
      <c r="C920" s="142"/>
      <c r="D920" s="141"/>
      <c r="E920" s="150"/>
      <c r="F920" s="150"/>
      <c r="G920" s="145"/>
      <c r="H920" s="145"/>
      <c r="I920" s="145"/>
      <c r="J920" s="145"/>
    </row>
    <row r="921" spans="1:10" s="195" customFormat="1" ht="24.95" hidden="1" customHeight="1">
      <c r="A921" s="141"/>
      <c r="B921" s="141"/>
      <c r="C921" s="142"/>
      <c r="D921" s="141"/>
      <c r="E921" s="150"/>
      <c r="F921" s="150"/>
      <c r="G921" s="145"/>
      <c r="H921" s="145"/>
      <c r="I921" s="145"/>
      <c r="J921" s="145"/>
    </row>
    <row r="922" spans="1:10" s="195" customFormat="1" ht="24.95" hidden="1" customHeight="1">
      <c r="A922" s="141"/>
      <c r="B922" s="141"/>
      <c r="C922" s="142"/>
      <c r="D922" s="141"/>
      <c r="E922" s="150"/>
      <c r="F922" s="150"/>
      <c r="G922" s="145"/>
      <c r="H922" s="145"/>
      <c r="I922" s="145"/>
      <c r="J922" s="145"/>
    </row>
    <row r="923" spans="1:10" s="195" customFormat="1" ht="24.95" hidden="1" customHeight="1">
      <c r="A923" s="141"/>
      <c r="B923" s="141"/>
      <c r="C923" s="142"/>
      <c r="D923" s="141"/>
      <c r="E923" s="150"/>
      <c r="F923" s="150"/>
      <c r="G923" s="145"/>
      <c r="H923" s="145"/>
      <c r="I923" s="145"/>
      <c r="J923" s="145"/>
    </row>
    <row r="924" spans="1:10" s="195" customFormat="1" ht="24.95" hidden="1" customHeight="1">
      <c r="A924" s="141"/>
      <c r="B924" s="141"/>
      <c r="C924" s="142"/>
      <c r="D924" s="141"/>
      <c r="E924" s="150"/>
      <c r="F924" s="150"/>
      <c r="G924" s="145"/>
      <c r="H924" s="145"/>
      <c r="I924" s="145"/>
      <c r="J924" s="145"/>
    </row>
    <row r="925" spans="1:10" s="195" customFormat="1" ht="24.95" hidden="1" customHeight="1">
      <c r="A925" s="141"/>
      <c r="B925" s="141"/>
      <c r="C925" s="142"/>
      <c r="D925" s="141"/>
      <c r="E925" s="150"/>
      <c r="F925" s="150"/>
      <c r="G925" s="145"/>
      <c r="H925" s="145"/>
      <c r="I925" s="145"/>
      <c r="J925" s="145"/>
    </row>
    <row r="926" spans="1:10" s="195" customFormat="1" ht="24.95" hidden="1" customHeight="1">
      <c r="A926" s="141"/>
      <c r="B926" s="141"/>
      <c r="C926" s="142"/>
      <c r="D926" s="141"/>
      <c r="E926" s="150"/>
      <c r="F926" s="150"/>
      <c r="G926" s="145"/>
      <c r="H926" s="145"/>
      <c r="I926" s="145"/>
      <c r="J926" s="145"/>
    </row>
    <row r="927" spans="1:10" s="195" customFormat="1" ht="24.95" hidden="1" customHeight="1">
      <c r="A927" s="141"/>
      <c r="B927" s="141"/>
      <c r="C927" s="142"/>
      <c r="D927" s="141"/>
      <c r="E927" s="150"/>
      <c r="F927" s="150"/>
      <c r="G927" s="145"/>
      <c r="H927" s="145"/>
      <c r="I927" s="145"/>
      <c r="J927" s="145"/>
    </row>
    <row r="928" spans="1:10" s="195" customFormat="1" ht="24.95" hidden="1" customHeight="1">
      <c r="A928" s="141"/>
      <c r="B928" s="141"/>
      <c r="C928" s="142"/>
      <c r="D928" s="141"/>
      <c r="E928" s="150"/>
      <c r="F928" s="150"/>
      <c r="G928" s="145"/>
      <c r="H928" s="145"/>
      <c r="I928" s="145"/>
      <c r="J928" s="145"/>
    </row>
    <row r="929" spans="1:10" s="195" customFormat="1" ht="24.95" hidden="1" customHeight="1">
      <c r="A929" s="141"/>
      <c r="B929" s="141"/>
      <c r="C929" s="142"/>
      <c r="D929" s="141"/>
      <c r="E929" s="150"/>
      <c r="F929" s="150"/>
      <c r="G929" s="145"/>
      <c r="H929" s="145"/>
      <c r="I929" s="145"/>
      <c r="J929" s="145"/>
    </row>
    <row r="930" spans="1:10" s="195" customFormat="1" ht="24.95" hidden="1" customHeight="1">
      <c r="A930" s="141"/>
      <c r="B930" s="141"/>
      <c r="C930" s="142"/>
      <c r="D930" s="141"/>
      <c r="E930" s="150"/>
      <c r="F930" s="150"/>
      <c r="G930" s="145"/>
      <c r="H930" s="145"/>
      <c r="I930" s="145"/>
      <c r="J930" s="145"/>
    </row>
    <row r="931" spans="1:10" s="195" customFormat="1" ht="24.95" hidden="1" customHeight="1">
      <c r="A931" s="141"/>
      <c r="B931" s="141"/>
      <c r="C931" s="142"/>
      <c r="D931" s="141"/>
      <c r="E931" s="150"/>
      <c r="F931" s="150"/>
      <c r="G931" s="145"/>
      <c r="H931" s="145"/>
      <c r="I931" s="145"/>
      <c r="J931" s="145"/>
    </row>
    <row r="932" spans="1:10" s="195" customFormat="1" ht="24.95" hidden="1" customHeight="1">
      <c r="A932" s="141"/>
      <c r="B932" s="141"/>
      <c r="C932" s="142"/>
      <c r="D932" s="141"/>
      <c r="E932" s="150"/>
      <c r="F932" s="150"/>
      <c r="G932" s="145"/>
      <c r="H932" s="145"/>
      <c r="I932" s="145"/>
      <c r="J932" s="145"/>
    </row>
    <row r="933" spans="1:10" s="195" customFormat="1" ht="24.95" hidden="1" customHeight="1">
      <c r="A933" s="141"/>
      <c r="B933" s="141"/>
      <c r="C933" s="142"/>
      <c r="D933" s="141"/>
      <c r="E933" s="150"/>
      <c r="F933" s="150"/>
      <c r="G933" s="145"/>
      <c r="H933" s="145"/>
      <c r="I933" s="145"/>
      <c r="J933" s="145"/>
    </row>
    <row r="934" spans="1:10" s="195" customFormat="1" ht="24.95" hidden="1" customHeight="1">
      <c r="A934" s="141"/>
      <c r="B934" s="141"/>
      <c r="C934" s="142"/>
      <c r="D934" s="141"/>
      <c r="E934" s="150"/>
      <c r="F934" s="150"/>
      <c r="G934" s="145"/>
      <c r="H934" s="145"/>
      <c r="I934" s="145"/>
      <c r="J934" s="145"/>
    </row>
    <row r="935" spans="1:10" s="195" customFormat="1" ht="24.95" hidden="1" customHeight="1">
      <c r="A935" s="141"/>
      <c r="B935" s="141"/>
      <c r="C935" s="142"/>
      <c r="D935" s="141"/>
      <c r="E935" s="150"/>
      <c r="F935" s="150"/>
      <c r="G935" s="145"/>
      <c r="H935" s="145"/>
      <c r="I935" s="145"/>
      <c r="J935" s="145"/>
    </row>
    <row r="936" spans="1:10" s="195" customFormat="1" ht="24.95" hidden="1" customHeight="1">
      <c r="A936" s="141"/>
      <c r="B936" s="141"/>
      <c r="C936" s="142"/>
      <c r="D936" s="141"/>
      <c r="E936" s="150"/>
      <c r="F936" s="150"/>
      <c r="G936" s="145"/>
      <c r="H936" s="145"/>
      <c r="I936" s="145"/>
      <c r="J936" s="145"/>
    </row>
    <row r="937" spans="1:10" s="195" customFormat="1" ht="24.95" hidden="1" customHeight="1">
      <c r="A937" s="141"/>
      <c r="B937" s="141"/>
      <c r="C937" s="142"/>
      <c r="D937" s="141"/>
      <c r="E937" s="150"/>
      <c r="F937" s="150"/>
      <c r="G937" s="145"/>
      <c r="H937" s="145"/>
      <c r="I937" s="145"/>
      <c r="J937" s="145"/>
    </row>
    <row r="938" spans="1:10" s="195" customFormat="1" ht="24.95" hidden="1" customHeight="1">
      <c r="A938" s="141"/>
      <c r="B938" s="141"/>
      <c r="C938" s="142"/>
      <c r="D938" s="141"/>
      <c r="E938" s="150"/>
      <c r="F938" s="150"/>
      <c r="G938" s="145"/>
      <c r="H938" s="145"/>
      <c r="I938" s="145"/>
      <c r="J938" s="145"/>
    </row>
    <row r="939" spans="1:10" s="195" customFormat="1" ht="24.95" hidden="1" customHeight="1">
      <c r="A939" s="141"/>
      <c r="B939" s="141"/>
      <c r="C939" s="142"/>
      <c r="D939" s="141"/>
      <c r="E939" s="150"/>
      <c r="F939" s="150"/>
      <c r="G939" s="145"/>
      <c r="H939" s="145"/>
      <c r="I939" s="145"/>
      <c r="J939" s="145"/>
    </row>
    <row r="940" spans="1:10" s="195" customFormat="1" ht="24.95" hidden="1" customHeight="1">
      <c r="A940" s="141"/>
      <c r="B940" s="141"/>
      <c r="C940" s="142"/>
      <c r="D940" s="141"/>
      <c r="E940" s="150"/>
      <c r="F940" s="150"/>
      <c r="G940" s="145"/>
      <c r="H940" s="145"/>
      <c r="I940" s="145"/>
      <c r="J940" s="145"/>
    </row>
    <row r="941" spans="1:10" s="195" customFormat="1" ht="24.95" hidden="1" customHeight="1">
      <c r="A941" s="141"/>
      <c r="B941" s="141"/>
      <c r="C941" s="142"/>
      <c r="D941" s="141"/>
      <c r="E941" s="150"/>
      <c r="F941" s="150"/>
      <c r="G941" s="145"/>
      <c r="H941" s="145"/>
      <c r="I941" s="145"/>
      <c r="J941" s="145"/>
    </row>
    <row r="942" spans="1:10" s="195" customFormat="1" ht="24.95" hidden="1" customHeight="1">
      <c r="A942" s="141"/>
      <c r="B942" s="141"/>
      <c r="C942" s="142"/>
      <c r="D942" s="141"/>
      <c r="E942" s="150"/>
      <c r="F942" s="150"/>
      <c r="G942" s="145"/>
      <c r="H942" s="145"/>
      <c r="I942" s="145"/>
      <c r="J942" s="145"/>
    </row>
    <row r="943" spans="1:10" s="195" customFormat="1" ht="24.95" hidden="1" customHeight="1">
      <c r="A943" s="141"/>
      <c r="B943" s="141"/>
      <c r="C943" s="142"/>
      <c r="D943" s="141"/>
      <c r="E943" s="150"/>
      <c r="F943" s="150"/>
      <c r="G943" s="145"/>
      <c r="H943" s="145"/>
      <c r="I943" s="145"/>
      <c r="J943" s="145"/>
    </row>
    <row r="944" spans="1:10" s="195" customFormat="1" ht="24.95" hidden="1" customHeight="1">
      <c r="A944" s="141"/>
      <c r="B944" s="141"/>
      <c r="C944" s="142"/>
      <c r="D944" s="141"/>
      <c r="E944" s="150"/>
      <c r="F944" s="150"/>
      <c r="G944" s="145"/>
      <c r="H944" s="145"/>
      <c r="I944" s="145"/>
      <c r="J944" s="145"/>
    </row>
    <row r="945" spans="1:10" s="195" customFormat="1" ht="24.95" hidden="1" customHeight="1">
      <c r="A945" s="141"/>
      <c r="B945" s="141"/>
      <c r="C945" s="142"/>
      <c r="D945" s="141"/>
      <c r="E945" s="150"/>
      <c r="F945" s="150"/>
      <c r="G945" s="145"/>
      <c r="H945" s="145"/>
      <c r="I945" s="145"/>
      <c r="J945" s="145"/>
    </row>
    <row r="946" spans="1:10" s="195" customFormat="1" ht="24.95" hidden="1" customHeight="1">
      <c r="A946" s="141"/>
      <c r="B946" s="141"/>
      <c r="C946" s="142"/>
      <c r="D946" s="141"/>
      <c r="E946" s="150"/>
      <c r="F946" s="150"/>
      <c r="G946" s="145"/>
      <c r="H946" s="145"/>
      <c r="I946" s="145"/>
      <c r="J946" s="145"/>
    </row>
    <row r="947" spans="1:10" s="195" customFormat="1" ht="24.95" hidden="1" customHeight="1">
      <c r="A947" s="141"/>
      <c r="B947" s="141"/>
      <c r="C947" s="142"/>
      <c r="D947" s="141"/>
      <c r="E947" s="150"/>
      <c r="F947" s="150"/>
      <c r="G947" s="145"/>
      <c r="H947" s="145"/>
      <c r="I947" s="145"/>
      <c r="J947" s="145"/>
    </row>
    <row r="948" spans="1:10" s="195" customFormat="1" ht="24.95" hidden="1" customHeight="1">
      <c r="A948" s="141"/>
      <c r="B948" s="141"/>
      <c r="C948" s="142"/>
      <c r="D948" s="141"/>
      <c r="E948" s="150"/>
      <c r="F948" s="150"/>
      <c r="G948" s="145"/>
      <c r="H948" s="145"/>
      <c r="I948" s="145"/>
      <c r="J948" s="145"/>
    </row>
    <row r="949" spans="1:10" s="195" customFormat="1" ht="24.95" hidden="1" customHeight="1">
      <c r="A949" s="141"/>
      <c r="B949" s="141"/>
      <c r="C949" s="142"/>
      <c r="D949" s="141"/>
      <c r="E949" s="150"/>
      <c r="F949" s="150"/>
      <c r="G949" s="145"/>
      <c r="H949" s="145"/>
      <c r="I949" s="145"/>
      <c r="J949" s="145"/>
    </row>
    <row r="950" spans="1:10" s="195" customFormat="1" ht="24.95" hidden="1" customHeight="1">
      <c r="A950" s="141"/>
      <c r="B950" s="141"/>
      <c r="C950" s="142"/>
      <c r="D950" s="141"/>
      <c r="E950" s="150"/>
      <c r="F950" s="150"/>
      <c r="G950" s="145"/>
      <c r="H950" s="145"/>
      <c r="I950" s="145"/>
      <c r="J950" s="145"/>
    </row>
    <row r="951" spans="1:10" s="195" customFormat="1" ht="24.95" hidden="1" customHeight="1">
      <c r="A951" s="141"/>
      <c r="B951" s="141"/>
      <c r="C951" s="142"/>
      <c r="D951" s="141"/>
      <c r="E951" s="150"/>
      <c r="F951" s="150"/>
      <c r="G951" s="145"/>
      <c r="H951" s="145"/>
      <c r="I951" s="145"/>
      <c r="J951" s="145"/>
    </row>
    <row r="952" spans="1:10" s="195" customFormat="1" ht="24.95" hidden="1" customHeight="1">
      <c r="A952" s="141"/>
      <c r="B952" s="141"/>
      <c r="C952" s="142"/>
      <c r="D952" s="141"/>
      <c r="E952" s="150"/>
      <c r="F952" s="150"/>
      <c r="G952" s="145"/>
      <c r="H952" s="145"/>
      <c r="I952" s="145"/>
      <c r="J952" s="145"/>
    </row>
    <row r="953" spans="1:10" s="195" customFormat="1" ht="24.95" hidden="1" customHeight="1">
      <c r="A953" s="141"/>
      <c r="B953" s="141"/>
      <c r="C953" s="142"/>
      <c r="D953" s="141"/>
      <c r="E953" s="150"/>
      <c r="F953" s="150"/>
      <c r="G953" s="145"/>
      <c r="H953" s="145"/>
      <c r="I953" s="145"/>
      <c r="J953" s="145"/>
    </row>
    <row r="954" spans="1:10" s="195" customFormat="1" ht="24.95" hidden="1" customHeight="1">
      <c r="A954" s="141"/>
      <c r="B954" s="141"/>
      <c r="C954" s="142"/>
      <c r="D954" s="141"/>
      <c r="E954" s="150"/>
      <c r="F954" s="150"/>
      <c r="G954" s="145"/>
      <c r="H954" s="145"/>
      <c r="I954" s="145"/>
      <c r="J954" s="145"/>
    </row>
    <row r="955" spans="1:10" s="195" customFormat="1" ht="24.95" hidden="1" customHeight="1">
      <c r="A955" s="141"/>
      <c r="B955" s="141"/>
      <c r="C955" s="142"/>
      <c r="D955" s="141"/>
      <c r="E955" s="150"/>
      <c r="F955" s="150"/>
      <c r="G955" s="145"/>
      <c r="H955" s="145"/>
      <c r="I955" s="145"/>
      <c r="J955" s="145"/>
    </row>
    <row r="956" spans="1:10" s="195" customFormat="1" ht="24.95" hidden="1" customHeight="1">
      <c r="A956" s="141"/>
      <c r="B956" s="141"/>
      <c r="C956" s="142"/>
      <c r="D956" s="141"/>
      <c r="E956" s="150"/>
      <c r="F956" s="150"/>
      <c r="G956" s="145"/>
      <c r="H956" s="145"/>
      <c r="I956" s="145"/>
      <c r="J956" s="145"/>
    </row>
    <row r="957" spans="1:10" s="195" customFormat="1" ht="24.95" hidden="1" customHeight="1">
      <c r="A957" s="141"/>
      <c r="B957" s="141"/>
      <c r="C957" s="142"/>
      <c r="D957" s="141"/>
      <c r="E957" s="150"/>
      <c r="F957" s="150"/>
      <c r="G957" s="145"/>
      <c r="H957" s="145"/>
      <c r="I957" s="145"/>
      <c r="J957" s="145"/>
    </row>
    <row r="958" spans="1:10" s="195" customFormat="1" ht="24.95" hidden="1" customHeight="1">
      <c r="A958" s="141"/>
      <c r="B958" s="141"/>
      <c r="C958" s="142"/>
      <c r="D958" s="141"/>
      <c r="E958" s="150"/>
      <c r="F958" s="150"/>
      <c r="G958" s="145"/>
      <c r="H958" s="145"/>
      <c r="I958" s="145"/>
      <c r="J958" s="145"/>
    </row>
    <row r="959" spans="1:10" s="195" customFormat="1" ht="24.95" hidden="1" customHeight="1">
      <c r="A959" s="141"/>
      <c r="B959" s="141"/>
      <c r="C959" s="142"/>
      <c r="D959" s="141"/>
      <c r="E959" s="150"/>
      <c r="F959" s="150"/>
      <c r="G959" s="145"/>
      <c r="H959" s="145"/>
      <c r="I959" s="145"/>
      <c r="J959" s="145"/>
    </row>
    <row r="960" spans="1:10" s="195" customFormat="1" ht="24.95" hidden="1" customHeight="1">
      <c r="A960" s="141"/>
      <c r="B960" s="141"/>
      <c r="C960" s="142"/>
      <c r="D960" s="141"/>
      <c r="E960" s="150"/>
      <c r="F960" s="150"/>
      <c r="G960" s="145"/>
      <c r="H960" s="145"/>
      <c r="I960" s="145"/>
      <c r="J960" s="145"/>
    </row>
    <row r="961" spans="1:10" s="195" customFormat="1" ht="24.95" hidden="1" customHeight="1">
      <c r="A961" s="141"/>
      <c r="B961" s="141"/>
      <c r="C961" s="142"/>
      <c r="D961" s="141"/>
      <c r="E961" s="150"/>
      <c r="F961" s="150"/>
      <c r="G961" s="145"/>
      <c r="H961" s="145"/>
      <c r="I961" s="145"/>
      <c r="J961" s="145"/>
    </row>
    <row r="962" spans="1:10" s="195" customFormat="1" ht="24.95" hidden="1" customHeight="1">
      <c r="A962" s="141"/>
      <c r="B962" s="141"/>
      <c r="C962" s="142"/>
      <c r="D962" s="141"/>
      <c r="E962" s="150"/>
      <c r="F962" s="150"/>
      <c r="G962" s="145"/>
      <c r="H962" s="145"/>
      <c r="I962" s="145"/>
      <c r="J962" s="145"/>
    </row>
    <row r="963" spans="1:10" s="195" customFormat="1" ht="24.95" hidden="1" customHeight="1">
      <c r="A963" s="141"/>
      <c r="B963" s="141"/>
      <c r="C963" s="142"/>
      <c r="D963" s="141"/>
      <c r="E963" s="150"/>
      <c r="F963" s="150"/>
      <c r="G963" s="145"/>
      <c r="H963" s="145"/>
      <c r="I963" s="145"/>
      <c r="J963" s="145"/>
    </row>
    <row r="964" spans="1:10" s="195" customFormat="1" ht="24.95" hidden="1" customHeight="1">
      <c r="A964" s="141"/>
      <c r="B964" s="141"/>
      <c r="C964" s="142"/>
      <c r="D964" s="141"/>
      <c r="E964" s="150"/>
      <c r="F964" s="150"/>
      <c r="G964" s="145"/>
      <c r="H964" s="145"/>
      <c r="I964" s="145"/>
      <c r="J964" s="145"/>
    </row>
    <row r="965" spans="1:10" s="195" customFormat="1" ht="24.95" hidden="1" customHeight="1">
      <c r="A965" s="141"/>
      <c r="B965" s="141"/>
      <c r="C965" s="142"/>
      <c r="D965" s="141"/>
      <c r="E965" s="150"/>
      <c r="F965" s="150"/>
      <c r="G965" s="145"/>
      <c r="H965" s="145"/>
      <c r="I965" s="145"/>
      <c r="J965" s="145"/>
    </row>
    <row r="966" spans="1:10" s="195" customFormat="1" ht="24.95" hidden="1" customHeight="1">
      <c r="A966" s="141"/>
      <c r="B966" s="141"/>
      <c r="C966" s="142"/>
      <c r="D966" s="141"/>
      <c r="E966" s="150"/>
      <c r="F966" s="150"/>
      <c r="G966" s="145"/>
      <c r="H966" s="145"/>
      <c r="I966" s="145"/>
      <c r="J966" s="145"/>
    </row>
    <row r="967" spans="1:10" s="195" customFormat="1" ht="24.95" hidden="1" customHeight="1">
      <c r="A967" s="141"/>
      <c r="B967" s="141"/>
      <c r="C967" s="142"/>
      <c r="D967" s="141"/>
      <c r="E967" s="150"/>
      <c r="F967" s="150"/>
      <c r="G967" s="145"/>
      <c r="H967" s="145"/>
      <c r="I967" s="145"/>
      <c r="J967" s="145"/>
    </row>
    <row r="968" spans="1:10" s="195" customFormat="1" ht="24.95" hidden="1" customHeight="1">
      <c r="A968" s="141"/>
      <c r="B968" s="141"/>
      <c r="C968" s="142"/>
      <c r="D968" s="141"/>
      <c r="E968" s="150"/>
      <c r="F968" s="150"/>
      <c r="G968" s="145"/>
      <c r="H968" s="145"/>
      <c r="I968" s="145"/>
      <c r="J968" s="145"/>
    </row>
    <row r="969" spans="1:10" s="195" customFormat="1" ht="24.95" hidden="1" customHeight="1">
      <c r="A969" s="141"/>
      <c r="B969" s="141"/>
      <c r="C969" s="142"/>
      <c r="D969" s="141"/>
      <c r="E969" s="150"/>
      <c r="F969" s="150"/>
      <c r="G969" s="145"/>
      <c r="H969" s="145"/>
      <c r="I969" s="145"/>
      <c r="J969" s="145"/>
    </row>
    <row r="970" spans="1:10" s="195" customFormat="1" ht="24.95" hidden="1" customHeight="1">
      <c r="A970" s="141"/>
      <c r="B970" s="141"/>
      <c r="C970" s="142"/>
      <c r="D970" s="141"/>
      <c r="E970" s="150"/>
      <c r="F970" s="150"/>
      <c r="G970" s="145"/>
      <c r="H970" s="145"/>
      <c r="I970" s="145"/>
      <c r="J970" s="145"/>
    </row>
    <row r="971" spans="1:10" s="195" customFormat="1" ht="24.95" hidden="1" customHeight="1">
      <c r="A971" s="141"/>
      <c r="B971" s="141"/>
      <c r="C971" s="142"/>
      <c r="D971" s="141"/>
      <c r="E971" s="150"/>
      <c r="F971" s="150"/>
      <c r="G971" s="145"/>
      <c r="H971" s="145"/>
      <c r="I971" s="145"/>
      <c r="J971" s="145"/>
    </row>
    <row r="972" spans="1:10" s="195" customFormat="1" ht="24.95" hidden="1" customHeight="1">
      <c r="A972" s="141"/>
      <c r="B972" s="141"/>
      <c r="C972" s="142"/>
      <c r="D972" s="141"/>
      <c r="E972" s="150"/>
      <c r="F972" s="150"/>
      <c r="G972" s="145"/>
      <c r="H972" s="145"/>
      <c r="I972" s="145"/>
      <c r="J972" s="145"/>
    </row>
    <row r="973" spans="1:10" s="195" customFormat="1" ht="24.95" hidden="1" customHeight="1">
      <c r="A973" s="141"/>
      <c r="B973" s="141"/>
      <c r="C973" s="142"/>
      <c r="D973" s="141"/>
      <c r="E973" s="150"/>
      <c r="F973" s="150"/>
      <c r="G973" s="145"/>
      <c r="H973" s="145"/>
      <c r="I973" s="145"/>
      <c r="J973" s="145"/>
    </row>
    <row r="974" spans="1:10" s="195" customFormat="1" ht="24.95" hidden="1" customHeight="1">
      <c r="A974" s="141"/>
      <c r="B974" s="141"/>
      <c r="C974" s="142"/>
      <c r="D974" s="141"/>
      <c r="E974" s="150"/>
      <c r="F974" s="150"/>
      <c r="G974" s="145"/>
      <c r="H974" s="145"/>
      <c r="I974" s="145"/>
      <c r="J974" s="145"/>
    </row>
    <row r="975" spans="1:10" s="195" customFormat="1" ht="24.95" hidden="1" customHeight="1">
      <c r="A975" s="141"/>
      <c r="B975" s="141"/>
      <c r="C975" s="142"/>
      <c r="D975" s="141"/>
      <c r="E975" s="150"/>
      <c r="F975" s="150"/>
      <c r="G975" s="145"/>
      <c r="H975" s="145"/>
      <c r="I975" s="145"/>
      <c r="J975" s="145"/>
    </row>
    <row r="976" spans="1:10" s="195" customFormat="1" ht="24.95" hidden="1" customHeight="1">
      <c r="A976" s="141"/>
      <c r="B976" s="141"/>
      <c r="C976" s="142"/>
      <c r="D976" s="141"/>
      <c r="E976" s="150"/>
      <c r="F976" s="150"/>
      <c r="G976" s="145"/>
      <c r="H976" s="145"/>
      <c r="I976" s="145"/>
      <c r="J976" s="145"/>
    </row>
    <row r="977" spans="1:10" s="195" customFormat="1" ht="24.95" hidden="1" customHeight="1">
      <c r="A977" s="141"/>
      <c r="B977" s="141"/>
      <c r="C977" s="142"/>
      <c r="D977" s="141"/>
      <c r="E977" s="150"/>
      <c r="F977" s="150"/>
      <c r="G977" s="145"/>
      <c r="H977" s="145"/>
      <c r="I977" s="145"/>
      <c r="J977" s="145"/>
    </row>
    <row r="978" spans="1:10" s="195" customFormat="1" ht="24.95" hidden="1" customHeight="1">
      <c r="A978" s="141"/>
      <c r="B978" s="141"/>
      <c r="C978" s="142"/>
      <c r="D978" s="141"/>
      <c r="E978" s="150"/>
      <c r="F978" s="150"/>
      <c r="G978" s="145"/>
      <c r="H978" s="145"/>
      <c r="I978" s="145"/>
      <c r="J978" s="145"/>
    </row>
    <row r="979" spans="1:10" s="195" customFormat="1" ht="24.95" hidden="1" customHeight="1">
      <c r="A979" s="141"/>
      <c r="B979" s="141"/>
      <c r="C979" s="142"/>
      <c r="D979" s="141"/>
      <c r="E979" s="150"/>
      <c r="F979" s="150"/>
      <c r="G979" s="145"/>
      <c r="H979" s="145"/>
      <c r="I979" s="145"/>
      <c r="J979" s="145"/>
    </row>
    <row r="980" spans="1:10" s="195" customFormat="1" ht="24.95" hidden="1" customHeight="1">
      <c r="A980" s="141"/>
      <c r="B980" s="141"/>
      <c r="C980" s="142"/>
      <c r="D980" s="141"/>
      <c r="E980" s="150"/>
      <c r="F980" s="150"/>
      <c r="G980" s="145"/>
      <c r="H980" s="145"/>
      <c r="I980" s="145"/>
      <c r="J980" s="145"/>
    </row>
    <row r="981" spans="1:10" s="195" customFormat="1" ht="24.95" hidden="1" customHeight="1">
      <c r="A981" s="141"/>
      <c r="B981" s="141"/>
      <c r="C981" s="142"/>
      <c r="D981" s="141"/>
      <c r="E981" s="150"/>
      <c r="F981" s="150"/>
      <c r="G981" s="145"/>
      <c r="H981" s="145"/>
      <c r="I981" s="145"/>
      <c r="J981" s="145"/>
    </row>
    <row r="982" spans="1:10" s="195" customFormat="1" ht="24.95" hidden="1" customHeight="1">
      <c r="A982" s="141"/>
      <c r="B982" s="141"/>
      <c r="C982" s="142"/>
      <c r="D982" s="141"/>
      <c r="E982" s="150"/>
      <c r="F982" s="150"/>
      <c r="G982" s="145"/>
      <c r="H982" s="145"/>
      <c r="I982" s="145"/>
      <c r="J982" s="145"/>
    </row>
    <row r="983" spans="1:10" s="195" customFormat="1" ht="24.95" hidden="1" customHeight="1">
      <c r="A983" s="141"/>
      <c r="B983" s="141"/>
      <c r="C983" s="142"/>
      <c r="D983" s="141"/>
      <c r="E983" s="150"/>
      <c r="F983" s="150"/>
      <c r="G983" s="145"/>
      <c r="H983" s="145"/>
      <c r="I983" s="145"/>
      <c r="J983" s="145"/>
    </row>
    <row r="984" spans="1:10" s="195" customFormat="1" ht="24.95" hidden="1" customHeight="1">
      <c r="A984" s="141"/>
      <c r="B984" s="141"/>
      <c r="C984" s="142"/>
      <c r="D984" s="141"/>
      <c r="E984" s="150"/>
      <c r="F984" s="150"/>
      <c r="G984" s="145"/>
      <c r="H984" s="145"/>
      <c r="I984" s="145"/>
      <c r="J984" s="145"/>
    </row>
    <row r="985" spans="1:10" s="195" customFormat="1" ht="24.95" hidden="1" customHeight="1">
      <c r="A985" s="141"/>
      <c r="B985" s="141"/>
      <c r="C985" s="142"/>
      <c r="D985" s="141"/>
      <c r="E985" s="150"/>
      <c r="F985" s="150"/>
      <c r="G985" s="145"/>
      <c r="H985" s="145"/>
      <c r="I985" s="145"/>
      <c r="J985" s="145"/>
    </row>
    <row r="986" spans="1:10" s="195" customFormat="1" ht="24.95" hidden="1" customHeight="1">
      <c r="A986" s="141"/>
      <c r="B986" s="141"/>
      <c r="C986" s="142"/>
      <c r="D986" s="141"/>
      <c r="E986" s="150"/>
      <c r="F986" s="150"/>
      <c r="G986" s="145"/>
      <c r="H986" s="145"/>
      <c r="I986" s="145"/>
      <c r="J986" s="145"/>
    </row>
    <row r="987" spans="1:10" s="195" customFormat="1" ht="24.95" hidden="1" customHeight="1">
      <c r="A987" s="141"/>
      <c r="B987" s="141"/>
      <c r="C987" s="142"/>
      <c r="D987" s="141"/>
      <c r="E987" s="150"/>
      <c r="F987" s="150"/>
      <c r="G987" s="145"/>
      <c r="H987" s="145"/>
      <c r="I987" s="145"/>
      <c r="J987" s="145"/>
    </row>
    <row r="988" spans="1:10" s="195" customFormat="1" ht="24.95" hidden="1" customHeight="1">
      <c r="A988" s="141"/>
      <c r="B988" s="141"/>
      <c r="C988" s="142"/>
      <c r="D988" s="141"/>
      <c r="E988" s="150"/>
      <c r="F988" s="150"/>
      <c r="G988" s="145"/>
      <c r="H988" s="145"/>
      <c r="I988" s="145"/>
      <c r="J988" s="145"/>
    </row>
    <row r="989" spans="1:10" s="195" customFormat="1" ht="24.95" hidden="1" customHeight="1">
      <c r="A989" s="141"/>
      <c r="B989" s="141"/>
      <c r="C989" s="142"/>
      <c r="D989" s="141"/>
      <c r="E989" s="150"/>
      <c r="F989" s="150"/>
      <c r="G989" s="145"/>
      <c r="H989" s="145"/>
      <c r="I989" s="145"/>
      <c r="J989" s="145"/>
    </row>
    <row r="990" spans="1:10" s="195" customFormat="1" ht="24.95" hidden="1" customHeight="1">
      <c r="A990" s="141"/>
      <c r="B990" s="141"/>
      <c r="C990" s="142"/>
      <c r="D990" s="141"/>
      <c r="E990" s="150"/>
      <c r="F990" s="150"/>
      <c r="G990" s="145"/>
      <c r="H990" s="145"/>
      <c r="I990" s="145"/>
      <c r="J990" s="145"/>
    </row>
    <row r="991" spans="1:10" s="195" customFormat="1" ht="24.95" hidden="1" customHeight="1">
      <c r="A991" s="141"/>
      <c r="B991" s="141"/>
      <c r="C991" s="142"/>
      <c r="D991" s="141"/>
      <c r="E991" s="150"/>
      <c r="F991" s="150"/>
      <c r="G991" s="145"/>
      <c r="H991" s="145"/>
      <c r="I991" s="145"/>
      <c r="J991" s="145"/>
    </row>
    <row r="992" spans="1:10" s="195" customFormat="1" ht="24.95" hidden="1" customHeight="1">
      <c r="A992" s="141"/>
      <c r="B992" s="141"/>
      <c r="C992" s="142"/>
      <c r="D992" s="141"/>
      <c r="E992" s="150"/>
      <c r="F992" s="150"/>
      <c r="G992" s="145"/>
      <c r="H992" s="145"/>
      <c r="I992" s="145"/>
      <c r="J992" s="145"/>
    </row>
    <row r="993" spans="1:10" s="195" customFormat="1" ht="24.95" hidden="1" customHeight="1">
      <c r="A993" s="141"/>
      <c r="B993" s="141"/>
      <c r="C993" s="142"/>
      <c r="D993" s="141"/>
      <c r="E993" s="150"/>
      <c r="F993" s="150"/>
      <c r="G993" s="145"/>
      <c r="H993" s="145"/>
      <c r="I993" s="145"/>
      <c r="J993" s="145"/>
    </row>
    <row r="994" spans="1:10" s="195" customFormat="1" ht="24.95" hidden="1" customHeight="1">
      <c r="A994" s="141"/>
      <c r="B994" s="141"/>
      <c r="C994" s="142"/>
      <c r="D994" s="141"/>
      <c r="E994" s="150"/>
      <c r="F994" s="150"/>
      <c r="G994" s="145"/>
      <c r="H994" s="145"/>
      <c r="I994" s="145"/>
      <c r="J994" s="145"/>
    </row>
    <row r="995" spans="1:10" s="195" customFormat="1" ht="24.95" hidden="1" customHeight="1">
      <c r="A995" s="141"/>
      <c r="B995" s="141"/>
      <c r="C995" s="142"/>
      <c r="D995" s="141"/>
      <c r="E995" s="150"/>
      <c r="F995" s="150"/>
      <c r="G995" s="145"/>
      <c r="H995" s="145"/>
      <c r="I995" s="145"/>
      <c r="J995" s="145"/>
    </row>
    <row r="996" spans="1:10" s="195" customFormat="1" ht="24.95" hidden="1" customHeight="1">
      <c r="A996" s="141"/>
      <c r="B996" s="141"/>
      <c r="C996" s="142"/>
      <c r="D996" s="141"/>
      <c r="E996" s="150"/>
      <c r="F996" s="150"/>
      <c r="G996" s="145"/>
      <c r="H996" s="145"/>
      <c r="I996" s="145"/>
      <c r="J996" s="145"/>
    </row>
    <row r="997" spans="1:10" s="195" customFormat="1" ht="24.95" hidden="1" customHeight="1">
      <c r="A997" s="141"/>
      <c r="B997" s="141"/>
      <c r="C997" s="142"/>
      <c r="D997" s="141"/>
      <c r="E997" s="150"/>
      <c r="F997" s="150"/>
      <c r="G997" s="145"/>
      <c r="H997" s="145"/>
      <c r="I997" s="145"/>
      <c r="J997" s="145"/>
    </row>
    <row r="998" spans="1:10" s="195" customFormat="1" ht="24.95" hidden="1" customHeight="1">
      <c r="A998" s="141"/>
      <c r="B998" s="141"/>
      <c r="C998" s="142"/>
      <c r="D998" s="141"/>
      <c r="E998" s="150"/>
      <c r="F998" s="150"/>
      <c r="G998" s="145"/>
      <c r="H998" s="145"/>
      <c r="I998" s="145"/>
      <c r="J998" s="145"/>
    </row>
    <row r="999" spans="1:10" s="195" customFormat="1" ht="24.95" hidden="1" customHeight="1">
      <c r="A999" s="141"/>
      <c r="B999" s="141"/>
      <c r="C999" s="142"/>
      <c r="D999" s="141"/>
      <c r="E999" s="150"/>
      <c r="F999" s="150"/>
      <c r="G999" s="145"/>
      <c r="H999" s="145"/>
      <c r="I999" s="145"/>
      <c r="J999" s="145"/>
    </row>
    <row r="1000" spans="1:10" s="195" customFormat="1" ht="24.95" hidden="1" customHeight="1">
      <c r="A1000" s="141"/>
      <c r="B1000" s="141"/>
      <c r="C1000" s="142"/>
      <c r="D1000" s="141"/>
      <c r="E1000" s="150"/>
      <c r="F1000" s="150"/>
      <c r="G1000" s="145"/>
      <c r="H1000" s="145"/>
      <c r="I1000" s="145"/>
      <c r="J1000" s="145"/>
    </row>
    <row r="1001" spans="1:10" s="195" customFormat="1" ht="24.95" hidden="1" customHeight="1">
      <c r="A1001" s="141"/>
      <c r="B1001" s="141"/>
      <c r="C1001" s="142"/>
      <c r="D1001" s="141"/>
      <c r="E1001" s="150"/>
      <c r="F1001" s="150"/>
      <c r="G1001" s="145"/>
      <c r="H1001" s="145"/>
      <c r="I1001" s="145"/>
      <c r="J1001" s="145"/>
    </row>
    <row r="1002" spans="1:10" s="195" customFormat="1" ht="24.95" hidden="1" customHeight="1">
      <c r="A1002" s="141"/>
      <c r="B1002" s="141"/>
      <c r="C1002" s="142"/>
      <c r="D1002" s="141"/>
      <c r="E1002" s="150"/>
      <c r="F1002" s="150"/>
      <c r="G1002" s="145"/>
      <c r="H1002" s="145"/>
      <c r="I1002" s="145"/>
      <c r="J1002" s="145"/>
    </row>
    <row r="1003" spans="1:10" s="195" customFormat="1" ht="24.95" hidden="1" customHeight="1">
      <c r="A1003" s="141"/>
      <c r="B1003" s="141"/>
      <c r="C1003" s="142"/>
      <c r="D1003" s="141"/>
      <c r="E1003" s="150"/>
      <c r="F1003" s="150"/>
      <c r="G1003" s="145"/>
      <c r="H1003" s="145"/>
      <c r="I1003" s="145"/>
      <c r="J1003" s="145"/>
    </row>
    <row r="1004" spans="1:10" s="195" customFormat="1" ht="24.95" hidden="1" customHeight="1">
      <c r="A1004" s="141"/>
      <c r="B1004" s="141"/>
      <c r="C1004" s="142"/>
      <c r="D1004" s="141"/>
      <c r="E1004" s="150"/>
      <c r="F1004" s="150"/>
      <c r="G1004" s="145"/>
      <c r="H1004" s="145"/>
      <c r="I1004" s="145"/>
      <c r="J1004" s="145"/>
    </row>
    <row r="1005" spans="1:10" s="195" customFormat="1" ht="24.95" hidden="1" customHeight="1">
      <c r="A1005" s="141"/>
      <c r="B1005" s="141"/>
      <c r="C1005" s="142"/>
      <c r="D1005" s="141"/>
      <c r="E1005" s="150"/>
      <c r="F1005" s="150"/>
      <c r="G1005" s="145"/>
      <c r="H1005" s="145"/>
      <c r="I1005" s="145"/>
      <c r="J1005" s="145"/>
    </row>
    <row r="1006" spans="1:10" s="195" customFormat="1" ht="24.95" hidden="1" customHeight="1">
      <c r="A1006" s="141"/>
      <c r="B1006" s="141"/>
      <c r="C1006" s="142"/>
      <c r="D1006" s="141"/>
      <c r="E1006" s="150"/>
      <c r="F1006" s="150"/>
      <c r="G1006" s="145"/>
      <c r="H1006" s="145"/>
      <c r="I1006" s="145"/>
      <c r="J1006" s="145"/>
    </row>
    <row r="1007" spans="1:10" s="195" customFormat="1" ht="24.95" hidden="1" customHeight="1">
      <c r="A1007" s="141"/>
      <c r="B1007" s="141"/>
      <c r="C1007" s="142"/>
      <c r="D1007" s="141"/>
      <c r="E1007" s="150"/>
      <c r="F1007" s="150"/>
      <c r="G1007" s="145"/>
      <c r="H1007" s="145"/>
      <c r="I1007" s="145"/>
      <c r="J1007" s="145"/>
    </row>
    <row r="1008" spans="1:10" s="195" customFormat="1" ht="24.95" hidden="1" customHeight="1">
      <c r="A1008" s="141"/>
      <c r="B1008" s="141"/>
      <c r="C1008" s="142"/>
      <c r="D1008" s="141"/>
      <c r="E1008" s="150"/>
      <c r="F1008" s="150"/>
      <c r="G1008" s="145"/>
      <c r="H1008" s="145"/>
      <c r="I1008" s="145"/>
      <c r="J1008" s="145"/>
    </row>
    <row r="1009" spans="1:10" s="195" customFormat="1" ht="24.95" hidden="1" customHeight="1">
      <c r="A1009" s="141"/>
      <c r="B1009" s="141"/>
      <c r="C1009" s="142"/>
      <c r="D1009" s="141"/>
      <c r="E1009" s="150"/>
      <c r="F1009" s="150"/>
      <c r="G1009" s="145"/>
      <c r="H1009" s="145"/>
      <c r="I1009" s="145"/>
      <c r="J1009" s="145"/>
    </row>
    <row r="1010" spans="1:10" s="195" customFormat="1" ht="24.95" hidden="1" customHeight="1">
      <c r="A1010" s="141"/>
      <c r="B1010" s="141"/>
      <c r="C1010" s="142"/>
      <c r="D1010" s="141"/>
      <c r="E1010" s="150"/>
      <c r="F1010" s="150"/>
      <c r="G1010" s="145"/>
      <c r="H1010" s="145"/>
      <c r="I1010" s="145"/>
      <c r="J1010" s="145"/>
    </row>
    <row r="1011" spans="1:10" s="195" customFormat="1" ht="24.95" hidden="1" customHeight="1">
      <c r="A1011" s="141"/>
      <c r="B1011" s="141"/>
      <c r="C1011" s="142"/>
      <c r="D1011" s="141"/>
      <c r="E1011" s="150"/>
      <c r="F1011" s="150"/>
      <c r="G1011" s="145"/>
      <c r="H1011" s="145"/>
      <c r="I1011" s="145"/>
      <c r="J1011" s="145"/>
    </row>
    <row r="1012" spans="1:10" s="195" customFormat="1" ht="24.95" hidden="1" customHeight="1">
      <c r="A1012" s="141"/>
      <c r="B1012" s="141"/>
      <c r="C1012" s="142"/>
      <c r="D1012" s="141"/>
      <c r="E1012" s="150"/>
      <c r="F1012" s="150"/>
      <c r="G1012" s="145"/>
      <c r="H1012" s="145"/>
      <c r="I1012" s="145"/>
      <c r="J1012" s="145"/>
    </row>
    <row r="1013" spans="1:10" s="195" customFormat="1" ht="24.95" hidden="1" customHeight="1">
      <c r="A1013" s="141"/>
      <c r="B1013" s="141"/>
      <c r="C1013" s="142"/>
      <c r="D1013" s="141"/>
      <c r="E1013" s="150"/>
      <c r="F1013" s="150"/>
      <c r="G1013" s="145"/>
      <c r="H1013" s="145"/>
      <c r="I1013" s="145"/>
      <c r="J1013" s="145"/>
    </row>
    <row r="1014" spans="1:10" s="195" customFormat="1" ht="24.95" hidden="1" customHeight="1">
      <c r="A1014" s="141"/>
      <c r="B1014" s="141"/>
      <c r="C1014" s="142"/>
      <c r="D1014" s="141"/>
      <c r="E1014" s="150"/>
      <c r="F1014" s="150"/>
      <c r="G1014" s="145"/>
      <c r="H1014" s="145"/>
      <c r="I1014" s="145"/>
      <c r="J1014" s="145"/>
    </row>
    <row r="1015" spans="1:10" s="195" customFormat="1" ht="24.95" hidden="1" customHeight="1">
      <c r="A1015" s="141"/>
      <c r="B1015" s="141"/>
      <c r="C1015" s="142"/>
      <c r="D1015" s="141"/>
      <c r="E1015" s="150"/>
      <c r="F1015" s="150"/>
      <c r="G1015" s="145"/>
      <c r="H1015" s="145"/>
      <c r="I1015" s="145"/>
      <c r="J1015" s="145"/>
    </row>
    <row r="1016" spans="1:10" s="195" customFormat="1" ht="24.95" hidden="1" customHeight="1">
      <c r="A1016" s="141"/>
      <c r="B1016" s="141"/>
      <c r="C1016" s="142"/>
      <c r="D1016" s="141"/>
      <c r="E1016" s="150"/>
      <c r="F1016" s="150"/>
      <c r="G1016" s="145"/>
      <c r="H1016" s="145"/>
      <c r="I1016" s="145"/>
      <c r="J1016" s="145"/>
    </row>
    <row r="1017" spans="1:10" s="195" customFormat="1" ht="24.95" hidden="1" customHeight="1">
      <c r="A1017" s="141"/>
      <c r="B1017" s="141"/>
      <c r="C1017" s="142"/>
      <c r="D1017" s="141"/>
      <c r="E1017" s="150"/>
      <c r="F1017" s="150"/>
      <c r="G1017" s="145"/>
      <c r="H1017" s="145"/>
      <c r="I1017" s="145"/>
      <c r="J1017" s="145"/>
    </row>
    <row r="1018" spans="1:10" s="195" customFormat="1" ht="24.95" hidden="1" customHeight="1">
      <c r="A1018" s="141"/>
      <c r="B1018" s="141"/>
      <c r="C1018" s="142"/>
      <c r="D1018" s="141"/>
      <c r="E1018" s="150"/>
      <c r="F1018" s="150"/>
      <c r="G1018" s="145"/>
      <c r="H1018" s="145"/>
      <c r="I1018" s="145"/>
      <c r="J1018" s="145"/>
    </row>
    <row r="1019" spans="1:10" s="195" customFormat="1" ht="24.95" hidden="1" customHeight="1">
      <c r="A1019" s="141"/>
      <c r="B1019" s="141"/>
      <c r="C1019" s="142"/>
      <c r="D1019" s="141"/>
      <c r="E1019" s="150"/>
      <c r="F1019" s="150"/>
      <c r="G1019" s="145"/>
      <c r="H1019" s="145"/>
      <c r="I1019" s="145"/>
      <c r="J1019" s="145"/>
    </row>
    <row r="1020" spans="1:10" s="195" customFormat="1" ht="24.95" hidden="1" customHeight="1">
      <c r="A1020" s="141"/>
      <c r="B1020" s="141"/>
      <c r="C1020" s="142"/>
      <c r="D1020" s="141"/>
      <c r="E1020" s="150"/>
      <c r="F1020" s="150"/>
      <c r="G1020" s="145"/>
      <c r="H1020" s="145"/>
      <c r="I1020" s="145"/>
      <c r="J1020" s="145"/>
    </row>
    <row r="1021" spans="1:10" s="195" customFormat="1" ht="24.95" hidden="1" customHeight="1">
      <c r="A1021" s="141"/>
      <c r="B1021" s="141"/>
      <c r="C1021" s="142"/>
      <c r="D1021" s="141"/>
      <c r="E1021" s="150"/>
      <c r="F1021" s="150"/>
      <c r="G1021" s="145"/>
      <c r="H1021" s="145"/>
      <c r="I1021" s="145"/>
      <c r="J1021" s="145"/>
    </row>
    <row r="1022" spans="1:10" s="195" customFormat="1" ht="24.95" hidden="1" customHeight="1">
      <c r="A1022" s="141"/>
      <c r="B1022" s="141"/>
      <c r="C1022" s="142"/>
      <c r="D1022" s="141"/>
      <c r="E1022" s="150"/>
      <c r="F1022" s="150"/>
      <c r="G1022" s="145"/>
      <c r="H1022" s="145"/>
      <c r="I1022" s="145"/>
      <c r="J1022" s="145"/>
    </row>
    <row r="1023" spans="1:10" s="195" customFormat="1" ht="24.95" hidden="1" customHeight="1">
      <c r="A1023" s="141"/>
      <c r="B1023" s="141"/>
      <c r="C1023" s="142"/>
      <c r="D1023" s="141"/>
      <c r="E1023" s="150"/>
      <c r="F1023" s="150"/>
      <c r="G1023" s="145"/>
      <c r="H1023" s="145"/>
      <c r="I1023" s="145"/>
      <c r="J1023" s="145"/>
    </row>
    <row r="1024" spans="1:10" s="195" customFormat="1" ht="24.95" hidden="1" customHeight="1">
      <c r="A1024" s="141"/>
      <c r="B1024" s="141"/>
      <c r="C1024" s="142"/>
      <c r="D1024" s="141"/>
      <c r="E1024" s="150"/>
      <c r="F1024" s="150"/>
      <c r="G1024" s="145"/>
      <c r="H1024" s="145"/>
      <c r="I1024" s="145"/>
      <c r="J1024" s="145"/>
    </row>
    <row r="1025" spans="1:10" s="195" customFormat="1" ht="24.95" hidden="1" customHeight="1">
      <c r="A1025" s="141"/>
      <c r="B1025" s="141"/>
      <c r="C1025" s="142"/>
      <c r="D1025" s="141"/>
      <c r="E1025" s="150"/>
      <c r="F1025" s="150"/>
      <c r="G1025" s="145"/>
      <c r="H1025" s="145"/>
      <c r="I1025" s="145"/>
      <c r="J1025" s="145"/>
    </row>
    <row r="1026" spans="1:10" s="195" customFormat="1" ht="24.95" hidden="1" customHeight="1">
      <c r="A1026" s="141"/>
      <c r="B1026" s="141"/>
      <c r="C1026" s="142"/>
      <c r="D1026" s="141"/>
      <c r="E1026" s="150"/>
      <c r="F1026" s="150"/>
      <c r="G1026" s="145"/>
      <c r="H1026" s="145"/>
      <c r="I1026" s="145"/>
      <c r="J1026" s="145"/>
    </row>
    <row r="1027" spans="1:10" s="195" customFormat="1" ht="24.95" hidden="1" customHeight="1">
      <c r="A1027" s="141"/>
      <c r="B1027" s="141"/>
      <c r="C1027" s="142"/>
      <c r="D1027" s="141"/>
      <c r="E1027" s="150"/>
      <c r="F1027" s="150"/>
      <c r="G1027" s="145"/>
      <c r="H1027" s="145"/>
      <c r="I1027" s="145"/>
      <c r="J1027" s="145"/>
    </row>
    <row r="1028" spans="1:10" s="195" customFormat="1" ht="24.95" hidden="1" customHeight="1">
      <c r="A1028" s="141"/>
      <c r="B1028" s="141"/>
      <c r="C1028" s="142"/>
      <c r="D1028" s="141"/>
      <c r="E1028" s="150"/>
      <c r="F1028" s="150"/>
      <c r="G1028" s="145"/>
      <c r="H1028" s="145"/>
      <c r="I1028" s="145"/>
      <c r="J1028" s="145"/>
    </row>
    <row r="1029" spans="1:10" s="195" customFormat="1" ht="24.95" hidden="1" customHeight="1">
      <c r="A1029" s="141"/>
      <c r="B1029" s="141"/>
      <c r="C1029" s="142"/>
      <c r="D1029" s="141"/>
      <c r="E1029" s="150"/>
      <c r="F1029" s="150"/>
      <c r="G1029" s="145"/>
      <c r="H1029" s="145"/>
      <c r="I1029" s="145"/>
      <c r="J1029" s="145"/>
    </row>
    <row r="1030" spans="1:10" s="195" customFormat="1" ht="24.95" hidden="1" customHeight="1">
      <c r="A1030" s="141"/>
      <c r="B1030" s="141"/>
      <c r="C1030" s="142"/>
      <c r="D1030" s="141"/>
      <c r="E1030" s="150"/>
      <c r="F1030" s="150"/>
      <c r="G1030" s="145"/>
      <c r="H1030" s="145"/>
      <c r="I1030" s="145"/>
      <c r="J1030" s="145"/>
    </row>
    <row r="1031" spans="1:10" s="195" customFormat="1" ht="24.95" hidden="1" customHeight="1">
      <c r="A1031" s="141"/>
      <c r="B1031" s="141"/>
      <c r="C1031" s="142"/>
      <c r="D1031" s="141"/>
      <c r="E1031" s="150"/>
      <c r="F1031" s="150"/>
      <c r="G1031" s="145"/>
      <c r="H1031" s="145"/>
      <c r="I1031" s="145"/>
      <c r="J1031" s="145"/>
    </row>
    <row r="1032" spans="1:10" s="195" customFormat="1" ht="24.95" hidden="1" customHeight="1">
      <c r="A1032" s="141"/>
      <c r="B1032" s="141"/>
      <c r="C1032" s="142"/>
      <c r="D1032" s="141"/>
      <c r="E1032" s="150"/>
      <c r="F1032" s="150"/>
      <c r="G1032" s="145"/>
      <c r="H1032" s="145"/>
      <c r="I1032" s="145"/>
      <c r="J1032" s="145"/>
    </row>
    <row r="1033" spans="1:10" s="195" customFormat="1" ht="24.95" hidden="1" customHeight="1">
      <c r="A1033" s="141"/>
      <c r="B1033" s="141"/>
      <c r="C1033" s="142"/>
      <c r="D1033" s="141"/>
      <c r="E1033" s="150"/>
      <c r="F1033" s="150"/>
      <c r="G1033" s="145"/>
      <c r="H1033" s="145"/>
      <c r="I1033" s="145"/>
      <c r="J1033" s="145"/>
    </row>
    <row r="1034" spans="1:10" s="195" customFormat="1" ht="24.95" hidden="1" customHeight="1">
      <c r="A1034" s="141"/>
      <c r="B1034" s="141"/>
      <c r="C1034" s="142"/>
      <c r="D1034" s="141"/>
      <c r="E1034" s="150"/>
      <c r="F1034" s="150"/>
      <c r="G1034" s="145"/>
      <c r="H1034" s="145"/>
      <c r="I1034" s="145"/>
      <c r="J1034" s="145"/>
    </row>
    <row r="1035" spans="1:10" s="195" customFormat="1" ht="24.95" hidden="1" customHeight="1">
      <c r="A1035" s="141"/>
      <c r="B1035" s="141"/>
      <c r="C1035" s="142"/>
      <c r="D1035" s="141"/>
      <c r="E1035" s="150"/>
      <c r="F1035" s="150"/>
      <c r="G1035" s="145"/>
      <c r="H1035" s="145"/>
      <c r="I1035" s="145"/>
      <c r="J1035" s="145"/>
    </row>
    <row r="1036" spans="1:10" s="195" customFormat="1" ht="24.95" hidden="1" customHeight="1">
      <c r="A1036" s="141"/>
      <c r="B1036" s="141"/>
      <c r="C1036" s="142"/>
      <c r="D1036" s="141"/>
      <c r="E1036" s="150"/>
      <c r="F1036" s="150"/>
      <c r="G1036" s="145"/>
      <c r="H1036" s="145"/>
      <c r="I1036" s="145"/>
      <c r="J1036" s="145"/>
    </row>
    <row r="1037" spans="1:10" s="195" customFormat="1" ht="24.95" hidden="1" customHeight="1">
      <c r="A1037" s="141"/>
      <c r="B1037" s="141"/>
      <c r="C1037" s="142"/>
      <c r="D1037" s="141"/>
      <c r="E1037" s="150"/>
      <c r="F1037" s="150"/>
      <c r="G1037" s="145"/>
      <c r="H1037" s="145"/>
      <c r="I1037" s="145"/>
      <c r="J1037" s="145"/>
    </row>
    <row r="1038" spans="1:10" s="195" customFormat="1" ht="24.95" hidden="1" customHeight="1">
      <c r="A1038" s="141"/>
      <c r="B1038" s="141"/>
      <c r="C1038" s="142"/>
      <c r="D1038" s="141"/>
      <c r="E1038" s="150"/>
      <c r="F1038" s="150"/>
      <c r="G1038" s="145"/>
      <c r="H1038" s="145"/>
      <c r="I1038" s="145"/>
      <c r="J1038" s="145"/>
    </row>
    <row r="1039" spans="1:10" s="195" customFormat="1" ht="24.95" hidden="1" customHeight="1">
      <c r="A1039" s="141"/>
      <c r="B1039" s="141"/>
      <c r="C1039" s="142"/>
      <c r="D1039" s="141"/>
      <c r="E1039" s="150"/>
      <c r="F1039" s="150"/>
      <c r="G1039" s="145"/>
      <c r="H1039" s="145"/>
      <c r="I1039" s="145"/>
      <c r="J1039" s="145"/>
    </row>
    <row r="1040" spans="1:10" s="195" customFormat="1" ht="24.95" hidden="1" customHeight="1">
      <c r="A1040" s="141"/>
      <c r="B1040" s="141"/>
      <c r="C1040" s="142"/>
      <c r="D1040" s="141"/>
      <c r="E1040" s="150"/>
      <c r="F1040" s="150"/>
      <c r="G1040" s="145"/>
      <c r="H1040" s="145"/>
      <c r="I1040" s="145"/>
      <c r="J1040" s="145"/>
    </row>
    <row r="1041" spans="1:10" s="195" customFormat="1" ht="24.95" hidden="1" customHeight="1">
      <c r="A1041" s="141"/>
      <c r="B1041" s="141"/>
      <c r="C1041" s="142"/>
      <c r="D1041" s="141"/>
      <c r="E1041" s="150"/>
      <c r="F1041" s="150"/>
      <c r="G1041" s="145"/>
      <c r="H1041" s="145"/>
      <c r="I1041" s="145"/>
      <c r="J1041" s="145"/>
    </row>
    <row r="1042" spans="1:10" s="195" customFormat="1" ht="24.95" hidden="1" customHeight="1">
      <c r="A1042" s="141"/>
      <c r="B1042" s="141"/>
      <c r="C1042" s="142"/>
      <c r="D1042" s="141"/>
      <c r="E1042" s="150"/>
      <c r="F1042" s="150"/>
      <c r="G1042" s="145"/>
      <c r="H1042" s="145"/>
      <c r="I1042" s="145"/>
      <c r="J1042" s="145"/>
    </row>
    <row r="1043" spans="1:10" s="195" customFormat="1" ht="24.95" hidden="1" customHeight="1">
      <c r="A1043" s="141"/>
      <c r="B1043" s="141"/>
      <c r="C1043" s="142"/>
      <c r="D1043" s="141"/>
      <c r="E1043" s="150"/>
      <c r="F1043" s="150"/>
      <c r="G1043" s="145"/>
      <c r="H1043" s="145"/>
      <c r="I1043" s="145"/>
      <c r="J1043" s="145"/>
    </row>
    <row r="1044" spans="1:10" s="195" customFormat="1" ht="24.95" hidden="1" customHeight="1">
      <c r="A1044" s="141"/>
      <c r="B1044" s="141"/>
      <c r="C1044" s="142"/>
      <c r="D1044" s="141"/>
      <c r="E1044" s="150"/>
      <c r="F1044" s="150"/>
      <c r="G1044" s="145"/>
      <c r="H1044" s="145"/>
      <c r="I1044" s="145"/>
      <c r="J1044" s="145"/>
    </row>
    <row r="1045" spans="1:10" s="195" customFormat="1" ht="24.95" hidden="1" customHeight="1">
      <c r="A1045" s="141"/>
      <c r="B1045" s="141"/>
      <c r="C1045" s="142"/>
      <c r="D1045" s="141"/>
      <c r="E1045" s="150"/>
      <c r="F1045" s="150"/>
      <c r="G1045" s="145"/>
      <c r="H1045" s="145"/>
      <c r="I1045" s="145"/>
      <c r="J1045" s="145"/>
    </row>
    <row r="1046" spans="1:10" s="195" customFormat="1" ht="24.95" hidden="1" customHeight="1">
      <c r="A1046" s="141"/>
      <c r="B1046" s="141"/>
      <c r="C1046" s="142"/>
      <c r="D1046" s="141"/>
      <c r="E1046" s="150"/>
      <c r="F1046" s="150"/>
      <c r="G1046" s="145"/>
      <c r="H1046" s="145"/>
      <c r="I1046" s="145"/>
      <c r="J1046" s="145"/>
    </row>
    <row r="1047" spans="1:10" s="195" customFormat="1" ht="24.95" hidden="1" customHeight="1">
      <c r="A1047" s="141"/>
      <c r="B1047" s="141"/>
      <c r="C1047" s="142"/>
      <c r="D1047" s="141"/>
      <c r="E1047" s="150"/>
      <c r="F1047" s="150"/>
      <c r="G1047" s="145"/>
      <c r="H1047" s="145"/>
      <c r="I1047" s="145"/>
      <c r="J1047" s="145"/>
    </row>
    <row r="1048" spans="1:10" s="195" customFormat="1" ht="24.95" hidden="1" customHeight="1">
      <c r="A1048" s="141"/>
      <c r="B1048" s="141"/>
      <c r="C1048" s="142"/>
      <c r="D1048" s="141"/>
      <c r="E1048" s="150"/>
      <c r="F1048" s="150"/>
      <c r="G1048" s="145"/>
      <c r="H1048" s="145"/>
      <c r="I1048" s="145"/>
      <c r="J1048" s="145"/>
    </row>
    <row r="1049" spans="1:10" s="195" customFormat="1" ht="24.95" hidden="1" customHeight="1">
      <c r="A1049" s="141"/>
      <c r="B1049" s="141"/>
      <c r="C1049" s="142"/>
      <c r="D1049" s="141"/>
      <c r="E1049" s="150"/>
      <c r="F1049" s="150"/>
      <c r="G1049" s="145"/>
      <c r="H1049" s="145"/>
      <c r="I1049" s="145"/>
      <c r="J1049" s="145"/>
    </row>
    <row r="1050" spans="1:10" s="195" customFormat="1" ht="24.95" hidden="1" customHeight="1">
      <c r="A1050" s="141"/>
      <c r="B1050" s="141"/>
      <c r="C1050" s="142"/>
      <c r="D1050" s="141"/>
      <c r="E1050" s="150"/>
      <c r="F1050" s="150"/>
      <c r="G1050" s="145"/>
      <c r="H1050" s="145"/>
      <c r="I1050" s="145"/>
      <c r="J1050" s="145"/>
    </row>
    <row r="1051" spans="1:10" s="195" customFormat="1" ht="24.95" hidden="1" customHeight="1">
      <c r="A1051" s="141"/>
      <c r="B1051" s="141"/>
      <c r="C1051" s="142"/>
      <c r="D1051" s="141"/>
      <c r="E1051" s="150"/>
      <c r="F1051" s="150"/>
      <c r="G1051" s="145"/>
      <c r="H1051" s="145"/>
      <c r="I1051" s="145"/>
      <c r="J1051" s="145"/>
    </row>
    <row r="1052" spans="1:10" s="195" customFormat="1" ht="24.95" hidden="1" customHeight="1">
      <c r="A1052" s="141"/>
      <c r="B1052" s="141"/>
      <c r="C1052" s="142"/>
      <c r="D1052" s="141"/>
      <c r="E1052" s="150"/>
      <c r="F1052" s="150"/>
      <c r="G1052" s="145"/>
      <c r="H1052" s="145"/>
      <c r="I1052" s="145"/>
      <c r="J1052" s="145"/>
    </row>
    <row r="1053" spans="1:10" s="195" customFormat="1" ht="24.95" hidden="1" customHeight="1">
      <c r="A1053" s="141"/>
      <c r="B1053" s="141"/>
      <c r="C1053" s="142"/>
      <c r="D1053" s="141"/>
      <c r="E1053" s="150"/>
      <c r="F1053" s="150"/>
      <c r="G1053" s="145"/>
      <c r="H1053" s="145"/>
      <c r="I1053" s="145"/>
      <c r="J1053" s="145"/>
    </row>
    <row r="1054" spans="1:10" s="195" customFormat="1" ht="24.95" hidden="1" customHeight="1">
      <c r="A1054" s="141"/>
      <c r="B1054" s="141"/>
      <c r="C1054" s="142"/>
      <c r="D1054" s="141"/>
      <c r="E1054" s="150"/>
      <c r="F1054" s="150"/>
      <c r="G1054" s="145"/>
      <c r="H1054" s="145"/>
      <c r="I1054" s="145"/>
      <c r="J1054" s="145"/>
    </row>
    <row r="1055" spans="1:10" s="195" customFormat="1" ht="24.95" hidden="1" customHeight="1">
      <c r="A1055" s="141"/>
      <c r="B1055" s="141"/>
      <c r="C1055" s="142"/>
      <c r="D1055" s="141"/>
      <c r="E1055" s="150"/>
      <c r="F1055" s="150"/>
      <c r="G1055" s="145"/>
      <c r="H1055" s="145"/>
      <c r="I1055" s="145"/>
      <c r="J1055" s="145"/>
    </row>
    <row r="1056" spans="1:10" s="195" customFormat="1" ht="24.95" hidden="1" customHeight="1">
      <c r="A1056" s="141"/>
      <c r="B1056" s="141"/>
      <c r="C1056" s="142"/>
      <c r="D1056" s="141"/>
      <c r="E1056" s="150"/>
      <c r="F1056" s="150"/>
      <c r="G1056" s="145"/>
      <c r="H1056" s="145"/>
      <c r="I1056" s="145"/>
      <c r="J1056" s="145"/>
    </row>
    <row r="1057" spans="1:10" s="195" customFormat="1" ht="24.95" hidden="1" customHeight="1">
      <c r="A1057" s="141"/>
      <c r="B1057" s="141"/>
      <c r="C1057" s="142"/>
      <c r="D1057" s="141"/>
      <c r="E1057" s="150"/>
      <c r="F1057" s="150"/>
      <c r="G1057" s="145"/>
      <c r="H1057" s="145"/>
      <c r="I1057" s="145"/>
      <c r="J1057" s="145"/>
    </row>
    <row r="1058" spans="1:10" s="195" customFormat="1" ht="24.95" hidden="1" customHeight="1">
      <c r="A1058" s="141"/>
      <c r="B1058" s="141"/>
      <c r="C1058" s="142"/>
      <c r="D1058" s="141"/>
      <c r="E1058" s="150"/>
      <c r="F1058" s="150"/>
      <c r="G1058" s="145"/>
      <c r="H1058" s="145"/>
      <c r="I1058" s="145"/>
      <c r="J1058" s="145"/>
    </row>
    <row r="1059" spans="1:10" s="195" customFormat="1" ht="24.95" hidden="1" customHeight="1">
      <c r="A1059" s="141"/>
      <c r="B1059" s="141"/>
      <c r="C1059" s="142"/>
      <c r="D1059" s="141"/>
      <c r="E1059" s="150"/>
      <c r="F1059" s="150"/>
      <c r="G1059" s="145"/>
      <c r="H1059" s="145"/>
      <c r="I1059" s="145"/>
      <c r="J1059" s="145"/>
    </row>
    <row r="1060" spans="1:10" s="195" customFormat="1" ht="24.95" hidden="1" customHeight="1">
      <c r="A1060" s="141"/>
      <c r="B1060" s="141"/>
      <c r="C1060" s="142"/>
      <c r="D1060" s="141"/>
      <c r="E1060" s="150"/>
      <c r="F1060" s="150"/>
      <c r="G1060" s="145"/>
      <c r="H1060" s="145"/>
      <c r="I1060" s="145"/>
      <c r="J1060" s="145"/>
    </row>
    <row r="1061" spans="1:10" s="195" customFormat="1" ht="24.95" hidden="1" customHeight="1">
      <c r="A1061" s="141"/>
      <c r="B1061" s="141"/>
      <c r="C1061" s="142"/>
      <c r="D1061" s="141"/>
      <c r="E1061" s="150"/>
      <c r="F1061" s="150"/>
      <c r="G1061" s="145"/>
      <c r="H1061" s="145"/>
      <c r="I1061" s="145"/>
      <c r="J1061" s="145"/>
    </row>
    <row r="1062" spans="1:10" s="195" customFormat="1" ht="24.95" hidden="1" customHeight="1">
      <c r="A1062" s="141"/>
      <c r="B1062" s="141"/>
      <c r="C1062" s="142"/>
      <c r="D1062" s="141"/>
      <c r="E1062" s="150"/>
      <c r="F1062" s="150"/>
      <c r="G1062" s="145"/>
      <c r="H1062" s="145"/>
      <c r="I1062" s="145"/>
      <c r="J1062" s="145"/>
    </row>
    <row r="1063" spans="1:10" s="195" customFormat="1" ht="24.95" hidden="1" customHeight="1">
      <c r="A1063" s="141"/>
      <c r="B1063" s="141"/>
      <c r="C1063" s="142"/>
      <c r="D1063" s="141"/>
      <c r="E1063" s="150"/>
      <c r="F1063" s="150"/>
      <c r="G1063" s="145"/>
      <c r="H1063" s="145"/>
      <c r="I1063" s="145"/>
      <c r="J1063" s="145"/>
    </row>
    <row r="1064" spans="1:10" s="195" customFormat="1" ht="24.95" hidden="1" customHeight="1">
      <c r="A1064" s="141"/>
      <c r="B1064" s="141"/>
      <c r="C1064" s="142"/>
      <c r="D1064" s="141"/>
      <c r="E1064" s="150"/>
      <c r="F1064" s="150"/>
      <c r="G1064" s="145"/>
      <c r="H1064" s="145"/>
      <c r="I1064" s="145"/>
      <c r="J1064" s="145"/>
    </row>
    <row r="1065" spans="1:10" s="195" customFormat="1" ht="24.95" hidden="1" customHeight="1">
      <c r="A1065" s="141"/>
      <c r="B1065" s="141"/>
      <c r="C1065" s="142"/>
      <c r="D1065" s="141"/>
      <c r="E1065" s="150"/>
      <c r="F1065" s="150"/>
      <c r="G1065" s="145"/>
      <c r="H1065" s="145"/>
      <c r="I1065" s="145"/>
      <c r="J1065" s="145"/>
    </row>
    <row r="1066" spans="1:10" s="195" customFormat="1" ht="24.95" hidden="1" customHeight="1">
      <c r="A1066" s="141"/>
      <c r="B1066" s="141"/>
      <c r="C1066" s="142"/>
      <c r="D1066" s="141"/>
      <c r="E1066" s="150"/>
      <c r="F1066" s="150"/>
      <c r="G1066" s="145"/>
      <c r="H1066" s="145"/>
      <c r="I1066" s="145"/>
      <c r="J1066" s="145"/>
    </row>
    <row r="1067" spans="1:10" s="195" customFormat="1" ht="24.95" hidden="1" customHeight="1">
      <c r="A1067" s="141"/>
      <c r="B1067" s="141"/>
      <c r="C1067" s="142"/>
      <c r="D1067" s="141"/>
      <c r="E1067" s="150"/>
      <c r="F1067" s="150"/>
      <c r="G1067" s="145"/>
      <c r="H1067" s="145"/>
      <c r="I1067" s="145"/>
      <c r="J1067" s="145"/>
    </row>
    <row r="1068" spans="1:10" s="195" customFormat="1" ht="24.95" hidden="1" customHeight="1">
      <c r="A1068" s="141"/>
      <c r="B1068" s="141"/>
      <c r="C1068" s="142"/>
      <c r="D1068" s="141"/>
      <c r="E1068" s="150"/>
      <c r="F1068" s="150"/>
      <c r="G1068" s="145"/>
      <c r="H1068" s="145"/>
      <c r="I1068" s="145"/>
      <c r="J1068" s="145"/>
    </row>
    <row r="1069" spans="1:10" s="195" customFormat="1" ht="24.95" hidden="1" customHeight="1">
      <c r="A1069" s="141"/>
      <c r="B1069" s="141"/>
      <c r="C1069" s="142"/>
      <c r="D1069" s="141"/>
      <c r="E1069" s="150"/>
      <c r="F1069" s="150"/>
      <c r="G1069" s="145"/>
      <c r="H1069" s="145"/>
      <c r="I1069" s="145"/>
      <c r="J1069" s="145"/>
    </row>
    <row r="1070" spans="1:10" s="195" customFormat="1" ht="24.95" hidden="1" customHeight="1">
      <c r="A1070" s="141"/>
      <c r="B1070" s="141"/>
      <c r="C1070" s="142"/>
      <c r="D1070" s="141"/>
      <c r="E1070" s="150"/>
      <c r="F1070" s="150"/>
      <c r="G1070" s="145"/>
      <c r="H1070" s="145"/>
      <c r="I1070" s="145"/>
      <c r="J1070" s="145"/>
    </row>
    <row r="1071" spans="1:10" s="195" customFormat="1" ht="24.95" hidden="1" customHeight="1">
      <c r="A1071" s="141"/>
      <c r="B1071" s="141"/>
      <c r="C1071" s="142"/>
      <c r="D1071" s="141"/>
      <c r="E1071" s="150"/>
      <c r="F1071" s="150"/>
      <c r="G1071" s="145"/>
      <c r="H1071" s="145"/>
      <c r="I1071" s="145"/>
      <c r="J1071" s="145"/>
    </row>
    <row r="1072" spans="1:10" s="195" customFormat="1" ht="24.95" hidden="1" customHeight="1">
      <c r="A1072" s="141"/>
      <c r="B1072" s="141"/>
      <c r="C1072" s="142"/>
      <c r="D1072" s="141"/>
      <c r="E1072" s="150"/>
      <c r="F1072" s="150"/>
      <c r="G1072" s="145"/>
      <c r="H1072" s="145"/>
      <c r="I1072" s="145"/>
      <c r="J1072" s="145"/>
    </row>
    <row r="1073" spans="1:10" s="195" customFormat="1" ht="24.95" hidden="1" customHeight="1">
      <c r="A1073" s="141"/>
      <c r="B1073" s="141"/>
      <c r="C1073" s="142"/>
      <c r="D1073" s="141"/>
      <c r="E1073" s="150"/>
      <c r="F1073" s="150"/>
      <c r="G1073" s="145"/>
      <c r="H1073" s="145"/>
      <c r="I1073" s="145"/>
      <c r="J1073" s="145"/>
    </row>
    <row r="1074" spans="1:10" s="195" customFormat="1" ht="24.95" hidden="1" customHeight="1">
      <c r="A1074" s="141"/>
      <c r="B1074" s="141"/>
      <c r="C1074" s="142"/>
      <c r="D1074" s="141"/>
      <c r="E1074" s="150"/>
      <c r="F1074" s="150"/>
      <c r="G1074" s="145"/>
      <c r="H1074" s="145"/>
      <c r="I1074" s="145"/>
      <c r="J1074" s="145"/>
    </row>
    <row r="1075" spans="1:10" s="195" customFormat="1" ht="24.95" hidden="1" customHeight="1">
      <c r="A1075" s="141"/>
      <c r="B1075" s="141"/>
      <c r="C1075" s="142"/>
      <c r="D1075" s="141"/>
      <c r="E1075" s="150"/>
      <c r="F1075" s="150"/>
      <c r="G1075" s="145"/>
      <c r="H1075" s="145"/>
      <c r="I1075" s="145"/>
      <c r="J1075" s="145"/>
    </row>
    <row r="1076" spans="1:10" s="195" customFormat="1" ht="24.95" hidden="1" customHeight="1">
      <c r="A1076" s="141"/>
      <c r="B1076" s="141"/>
      <c r="C1076" s="142"/>
      <c r="D1076" s="141"/>
      <c r="E1076" s="150"/>
      <c r="F1076" s="150"/>
      <c r="G1076" s="145"/>
      <c r="H1076" s="145"/>
      <c r="I1076" s="145"/>
      <c r="J1076" s="145"/>
    </row>
    <row r="1077" spans="1:10" s="195" customFormat="1" ht="24.95" hidden="1" customHeight="1">
      <c r="A1077" s="141"/>
      <c r="B1077" s="141"/>
      <c r="C1077" s="142"/>
      <c r="D1077" s="141"/>
      <c r="E1077" s="150"/>
      <c r="F1077" s="150"/>
      <c r="G1077" s="145"/>
      <c r="H1077" s="145"/>
      <c r="I1077" s="145"/>
      <c r="J1077" s="145"/>
    </row>
    <row r="1078" spans="1:10" s="195" customFormat="1" ht="24.95" hidden="1" customHeight="1">
      <c r="A1078" s="141"/>
      <c r="B1078" s="141"/>
      <c r="C1078" s="142"/>
      <c r="D1078" s="141"/>
      <c r="E1078" s="150"/>
      <c r="F1078" s="150"/>
      <c r="G1078" s="145"/>
      <c r="H1078" s="145"/>
      <c r="I1078" s="145"/>
      <c r="J1078" s="145"/>
    </row>
    <row r="1079" spans="1:10" s="195" customFormat="1" ht="24.95" hidden="1" customHeight="1">
      <c r="A1079" s="141"/>
      <c r="B1079" s="141"/>
      <c r="C1079" s="142"/>
      <c r="D1079" s="141"/>
      <c r="E1079" s="150"/>
      <c r="F1079" s="150"/>
      <c r="G1079" s="145"/>
      <c r="H1079" s="145"/>
      <c r="I1079" s="145"/>
      <c r="J1079" s="145"/>
    </row>
    <row r="1080" spans="1:10" s="195" customFormat="1" ht="24.95" hidden="1" customHeight="1">
      <c r="A1080" s="141"/>
      <c r="B1080" s="141"/>
      <c r="C1080" s="142"/>
      <c r="D1080" s="141"/>
      <c r="E1080" s="150"/>
      <c r="F1080" s="150"/>
      <c r="G1080" s="145"/>
      <c r="H1080" s="145"/>
      <c r="I1080" s="145"/>
      <c r="J1080" s="145"/>
    </row>
    <row r="1081" spans="1:10" s="195" customFormat="1" ht="24.95" hidden="1" customHeight="1">
      <c r="A1081" s="141"/>
      <c r="B1081" s="141"/>
      <c r="C1081" s="142"/>
      <c r="D1081" s="141"/>
      <c r="E1081" s="150"/>
      <c r="F1081" s="150"/>
      <c r="G1081" s="145"/>
      <c r="H1081" s="145"/>
      <c r="I1081" s="145"/>
      <c r="J1081" s="145"/>
    </row>
    <row r="1082" spans="1:10" s="195" customFormat="1" ht="24.95" hidden="1" customHeight="1">
      <c r="A1082" s="141"/>
      <c r="B1082" s="141"/>
      <c r="C1082" s="142"/>
      <c r="D1082" s="141"/>
      <c r="E1082" s="150"/>
      <c r="F1082" s="150"/>
      <c r="G1082" s="145"/>
      <c r="H1082" s="145"/>
      <c r="I1082" s="145"/>
      <c r="J1082" s="145"/>
    </row>
    <row r="1083" spans="1:10" s="195" customFormat="1" ht="24.95" hidden="1" customHeight="1">
      <c r="A1083" s="141"/>
      <c r="B1083" s="141"/>
      <c r="C1083" s="142"/>
      <c r="D1083" s="141"/>
      <c r="E1083" s="150"/>
      <c r="F1083" s="150"/>
      <c r="G1083" s="145"/>
      <c r="H1083" s="145"/>
      <c r="I1083" s="145"/>
      <c r="J1083" s="145"/>
    </row>
    <row r="1084" spans="1:10" s="195" customFormat="1" ht="24.95" hidden="1" customHeight="1">
      <c r="A1084" s="141"/>
      <c r="B1084" s="141"/>
      <c r="C1084" s="142"/>
      <c r="D1084" s="141"/>
      <c r="E1084" s="150"/>
      <c r="F1084" s="150"/>
      <c r="G1084" s="145"/>
      <c r="H1084" s="145"/>
      <c r="I1084" s="145"/>
      <c r="J1084" s="145"/>
    </row>
    <row r="1085" spans="1:10" s="195" customFormat="1" ht="24.95" hidden="1" customHeight="1">
      <c r="A1085" s="141"/>
      <c r="B1085" s="141"/>
      <c r="C1085" s="142"/>
      <c r="D1085" s="141"/>
      <c r="E1085" s="150"/>
      <c r="F1085" s="150"/>
      <c r="G1085" s="145"/>
      <c r="H1085" s="145"/>
      <c r="I1085" s="145"/>
      <c r="J1085" s="145"/>
    </row>
    <row r="1086" spans="1:10" s="195" customFormat="1" ht="24.95" hidden="1" customHeight="1">
      <c r="A1086" s="141"/>
      <c r="B1086" s="141"/>
      <c r="C1086" s="142"/>
      <c r="D1086" s="141"/>
      <c r="E1086" s="150"/>
      <c r="F1086" s="150"/>
      <c r="G1086" s="145"/>
      <c r="H1086" s="145"/>
      <c r="I1086" s="145"/>
      <c r="J1086" s="145"/>
    </row>
    <row r="1087" spans="1:10" s="195" customFormat="1" ht="24.95" hidden="1" customHeight="1">
      <c r="A1087" s="141"/>
      <c r="B1087" s="141"/>
      <c r="C1087" s="142"/>
      <c r="D1087" s="141"/>
      <c r="E1087" s="150"/>
      <c r="F1087" s="150"/>
      <c r="G1087" s="145"/>
      <c r="H1087" s="145"/>
      <c r="I1087" s="145"/>
      <c r="J1087" s="145"/>
    </row>
    <row r="1088" spans="1:10" s="195" customFormat="1" ht="24.95" hidden="1" customHeight="1">
      <c r="A1088" s="141"/>
      <c r="B1088" s="141"/>
      <c r="C1088" s="142"/>
      <c r="D1088" s="141"/>
      <c r="E1088" s="150"/>
      <c r="F1088" s="150"/>
      <c r="G1088" s="145"/>
      <c r="H1088" s="145"/>
      <c r="I1088" s="145"/>
      <c r="J1088" s="145"/>
    </row>
    <row r="1089" spans="1:10" s="195" customFormat="1" ht="24.95" hidden="1" customHeight="1">
      <c r="A1089" s="141"/>
      <c r="B1089" s="141"/>
      <c r="C1089" s="142"/>
      <c r="D1089" s="141"/>
      <c r="E1089" s="150"/>
      <c r="F1089" s="150"/>
      <c r="G1089" s="145"/>
      <c r="H1089" s="145"/>
      <c r="I1089" s="145"/>
      <c r="J1089" s="145"/>
    </row>
    <row r="1090" spans="1:10" s="195" customFormat="1" ht="24.95" hidden="1" customHeight="1">
      <c r="A1090" s="141"/>
      <c r="B1090" s="141"/>
      <c r="C1090" s="142"/>
      <c r="D1090" s="141"/>
      <c r="E1090" s="150"/>
      <c r="F1090" s="150"/>
      <c r="G1090" s="145"/>
      <c r="H1090" s="145"/>
      <c r="I1090" s="145"/>
      <c r="J1090" s="145"/>
    </row>
    <row r="1091" spans="1:10" s="195" customFormat="1" ht="24.95" hidden="1" customHeight="1">
      <c r="A1091" s="141"/>
      <c r="B1091" s="141"/>
      <c r="C1091" s="142"/>
      <c r="D1091" s="141"/>
      <c r="E1091" s="150"/>
      <c r="F1091" s="150"/>
      <c r="G1091" s="145"/>
      <c r="H1091" s="145"/>
      <c r="I1091" s="145"/>
      <c r="J1091" s="145"/>
    </row>
    <row r="1092" spans="1:10" s="195" customFormat="1" ht="24.95" hidden="1" customHeight="1">
      <c r="A1092" s="141"/>
      <c r="B1092" s="141"/>
      <c r="C1092" s="142"/>
      <c r="D1092" s="141"/>
      <c r="E1092" s="150"/>
      <c r="F1092" s="150"/>
      <c r="G1092" s="145"/>
      <c r="H1092" s="145"/>
      <c r="I1092" s="145"/>
      <c r="J1092" s="145"/>
    </row>
    <row r="1093" spans="1:10" s="195" customFormat="1" ht="24.95" hidden="1" customHeight="1">
      <c r="A1093" s="141"/>
      <c r="B1093" s="141"/>
      <c r="C1093" s="142"/>
      <c r="D1093" s="141"/>
      <c r="E1093" s="150"/>
      <c r="F1093" s="150"/>
      <c r="G1093" s="145"/>
      <c r="H1093" s="145"/>
      <c r="I1093" s="145"/>
      <c r="J1093" s="145"/>
    </row>
    <row r="1094" spans="1:10" s="195" customFormat="1" ht="24.95" hidden="1" customHeight="1">
      <c r="A1094" s="141"/>
      <c r="B1094" s="141"/>
      <c r="C1094" s="142"/>
      <c r="D1094" s="141"/>
      <c r="E1094" s="150"/>
      <c r="F1094" s="150"/>
      <c r="G1094" s="145"/>
      <c r="H1094" s="145"/>
      <c r="I1094" s="145"/>
      <c r="J1094" s="145"/>
    </row>
    <row r="1095" spans="1:10" s="195" customFormat="1" ht="24.95" hidden="1" customHeight="1">
      <c r="A1095" s="141"/>
      <c r="B1095" s="141"/>
      <c r="C1095" s="142"/>
      <c r="D1095" s="141"/>
      <c r="E1095" s="150"/>
      <c r="F1095" s="150"/>
      <c r="G1095" s="145"/>
      <c r="H1095" s="145"/>
      <c r="I1095" s="145"/>
      <c r="J1095" s="145"/>
    </row>
    <row r="1096" spans="1:10" s="195" customFormat="1" ht="24.95" hidden="1" customHeight="1">
      <c r="A1096" s="141"/>
      <c r="B1096" s="141"/>
      <c r="C1096" s="142"/>
      <c r="D1096" s="141"/>
      <c r="E1096" s="150"/>
      <c r="F1096" s="150"/>
      <c r="G1096" s="145"/>
      <c r="H1096" s="145"/>
      <c r="I1096" s="145"/>
      <c r="J1096" s="145"/>
    </row>
    <row r="1097" spans="1:10" s="195" customFormat="1" ht="24.95" hidden="1" customHeight="1">
      <c r="A1097" s="141"/>
      <c r="B1097" s="141"/>
      <c r="C1097" s="142"/>
      <c r="D1097" s="141"/>
      <c r="E1097" s="150"/>
      <c r="F1097" s="150"/>
      <c r="G1097" s="145"/>
      <c r="H1097" s="145"/>
      <c r="I1097" s="145"/>
      <c r="J1097" s="145"/>
    </row>
    <row r="1098" spans="1:10" s="195" customFormat="1" ht="24.95" hidden="1" customHeight="1">
      <c r="A1098" s="141"/>
      <c r="B1098" s="141"/>
      <c r="C1098" s="142"/>
      <c r="D1098" s="141"/>
      <c r="E1098" s="150"/>
      <c r="F1098" s="150"/>
      <c r="G1098" s="145"/>
      <c r="H1098" s="145"/>
      <c r="I1098" s="145"/>
      <c r="J1098" s="145"/>
    </row>
    <row r="1099" spans="1:10" s="195" customFormat="1" ht="24.95" hidden="1" customHeight="1">
      <c r="A1099" s="141"/>
      <c r="B1099" s="141"/>
      <c r="C1099" s="142"/>
      <c r="D1099" s="141"/>
      <c r="E1099" s="150"/>
      <c r="F1099" s="150"/>
      <c r="G1099" s="145"/>
      <c r="H1099" s="145"/>
      <c r="I1099" s="145"/>
      <c r="J1099" s="145"/>
    </row>
    <row r="1100" spans="1:10" s="195" customFormat="1" ht="24.95" hidden="1" customHeight="1">
      <c r="A1100" s="141"/>
      <c r="B1100" s="141"/>
      <c r="C1100" s="142"/>
      <c r="D1100" s="141"/>
      <c r="E1100" s="150"/>
      <c r="F1100" s="150"/>
      <c r="G1100" s="145"/>
      <c r="H1100" s="145"/>
      <c r="I1100" s="145"/>
      <c r="J1100" s="145"/>
    </row>
    <row r="1101" spans="1:10" s="195" customFormat="1" ht="24.95" hidden="1" customHeight="1">
      <c r="A1101" s="141"/>
      <c r="B1101" s="141"/>
      <c r="C1101" s="142"/>
      <c r="D1101" s="141"/>
      <c r="E1101" s="150"/>
      <c r="F1101" s="150"/>
      <c r="G1101" s="145"/>
      <c r="H1101" s="145"/>
      <c r="I1101" s="145"/>
      <c r="J1101" s="145"/>
    </row>
    <row r="1102" spans="1:10" s="195" customFormat="1" ht="24.95" hidden="1" customHeight="1">
      <c r="A1102" s="141"/>
      <c r="B1102" s="141"/>
      <c r="C1102" s="142"/>
      <c r="D1102" s="141"/>
      <c r="E1102" s="150"/>
      <c r="F1102" s="150"/>
      <c r="G1102" s="145"/>
      <c r="H1102" s="145"/>
      <c r="I1102" s="145"/>
      <c r="J1102" s="145"/>
    </row>
    <row r="1103" spans="1:10" s="195" customFormat="1" ht="24.95" hidden="1" customHeight="1">
      <c r="A1103" s="141"/>
      <c r="B1103" s="141"/>
      <c r="C1103" s="142"/>
      <c r="D1103" s="141"/>
      <c r="E1103" s="150"/>
      <c r="F1103" s="150"/>
      <c r="G1103" s="145"/>
      <c r="H1103" s="145"/>
      <c r="I1103" s="145"/>
      <c r="J1103" s="145"/>
    </row>
    <row r="1104" spans="1:10" s="195" customFormat="1" ht="24.95" hidden="1" customHeight="1">
      <c r="A1104" s="141"/>
      <c r="B1104" s="141"/>
      <c r="C1104" s="142"/>
      <c r="D1104" s="141"/>
      <c r="E1104" s="150"/>
      <c r="F1104" s="150"/>
      <c r="G1104" s="145"/>
      <c r="H1104" s="145"/>
      <c r="I1104" s="145"/>
      <c r="J1104" s="145"/>
    </row>
    <row r="1105" spans="1:10" s="195" customFormat="1" ht="24.95" hidden="1" customHeight="1">
      <c r="A1105" s="141"/>
      <c r="B1105" s="141"/>
      <c r="C1105" s="142"/>
      <c r="D1105" s="141"/>
      <c r="E1105" s="150"/>
      <c r="F1105" s="150"/>
      <c r="G1105" s="145"/>
      <c r="H1105" s="145"/>
      <c r="I1105" s="145"/>
      <c r="J1105" s="145"/>
    </row>
    <row r="1106" spans="1:10" s="195" customFormat="1" ht="24.95" hidden="1" customHeight="1">
      <c r="A1106" s="141"/>
      <c r="B1106" s="141"/>
      <c r="C1106" s="142"/>
      <c r="D1106" s="141"/>
      <c r="E1106" s="150"/>
      <c r="F1106" s="150"/>
      <c r="G1106" s="145"/>
      <c r="H1106" s="145"/>
      <c r="I1106" s="145"/>
      <c r="J1106" s="145"/>
    </row>
    <row r="1107" spans="1:10" s="195" customFormat="1" ht="24.95" hidden="1" customHeight="1">
      <c r="A1107" s="141"/>
      <c r="B1107" s="141"/>
      <c r="C1107" s="142"/>
      <c r="D1107" s="141"/>
      <c r="E1107" s="150"/>
      <c r="F1107" s="150"/>
      <c r="G1107" s="145"/>
      <c r="H1107" s="145"/>
      <c r="I1107" s="145"/>
      <c r="J1107" s="145"/>
    </row>
    <row r="1108" spans="1:10" s="195" customFormat="1" ht="24.95" hidden="1" customHeight="1">
      <c r="A1108" s="141"/>
      <c r="B1108" s="141"/>
      <c r="C1108" s="142"/>
      <c r="D1108" s="141"/>
      <c r="E1108" s="150"/>
      <c r="F1108" s="150"/>
      <c r="G1108" s="145"/>
      <c r="H1108" s="145"/>
      <c r="I1108" s="145"/>
      <c r="J1108" s="145"/>
    </row>
    <row r="1109" spans="1:10" s="195" customFormat="1" ht="24.95" hidden="1" customHeight="1">
      <c r="A1109" s="141"/>
      <c r="B1109" s="141"/>
      <c r="C1109" s="142"/>
      <c r="D1109" s="141"/>
      <c r="E1109" s="150"/>
      <c r="F1109" s="150"/>
      <c r="G1109" s="145"/>
      <c r="H1109" s="145"/>
      <c r="I1109" s="145"/>
      <c r="J1109" s="145"/>
    </row>
    <row r="1110" spans="1:10" s="195" customFormat="1" ht="24.95" hidden="1" customHeight="1">
      <c r="A1110" s="141"/>
      <c r="B1110" s="141"/>
      <c r="C1110" s="142"/>
      <c r="D1110" s="141"/>
      <c r="E1110" s="150"/>
      <c r="F1110" s="150"/>
      <c r="G1110" s="145"/>
      <c r="H1110" s="145"/>
      <c r="I1110" s="145"/>
      <c r="J1110" s="145"/>
    </row>
    <row r="1111" spans="1:10" s="195" customFormat="1" ht="24.95" hidden="1" customHeight="1">
      <c r="A1111" s="141"/>
      <c r="B1111" s="141"/>
      <c r="C1111" s="142"/>
      <c r="D1111" s="141"/>
      <c r="E1111" s="150"/>
      <c r="F1111" s="150"/>
      <c r="G1111" s="145"/>
      <c r="H1111" s="145"/>
      <c r="I1111" s="145"/>
      <c r="J1111" s="145"/>
    </row>
    <row r="1112" spans="1:10" s="195" customFormat="1" ht="24.95" hidden="1" customHeight="1">
      <c r="A1112" s="141"/>
      <c r="B1112" s="141"/>
      <c r="C1112" s="142"/>
      <c r="D1112" s="141"/>
      <c r="E1112" s="150"/>
      <c r="F1112" s="150"/>
      <c r="G1112" s="145"/>
      <c r="H1112" s="145"/>
      <c r="I1112" s="145"/>
      <c r="J1112" s="145"/>
    </row>
    <row r="1113" spans="1:10" s="195" customFormat="1" ht="24.95" hidden="1" customHeight="1">
      <c r="A1113" s="141"/>
      <c r="B1113" s="141"/>
      <c r="C1113" s="142"/>
      <c r="D1113" s="141"/>
      <c r="E1113" s="150"/>
      <c r="F1113" s="150"/>
      <c r="G1113" s="145"/>
      <c r="H1113" s="145"/>
      <c r="I1113" s="145"/>
      <c r="J1113" s="145"/>
    </row>
    <row r="1114" spans="1:10" s="195" customFormat="1" ht="24.95" hidden="1" customHeight="1">
      <c r="A1114" s="141"/>
      <c r="B1114" s="141"/>
      <c r="C1114" s="142"/>
      <c r="D1114" s="141"/>
      <c r="E1114" s="150"/>
      <c r="F1114" s="150"/>
      <c r="G1114" s="145"/>
      <c r="H1114" s="145"/>
      <c r="I1114" s="145"/>
      <c r="J1114" s="145"/>
    </row>
    <row r="1115" spans="1:10" s="195" customFormat="1" ht="24.95" hidden="1" customHeight="1">
      <c r="A1115" s="141"/>
      <c r="B1115" s="141"/>
      <c r="C1115" s="142"/>
      <c r="D1115" s="141"/>
      <c r="E1115" s="150"/>
      <c r="F1115" s="150"/>
      <c r="G1115" s="145"/>
      <c r="H1115" s="145"/>
      <c r="I1115" s="145"/>
      <c r="J1115" s="145"/>
    </row>
    <row r="1116" spans="1:10" s="195" customFormat="1" ht="24.95" hidden="1" customHeight="1">
      <c r="A1116" s="141"/>
      <c r="B1116" s="141"/>
      <c r="C1116" s="142"/>
      <c r="D1116" s="141"/>
      <c r="E1116" s="150"/>
      <c r="F1116" s="150"/>
      <c r="G1116" s="145"/>
      <c r="H1116" s="145"/>
      <c r="I1116" s="145"/>
      <c r="J1116" s="145"/>
    </row>
    <row r="1117" spans="1:10" s="195" customFormat="1" ht="24.95" hidden="1" customHeight="1">
      <c r="A1117" s="141"/>
      <c r="B1117" s="141"/>
      <c r="C1117" s="142"/>
      <c r="D1117" s="141"/>
      <c r="E1117" s="150"/>
      <c r="F1117" s="150"/>
      <c r="G1117" s="145"/>
      <c r="H1117" s="145"/>
      <c r="I1117" s="145"/>
      <c r="J1117" s="145"/>
    </row>
    <row r="1118" spans="1:10" s="195" customFormat="1" ht="24.95" hidden="1" customHeight="1">
      <c r="A1118" s="141"/>
      <c r="B1118" s="141"/>
      <c r="C1118" s="142"/>
      <c r="D1118" s="141"/>
      <c r="E1118" s="150"/>
      <c r="F1118" s="150"/>
      <c r="G1118" s="145"/>
      <c r="H1118" s="145"/>
      <c r="I1118" s="145"/>
      <c r="J1118" s="145"/>
    </row>
    <row r="1119" spans="1:10" s="195" customFormat="1" ht="24.95" hidden="1" customHeight="1">
      <c r="A1119" s="141"/>
      <c r="B1119" s="141"/>
      <c r="C1119" s="142"/>
      <c r="D1119" s="141"/>
      <c r="E1119" s="150"/>
      <c r="F1119" s="150"/>
      <c r="G1119" s="145"/>
      <c r="H1119" s="145"/>
      <c r="I1119" s="145"/>
      <c r="J1119" s="145"/>
    </row>
    <row r="1120" spans="1:10" s="195" customFormat="1" ht="24.95" hidden="1" customHeight="1">
      <c r="A1120" s="141"/>
      <c r="B1120" s="141"/>
      <c r="C1120" s="142"/>
      <c r="D1120" s="141"/>
      <c r="E1120" s="150"/>
      <c r="F1120" s="150"/>
      <c r="G1120" s="145"/>
      <c r="H1120" s="145"/>
      <c r="I1120" s="145"/>
      <c r="J1120" s="145"/>
    </row>
    <row r="1121" spans="1:10" s="195" customFormat="1" ht="24.95" hidden="1" customHeight="1">
      <c r="A1121" s="141"/>
      <c r="B1121" s="141"/>
      <c r="C1121" s="142"/>
      <c r="D1121" s="141"/>
      <c r="E1121" s="150"/>
      <c r="F1121" s="150"/>
      <c r="G1121" s="145"/>
      <c r="H1121" s="145"/>
      <c r="I1121" s="145"/>
      <c r="J1121" s="145"/>
    </row>
    <row r="1122" spans="1:10" s="195" customFormat="1" ht="24.95" hidden="1" customHeight="1">
      <c r="A1122" s="141"/>
      <c r="B1122" s="141"/>
      <c r="C1122" s="142"/>
      <c r="D1122" s="141"/>
      <c r="E1122" s="150"/>
      <c r="F1122" s="150"/>
      <c r="G1122" s="145"/>
      <c r="H1122" s="145"/>
      <c r="I1122" s="145"/>
      <c r="J1122" s="145"/>
    </row>
    <row r="1123" spans="1:10" s="195" customFormat="1" ht="24.95" hidden="1" customHeight="1">
      <c r="A1123" s="141"/>
      <c r="B1123" s="141"/>
      <c r="C1123" s="142"/>
      <c r="D1123" s="141"/>
      <c r="E1123" s="150"/>
      <c r="F1123" s="150"/>
      <c r="G1123" s="145"/>
      <c r="H1123" s="145"/>
      <c r="I1123" s="145"/>
      <c r="J1123" s="145"/>
    </row>
    <row r="1124" spans="1:10" s="195" customFormat="1" ht="24.95" hidden="1" customHeight="1">
      <c r="A1124" s="141"/>
      <c r="B1124" s="141"/>
      <c r="C1124" s="142"/>
      <c r="D1124" s="141"/>
      <c r="E1124" s="150"/>
      <c r="F1124" s="150"/>
      <c r="G1124" s="145"/>
      <c r="H1124" s="145"/>
      <c r="I1124" s="145"/>
      <c r="J1124" s="145"/>
    </row>
    <row r="1125" spans="1:10" s="195" customFormat="1" ht="24.95" hidden="1" customHeight="1">
      <c r="A1125" s="141"/>
      <c r="B1125" s="141"/>
      <c r="C1125" s="142"/>
      <c r="D1125" s="141"/>
      <c r="E1125" s="150"/>
      <c r="F1125" s="150"/>
      <c r="G1125" s="145"/>
      <c r="H1125" s="145"/>
      <c r="I1125" s="145"/>
      <c r="J1125" s="145"/>
    </row>
    <row r="1126" spans="1:10" s="195" customFormat="1" ht="24.95" hidden="1" customHeight="1">
      <c r="A1126" s="141"/>
      <c r="B1126" s="141"/>
      <c r="C1126" s="142"/>
      <c r="D1126" s="141"/>
      <c r="E1126" s="150"/>
      <c r="F1126" s="150"/>
      <c r="G1126" s="145"/>
      <c r="H1126" s="145"/>
      <c r="I1126" s="145"/>
      <c r="J1126" s="145"/>
    </row>
    <row r="1127" spans="1:10" s="195" customFormat="1" ht="24.95" hidden="1" customHeight="1">
      <c r="A1127" s="141"/>
      <c r="B1127" s="141"/>
      <c r="C1127" s="142"/>
      <c r="D1127" s="141"/>
      <c r="E1127" s="150"/>
      <c r="F1127" s="150"/>
      <c r="G1127" s="145"/>
      <c r="H1127" s="145"/>
      <c r="I1127" s="145"/>
      <c r="J1127" s="145"/>
    </row>
    <row r="1128" spans="1:10" s="195" customFormat="1" ht="24.95" hidden="1" customHeight="1">
      <c r="A1128" s="141"/>
      <c r="B1128" s="141"/>
      <c r="C1128" s="142"/>
      <c r="D1128" s="141"/>
      <c r="E1128" s="150"/>
      <c r="F1128" s="150"/>
      <c r="G1128" s="145"/>
      <c r="H1128" s="145"/>
      <c r="I1128" s="145"/>
      <c r="J1128" s="145"/>
    </row>
    <row r="1129" spans="1:10" s="195" customFormat="1" ht="24.95" hidden="1" customHeight="1">
      <c r="A1129" s="141"/>
      <c r="B1129" s="141"/>
      <c r="C1129" s="142"/>
      <c r="D1129" s="141"/>
      <c r="E1129" s="150"/>
      <c r="F1129" s="150"/>
      <c r="G1129" s="145"/>
      <c r="H1129" s="145"/>
      <c r="I1129" s="145"/>
      <c r="J1129" s="145"/>
    </row>
    <row r="1130" spans="1:10" s="195" customFormat="1" ht="24.95" hidden="1" customHeight="1">
      <c r="A1130" s="141"/>
      <c r="B1130" s="141"/>
      <c r="C1130" s="142"/>
      <c r="D1130" s="141"/>
      <c r="E1130" s="150"/>
      <c r="F1130" s="150"/>
      <c r="G1130" s="145"/>
      <c r="H1130" s="145"/>
      <c r="I1130" s="145"/>
      <c r="J1130" s="145"/>
    </row>
    <row r="1131" spans="1:10" s="195" customFormat="1" ht="24.95" hidden="1" customHeight="1">
      <c r="A1131" s="141"/>
      <c r="B1131" s="141"/>
      <c r="C1131" s="142"/>
      <c r="D1131" s="141"/>
      <c r="E1131" s="150"/>
      <c r="F1131" s="150"/>
      <c r="G1131" s="145"/>
      <c r="H1131" s="145"/>
      <c r="I1131" s="145"/>
      <c r="J1131" s="145"/>
    </row>
    <row r="1132" spans="1:10" s="195" customFormat="1" ht="24.95" hidden="1" customHeight="1">
      <c r="A1132" s="141"/>
      <c r="B1132" s="141"/>
      <c r="C1132" s="142"/>
      <c r="D1132" s="141"/>
      <c r="E1132" s="150"/>
      <c r="F1132" s="150"/>
      <c r="G1132" s="145"/>
      <c r="H1132" s="145"/>
      <c r="I1132" s="145"/>
      <c r="J1132" s="145"/>
    </row>
    <row r="1133" spans="1:10" s="195" customFormat="1" ht="24.95" hidden="1" customHeight="1">
      <c r="A1133" s="141"/>
      <c r="B1133" s="141"/>
      <c r="C1133" s="142"/>
      <c r="D1133" s="141"/>
      <c r="E1133" s="150"/>
      <c r="F1133" s="150"/>
      <c r="G1133" s="145"/>
      <c r="H1133" s="145"/>
      <c r="I1133" s="145"/>
      <c r="J1133" s="145"/>
    </row>
    <row r="1134" spans="1:10" s="195" customFormat="1" ht="24.95" hidden="1" customHeight="1">
      <c r="A1134" s="141"/>
      <c r="B1134" s="141"/>
      <c r="C1134" s="142"/>
      <c r="D1134" s="141"/>
      <c r="E1134" s="150"/>
      <c r="F1134" s="150"/>
      <c r="G1134" s="145"/>
      <c r="H1134" s="145"/>
      <c r="I1134" s="145"/>
      <c r="J1134" s="145"/>
    </row>
    <row r="1135" spans="1:10" s="195" customFormat="1" ht="24.95" hidden="1" customHeight="1">
      <c r="A1135" s="141"/>
      <c r="B1135" s="141"/>
      <c r="C1135" s="142"/>
      <c r="D1135" s="141"/>
      <c r="E1135" s="150"/>
      <c r="F1135" s="150"/>
      <c r="G1135" s="145"/>
      <c r="H1135" s="145"/>
      <c r="I1135" s="145"/>
      <c r="J1135" s="145"/>
    </row>
    <row r="1136" spans="1:10" s="195" customFormat="1" ht="24.95" hidden="1" customHeight="1">
      <c r="A1136" s="141"/>
      <c r="B1136" s="141"/>
      <c r="C1136" s="142"/>
      <c r="D1136" s="141"/>
      <c r="E1136" s="150"/>
      <c r="F1136" s="150"/>
      <c r="G1136" s="145"/>
      <c r="H1136" s="145"/>
      <c r="I1136" s="145"/>
      <c r="J1136" s="145"/>
    </row>
    <row r="1137" spans="1:10" s="195" customFormat="1" ht="24.95" hidden="1" customHeight="1">
      <c r="A1137" s="141"/>
      <c r="B1137" s="141"/>
      <c r="C1137" s="142"/>
      <c r="D1137" s="141"/>
      <c r="E1137" s="150"/>
      <c r="F1137" s="150"/>
      <c r="G1137" s="145"/>
      <c r="H1137" s="145"/>
      <c r="I1137" s="145"/>
      <c r="J1137" s="145"/>
    </row>
    <row r="1138" spans="1:10" s="195" customFormat="1" ht="24.95" hidden="1" customHeight="1">
      <c r="A1138" s="141"/>
      <c r="B1138" s="141"/>
      <c r="C1138" s="142"/>
      <c r="D1138" s="141"/>
      <c r="E1138" s="150"/>
      <c r="F1138" s="150"/>
      <c r="G1138" s="145"/>
      <c r="H1138" s="145"/>
      <c r="I1138" s="145"/>
      <c r="J1138" s="145"/>
    </row>
    <row r="1139" spans="1:10" s="195" customFormat="1" ht="24.95" hidden="1" customHeight="1">
      <c r="A1139" s="141"/>
      <c r="B1139" s="141"/>
      <c r="C1139" s="142"/>
      <c r="D1139" s="141"/>
      <c r="E1139" s="150"/>
      <c r="F1139" s="150"/>
      <c r="G1139" s="145"/>
      <c r="H1139" s="145"/>
      <c r="I1139" s="145"/>
      <c r="J1139" s="145"/>
    </row>
    <row r="1140" spans="1:10" s="195" customFormat="1" ht="24.95" hidden="1" customHeight="1">
      <c r="A1140" s="141"/>
      <c r="B1140" s="141"/>
      <c r="C1140" s="142"/>
      <c r="D1140" s="141"/>
      <c r="E1140" s="150"/>
      <c r="F1140" s="150"/>
      <c r="G1140" s="145"/>
      <c r="H1140" s="145"/>
      <c r="I1140" s="145"/>
      <c r="J1140" s="145"/>
    </row>
    <row r="1141" spans="1:10" s="195" customFormat="1" ht="24.95" hidden="1" customHeight="1">
      <c r="A1141" s="141"/>
      <c r="B1141" s="141"/>
      <c r="C1141" s="142"/>
      <c r="D1141" s="141"/>
      <c r="E1141" s="150"/>
      <c r="F1141" s="150"/>
      <c r="G1141" s="145"/>
      <c r="H1141" s="145"/>
      <c r="I1141" s="145"/>
      <c r="J1141" s="145"/>
    </row>
    <row r="1142" spans="1:10" s="195" customFormat="1" ht="24.95" hidden="1" customHeight="1">
      <c r="A1142" s="141"/>
      <c r="B1142" s="141"/>
      <c r="C1142" s="142"/>
      <c r="D1142" s="141"/>
      <c r="E1142" s="150"/>
      <c r="F1142" s="150"/>
      <c r="G1142" s="145"/>
      <c r="H1142" s="145"/>
      <c r="I1142" s="145"/>
      <c r="J1142" s="145"/>
    </row>
    <row r="1143" spans="1:10" s="195" customFormat="1" ht="24.95" hidden="1" customHeight="1">
      <c r="A1143" s="141"/>
      <c r="B1143" s="141"/>
      <c r="C1143" s="142"/>
      <c r="D1143" s="141"/>
      <c r="E1143" s="150"/>
      <c r="F1143" s="150"/>
      <c r="G1143" s="145"/>
      <c r="H1143" s="145"/>
      <c r="I1143" s="145"/>
      <c r="J1143" s="145"/>
    </row>
    <row r="1144" spans="1:10" s="195" customFormat="1" ht="24.95" hidden="1" customHeight="1">
      <c r="A1144" s="141"/>
      <c r="B1144" s="141"/>
      <c r="C1144" s="142"/>
      <c r="D1144" s="141"/>
      <c r="E1144" s="150"/>
      <c r="F1144" s="150"/>
      <c r="G1144" s="145"/>
      <c r="H1144" s="145"/>
      <c r="I1144" s="145"/>
      <c r="J1144" s="145"/>
    </row>
    <row r="1145" spans="1:10" s="195" customFormat="1" ht="24.95" hidden="1" customHeight="1">
      <c r="A1145" s="141"/>
      <c r="B1145" s="141"/>
      <c r="C1145" s="142"/>
      <c r="D1145" s="141"/>
      <c r="E1145" s="150"/>
      <c r="F1145" s="150"/>
      <c r="G1145" s="145"/>
      <c r="H1145" s="145"/>
      <c r="I1145" s="145"/>
      <c r="J1145" s="145"/>
    </row>
    <row r="1146" spans="1:10" s="195" customFormat="1" ht="24.95" hidden="1" customHeight="1">
      <c r="A1146" s="141"/>
      <c r="B1146" s="141"/>
      <c r="C1146" s="142"/>
      <c r="D1146" s="141"/>
      <c r="E1146" s="150"/>
      <c r="F1146" s="150"/>
      <c r="G1146" s="145"/>
      <c r="H1146" s="145"/>
      <c r="I1146" s="145"/>
      <c r="J1146" s="145"/>
    </row>
    <row r="1147" spans="1:10" s="195" customFormat="1" ht="24.95" hidden="1" customHeight="1">
      <c r="A1147" s="141"/>
      <c r="B1147" s="141"/>
      <c r="C1147" s="142"/>
      <c r="D1147" s="141"/>
      <c r="E1147" s="150"/>
      <c r="F1147" s="150"/>
      <c r="G1147" s="145"/>
      <c r="H1147" s="145"/>
      <c r="I1147" s="145"/>
      <c r="J1147" s="145"/>
    </row>
    <row r="1148" spans="1:10" s="195" customFormat="1" ht="24.95" hidden="1" customHeight="1">
      <c r="A1148" s="141"/>
      <c r="B1148" s="141"/>
      <c r="C1148" s="142"/>
      <c r="D1148" s="141"/>
      <c r="E1148" s="150"/>
      <c r="F1148" s="150"/>
      <c r="G1148" s="145"/>
      <c r="H1148" s="145"/>
      <c r="I1148" s="145"/>
      <c r="J1148" s="145"/>
    </row>
    <row r="1149" spans="1:10" s="195" customFormat="1" ht="24.95" hidden="1" customHeight="1">
      <c r="A1149" s="141"/>
      <c r="B1149" s="141"/>
      <c r="C1149" s="142"/>
      <c r="D1149" s="141"/>
      <c r="E1149" s="150"/>
      <c r="F1149" s="150"/>
      <c r="G1149" s="145"/>
      <c r="H1149" s="145"/>
      <c r="I1149" s="145"/>
      <c r="J1149" s="145"/>
    </row>
    <row r="1150" spans="1:10" s="195" customFormat="1" ht="24.95" hidden="1" customHeight="1">
      <c r="A1150" s="141"/>
      <c r="B1150" s="141"/>
      <c r="C1150" s="142"/>
      <c r="D1150" s="141"/>
      <c r="E1150" s="150"/>
      <c r="F1150" s="150"/>
      <c r="G1150" s="145"/>
      <c r="H1150" s="145"/>
      <c r="I1150" s="145"/>
      <c r="J1150" s="145"/>
    </row>
    <row r="1151" spans="1:10" s="195" customFormat="1" ht="24.95" hidden="1" customHeight="1">
      <c r="A1151" s="141"/>
      <c r="B1151" s="141"/>
      <c r="C1151" s="142"/>
      <c r="D1151" s="141"/>
      <c r="E1151" s="150"/>
      <c r="F1151" s="150"/>
      <c r="G1151" s="145"/>
      <c r="H1151" s="145"/>
      <c r="I1151" s="145"/>
      <c r="J1151" s="145"/>
    </row>
    <row r="1152" spans="1:10" s="195" customFormat="1" ht="24.95" hidden="1" customHeight="1">
      <c r="A1152" s="141"/>
      <c r="B1152" s="141"/>
      <c r="C1152" s="142"/>
      <c r="D1152" s="141"/>
      <c r="E1152" s="150"/>
      <c r="F1152" s="150"/>
      <c r="G1152" s="145"/>
      <c r="H1152" s="145"/>
      <c r="I1152" s="145"/>
      <c r="J1152" s="145"/>
    </row>
    <row r="1153" spans="1:10" s="195" customFormat="1" ht="24.95" hidden="1" customHeight="1">
      <c r="A1153" s="141"/>
      <c r="B1153" s="141"/>
      <c r="C1153" s="142"/>
      <c r="D1153" s="141"/>
      <c r="E1153" s="150"/>
      <c r="F1153" s="150"/>
      <c r="G1153" s="145"/>
      <c r="H1153" s="145"/>
      <c r="I1153" s="145"/>
      <c r="J1153" s="145"/>
    </row>
    <row r="1154" spans="1:10" s="195" customFormat="1" ht="24.95" hidden="1" customHeight="1">
      <c r="A1154" s="141"/>
      <c r="B1154" s="141"/>
      <c r="C1154" s="142"/>
      <c r="D1154" s="141"/>
      <c r="E1154" s="150"/>
      <c r="F1154" s="150"/>
      <c r="G1154" s="145"/>
      <c r="H1154" s="145"/>
      <c r="I1154" s="145"/>
      <c r="J1154" s="145"/>
    </row>
    <row r="1155" spans="1:10" s="195" customFormat="1" ht="24.95" hidden="1" customHeight="1">
      <c r="A1155" s="141"/>
      <c r="B1155" s="141"/>
      <c r="C1155" s="142"/>
      <c r="D1155" s="141"/>
      <c r="E1155" s="150"/>
      <c r="F1155" s="150"/>
      <c r="G1155" s="145"/>
      <c r="H1155" s="145"/>
      <c r="I1155" s="145"/>
      <c r="J1155" s="145"/>
    </row>
    <row r="1156" spans="1:10" s="195" customFormat="1" ht="24.95" hidden="1" customHeight="1">
      <c r="A1156" s="141"/>
      <c r="B1156" s="141"/>
      <c r="C1156" s="142"/>
      <c r="D1156" s="141"/>
      <c r="E1156" s="150"/>
      <c r="F1156" s="150"/>
      <c r="G1156" s="145"/>
      <c r="H1156" s="145"/>
      <c r="I1156" s="145"/>
      <c r="J1156" s="145"/>
    </row>
    <row r="1157" spans="1:10" s="195" customFormat="1" ht="24.95" hidden="1" customHeight="1">
      <c r="A1157" s="141"/>
      <c r="B1157" s="141"/>
      <c r="C1157" s="142"/>
      <c r="D1157" s="141"/>
      <c r="E1157" s="150"/>
      <c r="F1157" s="150"/>
      <c r="G1157" s="145"/>
      <c r="H1157" s="145"/>
      <c r="I1157" s="145"/>
      <c r="J1157" s="145"/>
    </row>
    <row r="1158" spans="1:10" s="195" customFormat="1" ht="24.95" hidden="1" customHeight="1">
      <c r="A1158" s="141"/>
      <c r="B1158" s="141"/>
      <c r="C1158" s="142"/>
      <c r="D1158" s="141"/>
      <c r="E1158" s="150"/>
      <c r="F1158" s="150"/>
      <c r="G1158" s="145"/>
      <c r="H1158" s="145"/>
      <c r="I1158" s="145"/>
      <c r="J1158" s="145"/>
    </row>
    <row r="1159" spans="1:10" s="195" customFormat="1" ht="24.95" hidden="1" customHeight="1">
      <c r="A1159" s="141"/>
      <c r="B1159" s="141"/>
      <c r="C1159" s="142"/>
      <c r="D1159" s="141"/>
      <c r="E1159" s="150"/>
      <c r="F1159" s="150"/>
      <c r="G1159" s="145"/>
      <c r="H1159" s="145"/>
      <c r="I1159" s="145"/>
      <c r="J1159" s="145"/>
    </row>
    <row r="1160" spans="1:10" s="195" customFormat="1" ht="24.95" hidden="1" customHeight="1">
      <c r="A1160" s="141"/>
      <c r="B1160" s="141"/>
      <c r="C1160" s="142"/>
      <c r="D1160" s="141"/>
      <c r="E1160" s="150"/>
      <c r="F1160" s="150"/>
      <c r="G1160" s="145"/>
      <c r="H1160" s="145"/>
      <c r="I1160" s="145"/>
      <c r="J1160" s="145"/>
    </row>
    <row r="1161" spans="1:10" s="195" customFormat="1" ht="24.95" hidden="1" customHeight="1">
      <c r="A1161" s="141"/>
      <c r="B1161" s="141"/>
      <c r="C1161" s="142"/>
      <c r="D1161" s="141"/>
      <c r="E1161" s="150"/>
      <c r="F1161" s="150"/>
      <c r="G1161" s="145"/>
      <c r="H1161" s="145"/>
      <c r="I1161" s="145"/>
      <c r="J1161" s="145"/>
    </row>
    <row r="1162" spans="1:10" s="195" customFormat="1" ht="24.95" hidden="1" customHeight="1">
      <c r="A1162" s="141"/>
      <c r="B1162" s="141"/>
      <c r="C1162" s="142"/>
      <c r="D1162" s="141"/>
      <c r="E1162" s="150"/>
      <c r="F1162" s="150"/>
      <c r="G1162" s="145"/>
      <c r="H1162" s="145"/>
      <c r="I1162" s="145"/>
      <c r="J1162" s="145"/>
    </row>
    <row r="1163" spans="1:10" s="195" customFormat="1" ht="24.95" hidden="1" customHeight="1">
      <c r="A1163" s="141"/>
      <c r="B1163" s="141"/>
      <c r="C1163" s="142"/>
      <c r="D1163" s="141"/>
      <c r="E1163" s="150"/>
      <c r="F1163" s="150"/>
      <c r="G1163" s="145"/>
      <c r="H1163" s="145"/>
      <c r="I1163" s="145"/>
      <c r="J1163" s="145"/>
    </row>
    <row r="1164" spans="1:10" s="195" customFormat="1" ht="24.95" hidden="1" customHeight="1">
      <c r="A1164" s="141"/>
      <c r="B1164" s="141"/>
      <c r="C1164" s="142"/>
      <c r="D1164" s="141"/>
      <c r="E1164" s="150"/>
      <c r="F1164" s="150"/>
      <c r="G1164" s="145"/>
      <c r="H1164" s="145"/>
      <c r="I1164" s="145"/>
      <c r="J1164" s="145"/>
    </row>
    <row r="1165" spans="1:10" s="195" customFormat="1" ht="24.95" hidden="1" customHeight="1">
      <c r="A1165" s="141"/>
      <c r="B1165" s="141"/>
      <c r="C1165" s="142"/>
      <c r="D1165" s="141"/>
      <c r="E1165" s="150"/>
      <c r="F1165" s="150"/>
      <c r="G1165" s="145"/>
      <c r="H1165" s="145"/>
      <c r="I1165" s="145"/>
      <c r="J1165" s="145"/>
    </row>
    <row r="1166" spans="1:10" s="195" customFormat="1" ht="24.95" hidden="1" customHeight="1">
      <c r="A1166" s="141"/>
      <c r="B1166" s="141"/>
      <c r="C1166" s="142"/>
      <c r="D1166" s="141"/>
      <c r="E1166" s="150"/>
      <c r="F1166" s="150"/>
      <c r="G1166" s="145"/>
      <c r="H1166" s="145"/>
      <c r="I1166" s="145"/>
      <c r="J1166" s="145"/>
    </row>
    <row r="1167" spans="1:10" s="195" customFormat="1" ht="24.95" hidden="1" customHeight="1">
      <c r="A1167" s="141"/>
      <c r="B1167" s="141"/>
      <c r="C1167" s="142"/>
      <c r="D1167" s="141"/>
      <c r="E1167" s="150"/>
      <c r="F1167" s="150"/>
      <c r="G1167" s="145"/>
      <c r="H1167" s="145"/>
      <c r="I1167" s="145"/>
      <c r="J1167" s="145"/>
    </row>
    <row r="1168" spans="1:10" s="195" customFormat="1" ht="24.95" hidden="1" customHeight="1">
      <c r="A1168" s="141"/>
      <c r="B1168" s="141"/>
      <c r="C1168" s="142"/>
      <c r="D1168" s="141"/>
      <c r="E1168" s="150"/>
      <c r="F1168" s="150"/>
      <c r="G1168" s="145"/>
      <c r="H1168" s="145"/>
      <c r="I1168" s="145"/>
      <c r="J1168" s="145"/>
    </row>
    <row r="1169" spans="1:10" s="195" customFormat="1" ht="24.95" hidden="1" customHeight="1">
      <c r="A1169" s="141"/>
      <c r="B1169" s="141"/>
      <c r="C1169" s="142"/>
      <c r="D1169" s="141"/>
      <c r="E1169" s="150"/>
      <c r="F1169" s="150"/>
      <c r="G1169" s="145"/>
      <c r="H1169" s="145"/>
      <c r="I1169" s="145"/>
      <c r="J1169" s="145"/>
    </row>
    <row r="1170" spans="1:10" s="195" customFormat="1" ht="24.95" hidden="1" customHeight="1">
      <c r="A1170" s="141"/>
      <c r="B1170" s="141"/>
      <c r="C1170" s="142"/>
      <c r="D1170" s="141"/>
      <c r="E1170" s="150"/>
      <c r="F1170" s="150"/>
      <c r="G1170" s="145"/>
      <c r="H1170" s="145"/>
      <c r="I1170" s="145"/>
      <c r="J1170" s="145"/>
    </row>
    <row r="1171" spans="1:10" s="195" customFormat="1" ht="24.95" hidden="1" customHeight="1">
      <c r="A1171" s="141"/>
      <c r="B1171" s="141"/>
      <c r="C1171" s="142"/>
      <c r="D1171" s="141"/>
      <c r="E1171" s="150"/>
      <c r="F1171" s="150"/>
      <c r="G1171" s="145"/>
      <c r="H1171" s="145"/>
      <c r="I1171" s="145"/>
      <c r="J1171" s="145"/>
    </row>
    <row r="1172" spans="1:10" s="195" customFormat="1" ht="24.95" hidden="1" customHeight="1">
      <c r="A1172" s="141"/>
      <c r="B1172" s="141"/>
      <c r="C1172" s="142"/>
      <c r="D1172" s="141"/>
      <c r="E1172" s="150"/>
      <c r="F1172" s="150"/>
      <c r="G1172" s="145"/>
      <c r="H1172" s="145"/>
      <c r="I1172" s="145"/>
      <c r="J1172" s="145"/>
    </row>
    <row r="1173" spans="1:10" s="195" customFormat="1" ht="24.95" hidden="1" customHeight="1">
      <c r="A1173" s="141"/>
      <c r="B1173" s="141"/>
      <c r="C1173" s="142"/>
      <c r="D1173" s="141"/>
      <c r="E1173" s="150"/>
      <c r="F1173" s="150"/>
      <c r="G1173" s="145"/>
      <c r="H1173" s="145"/>
      <c r="I1173" s="145"/>
      <c r="J1173" s="145"/>
    </row>
    <row r="1174" spans="1:10" s="195" customFormat="1" ht="24.95" hidden="1" customHeight="1">
      <c r="A1174" s="141"/>
      <c r="B1174" s="141"/>
      <c r="C1174" s="142"/>
      <c r="D1174" s="141"/>
      <c r="E1174" s="150"/>
      <c r="F1174" s="150"/>
      <c r="G1174" s="145"/>
      <c r="H1174" s="145"/>
      <c r="I1174" s="145"/>
      <c r="J1174" s="145"/>
    </row>
    <row r="1175" spans="1:10" s="195" customFormat="1" ht="24.95" hidden="1" customHeight="1">
      <c r="A1175" s="141"/>
      <c r="B1175" s="141"/>
      <c r="C1175" s="142"/>
      <c r="D1175" s="141"/>
      <c r="E1175" s="150"/>
      <c r="F1175" s="150"/>
      <c r="G1175" s="145"/>
      <c r="H1175" s="145"/>
      <c r="I1175" s="145"/>
      <c r="J1175" s="145"/>
    </row>
    <row r="1176" spans="1:10" s="195" customFormat="1" ht="24.95" hidden="1" customHeight="1">
      <c r="A1176" s="141"/>
      <c r="B1176" s="141"/>
      <c r="C1176" s="142"/>
      <c r="D1176" s="141"/>
      <c r="E1176" s="150"/>
      <c r="F1176" s="150"/>
      <c r="G1176" s="145"/>
      <c r="H1176" s="145"/>
      <c r="I1176" s="145"/>
      <c r="J1176" s="145"/>
    </row>
    <row r="1177" spans="1:10" s="195" customFormat="1" ht="24.95" hidden="1" customHeight="1">
      <c r="A1177" s="141"/>
      <c r="B1177" s="141"/>
      <c r="C1177" s="142"/>
      <c r="D1177" s="141"/>
      <c r="E1177" s="150"/>
      <c r="F1177" s="150"/>
      <c r="G1177" s="145"/>
      <c r="H1177" s="145"/>
      <c r="I1177" s="145"/>
      <c r="J1177" s="145"/>
    </row>
    <row r="1178" spans="1:10" s="195" customFormat="1" ht="24.95" hidden="1" customHeight="1">
      <c r="A1178" s="141"/>
      <c r="B1178" s="141"/>
      <c r="C1178" s="142"/>
      <c r="D1178" s="141"/>
      <c r="E1178" s="150"/>
      <c r="F1178" s="150"/>
      <c r="G1178" s="145"/>
      <c r="H1178" s="145"/>
      <c r="I1178" s="145"/>
      <c r="J1178" s="145"/>
    </row>
    <row r="1179" spans="1:10" s="195" customFormat="1" ht="24.95" hidden="1" customHeight="1">
      <c r="A1179" s="141"/>
      <c r="B1179" s="141"/>
      <c r="C1179" s="142"/>
      <c r="D1179" s="141"/>
      <c r="E1179" s="150"/>
      <c r="F1179" s="150"/>
      <c r="G1179" s="145"/>
      <c r="H1179" s="145"/>
      <c r="I1179" s="145"/>
      <c r="J1179" s="145"/>
    </row>
    <row r="1180" spans="1:10" s="195" customFormat="1" ht="24.95" hidden="1" customHeight="1">
      <c r="A1180" s="141"/>
      <c r="B1180" s="141"/>
      <c r="C1180" s="142"/>
      <c r="D1180" s="141"/>
      <c r="E1180" s="150"/>
      <c r="F1180" s="150"/>
      <c r="G1180" s="145"/>
      <c r="H1180" s="145"/>
      <c r="I1180" s="145"/>
      <c r="J1180" s="145"/>
    </row>
    <row r="1181" spans="1:10" s="195" customFormat="1" ht="24.95" hidden="1" customHeight="1">
      <c r="A1181" s="141"/>
      <c r="B1181" s="141"/>
      <c r="C1181" s="142"/>
      <c r="D1181" s="141"/>
      <c r="E1181" s="150"/>
      <c r="F1181" s="150"/>
      <c r="G1181" s="145"/>
      <c r="H1181" s="145"/>
      <c r="I1181" s="145"/>
      <c r="J1181" s="145"/>
    </row>
    <row r="1182" spans="1:10" s="195" customFormat="1" ht="24.95" hidden="1" customHeight="1">
      <c r="A1182" s="141"/>
      <c r="B1182" s="141"/>
      <c r="C1182" s="142"/>
      <c r="D1182" s="141"/>
      <c r="E1182" s="150"/>
      <c r="F1182" s="150"/>
      <c r="G1182" s="145"/>
      <c r="H1182" s="145"/>
      <c r="I1182" s="145"/>
      <c r="J1182" s="145"/>
    </row>
    <row r="1183" spans="1:10" s="195" customFormat="1" ht="24.95" hidden="1" customHeight="1">
      <c r="A1183" s="141"/>
      <c r="B1183" s="141"/>
      <c r="C1183" s="142"/>
      <c r="D1183" s="141"/>
      <c r="E1183" s="150"/>
      <c r="F1183" s="150"/>
      <c r="G1183" s="145"/>
      <c r="H1183" s="145"/>
      <c r="I1183" s="145"/>
      <c r="J1183" s="145"/>
    </row>
    <row r="1184" spans="1:10" s="195" customFormat="1" ht="24.95" hidden="1" customHeight="1">
      <c r="A1184" s="141"/>
      <c r="B1184" s="141"/>
      <c r="C1184" s="142"/>
      <c r="D1184" s="141"/>
      <c r="E1184" s="150"/>
      <c r="F1184" s="150"/>
      <c r="G1184" s="145"/>
      <c r="H1184" s="145"/>
      <c r="I1184" s="145"/>
      <c r="J1184" s="145"/>
    </row>
    <row r="1185" spans="1:10" s="195" customFormat="1" ht="24.95" hidden="1" customHeight="1">
      <c r="A1185" s="141"/>
      <c r="B1185" s="141"/>
      <c r="C1185" s="142"/>
      <c r="D1185" s="141"/>
      <c r="E1185" s="150"/>
      <c r="F1185" s="150"/>
      <c r="G1185" s="145"/>
      <c r="H1185" s="145"/>
      <c r="I1185" s="145"/>
      <c r="J1185" s="145"/>
    </row>
    <row r="1186" spans="1:10" s="195" customFormat="1" ht="24.95" hidden="1" customHeight="1">
      <c r="A1186" s="141"/>
      <c r="B1186" s="141"/>
      <c r="C1186" s="142"/>
      <c r="D1186" s="141"/>
      <c r="E1186" s="150"/>
      <c r="F1186" s="150"/>
      <c r="G1186" s="145"/>
      <c r="H1186" s="145"/>
      <c r="I1186" s="145"/>
      <c r="J1186" s="145"/>
    </row>
    <row r="1187" spans="1:10" s="195" customFormat="1" ht="24.95" hidden="1" customHeight="1">
      <c r="A1187" s="141"/>
      <c r="B1187" s="141"/>
      <c r="C1187" s="142"/>
      <c r="D1187" s="141"/>
      <c r="E1187" s="150"/>
      <c r="F1187" s="150"/>
      <c r="G1187" s="145"/>
      <c r="H1187" s="145"/>
      <c r="I1187" s="145"/>
      <c r="J1187" s="145"/>
    </row>
    <row r="1188" spans="1:10" s="195" customFormat="1" ht="24.95" hidden="1" customHeight="1">
      <c r="A1188" s="141"/>
      <c r="B1188" s="141"/>
      <c r="C1188" s="142"/>
      <c r="D1188" s="141"/>
      <c r="E1188" s="150"/>
      <c r="F1188" s="150"/>
      <c r="G1188" s="145"/>
      <c r="H1188" s="145"/>
      <c r="I1188" s="145"/>
      <c r="J1188" s="145"/>
    </row>
    <row r="1189" spans="1:10" s="195" customFormat="1" ht="24.95" hidden="1" customHeight="1">
      <c r="A1189" s="141"/>
      <c r="B1189" s="141"/>
      <c r="C1189" s="142"/>
      <c r="D1189" s="141"/>
      <c r="E1189" s="150"/>
      <c r="F1189" s="150"/>
      <c r="G1189" s="145"/>
      <c r="H1189" s="145"/>
      <c r="I1189" s="145"/>
      <c r="J1189" s="145"/>
    </row>
    <row r="1190" spans="1:10" s="195" customFormat="1" ht="24.95" hidden="1" customHeight="1">
      <c r="A1190" s="141"/>
      <c r="B1190" s="141"/>
      <c r="C1190" s="142"/>
      <c r="D1190" s="141"/>
      <c r="E1190" s="150"/>
      <c r="F1190" s="150"/>
      <c r="G1190" s="145"/>
      <c r="H1190" s="145"/>
      <c r="I1190" s="145"/>
      <c r="J1190" s="145"/>
    </row>
    <row r="1191" spans="1:10" s="195" customFormat="1" ht="24.95" hidden="1" customHeight="1">
      <c r="A1191" s="141"/>
      <c r="B1191" s="141"/>
      <c r="C1191" s="142"/>
      <c r="D1191" s="141"/>
      <c r="E1191" s="150"/>
      <c r="F1191" s="150"/>
      <c r="G1191" s="145"/>
      <c r="H1191" s="145"/>
      <c r="I1191" s="145"/>
      <c r="J1191" s="145"/>
    </row>
    <row r="1192" spans="1:10" s="195" customFormat="1" ht="24.95" hidden="1" customHeight="1">
      <c r="A1192" s="141"/>
      <c r="B1192" s="141"/>
      <c r="C1192" s="142"/>
      <c r="D1192" s="141"/>
      <c r="E1192" s="150"/>
      <c r="F1192" s="150"/>
      <c r="G1192" s="145"/>
      <c r="H1192" s="145"/>
      <c r="I1192" s="145"/>
      <c r="J1192" s="145"/>
    </row>
    <row r="1193" spans="1:10" s="195" customFormat="1" ht="24.95" hidden="1" customHeight="1">
      <c r="A1193" s="141"/>
      <c r="B1193" s="141"/>
      <c r="C1193" s="142"/>
      <c r="D1193" s="141"/>
      <c r="E1193" s="150"/>
      <c r="F1193" s="150"/>
      <c r="G1193" s="145"/>
      <c r="H1193" s="145"/>
      <c r="I1193" s="145"/>
      <c r="J1193" s="145"/>
    </row>
    <row r="1194" spans="1:10" s="195" customFormat="1" ht="24.95" hidden="1" customHeight="1">
      <c r="A1194" s="141"/>
      <c r="B1194" s="141"/>
      <c r="C1194" s="142"/>
      <c r="D1194" s="141"/>
      <c r="E1194" s="150"/>
      <c r="F1194" s="150"/>
      <c r="G1194" s="145"/>
      <c r="H1194" s="145"/>
      <c r="I1194" s="145"/>
      <c r="J1194" s="145"/>
    </row>
    <row r="1195" spans="1:10" s="195" customFormat="1" ht="24.95" hidden="1" customHeight="1">
      <c r="A1195" s="141"/>
      <c r="B1195" s="141"/>
      <c r="C1195" s="142"/>
      <c r="D1195" s="141"/>
      <c r="E1195" s="150"/>
      <c r="F1195" s="150"/>
      <c r="G1195" s="145"/>
      <c r="H1195" s="145"/>
      <c r="I1195" s="145"/>
      <c r="J1195" s="145"/>
    </row>
    <row r="1196" spans="1:10" s="195" customFormat="1" ht="24.95" hidden="1" customHeight="1">
      <c r="A1196" s="141"/>
      <c r="B1196" s="141"/>
      <c r="C1196" s="142"/>
      <c r="D1196" s="141"/>
      <c r="E1196" s="150"/>
      <c r="F1196" s="150"/>
      <c r="G1196" s="145"/>
      <c r="H1196" s="145"/>
      <c r="I1196" s="145"/>
      <c r="J1196" s="145"/>
    </row>
    <row r="1197" spans="1:10" s="195" customFormat="1" ht="24.95" hidden="1" customHeight="1">
      <c r="A1197" s="141"/>
      <c r="B1197" s="141"/>
      <c r="C1197" s="142"/>
      <c r="D1197" s="141"/>
      <c r="E1197" s="150"/>
      <c r="F1197" s="150"/>
      <c r="G1197" s="145"/>
      <c r="H1197" s="145"/>
      <c r="I1197" s="145"/>
      <c r="J1197" s="145"/>
    </row>
    <row r="1198" spans="1:10" s="195" customFormat="1" ht="24.95" hidden="1" customHeight="1">
      <c r="A1198" s="141"/>
      <c r="B1198" s="141"/>
      <c r="C1198" s="142"/>
      <c r="D1198" s="141"/>
      <c r="E1198" s="150"/>
      <c r="F1198" s="150"/>
      <c r="G1198" s="145"/>
      <c r="H1198" s="145"/>
      <c r="I1198" s="145"/>
      <c r="J1198" s="145"/>
    </row>
    <row r="1199" spans="1:10" s="195" customFormat="1" ht="24.95" hidden="1" customHeight="1">
      <c r="A1199" s="141"/>
      <c r="B1199" s="141"/>
      <c r="C1199" s="142"/>
      <c r="D1199" s="141"/>
      <c r="E1199" s="150"/>
      <c r="F1199" s="150"/>
      <c r="G1199" s="145"/>
      <c r="H1199" s="145"/>
      <c r="I1199" s="145"/>
      <c r="J1199" s="145"/>
    </row>
    <row r="1200" spans="1:10" s="195" customFormat="1" ht="24.95" hidden="1" customHeight="1">
      <c r="A1200" s="141"/>
      <c r="B1200" s="141"/>
      <c r="C1200" s="142"/>
      <c r="D1200" s="141"/>
      <c r="E1200" s="150"/>
      <c r="F1200" s="150"/>
      <c r="G1200" s="145"/>
      <c r="H1200" s="145"/>
      <c r="I1200" s="145"/>
      <c r="J1200" s="145"/>
    </row>
    <row r="1201" spans="1:10" s="195" customFormat="1" ht="24.95" hidden="1" customHeight="1">
      <c r="A1201" s="141"/>
      <c r="B1201" s="141"/>
      <c r="C1201" s="142"/>
      <c r="D1201" s="141"/>
      <c r="E1201" s="150"/>
      <c r="F1201" s="150"/>
      <c r="G1201" s="145"/>
      <c r="H1201" s="145"/>
      <c r="I1201" s="145"/>
      <c r="J1201" s="145"/>
    </row>
    <row r="1202" spans="1:10" s="195" customFormat="1" ht="24.95" hidden="1" customHeight="1">
      <c r="A1202" s="141"/>
      <c r="B1202" s="141"/>
      <c r="C1202" s="142"/>
      <c r="D1202" s="141"/>
      <c r="E1202" s="150"/>
      <c r="F1202" s="150"/>
      <c r="G1202" s="145"/>
      <c r="H1202" s="145"/>
      <c r="I1202" s="145"/>
      <c r="J1202" s="145"/>
    </row>
    <row r="1203" spans="1:10" s="195" customFormat="1" ht="24.95" hidden="1" customHeight="1">
      <c r="A1203" s="141"/>
      <c r="B1203" s="141"/>
      <c r="C1203" s="142"/>
      <c r="D1203" s="141"/>
      <c r="E1203" s="150"/>
      <c r="F1203" s="150"/>
      <c r="G1203" s="145"/>
      <c r="H1203" s="145"/>
      <c r="I1203" s="145"/>
      <c r="J1203" s="145"/>
    </row>
    <row r="1204" spans="1:10" s="195" customFormat="1" ht="24.95" hidden="1" customHeight="1">
      <c r="A1204" s="141"/>
      <c r="B1204" s="141"/>
      <c r="C1204" s="142"/>
      <c r="D1204" s="141"/>
      <c r="E1204" s="150"/>
      <c r="F1204" s="150"/>
      <c r="G1204" s="145"/>
      <c r="H1204" s="145"/>
      <c r="I1204" s="145"/>
      <c r="J1204" s="145"/>
    </row>
    <row r="1205" spans="1:10" s="195" customFormat="1" ht="24.95" hidden="1" customHeight="1">
      <c r="A1205" s="141"/>
      <c r="B1205" s="141"/>
      <c r="C1205" s="142"/>
      <c r="D1205" s="141"/>
      <c r="E1205" s="150"/>
      <c r="F1205" s="150"/>
      <c r="G1205" s="145"/>
      <c r="H1205" s="145"/>
      <c r="I1205" s="145"/>
      <c r="J1205" s="145"/>
    </row>
    <row r="1206" spans="1:10" s="195" customFormat="1" ht="24.95" hidden="1" customHeight="1">
      <c r="A1206" s="141"/>
      <c r="B1206" s="141"/>
      <c r="C1206" s="142"/>
      <c r="D1206" s="141"/>
      <c r="E1206" s="150"/>
      <c r="F1206" s="150"/>
      <c r="G1206" s="145"/>
      <c r="H1206" s="145"/>
      <c r="I1206" s="145"/>
      <c r="J1206" s="145"/>
    </row>
    <row r="1207" spans="1:10" s="195" customFormat="1" ht="24.95" hidden="1" customHeight="1">
      <c r="A1207" s="141"/>
      <c r="B1207" s="141"/>
      <c r="C1207" s="142"/>
      <c r="D1207" s="141"/>
      <c r="E1207" s="150"/>
      <c r="F1207" s="150"/>
      <c r="G1207" s="145"/>
      <c r="H1207" s="145"/>
      <c r="I1207" s="145"/>
      <c r="J1207" s="145"/>
    </row>
    <row r="1208" spans="1:10" s="195" customFormat="1" ht="24.95" hidden="1" customHeight="1">
      <c r="A1208" s="141"/>
      <c r="B1208" s="141"/>
      <c r="C1208" s="142"/>
      <c r="D1208" s="141"/>
      <c r="E1208" s="150"/>
      <c r="F1208" s="150"/>
      <c r="G1208" s="145"/>
      <c r="H1208" s="145"/>
      <c r="I1208" s="145"/>
      <c r="J1208" s="145"/>
    </row>
    <row r="1209" spans="1:10" s="195" customFormat="1" ht="24.95" hidden="1" customHeight="1">
      <c r="A1209" s="141"/>
      <c r="B1209" s="141"/>
      <c r="C1209" s="142"/>
      <c r="D1209" s="141"/>
      <c r="E1209" s="150"/>
      <c r="F1209" s="150"/>
      <c r="G1209" s="145"/>
      <c r="H1209" s="145"/>
      <c r="I1209" s="145"/>
      <c r="J1209" s="145"/>
    </row>
    <row r="1210" spans="1:10" s="195" customFormat="1" ht="24.95" hidden="1" customHeight="1">
      <c r="A1210" s="141"/>
      <c r="B1210" s="141"/>
      <c r="C1210" s="142"/>
      <c r="D1210" s="141"/>
      <c r="E1210" s="150"/>
      <c r="F1210" s="150"/>
      <c r="G1210" s="145"/>
      <c r="H1210" s="145"/>
      <c r="I1210" s="145"/>
      <c r="J1210" s="145"/>
    </row>
    <row r="1211" spans="1:10" s="195" customFormat="1" ht="24.95" hidden="1" customHeight="1">
      <c r="A1211" s="141"/>
      <c r="B1211" s="141"/>
      <c r="C1211" s="142"/>
      <c r="D1211" s="141"/>
      <c r="E1211" s="150"/>
      <c r="F1211" s="150"/>
      <c r="G1211" s="145"/>
      <c r="H1211" s="145"/>
      <c r="I1211" s="145"/>
      <c r="J1211" s="145"/>
    </row>
    <row r="1212" spans="1:10" s="195" customFormat="1" ht="24.95" hidden="1" customHeight="1">
      <c r="A1212" s="141"/>
      <c r="B1212" s="141"/>
      <c r="C1212" s="142"/>
      <c r="D1212" s="141"/>
      <c r="E1212" s="150"/>
      <c r="F1212" s="150"/>
      <c r="G1212" s="145"/>
      <c r="H1212" s="145"/>
      <c r="I1212" s="145"/>
      <c r="J1212" s="145"/>
    </row>
    <row r="1213" spans="1:10" s="195" customFormat="1" ht="24.95" hidden="1" customHeight="1">
      <c r="A1213" s="141"/>
      <c r="B1213" s="141"/>
      <c r="C1213" s="142"/>
      <c r="D1213" s="141"/>
      <c r="E1213" s="150"/>
      <c r="F1213" s="150"/>
      <c r="G1213" s="145"/>
      <c r="H1213" s="145"/>
      <c r="I1213" s="145"/>
      <c r="J1213" s="145"/>
    </row>
    <row r="1214" spans="1:10" s="195" customFormat="1" ht="24.95" hidden="1" customHeight="1">
      <c r="A1214" s="141"/>
      <c r="B1214" s="141"/>
      <c r="C1214" s="142"/>
      <c r="D1214" s="141"/>
      <c r="E1214" s="150"/>
      <c r="F1214" s="150"/>
      <c r="G1214" s="145"/>
      <c r="H1214" s="145"/>
      <c r="I1214" s="145"/>
      <c r="J1214" s="145"/>
    </row>
    <row r="1215" spans="1:10" s="195" customFormat="1" ht="24.95" hidden="1" customHeight="1">
      <c r="A1215" s="141"/>
      <c r="B1215" s="141"/>
      <c r="C1215" s="142"/>
      <c r="D1215" s="141"/>
      <c r="E1215" s="150"/>
      <c r="F1215" s="150"/>
      <c r="G1215" s="145"/>
      <c r="H1215" s="145"/>
      <c r="I1215" s="145"/>
      <c r="J1215" s="145"/>
    </row>
    <row r="1216" spans="1:10" s="195" customFormat="1" ht="24.95" hidden="1" customHeight="1">
      <c r="A1216" s="141"/>
      <c r="B1216" s="141"/>
      <c r="C1216" s="142"/>
      <c r="D1216" s="141"/>
      <c r="E1216" s="150"/>
      <c r="F1216" s="150"/>
      <c r="G1216" s="145"/>
      <c r="H1216" s="145"/>
      <c r="I1216" s="145"/>
      <c r="J1216" s="145"/>
    </row>
    <row r="1217" spans="1:10" s="195" customFormat="1" ht="24.95" hidden="1" customHeight="1">
      <c r="A1217" s="141"/>
      <c r="B1217" s="141"/>
      <c r="C1217" s="142"/>
      <c r="D1217" s="141"/>
      <c r="E1217" s="150"/>
      <c r="F1217" s="150"/>
      <c r="G1217" s="145"/>
      <c r="H1217" s="145"/>
      <c r="I1217" s="145"/>
      <c r="J1217" s="145"/>
    </row>
    <row r="1218" spans="1:10" s="195" customFormat="1" ht="24.95" hidden="1" customHeight="1">
      <c r="A1218" s="141"/>
      <c r="B1218" s="141"/>
      <c r="C1218" s="142"/>
      <c r="D1218" s="141"/>
      <c r="E1218" s="150"/>
      <c r="F1218" s="150"/>
      <c r="G1218" s="145"/>
      <c r="H1218" s="145"/>
      <c r="I1218" s="145"/>
      <c r="J1218" s="145"/>
    </row>
    <row r="1219" spans="1:10" s="195" customFormat="1" ht="24.95" hidden="1" customHeight="1">
      <c r="A1219" s="141"/>
      <c r="B1219" s="141"/>
      <c r="C1219" s="142"/>
      <c r="D1219" s="141"/>
      <c r="E1219" s="150"/>
      <c r="F1219" s="150"/>
      <c r="G1219" s="145"/>
      <c r="H1219" s="145"/>
      <c r="I1219" s="145"/>
      <c r="J1219" s="145"/>
    </row>
    <row r="1220" spans="1:10" s="195" customFormat="1" ht="24.95" hidden="1" customHeight="1">
      <c r="A1220" s="141"/>
      <c r="B1220" s="141"/>
      <c r="C1220" s="142"/>
      <c r="D1220" s="141"/>
      <c r="E1220" s="150"/>
      <c r="F1220" s="150"/>
      <c r="G1220" s="145"/>
      <c r="H1220" s="145"/>
      <c r="I1220" s="145"/>
      <c r="J1220" s="145"/>
    </row>
    <row r="1221" spans="1:10" s="195" customFormat="1" ht="24.95" hidden="1" customHeight="1">
      <c r="A1221" s="141"/>
      <c r="B1221" s="141"/>
      <c r="C1221" s="142"/>
      <c r="D1221" s="141"/>
      <c r="E1221" s="150"/>
      <c r="F1221" s="150"/>
      <c r="G1221" s="145"/>
      <c r="H1221" s="145"/>
      <c r="I1221" s="145"/>
      <c r="J1221" s="145"/>
    </row>
    <row r="1222" spans="1:10" s="195" customFormat="1" ht="24.95" hidden="1" customHeight="1">
      <c r="A1222" s="141"/>
      <c r="B1222" s="141"/>
      <c r="C1222" s="142"/>
      <c r="D1222" s="141"/>
      <c r="E1222" s="150"/>
      <c r="F1222" s="150"/>
      <c r="G1222" s="145"/>
      <c r="H1222" s="145"/>
      <c r="I1222" s="145"/>
      <c r="J1222" s="145"/>
    </row>
    <row r="1223" spans="1:10" s="195" customFormat="1" ht="24.95" hidden="1" customHeight="1">
      <c r="A1223" s="141"/>
      <c r="B1223" s="141"/>
      <c r="C1223" s="142"/>
      <c r="D1223" s="141"/>
      <c r="E1223" s="150"/>
      <c r="F1223" s="150"/>
      <c r="G1223" s="145"/>
      <c r="H1223" s="145"/>
      <c r="I1223" s="145"/>
      <c r="J1223" s="145"/>
    </row>
    <row r="1224" spans="1:10" s="195" customFormat="1" ht="24.95" hidden="1" customHeight="1">
      <c r="A1224" s="141"/>
      <c r="B1224" s="141"/>
      <c r="C1224" s="142"/>
      <c r="D1224" s="141"/>
      <c r="E1224" s="150"/>
      <c r="F1224" s="150"/>
      <c r="G1224" s="145"/>
      <c r="H1224" s="145"/>
      <c r="I1224" s="145"/>
      <c r="J1224" s="145"/>
    </row>
    <row r="1225" spans="1:10" s="195" customFormat="1" ht="24.95" hidden="1" customHeight="1">
      <c r="A1225" s="141"/>
      <c r="B1225" s="141"/>
      <c r="C1225" s="142"/>
      <c r="D1225" s="141"/>
      <c r="E1225" s="150"/>
      <c r="F1225" s="150"/>
      <c r="G1225" s="145"/>
      <c r="H1225" s="145"/>
      <c r="I1225" s="145"/>
      <c r="J1225" s="145"/>
    </row>
    <row r="1226" spans="1:10" s="195" customFormat="1" ht="24.95" hidden="1" customHeight="1">
      <c r="A1226" s="141"/>
      <c r="B1226" s="141"/>
      <c r="C1226" s="142"/>
      <c r="D1226" s="141"/>
      <c r="E1226" s="150"/>
      <c r="F1226" s="150"/>
      <c r="G1226" s="145"/>
      <c r="H1226" s="145"/>
      <c r="I1226" s="145"/>
      <c r="J1226" s="145"/>
    </row>
    <row r="1227" spans="1:10" s="195" customFormat="1" ht="24.95" hidden="1" customHeight="1">
      <c r="A1227" s="141"/>
      <c r="B1227" s="141"/>
      <c r="C1227" s="142"/>
      <c r="D1227" s="141"/>
      <c r="E1227" s="150"/>
      <c r="F1227" s="150"/>
      <c r="G1227" s="145"/>
      <c r="H1227" s="145"/>
      <c r="I1227" s="145"/>
      <c r="J1227" s="145"/>
    </row>
    <row r="1228" spans="1:10" s="195" customFormat="1" ht="24.95" hidden="1" customHeight="1">
      <c r="A1228" s="141"/>
      <c r="B1228" s="141"/>
      <c r="C1228" s="142"/>
      <c r="D1228" s="141"/>
      <c r="E1228" s="150"/>
      <c r="F1228" s="150"/>
      <c r="G1228" s="145"/>
      <c r="H1228" s="145"/>
      <c r="I1228" s="145"/>
      <c r="J1228" s="145"/>
    </row>
    <row r="1229" spans="1:10" s="195" customFormat="1" ht="24.95" hidden="1" customHeight="1">
      <c r="A1229" s="141"/>
      <c r="B1229" s="141"/>
      <c r="C1229" s="142"/>
      <c r="D1229" s="141"/>
      <c r="E1229" s="150"/>
      <c r="F1229" s="150"/>
      <c r="G1229" s="145"/>
      <c r="H1229" s="145"/>
      <c r="I1229" s="145"/>
      <c r="J1229" s="145"/>
    </row>
    <row r="1230" spans="1:10" s="195" customFormat="1" ht="24.95" hidden="1" customHeight="1">
      <c r="A1230" s="141"/>
      <c r="B1230" s="141"/>
      <c r="C1230" s="142"/>
      <c r="D1230" s="141"/>
      <c r="E1230" s="150"/>
      <c r="F1230" s="150"/>
      <c r="G1230" s="145"/>
      <c r="H1230" s="145"/>
      <c r="I1230" s="145"/>
      <c r="J1230" s="145"/>
    </row>
    <row r="1231" spans="1:10" s="195" customFormat="1" ht="24.95" hidden="1" customHeight="1">
      <c r="A1231" s="141"/>
      <c r="B1231" s="141"/>
      <c r="C1231" s="142"/>
      <c r="D1231" s="141"/>
      <c r="E1231" s="150"/>
      <c r="F1231" s="150"/>
      <c r="G1231" s="145"/>
      <c r="H1231" s="145"/>
      <c r="I1231" s="145"/>
      <c r="J1231" s="145"/>
    </row>
    <row r="1232" spans="1:10" s="195" customFormat="1" ht="24.95" hidden="1" customHeight="1">
      <c r="A1232" s="141"/>
      <c r="B1232" s="141"/>
      <c r="C1232" s="142"/>
      <c r="D1232" s="141"/>
      <c r="E1232" s="150"/>
      <c r="F1232" s="150"/>
      <c r="G1232" s="145"/>
      <c r="H1232" s="145"/>
      <c r="I1232" s="145"/>
      <c r="J1232" s="145"/>
    </row>
    <row r="1233" spans="1:10" s="195" customFormat="1" ht="24.95" hidden="1" customHeight="1">
      <c r="A1233" s="141"/>
      <c r="B1233" s="141"/>
      <c r="C1233" s="142"/>
      <c r="D1233" s="141"/>
      <c r="E1233" s="150"/>
      <c r="F1233" s="150"/>
      <c r="G1233" s="145"/>
      <c r="H1233" s="145"/>
      <c r="I1233" s="145"/>
      <c r="J1233" s="145"/>
    </row>
    <row r="1234" spans="1:10" s="195" customFormat="1" ht="24.95" hidden="1" customHeight="1">
      <c r="A1234" s="141"/>
      <c r="B1234" s="141"/>
      <c r="C1234" s="142"/>
      <c r="D1234" s="141"/>
      <c r="E1234" s="150"/>
      <c r="F1234" s="150"/>
      <c r="G1234" s="145"/>
      <c r="H1234" s="145"/>
      <c r="I1234" s="145"/>
      <c r="J1234" s="145"/>
    </row>
    <row r="1235" spans="1:10" s="195" customFormat="1" ht="24.95" hidden="1" customHeight="1">
      <c r="A1235" s="141"/>
      <c r="B1235" s="141"/>
      <c r="C1235" s="142"/>
      <c r="D1235" s="141"/>
      <c r="E1235" s="150"/>
      <c r="F1235" s="150"/>
      <c r="G1235" s="145"/>
      <c r="H1235" s="145"/>
      <c r="I1235" s="145"/>
      <c r="J1235" s="145"/>
    </row>
    <row r="1236" spans="1:10" s="195" customFormat="1" ht="24.95" hidden="1" customHeight="1">
      <c r="A1236" s="141"/>
      <c r="B1236" s="141"/>
      <c r="C1236" s="142"/>
      <c r="D1236" s="141"/>
      <c r="E1236" s="150"/>
      <c r="F1236" s="150"/>
      <c r="G1236" s="145"/>
      <c r="H1236" s="145"/>
      <c r="I1236" s="145"/>
      <c r="J1236" s="145"/>
    </row>
    <row r="1237" spans="1:10" s="195" customFormat="1" ht="24.95" hidden="1" customHeight="1">
      <c r="A1237" s="141"/>
      <c r="B1237" s="141"/>
      <c r="C1237" s="142"/>
      <c r="D1237" s="141"/>
      <c r="E1237" s="150"/>
      <c r="F1237" s="150"/>
      <c r="G1237" s="145"/>
      <c r="H1237" s="145"/>
      <c r="I1237" s="145"/>
      <c r="J1237" s="145"/>
    </row>
    <row r="1238" spans="1:10" s="195" customFormat="1" ht="24.95" hidden="1" customHeight="1">
      <c r="A1238" s="141"/>
      <c r="B1238" s="141"/>
      <c r="C1238" s="142"/>
      <c r="D1238" s="141"/>
      <c r="E1238" s="150"/>
      <c r="F1238" s="150"/>
      <c r="G1238" s="145"/>
      <c r="H1238" s="145"/>
      <c r="I1238" s="145"/>
      <c r="J1238" s="145"/>
    </row>
    <row r="1239" spans="1:10" s="195" customFormat="1" ht="24.95" hidden="1" customHeight="1">
      <c r="A1239" s="141"/>
      <c r="B1239" s="141"/>
      <c r="C1239" s="142"/>
      <c r="D1239" s="141"/>
      <c r="E1239" s="150"/>
      <c r="F1239" s="150"/>
      <c r="G1239" s="145"/>
      <c r="H1239" s="145"/>
      <c r="I1239" s="145"/>
      <c r="J1239" s="145"/>
    </row>
    <row r="1240" spans="1:10" s="195" customFormat="1" ht="24.95" hidden="1" customHeight="1">
      <c r="A1240" s="141"/>
      <c r="B1240" s="141"/>
      <c r="C1240" s="142"/>
      <c r="D1240" s="141"/>
      <c r="E1240" s="150"/>
      <c r="F1240" s="150"/>
      <c r="G1240" s="145"/>
      <c r="H1240" s="145"/>
      <c r="I1240" s="145"/>
      <c r="J1240" s="145"/>
    </row>
    <row r="1241" spans="1:10" s="195" customFormat="1" ht="24.95" hidden="1" customHeight="1">
      <c r="A1241" s="141"/>
      <c r="B1241" s="141"/>
      <c r="C1241" s="142"/>
      <c r="D1241" s="141"/>
      <c r="E1241" s="150"/>
      <c r="F1241" s="150"/>
      <c r="G1241" s="145"/>
      <c r="H1241" s="145"/>
      <c r="I1241" s="145"/>
      <c r="J1241" s="145"/>
    </row>
    <row r="1242" spans="1:10" s="195" customFormat="1" ht="24.95" hidden="1" customHeight="1">
      <c r="A1242" s="141"/>
      <c r="B1242" s="141"/>
      <c r="C1242" s="142"/>
      <c r="D1242" s="141"/>
      <c r="E1242" s="150"/>
      <c r="F1242" s="150"/>
      <c r="G1242" s="145"/>
      <c r="H1242" s="145"/>
      <c r="I1242" s="145"/>
      <c r="J1242" s="145"/>
    </row>
    <row r="1243" spans="1:10" s="195" customFormat="1" ht="24.95" hidden="1" customHeight="1">
      <c r="A1243" s="141"/>
      <c r="B1243" s="141"/>
      <c r="C1243" s="142"/>
      <c r="D1243" s="141"/>
      <c r="E1243" s="150"/>
      <c r="F1243" s="150"/>
      <c r="G1243" s="145"/>
      <c r="H1243" s="145"/>
      <c r="I1243" s="145"/>
      <c r="J1243" s="145"/>
    </row>
    <row r="1244" spans="1:10" s="195" customFormat="1" ht="24.95" hidden="1" customHeight="1">
      <c r="A1244" s="141"/>
      <c r="B1244" s="141"/>
      <c r="C1244" s="142"/>
      <c r="D1244" s="141"/>
      <c r="E1244" s="150"/>
      <c r="F1244" s="150"/>
      <c r="G1244" s="145"/>
      <c r="H1244" s="145"/>
      <c r="I1244" s="145"/>
      <c r="J1244" s="145"/>
    </row>
    <row r="1245" spans="1:10" s="195" customFormat="1" ht="24.95" hidden="1" customHeight="1">
      <c r="A1245" s="141"/>
      <c r="B1245" s="141"/>
      <c r="C1245" s="142"/>
      <c r="D1245" s="141"/>
      <c r="E1245" s="150"/>
      <c r="F1245" s="150"/>
      <c r="G1245" s="145"/>
      <c r="H1245" s="145"/>
      <c r="I1245" s="145"/>
      <c r="J1245" s="145"/>
    </row>
    <row r="1246" spans="1:10" s="195" customFormat="1" ht="24.95" hidden="1" customHeight="1">
      <c r="A1246" s="141"/>
      <c r="B1246" s="141"/>
      <c r="C1246" s="142"/>
      <c r="D1246" s="141"/>
      <c r="E1246" s="150"/>
      <c r="F1246" s="150"/>
      <c r="G1246" s="145"/>
      <c r="H1246" s="145"/>
      <c r="I1246" s="145"/>
      <c r="J1246" s="145"/>
    </row>
    <row r="1247" spans="1:10" s="195" customFormat="1" ht="24.95" hidden="1" customHeight="1">
      <c r="A1247" s="141"/>
      <c r="B1247" s="141"/>
      <c r="C1247" s="142"/>
      <c r="D1247" s="141"/>
      <c r="E1247" s="150"/>
      <c r="F1247" s="150"/>
      <c r="G1247" s="145"/>
      <c r="H1247" s="145"/>
      <c r="I1247" s="145"/>
      <c r="J1247" s="145"/>
    </row>
    <row r="1248" spans="1:10" s="195" customFormat="1" ht="24.95" hidden="1" customHeight="1">
      <c r="A1248" s="141"/>
      <c r="B1248" s="141"/>
      <c r="C1248" s="142"/>
      <c r="D1248" s="141"/>
      <c r="E1248" s="150"/>
      <c r="F1248" s="150"/>
      <c r="G1248" s="145"/>
      <c r="H1248" s="145"/>
      <c r="I1248" s="145"/>
      <c r="J1248" s="145"/>
    </row>
    <row r="1249" spans="1:10" s="195" customFormat="1" ht="24.95" hidden="1" customHeight="1">
      <c r="A1249" s="141"/>
      <c r="B1249" s="141"/>
      <c r="C1249" s="142"/>
      <c r="D1249" s="141"/>
      <c r="E1249" s="150"/>
      <c r="F1249" s="150"/>
      <c r="G1249" s="145"/>
      <c r="H1249" s="145"/>
      <c r="I1249" s="145"/>
      <c r="J1249" s="145"/>
    </row>
    <row r="1250" spans="1:10" s="195" customFormat="1" ht="24.95" hidden="1" customHeight="1">
      <c r="A1250" s="141"/>
      <c r="B1250" s="141"/>
      <c r="C1250" s="142"/>
      <c r="D1250" s="141"/>
      <c r="E1250" s="150"/>
      <c r="F1250" s="150"/>
      <c r="G1250" s="145"/>
      <c r="H1250" s="145"/>
      <c r="I1250" s="145"/>
      <c r="J1250" s="145"/>
    </row>
    <row r="1251" spans="1:10" s="195" customFormat="1" ht="24.95" hidden="1" customHeight="1">
      <c r="A1251" s="141"/>
      <c r="B1251" s="141"/>
      <c r="C1251" s="142"/>
      <c r="D1251" s="141"/>
      <c r="E1251" s="150"/>
      <c r="F1251" s="150"/>
      <c r="G1251" s="145"/>
      <c r="H1251" s="145"/>
      <c r="I1251" s="145"/>
      <c r="J1251" s="145"/>
    </row>
    <row r="1252" spans="1:10" s="195" customFormat="1" ht="24.95" hidden="1" customHeight="1">
      <c r="A1252" s="141"/>
      <c r="B1252" s="141"/>
      <c r="C1252" s="142"/>
      <c r="D1252" s="141"/>
      <c r="E1252" s="150"/>
      <c r="F1252" s="150"/>
      <c r="G1252" s="145"/>
      <c r="H1252" s="145"/>
      <c r="I1252" s="145"/>
      <c r="J1252" s="145"/>
    </row>
    <row r="1253" spans="1:10" s="195" customFormat="1" ht="24.95" hidden="1" customHeight="1">
      <c r="A1253" s="141"/>
      <c r="B1253" s="141"/>
      <c r="C1253" s="142"/>
      <c r="D1253" s="141"/>
      <c r="E1253" s="150"/>
      <c r="F1253" s="150"/>
      <c r="G1253" s="145"/>
      <c r="H1253" s="145"/>
      <c r="I1253" s="145"/>
      <c r="J1253" s="145"/>
    </row>
    <row r="1254" spans="1:10" s="195" customFormat="1" ht="24.95" hidden="1" customHeight="1">
      <c r="A1254" s="141"/>
      <c r="B1254" s="141"/>
      <c r="C1254" s="142"/>
      <c r="D1254" s="141"/>
      <c r="E1254" s="150"/>
      <c r="F1254" s="150"/>
      <c r="G1254" s="145"/>
      <c r="H1254" s="145"/>
      <c r="I1254" s="145"/>
      <c r="J1254" s="145"/>
    </row>
    <row r="1255" spans="1:10" s="195" customFormat="1" ht="24.95" hidden="1" customHeight="1">
      <c r="A1255" s="141"/>
      <c r="B1255" s="141"/>
      <c r="C1255" s="142"/>
      <c r="D1255" s="141"/>
      <c r="E1255" s="150"/>
      <c r="F1255" s="150"/>
      <c r="G1255" s="145"/>
      <c r="H1255" s="145"/>
      <c r="I1255" s="145"/>
      <c r="J1255" s="145"/>
    </row>
    <row r="1256" spans="1:10" s="195" customFormat="1" ht="24.95" hidden="1" customHeight="1">
      <c r="A1256" s="141"/>
      <c r="B1256" s="141"/>
      <c r="C1256" s="142"/>
      <c r="D1256" s="141"/>
      <c r="E1256" s="150"/>
      <c r="F1256" s="150"/>
      <c r="G1256" s="145"/>
      <c r="H1256" s="145"/>
      <c r="I1256" s="145"/>
      <c r="J1256" s="145"/>
    </row>
    <row r="1257" spans="1:10" s="195" customFormat="1" ht="24.95" hidden="1" customHeight="1">
      <c r="A1257" s="141"/>
      <c r="B1257" s="141"/>
      <c r="C1257" s="142"/>
      <c r="D1257" s="141"/>
      <c r="E1257" s="150"/>
      <c r="F1257" s="150"/>
      <c r="G1257" s="145"/>
      <c r="H1257" s="145"/>
      <c r="I1257" s="145"/>
      <c r="J1257" s="145"/>
    </row>
    <row r="1258" spans="1:10" s="195" customFormat="1" ht="24.95" hidden="1" customHeight="1">
      <c r="A1258" s="141"/>
      <c r="B1258" s="141"/>
      <c r="C1258" s="142"/>
      <c r="D1258" s="141"/>
      <c r="E1258" s="150"/>
      <c r="F1258" s="150"/>
      <c r="G1258" s="145"/>
      <c r="H1258" s="145"/>
      <c r="I1258" s="145"/>
      <c r="J1258" s="145"/>
    </row>
    <row r="1259" spans="1:10" s="195" customFormat="1" ht="24.95" hidden="1" customHeight="1">
      <c r="A1259" s="141"/>
      <c r="B1259" s="141"/>
      <c r="C1259" s="142"/>
      <c r="D1259" s="141"/>
      <c r="E1259" s="150"/>
      <c r="F1259" s="150"/>
      <c r="G1259" s="145"/>
      <c r="H1259" s="145"/>
      <c r="I1259" s="145"/>
      <c r="J1259" s="145"/>
    </row>
    <row r="1260" spans="1:10" s="195" customFormat="1" ht="24.95" hidden="1" customHeight="1">
      <c r="A1260" s="141"/>
      <c r="B1260" s="141"/>
      <c r="C1260" s="142"/>
      <c r="D1260" s="141"/>
      <c r="E1260" s="150"/>
      <c r="F1260" s="150"/>
      <c r="G1260" s="145"/>
      <c r="H1260" s="145"/>
      <c r="I1260" s="145"/>
      <c r="J1260" s="145"/>
    </row>
    <row r="1261" spans="1:10" s="195" customFormat="1" ht="24.95" hidden="1" customHeight="1">
      <c r="A1261" s="141"/>
      <c r="B1261" s="141"/>
      <c r="C1261" s="142"/>
      <c r="D1261" s="141"/>
      <c r="E1261" s="150"/>
      <c r="F1261" s="150"/>
      <c r="G1261" s="145"/>
      <c r="H1261" s="145"/>
      <c r="I1261" s="145"/>
      <c r="J1261" s="145"/>
    </row>
    <row r="1262" spans="1:10" s="195" customFormat="1" ht="24.95" hidden="1" customHeight="1">
      <c r="A1262" s="141"/>
      <c r="B1262" s="141"/>
      <c r="C1262" s="142"/>
      <c r="D1262" s="141"/>
      <c r="E1262" s="150"/>
      <c r="F1262" s="150"/>
      <c r="G1262" s="145"/>
      <c r="H1262" s="145"/>
      <c r="I1262" s="145"/>
      <c r="J1262" s="145"/>
    </row>
    <row r="1263" spans="1:10" s="195" customFormat="1" ht="24.95" hidden="1" customHeight="1">
      <c r="A1263" s="141"/>
      <c r="B1263" s="141"/>
      <c r="C1263" s="142"/>
      <c r="D1263" s="141"/>
      <c r="E1263" s="150"/>
      <c r="F1263" s="150"/>
      <c r="G1263" s="145"/>
      <c r="H1263" s="145"/>
      <c r="I1263" s="145"/>
      <c r="J1263" s="145"/>
    </row>
    <row r="1264" spans="1:10" s="195" customFormat="1" ht="24.95" hidden="1" customHeight="1">
      <c r="A1264" s="141"/>
      <c r="B1264" s="141"/>
      <c r="C1264" s="142"/>
      <c r="D1264" s="141"/>
      <c r="E1264" s="150"/>
      <c r="F1264" s="150"/>
      <c r="G1264" s="145"/>
      <c r="H1264" s="145"/>
      <c r="I1264" s="145"/>
      <c r="J1264" s="145"/>
    </row>
    <row r="1265" spans="1:10" s="195" customFormat="1" ht="24.95" hidden="1" customHeight="1">
      <c r="A1265" s="141"/>
      <c r="B1265" s="141"/>
      <c r="C1265" s="142"/>
      <c r="D1265" s="141"/>
      <c r="E1265" s="150"/>
      <c r="F1265" s="150"/>
      <c r="G1265" s="145"/>
      <c r="H1265" s="145"/>
      <c r="I1265" s="145"/>
      <c r="J1265" s="145"/>
    </row>
    <row r="1266" spans="1:10" s="195" customFormat="1" ht="24.95" hidden="1" customHeight="1">
      <c r="A1266" s="141"/>
      <c r="B1266" s="141"/>
      <c r="C1266" s="142"/>
      <c r="D1266" s="141"/>
      <c r="E1266" s="150"/>
      <c r="F1266" s="150"/>
      <c r="G1266" s="145"/>
      <c r="H1266" s="145"/>
      <c r="I1266" s="145"/>
      <c r="J1266" s="145"/>
    </row>
    <row r="1267" spans="1:10" s="195" customFormat="1" ht="24.95" hidden="1" customHeight="1">
      <c r="A1267" s="141"/>
      <c r="B1267" s="141"/>
      <c r="C1267" s="142"/>
      <c r="D1267" s="141"/>
      <c r="E1267" s="150"/>
      <c r="F1267" s="150"/>
      <c r="G1267" s="145"/>
      <c r="H1267" s="145"/>
      <c r="I1267" s="145"/>
      <c r="J1267" s="145"/>
    </row>
    <row r="1268" spans="1:10" s="195" customFormat="1" ht="24.95" hidden="1" customHeight="1">
      <c r="A1268" s="141"/>
      <c r="B1268" s="141"/>
      <c r="C1268" s="142"/>
      <c r="D1268" s="141"/>
      <c r="E1268" s="150"/>
      <c r="F1268" s="150"/>
      <c r="G1268" s="145"/>
      <c r="H1268" s="145"/>
      <c r="I1268" s="145"/>
      <c r="J1268" s="145"/>
    </row>
    <row r="1269" spans="1:10" s="195" customFormat="1" ht="24.95" hidden="1" customHeight="1">
      <c r="A1269" s="141"/>
      <c r="B1269" s="141"/>
      <c r="C1269" s="142"/>
      <c r="D1269" s="141"/>
      <c r="E1269" s="150"/>
      <c r="F1269" s="150"/>
      <c r="G1269" s="145"/>
      <c r="H1269" s="145"/>
      <c r="I1269" s="145"/>
      <c r="J1269" s="145"/>
    </row>
    <row r="1270" spans="1:10" s="195" customFormat="1" ht="24.95" hidden="1" customHeight="1">
      <c r="A1270" s="141"/>
      <c r="B1270" s="141"/>
      <c r="C1270" s="142"/>
      <c r="D1270" s="141"/>
      <c r="E1270" s="150"/>
      <c r="F1270" s="150"/>
      <c r="G1270" s="145"/>
      <c r="H1270" s="145"/>
      <c r="I1270" s="145"/>
      <c r="J1270" s="145"/>
    </row>
    <row r="1271" spans="1:10" s="195" customFormat="1" ht="24.95" hidden="1" customHeight="1">
      <c r="A1271" s="141"/>
      <c r="B1271" s="141"/>
      <c r="C1271" s="142"/>
      <c r="D1271" s="141"/>
      <c r="E1271" s="150"/>
      <c r="F1271" s="150"/>
      <c r="G1271" s="145"/>
      <c r="H1271" s="145"/>
      <c r="I1271" s="145"/>
      <c r="J1271" s="145"/>
    </row>
    <row r="1272" spans="1:10" s="195" customFormat="1" ht="24.95" hidden="1" customHeight="1">
      <c r="A1272" s="141"/>
      <c r="B1272" s="141"/>
      <c r="C1272" s="142"/>
      <c r="D1272" s="141"/>
      <c r="E1272" s="150"/>
      <c r="F1272" s="150"/>
      <c r="G1272" s="145"/>
      <c r="H1272" s="145"/>
      <c r="I1272" s="145"/>
      <c r="J1272" s="145"/>
    </row>
    <row r="1273" spans="1:10" s="195" customFormat="1" ht="24.95" hidden="1" customHeight="1">
      <c r="A1273" s="141"/>
      <c r="B1273" s="141"/>
      <c r="C1273" s="142"/>
      <c r="D1273" s="141"/>
      <c r="E1273" s="150"/>
      <c r="F1273" s="150"/>
      <c r="G1273" s="145"/>
      <c r="H1273" s="145"/>
      <c r="I1273" s="145"/>
      <c r="J1273" s="145"/>
    </row>
    <row r="1274" spans="1:10" s="195" customFormat="1" ht="24.95" hidden="1" customHeight="1">
      <c r="A1274" s="141"/>
      <c r="B1274" s="141"/>
      <c r="C1274" s="142"/>
      <c r="D1274" s="141"/>
      <c r="E1274" s="150"/>
      <c r="F1274" s="150"/>
      <c r="G1274" s="145"/>
      <c r="H1274" s="145"/>
      <c r="I1274" s="145"/>
      <c r="J1274" s="145"/>
    </row>
    <row r="1275" spans="1:10" s="195" customFormat="1" ht="24.95" hidden="1" customHeight="1">
      <c r="A1275" s="141"/>
      <c r="B1275" s="141"/>
      <c r="C1275" s="142"/>
      <c r="D1275" s="141"/>
      <c r="E1275" s="150"/>
      <c r="F1275" s="150"/>
      <c r="G1275" s="145"/>
      <c r="H1275" s="145"/>
      <c r="I1275" s="145"/>
      <c r="J1275" s="145"/>
    </row>
    <row r="1276" spans="1:10" s="195" customFormat="1" ht="24.95" hidden="1" customHeight="1">
      <c r="A1276" s="141"/>
      <c r="B1276" s="141"/>
      <c r="C1276" s="142"/>
      <c r="D1276" s="141"/>
      <c r="E1276" s="150"/>
      <c r="F1276" s="150"/>
      <c r="G1276" s="145"/>
      <c r="H1276" s="145"/>
      <c r="I1276" s="145"/>
      <c r="J1276" s="145"/>
    </row>
    <row r="1277" spans="1:10" s="195" customFormat="1" ht="24.95" hidden="1" customHeight="1">
      <c r="A1277" s="141"/>
      <c r="B1277" s="141"/>
      <c r="C1277" s="142"/>
      <c r="D1277" s="141"/>
      <c r="E1277" s="150"/>
      <c r="F1277" s="150"/>
      <c r="G1277" s="145"/>
      <c r="H1277" s="145"/>
      <c r="I1277" s="145"/>
      <c r="J1277" s="145"/>
    </row>
    <row r="1278" spans="1:10" s="195" customFormat="1" ht="24.95" hidden="1" customHeight="1">
      <c r="A1278" s="141"/>
      <c r="B1278" s="141"/>
      <c r="C1278" s="142"/>
      <c r="D1278" s="141"/>
      <c r="E1278" s="150"/>
      <c r="F1278" s="150"/>
      <c r="G1278" s="145"/>
      <c r="H1278" s="145"/>
      <c r="I1278" s="145"/>
      <c r="J1278" s="145"/>
    </row>
    <row r="1279" spans="1:10" s="195" customFormat="1" ht="24.95" hidden="1" customHeight="1">
      <c r="A1279" s="141"/>
      <c r="B1279" s="141"/>
      <c r="C1279" s="142"/>
      <c r="D1279" s="141"/>
      <c r="E1279" s="150"/>
      <c r="F1279" s="150"/>
      <c r="G1279" s="145"/>
      <c r="H1279" s="145"/>
      <c r="I1279" s="145"/>
      <c r="J1279" s="145"/>
    </row>
    <row r="1280" spans="1:10" s="195" customFormat="1" ht="24.95" hidden="1" customHeight="1">
      <c r="A1280" s="141"/>
      <c r="B1280" s="141"/>
      <c r="C1280" s="142"/>
      <c r="D1280" s="141"/>
      <c r="E1280" s="150"/>
      <c r="F1280" s="150"/>
      <c r="G1280" s="145"/>
      <c r="H1280" s="145"/>
      <c r="I1280" s="145"/>
      <c r="J1280" s="145"/>
    </row>
    <row r="1281" spans="1:10" s="195" customFormat="1" ht="24.95" hidden="1" customHeight="1">
      <c r="A1281" s="141"/>
      <c r="B1281" s="141"/>
      <c r="C1281" s="142"/>
      <c r="D1281" s="141"/>
      <c r="E1281" s="150"/>
      <c r="F1281" s="150"/>
      <c r="G1281" s="145"/>
      <c r="H1281" s="145"/>
      <c r="I1281" s="145"/>
      <c r="J1281" s="145"/>
    </row>
    <row r="1282" spans="1:10" s="195" customFormat="1" ht="24.95" hidden="1" customHeight="1">
      <c r="A1282" s="141"/>
      <c r="B1282" s="141"/>
      <c r="C1282" s="142"/>
      <c r="D1282" s="141"/>
      <c r="E1282" s="150"/>
      <c r="F1282" s="150"/>
      <c r="G1282" s="145"/>
      <c r="H1282" s="145"/>
      <c r="I1282" s="145"/>
      <c r="J1282" s="145"/>
    </row>
    <row r="1283" spans="1:10" s="195" customFormat="1" ht="24.95" hidden="1" customHeight="1">
      <c r="A1283" s="141"/>
      <c r="B1283" s="141"/>
      <c r="C1283" s="142"/>
      <c r="D1283" s="141"/>
      <c r="E1283" s="150"/>
      <c r="F1283" s="150"/>
      <c r="G1283" s="145"/>
      <c r="H1283" s="145"/>
      <c r="I1283" s="145"/>
      <c r="J1283" s="145"/>
    </row>
    <row r="1284" spans="1:10" s="195" customFormat="1" ht="24.95" hidden="1" customHeight="1">
      <c r="A1284" s="141"/>
      <c r="B1284" s="141"/>
      <c r="C1284" s="142"/>
      <c r="D1284" s="141"/>
      <c r="E1284" s="150"/>
      <c r="F1284" s="150"/>
      <c r="G1284" s="145"/>
      <c r="H1284" s="145"/>
      <c r="I1284" s="145"/>
      <c r="J1284" s="145"/>
    </row>
    <row r="1285" spans="1:10" s="195" customFormat="1" ht="24.95" hidden="1" customHeight="1">
      <c r="A1285" s="141"/>
      <c r="B1285" s="141"/>
      <c r="C1285" s="142"/>
      <c r="D1285" s="141"/>
      <c r="E1285" s="150"/>
      <c r="F1285" s="150"/>
      <c r="G1285" s="145"/>
      <c r="H1285" s="145"/>
      <c r="I1285" s="145"/>
      <c r="J1285" s="145"/>
    </row>
    <row r="1286" spans="1:10" s="195" customFormat="1" ht="24.95" hidden="1" customHeight="1">
      <c r="A1286" s="141"/>
      <c r="B1286" s="141"/>
      <c r="C1286" s="142"/>
      <c r="D1286" s="141"/>
      <c r="E1286" s="150"/>
      <c r="F1286" s="150"/>
      <c r="G1286" s="145"/>
      <c r="H1286" s="145"/>
      <c r="I1286" s="145"/>
      <c r="J1286" s="145"/>
    </row>
    <row r="1287" spans="1:10" s="195" customFormat="1" ht="24.95" hidden="1" customHeight="1">
      <c r="A1287" s="141"/>
      <c r="B1287" s="141"/>
      <c r="C1287" s="142"/>
      <c r="D1287" s="141"/>
      <c r="E1287" s="150"/>
      <c r="F1287" s="150"/>
      <c r="G1287" s="145"/>
      <c r="H1287" s="145"/>
      <c r="I1287" s="145"/>
      <c r="J1287" s="145"/>
    </row>
    <row r="1288" spans="1:10" s="195" customFormat="1" ht="24.95" hidden="1" customHeight="1">
      <c r="A1288" s="141"/>
      <c r="B1288" s="141"/>
      <c r="C1288" s="142"/>
      <c r="D1288" s="141"/>
      <c r="E1288" s="150"/>
      <c r="F1288" s="150"/>
      <c r="G1288" s="145"/>
      <c r="H1288" s="145"/>
      <c r="I1288" s="145"/>
      <c r="J1288" s="145"/>
    </row>
    <row r="1289" spans="1:10" s="195" customFormat="1" ht="24.95" hidden="1" customHeight="1">
      <c r="A1289" s="141"/>
      <c r="B1289" s="141"/>
      <c r="C1289" s="142"/>
      <c r="D1289" s="141"/>
      <c r="E1289" s="150"/>
      <c r="F1289" s="150"/>
      <c r="G1289" s="145"/>
      <c r="H1289" s="145"/>
      <c r="I1289" s="145"/>
      <c r="J1289" s="145"/>
    </row>
    <row r="1290" spans="1:10" s="195" customFormat="1" ht="24.95" hidden="1" customHeight="1">
      <c r="A1290" s="141"/>
      <c r="B1290" s="141"/>
      <c r="C1290" s="142"/>
      <c r="D1290" s="141"/>
      <c r="E1290" s="150"/>
      <c r="F1290" s="150"/>
      <c r="G1290" s="145"/>
      <c r="H1290" s="145"/>
      <c r="I1290" s="145"/>
      <c r="J1290" s="145"/>
    </row>
    <row r="1291" spans="1:10" s="195" customFormat="1" ht="24.95" hidden="1" customHeight="1">
      <c r="A1291" s="141"/>
      <c r="B1291" s="141"/>
      <c r="C1291" s="142"/>
      <c r="D1291" s="141"/>
      <c r="E1291" s="150"/>
      <c r="F1291" s="150"/>
      <c r="G1291" s="145"/>
      <c r="H1291" s="145"/>
      <c r="I1291" s="145"/>
      <c r="J1291" s="145"/>
    </row>
    <row r="1292" spans="1:10" s="195" customFormat="1" ht="24.95" hidden="1" customHeight="1">
      <c r="A1292" s="141"/>
      <c r="B1292" s="141"/>
      <c r="C1292" s="142"/>
      <c r="D1292" s="141"/>
      <c r="E1292" s="150"/>
      <c r="F1292" s="150"/>
      <c r="G1292" s="145"/>
      <c r="H1292" s="145"/>
      <c r="I1292" s="145"/>
      <c r="J1292" s="145"/>
    </row>
    <row r="1293" spans="1:10" s="195" customFormat="1" ht="24.95" hidden="1" customHeight="1">
      <c r="A1293" s="141"/>
      <c r="B1293" s="141"/>
      <c r="C1293" s="142"/>
      <c r="D1293" s="141"/>
      <c r="E1293" s="150"/>
      <c r="F1293" s="150"/>
      <c r="G1293" s="145"/>
      <c r="H1293" s="145"/>
      <c r="I1293" s="145"/>
      <c r="J1293" s="145"/>
    </row>
    <row r="1294" spans="1:10" s="195" customFormat="1" ht="24.95" hidden="1" customHeight="1">
      <c r="A1294" s="141"/>
      <c r="B1294" s="141"/>
      <c r="C1294" s="142"/>
      <c r="D1294" s="141"/>
      <c r="E1294" s="150"/>
      <c r="F1294" s="150"/>
      <c r="G1294" s="145"/>
      <c r="H1294" s="145"/>
      <c r="I1294" s="145"/>
      <c r="J1294" s="145"/>
    </row>
    <row r="1295" spans="1:10" s="195" customFormat="1" ht="24.95" hidden="1" customHeight="1">
      <c r="A1295" s="141"/>
      <c r="B1295" s="141"/>
      <c r="C1295" s="142"/>
      <c r="D1295" s="141"/>
      <c r="E1295" s="150"/>
      <c r="F1295" s="150"/>
      <c r="G1295" s="145"/>
      <c r="H1295" s="145"/>
      <c r="I1295" s="145"/>
      <c r="J1295" s="145"/>
    </row>
    <row r="1296" spans="1:10" s="195" customFormat="1" ht="24.95" hidden="1" customHeight="1">
      <c r="A1296" s="141"/>
      <c r="B1296" s="141"/>
      <c r="C1296" s="142"/>
      <c r="D1296" s="141"/>
      <c r="E1296" s="150"/>
      <c r="F1296" s="150"/>
      <c r="G1296" s="145"/>
      <c r="H1296" s="145"/>
      <c r="I1296" s="145"/>
      <c r="J1296" s="145"/>
    </row>
    <row r="1297" spans="1:10" s="195" customFormat="1" ht="24.95" hidden="1" customHeight="1">
      <c r="A1297" s="141"/>
      <c r="B1297" s="141"/>
      <c r="C1297" s="142"/>
      <c r="D1297" s="141"/>
      <c r="E1297" s="150"/>
      <c r="F1297" s="150"/>
      <c r="G1297" s="145"/>
      <c r="H1297" s="145"/>
      <c r="I1297" s="145"/>
      <c r="J1297" s="145"/>
    </row>
    <row r="1298" spans="1:10" s="195" customFormat="1" ht="24.95" hidden="1" customHeight="1">
      <c r="A1298" s="141"/>
      <c r="B1298" s="141"/>
      <c r="C1298" s="142"/>
      <c r="D1298" s="141"/>
      <c r="E1298" s="150"/>
      <c r="F1298" s="150"/>
      <c r="G1298" s="145"/>
      <c r="H1298" s="145"/>
      <c r="I1298" s="145"/>
      <c r="J1298" s="145"/>
    </row>
    <row r="1299" spans="1:10" s="195" customFormat="1" ht="24.95" hidden="1" customHeight="1">
      <c r="A1299" s="141"/>
      <c r="B1299" s="141"/>
      <c r="C1299" s="142"/>
      <c r="D1299" s="141"/>
      <c r="E1299" s="150"/>
      <c r="F1299" s="150"/>
      <c r="G1299" s="145"/>
      <c r="H1299" s="145"/>
      <c r="I1299" s="145"/>
      <c r="J1299" s="145"/>
    </row>
    <row r="1300" spans="1:10" s="195" customFormat="1" ht="24.95" hidden="1" customHeight="1">
      <c r="A1300" s="141"/>
      <c r="B1300" s="141"/>
      <c r="C1300" s="142"/>
      <c r="D1300" s="141"/>
      <c r="E1300" s="150"/>
      <c r="F1300" s="150"/>
      <c r="G1300" s="145"/>
      <c r="H1300" s="145"/>
      <c r="I1300" s="145"/>
      <c r="J1300" s="145"/>
    </row>
    <row r="1301" spans="1:10" s="195" customFormat="1" ht="24.95" hidden="1" customHeight="1">
      <c r="A1301" s="141"/>
      <c r="B1301" s="141"/>
      <c r="C1301" s="142"/>
      <c r="D1301" s="141"/>
      <c r="E1301" s="150"/>
      <c r="F1301" s="150"/>
      <c r="G1301" s="145"/>
      <c r="H1301" s="145"/>
      <c r="I1301" s="145"/>
      <c r="J1301" s="145"/>
    </row>
    <row r="1302" spans="1:10" s="195" customFormat="1" ht="24.95" hidden="1" customHeight="1">
      <c r="A1302" s="141"/>
      <c r="B1302" s="141"/>
      <c r="C1302" s="142"/>
      <c r="D1302" s="141"/>
      <c r="E1302" s="150"/>
      <c r="F1302" s="150"/>
      <c r="G1302" s="145"/>
      <c r="H1302" s="145"/>
      <c r="I1302" s="145"/>
      <c r="J1302" s="145"/>
    </row>
    <row r="1303" spans="1:10" s="195" customFormat="1" ht="24.95" hidden="1" customHeight="1">
      <c r="A1303" s="141"/>
      <c r="B1303" s="141"/>
      <c r="C1303" s="142"/>
      <c r="D1303" s="141"/>
      <c r="E1303" s="150"/>
      <c r="F1303" s="150"/>
      <c r="G1303" s="145"/>
      <c r="H1303" s="145"/>
      <c r="I1303" s="145"/>
      <c r="J1303" s="145"/>
    </row>
    <row r="1304" spans="1:10" s="195" customFormat="1" ht="24.95" hidden="1" customHeight="1">
      <c r="A1304" s="141"/>
      <c r="B1304" s="141"/>
      <c r="C1304" s="142"/>
      <c r="D1304" s="141"/>
      <c r="E1304" s="150"/>
      <c r="F1304" s="150"/>
      <c r="G1304" s="145"/>
      <c r="H1304" s="145"/>
      <c r="I1304" s="145"/>
      <c r="J1304" s="145"/>
    </row>
    <row r="1305" spans="1:10" s="195" customFormat="1" ht="24.95" hidden="1" customHeight="1">
      <c r="A1305" s="141"/>
      <c r="B1305" s="141"/>
      <c r="C1305" s="142"/>
      <c r="D1305" s="141"/>
      <c r="E1305" s="150"/>
      <c r="F1305" s="150"/>
      <c r="G1305" s="145"/>
      <c r="H1305" s="145"/>
      <c r="I1305" s="145"/>
      <c r="J1305" s="145"/>
    </row>
    <row r="1306" spans="1:10" s="195" customFormat="1" ht="24.95" hidden="1" customHeight="1">
      <c r="A1306" s="141"/>
      <c r="B1306" s="141"/>
      <c r="C1306" s="142"/>
      <c r="D1306" s="141"/>
      <c r="E1306" s="150"/>
      <c r="F1306" s="150"/>
      <c r="G1306" s="145"/>
      <c r="H1306" s="145"/>
      <c r="I1306" s="145"/>
      <c r="J1306" s="145"/>
    </row>
    <row r="1307" spans="1:10" s="195" customFormat="1" ht="24.95" hidden="1" customHeight="1">
      <c r="A1307" s="141"/>
      <c r="B1307" s="141"/>
      <c r="C1307" s="142"/>
      <c r="D1307" s="141"/>
      <c r="E1307" s="150"/>
      <c r="F1307" s="150"/>
      <c r="G1307" s="145"/>
      <c r="H1307" s="145"/>
      <c r="I1307" s="145"/>
      <c r="J1307" s="145"/>
    </row>
    <row r="1308" spans="1:10" s="195" customFormat="1" ht="24.95" hidden="1" customHeight="1">
      <c r="A1308" s="141"/>
      <c r="B1308" s="141"/>
      <c r="C1308" s="142"/>
      <c r="D1308" s="141"/>
      <c r="E1308" s="150"/>
      <c r="F1308" s="150"/>
      <c r="G1308" s="145"/>
      <c r="H1308" s="145"/>
      <c r="I1308" s="145"/>
      <c r="J1308" s="145"/>
    </row>
    <row r="1309" spans="1:10" s="195" customFormat="1" ht="24.95" hidden="1" customHeight="1">
      <c r="A1309" s="141"/>
      <c r="B1309" s="141"/>
      <c r="C1309" s="142"/>
      <c r="D1309" s="141"/>
      <c r="E1309" s="150"/>
      <c r="F1309" s="150"/>
      <c r="G1309" s="145"/>
      <c r="H1309" s="145"/>
      <c r="I1309" s="145"/>
      <c r="J1309" s="145"/>
    </row>
    <row r="1310" spans="1:10" s="195" customFormat="1" ht="24.95" hidden="1" customHeight="1">
      <c r="A1310" s="141"/>
      <c r="B1310" s="141"/>
      <c r="C1310" s="142"/>
      <c r="D1310" s="141"/>
      <c r="E1310" s="150"/>
      <c r="F1310" s="150"/>
      <c r="G1310" s="145"/>
      <c r="H1310" s="145"/>
      <c r="I1310" s="145"/>
      <c r="J1310" s="145"/>
    </row>
    <row r="1311" spans="1:10" s="195" customFormat="1" ht="24.95" hidden="1" customHeight="1">
      <c r="A1311" s="141"/>
      <c r="B1311" s="141"/>
      <c r="C1311" s="142"/>
      <c r="D1311" s="141"/>
      <c r="E1311" s="150"/>
      <c r="F1311" s="150"/>
      <c r="G1311" s="145"/>
      <c r="H1311" s="145"/>
      <c r="I1311" s="145"/>
      <c r="J1311" s="145"/>
    </row>
    <row r="1312" spans="1:10" s="195" customFormat="1" ht="24.95" hidden="1" customHeight="1">
      <c r="A1312" s="141"/>
      <c r="B1312" s="141"/>
      <c r="C1312" s="142"/>
      <c r="D1312" s="141"/>
      <c r="E1312" s="150"/>
      <c r="F1312" s="150"/>
      <c r="G1312" s="145"/>
      <c r="H1312" s="145"/>
      <c r="I1312" s="145"/>
      <c r="J1312" s="145"/>
    </row>
    <row r="1313" spans="1:10" s="195" customFormat="1" ht="24.95" hidden="1" customHeight="1">
      <c r="A1313" s="141"/>
      <c r="B1313" s="141"/>
      <c r="C1313" s="142"/>
      <c r="D1313" s="141"/>
      <c r="E1313" s="150"/>
      <c r="F1313" s="150"/>
      <c r="G1313" s="145"/>
      <c r="H1313" s="145"/>
      <c r="I1313" s="145"/>
      <c r="J1313" s="145"/>
    </row>
    <row r="1314" spans="1:10" s="195" customFormat="1" ht="24.95" hidden="1" customHeight="1">
      <c r="A1314" s="141"/>
      <c r="B1314" s="141"/>
      <c r="C1314" s="142"/>
      <c r="D1314" s="141"/>
      <c r="E1314" s="150"/>
      <c r="F1314" s="150"/>
      <c r="G1314" s="145"/>
      <c r="H1314" s="145"/>
      <c r="I1314" s="145"/>
      <c r="J1314" s="145"/>
    </row>
    <row r="1315" spans="1:10" s="195" customFormat="1" ht="24.95" hidden="1" customHeight="1">
      <c r="A1315" s="141"/>
      <c r="B1315" s="141"/>
      <c r="C1315" s="142"/>
      <c r="D1315" s="141"/>
      <c r="E1315" s="150"/>
      <c r="F1315" s="150"/>
      <c r="G1315" s="145"/>
      <c r="H1315" s="145"/>
      <c r="I1315" s="145"/>
      <c r="J1315" s="145"/>
    </row>
    <row r="1316" spans="1:10" s="195" customFormat="1" ht="24.95" hidden="1" customHeight="1">
      <c r="A1316" s="141"/>
      <c r="B1316" s="141"/>
      <c r="C1316" s="142"/>
      <c r="D1316" s="141"/>
      <c r="E1316" s="150"/>
      <c r="F1316" s="150"/>
      <c r="G1316" s="145"/>
      <c r="H1316" s="145"/>
      <c r="I1316" s="145"/>
      <c r="J1316" s="145"/>
    </row>
    <row r="1317" spans="1:10" s="195" customFormat="1" ht="24.95" hidden="1" customHeight="1">
      <c r="A1317" s="141"/>
      <c r="B1317" s="141"/>
      <c r="C1317" s="142"/>
      <c r="D1317" s="141"/>
      <c r="E1317" s="150"/>
      <c r="F1317" s="150"/>
      <c r="G1317" s="145"/>
      <c r="H1317" s="145"/>
      <c r="I1317" s="145"/>
      <c r="J1317" s="145"/>
    </row>
    <row r="1318" spans="1:10" s="195" customFormat="1" ht="24.95" hidden="1" customHeight="1">
      <c r="A1318" s="141"/>
      <c r="B1318" s="141"/>
      <c r="C1318" s="142"/>
      <c r="D1318" s="141"/>
      <c r="E1318" s="150"/>
      <c r="F1318" s="150"/>
      <c r="G1318" s="145"/>
      <c r="H1318" s="145"/>
      <c r="I1318" s="145"/>
      <c r="J1318" s="145"/>
    </row>
    <row r="1319" spans="1:10" s="195" customFormat="1" ht="24.95" hidden="1" customHeight="1">
      <c r="A1319" s="141"/>
      <c r="B1319" s="141"/>
      <c r="C1319" s="142"/>
      <c r="D1319" s="141"/>
      <c r="E1319" s="150"/>
      <c r="F1319" s="150"/>
      <c r="G1319" s="145"/>
      <c r="H1319" s="145"/>
      <c r="I1319" s="145"/>
      <c r="J1319" s="145"/>
    </row>
    <row r="1320" spans="1:10" s="195" customFormat="1" ht="24.95" hidden="1" customHeight="1">
      <c r="A1320" s="141"/>
      <c r="B1320" s="141"/>
      <c r="C1320" s="142"/>
      <c r="D1320" s="141"/>
      <c r="E1320" s="150"/>
      <c r="F1320" s="150"/>
      <c r="G1320" s="145"/>
      <c r="H1320" s="145"/>
      <c r="I1320" s="145"/>
      <c r="J1320" s="145"/>
    </row>
    <row r="1321" spans="1:10" s="195" customFormat="1" ht="24.95" hidden="1" customHeight="1">
      <c r="A1321" s="141"/>
      <c r="B1321" s="141"/>
      <c r="C1321" s="142"/>
      <c r="D1321" s="141"/>
      <c r="E1321" s="150"/>
      <c r="F1321" s="150"/>
      <c r="G1321" s="145"/>
      <c r="H1321" s="145"/>
      <c r="I1321" s="145"/>
      <c r="J1321" s="145"/>
    </row>
    <row r="1322" spans="1:10" s="195" customFormat="1" ht="24.95" hidden="1" customHeight="1">
      <c r="A1322" s="141"/>
      <c r="B1322" s="141"/>
      <c r="C1322" s="142"/>
      <c r="D1322" s="141"/>
      <c r="E1322" s="150"/>
      <c r="F1322" s="150"/>
      <c r="G1322" s="145"/>
      <c r="H1322" s="145"/>
      <c r="I1322" s="145"/>
      <c r="J1322" s="145"/>
    </row>
    <row r="1323" spans="1:10" s="195" customFormat="1" ht="24.95" hidden="1" customHeight="1">
      <c r="A1323" s="141"/>
      <c r="B1323" s="141"/>
      <c r="C1323" s="142"/>
      <c r="D1323" s="141"/>
      <c r="E1323" s="150"/>
      <c r="F1323" s="150"/>
      <c r="G1323" s="145"/>
      <c r="H1323" s="145"/>
      <c r="I1323" s="145"/>
      <c r="J1323" s="145"/>
    </row>
    <row r="1324" spans="1:10" s="195" customFormat="1" ht="24.95" hidden="1" customHeight="1">
      <c r="A1324" s="141"/>
      <c r="B1324" s="141"/>
      <c r="C1324" s="142"/>
      <c r="D1324" s="141"/>
      <c r="E1324" s="150"/>
      <c r="F1324" s="150"/>
      <c r="G1324" s="145"/>
      <c r="H1324" s="145"/>
      <c r="I1324" s="145"/>
      <c r="J1324" s="145"/>
    </row>
    <row r="1325" spans="1:10" s="195" customFormat="1" ht="24.95" hidden="1" customHeight="1">
      <c r="A1325" s="141"/>
      <c r="B1325" s="141"/>
      <c r="C1325" s="142"/>
      <c r="D1325" s="141"/>
      <c r="E1325" s="150"/>
      <c r="F1325" s="150"/>
      <c r="G1325" s="145"/>
      <c r="H1325" s="145"/>
      <c r="I1325" s="145"/>
      <c r="J1325" s="145"/>
    </row>
    <row r="1326" spans="1:10" s="195" customFormat="1" ht="24.95" hidden="1" customHeight="1">
      <c r="A1326" s="141"/>
      <c r="B1326" s="141"/>
      <c r="C1326" s="142"/>
      <c r="D1326" s="141"/>
      <c r="E1326" s="150"/>
      <c r="F1326" s="150"/>
      <c r="G1326" s="145"/>
      <c r="H1326" s="145"/>
      <c r="I1326" s="145"/>
      <c r="J1326" s="145"/>
    </row>
    <row r="1327" spans="1:10" s="195" customFormat="1" ht="24.95" hidden="1" customHeight="1">
      <c r="A1327" s="141"/>
      <c r="B1327" s="141"/>
      <c r="C1327" s="142"/>
      <c r="D1327" s="141"/>
      <c r="E1327" s="150"/>
      <c r="F1327" s="150"/>
      <c r="G1327" s="145"/>
      <c r="H1327" s="145"/>
      <c r="I1327" s="145"/>
      <c r="J1327" s="145"/>
    </row>
    <row r="1328" spans="1:10" s="195" customFormat="1" ht="24.95" hidden="1" customHeight="1">
      <c r="A1328" s="141"/>
      <c r="B1328" s="141"/>
      <c r="C1328" s="142"/>
      <c r="D1328" s="141"/>
      <c r="E1328" s="150"/>
      <c r="F1328" s="150"/>
      <c r="G1328" s="145"/>
      <c r="H1328" s="145"/>
      <c r="I1328" s="145"/>
      <c r="J1328" s="145"/>
    </row>
    <row r="1329" spans="1:10" s="195" customFormat="1" ht="24.95" hidden="1" customHeight="1">
      <c r="A1329" s="141"/>
      <c r="B1329" s="141"/>
      <c r="C1329" s="142"/>
      <c r="D1329" s="141"/>
      <c r="E1329" s="150"/>
      <c r="F1329" s="150"/>
      <c r="G1329" s="145"/>
      <c r="H1329" s="145"/>
      <c r="I1329" s="145"/>
      <c r="J1329" s="145"/>
    </row>
    <row r="1330" spans="1:10" s="195" customFormat="1" ht="24.95" hidden="1" customHeight="1">
      <c r="A1330" s="141"/>
      <c r="B1330" s="141"/>
      <c r="C1330" s="142"/>
      <c r="D1330" s="141"/>
      <c r="E1330" s="150"/>
      <c r="F1330" s="150"/>
      <c r="G1330" s="145"/>
      <c r="H1330" s="145"/>
      <c r="I1330" s="145"/>
      <c r="J1330" s="145"/>
    </row>
    <row r="1331" spans="1:10" s="195" customFormat="1" ht="24.95" hidden="1" customHeight="1">
      <c r="A1331" s="141"/>
      <c r="B1331" s="141"/>
      <c r="C1331" s="142"/>
      <c r="D1331" s="141"/>
      <c r="E1331" s="150"/>
      <c r="F1331" s="150"/>
      <c r="G1331" s="145"/>
      <c r="H1331" s="145"/>
      <c r="I1331" s="145"/>
      <c r="J1331" s="145"/>
    </row>
    <row r="1332" spans="1:10" s="195" customFormat="1" ht="24.95" hidden="1" customHeight="1">
      <c r="A1332" s="141"/>
      <c r="B1332" s="141"/>
      <c r="C1332" s="142"/>
      <c r="D1332" s="141"/>
      <c r="E1332" s="150"/>
      <c r="F1332" s="150"/>
      <c r="G1332" s="145"/>
      <c r="H1332" s="145"/>
      <c r="I1332" s="145"/>
      <c r="J1332" s="145"/>
    </row>
    <row r="1333" spans="1:10" s="195" customFormat="1" ht="24.95" hidden="1" customHeight="1">
      <c r="A1333" s="141"/>
      <c r="B1333" s="141"/>
      <c r="C1333" s="142"/>
      <c r="D1333" s="141"/>
      <c r="E1333" s="150"/>
      <c r="F1333" s="150"/>
      <c r="G1333" s="145"/>
      <c r="H1333" s="145"/>
      <c r="I1333" s="145"/>
      <c r="J1333" s="145"/>
    </row>
    <row r="1334" spans="1:10" s="195" customFormat="1" ht="24.95" hidden="1" customHeight="1">
      <c r="A1334" s="141"/>
      <c r="B1334" s="141"/>
      <c r="C1334" s="142"/>
      <c r="D1334" s="141"/>
      <c r="E1334" s="150"/>
      <c r="F1334" s="150"/>
      <c r="G1334" s="145"/>
      <c r="H1334" s="145"/>
      <c r="I1334" s="145"/>
      <c r="J1334" s="145"/>
    </row>
    <row r="1335" spans="1:10" s="195" customFormat="1" ht="24.95" hidden="1" customHeight="1">
      <c r="A1335" s="141"/>
      <c r="B1335" s="141"/>
      <c r="C1335" s="142"/>
      <c r="D1335" s="141"/>
      <c r="E1335" s="150"/>
      <c r="F1335" s="150"/>
      <c r="G1335" s="145"/>
      <c r="H1335" s="145"/>
      <c r="I1335" s="145"/>
      <c r="J1335" s="145"/>
    </row>
    <row r="1336" spans="1:10" s="195" customFormat="1" ht="24.95" hidden="1" customHeight="1">
      <c r="A1336" s="141"/>
      <c r="B1336" s="141"/>
      <c r="C1336" s="142"/>
      <c r="D1336" s="141"/>
      <c r="E1336" s="150"/>
      <c r="F1336" s="150"/>
      <c r="G1336" s="145"/>
      <c r="H1336" s="145"/>
      <c r="I1336" s="145"/>
      <c r="J1336" s="145"/>
    </row>
    <row r="1337" spans="1:10" s="195" customFormat="1" ht="24.95" hidden="1" customHeight="1">
      <c r="A1337" s="141"/>
      <c r="B1337" s="141"/>
      <c r="C1337" s="142"/>
      <c r="D1337" s="141"/>
      <c r="E1337" s="150"/>
      <c r="F1337" s="150"/>
      <c r="G1337" s="145"/>
      <c r="H1337" s="145"/>
      <c r="I1337" s="145"/>
      <c r="J1337" s="145"/>
    </row>
    <row r="1338" spans="1:10" s="195" customFormat="1" ht="24.95" hidden="1" customHeight="1">
      <c r="A1338" s="141"/>
      <c r="B1338" s="141"/>
      <c r="C1338" s="142"/>
      <c r="D1338" s="141"/>
      <c r="E1338" s="150"/>
      <c r="F1338" s="150"/>
      <c r="G1338" s="145"/>
      <c r="H1338" s="145"/>
      <c r="I1338" s="145"/>
      <c r="J1338" s="145"/>
    </row>
    <row r="1339" spans="1:10" s="195" customFormat="1" ht="24.95" hidden="1" customHeight="1">
      <c r="A1339" s="141"/>
      <c r="B1339" s="141"/>
      <c r="C1339" s="142"/>
      <c r="D1339" s="141"/>
      <c r="E1339" s="150"/>
      <c r="F1339" s="150"/>
      <c r="G1339" s="145"/>
      <c r="H1339" s="145"/>
      <c r="I1339" s="145"/>
      <c r="J1339" s="145"/>
    </row>
    <row r="1340" spans="1:10" s="195" customFormat="1" ht="24.95" hidden="1" customHeight="1">
      <c r="A1340" s="141"/>
      <c r="B1340" s="141"/>
      <c r="C1340" s="142"/>
      <c r="D1340" s="141"/>
      <c r="E1340" s="150"/>
      <c r="F1340" s="150"/>
      <c r="G1340" s="145"/>
      <c r="H1340" s="145"/>
      <c r="I1340" s="145"/>
      <c r="J1340" s="145"/>
    </row>
    <row r="1341" spans="1:10" s="195" customFormat="1" ht="24.95" hidden="1" customHeight="1">
      <c r="A1341" s="141"/>
      <c r="B1341" s="141"/>
      <c r="C1341" s="142"/>
      <c r="D1341" s="141"/>
      <c r="E1341" s="150"/>
      <c r="F1341" s="150"/>
      <c r="G1341" s="145"/>
      <c r="H1341" s="145"/>
      <c r="I1341" s="145"/>
      <c r="J1341" s="145"/>
    </row>
    <row r="1342" spans="1:10" s="195" customFormat="1" ht="24.95" hidden="1" customHeight="1">
      <c r="A1342" s="141"/>
      <c r="B1342" s="141"/>
      <c r="C1342" s="142"/>
      <c r="D1342" s="141"/>
      <c r="E1342" s="150"/>
      <c r="F1342" s="150"/>
      <c r="G1342" s="145"/>
      <c r="H1342" s="145"/>
      <c r="I1342" s="145"/>
      <c r="J1342" s="145"/>
    </row>
    <row r="1343" spans="1:10" s="195" customFormat="1" ht="24.95" hidden="1" customHeight="1">
      <c r="A1343" s="141"/>
      <c r="B1343" s="141"/>
      <c r="C1343" s="142"/>
      <c r="D1343" s="141"/>
      <c r="E1343" s="150"/>
      <c r="F1343" s="150"/>
      <c r="G1343" s="145"/>
      <c r="H1343" s="145"/>
      <c r="I1343" s="145"/>
      <c r="J1343" s="145"/>
    </row>
    <row r="1344" spans="1:10" s="195" customFormat="1" ht="24.95" hidden="1" customHeight="1">
      <c r="A1344" s="141"/>
      <c r="B1344" s="141"/>
      <c r="C1344" s="142"/>
      <c r="D1344" s="141"/>
      <c r="E1344" s="150"/>
      <c r="F1344" s="150"/>
      <c r="G1344" s="145"/>
      <c r="H1344" s="145"/>
      <c r="I1344" s="145"/>
      <c r="J1344" s="145"/>
    </row>
    <row r="1345" spans="1:10" s="195" customFormat="1" ht="24.95" hidden="1" customHeight="1">
      <c r="A1345" s="141"/>
      <c r="B1345" s="141"/>
      <c r="C1345" s="142"/>
      <c r="D1345" s="141"/>
      <c r="E1345" s="150"/>
      <c r="F1345" s="150"/>
      <c r="G1345" s="145"/>
      <c r="H1345" s="145"/>
      <c r="I1345" s="145"/>
      <c r="J1345" s="145"/>
    </row>
    <row r="1346" spans="1:10" s="195" customFormat="1" ht="24.95" hidden="1" customHeight="1">
      <c r="A1346" s="141"/>
      <c r="B1346" s="141"/>
      <c r="C1346" s="142"/>
      <c r="D1346" s="141"/>
      <c r="E1346" s="150"/>
      <c r="F1346" s="150"/>
      <c r="G1346" s="145"/>
      <c r="H1346" s="145"/>
      <c r="I1346" s="145"/>
      <c r="J1346" s="145"/>
    </row>
    <row r="1347" spans="1:10" s="195" customFormat="1" ht="24.95" hidden="1" customHeight="1">
      <c r="A1347" s="141"/>
      <c r="B1347" s="141"/>
      <c r="C1347" s="142"/>
      <c r="D1347" s="141"/>
      <c r="E1347" s="150"/>
      <c r="F1347" s="150"/>
      <c r="G1347" s="145"/>
      <c r="H1347" s="145"/>
      <c r="I1347" s="145"/>
      <c r="J1347" s="145"/>
    </row>
    <row r="1348" spans="1:10" s="195" customFormat="1" ht="24.95" hidden="1" customHeight="1">
      <c r="A1348" s="141"/>
      <c r="B1348" s="141"/>
      <c r="C1348" s="142"/>
      <c r="D1348" s="141"/>
      <c r="E1348" s="150"/>
      <c r="F1348" s="150"/>
      <c r="G1348" s="145"/>
      <c r="H1348" s="145"/>
      <c r="I1348" s="145"/>
      <c r="J1348" s="145"/>
    </row>
    <row r="1349" spans="1:10" s="195" customFormat="1" ht="24.95" hidden="1" customHeight="1">
      <c r="A1349" s="141"/>
      <c r="B1349" s="141"/>
      <c r="C1349" s="142"/>
      <c r="D1349" s="141"/>
      <c r="E1349" s="150"/>
      <c r="F1349" s="150"/>
      <c r="G1349" s="145"/>
      <c r="H1349" s="145"/>
      <c r="I1349" s="145"/>
      <c r="J1349" s="145"/>
    </row>
    <row r="1350" spans="1:10" s="195" customFormat="1" ht="24.95" hidden="1" customHeight="1">
      <c r="A1350" s="141"/>
      <c r="B1350" s="141"/>
      <c r="C1350" s="142"/>
      <c r="D1350" s="141"/>
      <c r="E1350" s="150"/>
      <c r="F1350" s="150"/>
      <c r="G1350" s="145"/>
      <c r="H1350" s="145"/>
      <c r="I1350" s="145"/>
      <c r="J1350" s="145"/>
    </row>
    <row r="1351" spans="1:10" s="195" customFormat="1" ht="24.95" hidden="1" customHeight="1">
      <c r="A1351" s="141"/>
      <c r="B1351" s="141"/>
      <c r="C1351" s="142"/>
      <c r="D1351" s="141"/>
      <c r="E1351" s="150"/>
      <c r="F1351" s="150"/>
      <c r="G1351" s="145"/>
      <c r="H1351" s="145"/>
      <c r="I1351" s="145"/>
      <c r="J1351" s="145"/>
    </row>
    <row r="1352" spans="1:10" s="195" customFormat="1" ht="24.95" hidden="1" customHeight="1">
      <c r="A1352" s="141"/>
      <c r="B1352" s="141"/>
      <c r="C1352" s="142"/>
      <c r="D1352" s="141"/>
      <c r="E1352" s="150"/>
      <c r="F1352" s="150"/>
      <c r="G1352" s="145"/>
      <c r="H1352" s="145"/>
      <c r="I1352" s="145"/>
      <c r="J1352" s="145"/>
    </row>
    <row r="1353" spans="1:10" s="195" customFormat="1" ht="24.95" hidden="1" customHeight="1">
      <c r="A1353" s="141"/>
      <c r="B1353" s="141"/>
      <c r="C1353" s="142"/>
      <c r="D1353" s="141"/>
      <c r="E1353" s="150"/>
      <c r="F1353" s="150"/>
      <c r="G1353" s="145"/>
      <c r="H1353" s="145"/>
      <c r="I1353" s="145"/>
      <c r="J1353" s="145"/>
    </row>
    <row r="1354" spans="1:10" s="195" customFormat="1" ht="24.95" hidden="1" customHeight="1">
      <c r="A1354" s="141"/>
      <c r="B1354" s="141"/>
      <c r="C1354" s="142"/>
      <c r="D1354" s="141"/>
      <c r="E1354" s="150"/>
      <c r="F1354" s="150"/>
      <c r="G1354" s="145"/>
      <c r="H1354" s="145"/>
      <c r="I1354" s="145"/>
      <c r="J1354" s="145"/>
    </row>
    <row r="1355" spans="1:10" s="195" customFormat="1" ht="24.95" hidden="1" customHeight="1">
      <c r="A1355" s="141"/>
      <c r="B1355" s="141"/>
      <c r="C1355" s="142"/>
      <c r="D1355" s="141"/>
      <c r="E1355" s="150"/>
      <c r="F1355" s="150"/>
      <c r="G1355" s="145"/>
      <c r="H1355" s="145"/>
      <c r="I1355" s="145"/>
      <c r="J1355" s="145"/>
    </row>
    <row r="1356" spans="1:10" s="195" customFormat="1" ht="24.95" hidden="1" customHeight="1">
      <c r="A1356" s="141"/>
      <c r="B1356" s="141"/>
      <c r="C1356" s="142"/>
      <c r="D1356" s="141"/>
      <c r="E1356" s="150"/>
      <c r="F1356" s="150"/>
      <c r="G1356" s="145"/>
      <c r="H1356" s="145"/>
      <c r="I1356" s="145"/>
      <c r="J1356" s="145"/>
    </row>
    <row r="1357" spans="1:10" s="195" customFormat="1" ht="24.95" hidden="1" customHeight="1">
      <c r="A1357" s="141"/>
      <c r="B1357" s="141"/>
      <c r="C1357" s="142"/>
      <c r="D1357" s="141"/>
      <c r="E1357" s="150"/>
      <c r="F1357" s="150"/>
      <c r="G1357" s="145"/>
      <c r="H1357" s="145"/>
      <c r="I1357" s="145"/>
      <c r="J1357" s="145"/>
    </row>
    <row r="1358" spans="1:10" s="195" customFormat="1" ht="24.95" hidden="1" customHeight="1">
      <c r="A1358" s="141"/>
      <c r="B1358" s="141"/>
      <c r="C1358" s="142"/>
      <c r="D1358" s="141"/>
      <c r="E1358" s="150"/>
      <c r="F1358" s="150"/>
      <c r="G1358" s="145"/>
      <c r="H1358" s="145"/>
      <c r="I1358" s="145"/>
      <c r="J1358" s="145"/>
    </row>
    <row r="1359" spans="1:10" s="195" customFormat="1" ht="24.95" hidden="1" customHeight="1">
      <c r="A1359" s="141"/>
      <c r="B1359" s="141"/>
      <c r="C1359" s="142"/>
      <c r="D1359" s="141"/>
      <c r="E1359" s="150"/>
      <c r="F1359" s="150"/>
      <c r="G1359" s="145"/>
      <c r="H1359" s="145"/>
      <c r="I1359" s="145"/>
      <c r="J1359" s="145"/>
    </row>
    <row r="1360" spans="1:10" s="195" customFormat="1" ht="24.95" hidden="1" customHeight="1">
      <c r="A1360" s="141"/>
      <c r="B1360" s="141"/>
      <c r="C1360" s="142"/>
      <c r="D1360" s="141"/>
      <c r="E1360" s="150"/>
      <c r="F1360" s="150"/>
      <c r="G1360" s="145"/>
      <c r="H1360" s="145"/>
      <c r="I1360" s="145"/>
      <c r="J1360" s="145"/>
    </row>
    <row r="1361" spans="1:10" s="195" customFormat="1" ht="24.95" hidden="1" customHeight="1">
      <c r="A1361" s="141"/>
      <c r="B1361" s="141"/>
      <c r="C1361" s="142"/>
      <c r="D1361" s="141"/>
      <c r="E1361" s="150"/>
      <c r="F1361" s="150"/>
      <c r="G1361" s="145"/>
      <c r="H1361" s="145"/>
      <c r="I1361" s="145"/>
      <c r="J1361" s="145"/>
    </row>
    <row r="1362" spans="1:10" s="195" customFormat="1" ht="24.95" hidden="1" customHeight="1">
      <c r="A1362" s="141"/>
      <c r="B1362" s="141"/>
      <c r="C1362" s="142"/>
      <c r="D1362" s="141"/>
      <c r="E1362" s="150"/>
      <c r="F1362" s="150"/>
      <c r="G1362" s="145"/>
      <c r="H1362" s="145"/>
      <c r="I1362" s="145"/>
      <c r="J1362" s="145"/>
    </row>
    <row r="1363" spans="1:10" s="195" customFormat="1" ht="24.95" hidden="1" customHeight="1">
      <c r="A1363" s="141"/>
      <c r="B1363" s="141"/>
      <c r="C1363" s="142"/>
      <c r="D1363" s="141"/>
      <c r="E1363" s="150"/>
      <c r="F1363" s="150"/>
      <c r="G1363" s="145"/>
      <c r="H1363" s="145"/>
      <c r="I1363" s="145"/>
      <c r="J1363" s="145"/>
    </row>
    <row r="1364" spans="1:10" s="195" customFormat="1" ht="24.95" hidden="1" customHeight="1">
      <c r="A1364" s="141"/>
      <c r="B1364" s="141"/>
      <c r="C1364" s="142"/>
      <c r="D1364" s="141"/>
      <c r="E1364" s="150"/>
      <c r="F1364" s="150"/>
      <c r="G1364" s="145"/>
      <c r="H1364" s="145"/>
      <c r="I1364" s="145"/>
      <c r="J1364" s="145"/>
    </row>
    <row r="1365" spans="1:10" s="195" customFormat="1" ht="24.95" hidden="1" customHeight="1">
      <c r="A1365" s="141"/>
      <c r="B1365" s="141"/>
      <c r="C1365" s="142"/>
      <c r="D1365" s="141"/>
      <c r="E1365" s="150"/>
      <c r="F1365" s="150"/>
      <c r="G1365" s="145"/>
      <c r="H1365" s="145"/>
      <c r="I1365" s="145"/>
      <c r="J1365" s="145"/>
    </row>
    <row r="1366" spans="1:10" s="195" customFormat="1" ht="24.95" hidden="1" customHeight="1">
      <c r="A1366" s="141"/>
      <c r="B1366" s="141"/>
      <c r="C1366" s="142"/>
      <c r="D1366" s="141"/>
      <c r="E1366" s="150"/>
      <c r="F1366" s="150"/>
      <c r="G1366" s="145"/>
      <c r="H1366" s="145"/>
      <c r="I1366" s="145"/>
      <c r="J1366" s="145"/>
    </row>
    <row r="1367" spans="1:10" s="195" customFormat="1" ht="24.95" hidden="1" customHeight="1">
      <c r="A1367" s="141"/>
      <c r="B1367" s="141"/>
      <c r="C1367" s="142"/>
      <c r="D1367" s="141"/>
      <c r="E1367" s="150"/>
      <c r="F1367" s="150"/>
      <c r="G1367" s="145"/>
      <c r="H1367" s="145"/>
      <c r="I1367" s="145"/>
      <c r="J1367" s="145"/>
    </row>
    <row r="1368" spans="1:10" s="195" customFormat="1" ht="24.95" hidden="1" customHeight="1">
      <c r="A1368" s="141"/>
      <c r="B1368" s="141"/>
      <c r="C1368" s="142"/>
      <c r="D1368" s="141"/>
      <c r="E1368" s="150"/>
      <c r="F1368" s="150"/>
      <c r="G1368" s="145"/>
      <c r="H1368" s="145"/>
      <c r="I1368" s="145"/>
      <c r="J1368" s="145"/>
    </row>
    <row r="1369" spans="1:10" s="195" customFormat="1" ht="24.95" hidden="1" customHeight="1">
      <c r="A1369" s="141"/>
      <c r="B1369" s="141"/>
      <c r="C1369" s="142"/>
      <c r="D1369" s="141"/>
      <c r="E1369" s="150"/>
      <c r="F1369" s="150"/>
      <c r="G1369" s="145"/>
      <c r="H1369" s="145"/>
      <c r="I1369" s="145"/>
      <c r="J1369" s="145"/>
    </row>
    <row r="1370" spans="1:10" s="195" customFormat="1" ht="24.95" hidden="1" customHeight="1">
      <c r="A1370" s="141"/>
      <c r="B1370" s="141"/>
      <c r="C1370" s="142"/>
      <c r="D1370" s="141"/>
      <c r="E1370" s="150"/>
      <c r="F1370" s="150"/>
      <c r="G1370" s="145"/>
      <c r="H1370" s="145"/>
      <c r="I1370" s="145"/>
      <c r="J1370" s="145"/>
    </row>
    <row r="1371" spans="1:10" s="195" customFormat="1" ht="24.95" hidden="1" customHeight="1">
      <c r="A1371" s="141"/>
      <c r="B1371" s="141"/>
      <c r="C1371" s="142"/>
      <c r="D1371" s="141"/>
      <c r="E1371" s="150"/>
      <c r="F1371" s="150"/>
      <c r="G1371" s="145"/>
      <c r="H1371" s="145"/>
      <c r="I1371" s="145"/>
      <c r="J1371" s="145"/>
    </row>
    <row r="1372" spans="1:10" s="195" customFormat="1" ht="24.95" hidden="1" customHeight="1">
      <c r="A1372" s="141"/>
      <c r="B1372" s="141"/>
      <c r="C1372" s="142"/>
      <c r="D1372" s="141"/>
      <c r="E1372" s="150"/>
      <c r="F1372" s="150"/>
      <c r="G1372" s="145"/>
      <c r="H1372" s="145"/>
      <c r="I1372" s="145"/>
      <c r="J1372" s="145"/>
    </row>
    <row r="1373" spans="1:10" s="195" customFormat="1" ht="24.95" hidden="1" customHeight="1">
      <c r="A1373" s="141"/>
      <c r="B1373" s="141"/>
      <c r="C1373" s="142"/>
      <c r="D1373" s="141"/>
      <c r="E1373" s="150"/>
      <c r="F1373" s="150"/>
      <c r="G1373" s="145"/>
      <c r="H1373" s="145"/>
      <c r="I1373" s="145"/>
      <c r="J1373" s="145"/>
    </row>
    <row r="1374" spans="1:10" s="195" customFormat="1" ht="24.95" hidden="1" customHeight="1">
      <c r="A1374" s="141"/>
      <c r="B1374" s="141"/>
      <c r="C1374" s="142"/>
      <c r="D1374" s="141"/>
      <c r="E1374" s="150"/>
      <c r="F1374" s="150"/>
      <c r="G1374" s="145"/>
      <c r="H1374" s="145"/>
      <c r="I1374" s="145"/>
      <c r="J1374" s="145"/>
    </row>
    <row r="1375" spans="1:10" s="195" customFormat="1" ht="24.95" hidden="1" customHeight="1">
      <c r="A1375" s="141"/>
      <c r="B1375" s="141"/>
      <c r="C1375" s="142"/>
      <c r="D1375" s="141"/>
      <c r="E1375" s="150"/>
      <c r="F1375" s="150"/>
      <c r="G1375" s="145"/>
      <c r="H1375" s="145"/>
      <c r="I1375" s="145"/>
      <c r="J1375" s="145"/>
    </row>
    <row r="1376" spans="1:10" s="195" customFormat="1" ht="24.95" hidden="1" customHeight="1">
      <c r="A1376" s="141"/>
      <c r="B1376" s="141"/>
      <c r="C1376" s="142"/>
      <c r="D1376" s="141"/>
      <c r="E1376" s="150"/>
      <c r="F1376" s="150"/>
      <c r="G1376" s="145"/>
      <c r="H1376" s="145"/>
      <c r="I1376" s="145"/>
      <c r="J1376" s="145"/>
    </row>
    <row r="1377" spans="1:10" s="195" customFormat="1" ht="24.95" hidden="1" customHeight="1">
      <c r="A1377" s="141"/>
      <c r="B1377" s="141"/>
      <c r="C1377" s="142"/>
      <c r="D1377" s="141"/>
      <c r="E1377" s="150"/>
      <c r="F1377" s="150"/>
      <c r="G1377" s="145"/>
      <c r="H1377" s="145"/>
      <c r="I1377" s="145"/>
      <c r="J1377" s="145"/>
    </row>
    <row r="1378" spans="1:10" s="195" customFormat="1" ht="24.95" hidden="1" customHeight="1">
      <c r="A1378" s="141"/>
      <c r="B1378" s="141"/>
      <c r="C1378" s="142"/>
      <c r="D1378" s="141"/>
      <c r="E1378" s="150"/>
      <c r="F1378" s="150"/>
      <c r="G1378" s="145"/>
      <c r="H1378" s="145"/>
      <c r="I1378" s="145"/>
      <c r="J1378" s="145"/>
    </row>
    <row r="1379" spans="1:10" s="195" customFormat="1" ht="24.95" hidden="1" customHeight="1">
      <c r="A1379" s="141"/>
      <c r="B1379" s="141"/>
      <c r="C1379" s="142"/>
      <c r="D1379" s="141"/>
      <c r="E1379" s="150"/>
      <c r="F1379" s="150"/>
      <c r="G1379" s="145"/>
      <c r="H1379" s="145"/>
      <c r="I1379" s="145"/>
      <c r="J1379" s="145"/>
    </row>
    <row r="1380" spans="1:10" s="195" customFormat="1" ht="24.95" hidden="1" customHeight="1">
      <c r="A1380" s="141"/>
      <c r="B1380" s="141"/>
      <c r="C1380" s="142"/>
      <c r="D1380" s="141"/>
      <c r="E1380" s="150"/>
      <c r="F1380" s="150"/>
      <c r="G1380" s="145"/>
      <c r="H1380" s="145"/>
      <c r="I1380" s="145"/>
      <c r="J1380" s="145"/>
    </row>
    <row r="1381" spans="1:10" s="195" customFormat="1" ht="24.95" hidden="1" customHeight="1">
      <c r="A1381" s="141"/>
      <c r="B1381" s="141"/>
      <c r="C1381" s="142"/>
      <c r="D1381" s="141"/>
      <c r="E1381" s="150"/>
      <c r="F1381" s="150"/>
      <c r="G1381" s="145"/>
      <c r="H1381" s="145"/>
      <c r="I1381" s="145"/>
      <c r="J1381" s="145"/>
    </row>
    <row r="1382" spans="1:10" s="195" customFormat="1" ht="24.95" hidden="1" customHeight="1">
      <c r="A1382" s="141"/>
      <c r="B1382" s="141"/>
      <c r="C1382" s="142"/>
      <c r="D1382" s="141"/>
      <c r="E1382" s="150"/>
      <c r="F1382" s="150"/>
      <c r="G1382" s="145"/>
      <c r="H1382" s="145"/>
      <c r="I1382" s="145"/>
      <c r="J1382" s="145"/>
    </row>
    <row r="1383" spans="1:10" s="195" customFormat="1" ht="24.95" hidden="1" customHeight="1">
      <c r="A1383" s="141"/>
      <c r="B1383" s="141"/>
      <c r="C1383" s="142"/>
      <c r="D1383" s="141"/>
      <c r="E1383" s="150"/>
      <c r="F1383" s="150"/>
      <c r="G1383" s="145"/>
      <c r="H1383" s="145"/>
      <c r="I1383" s="145"/>
      <c r="J1383" s="145"/>
    </row>
    <row r="1384" spans="1:10" s="195" customFormat="1" ht="24.95" hidden="1" customHeight="1">
      <c r="A1384" s="141"/>
      <c r="B1384" s="141"/>
      <c r="C1384" s="142"/>
      <c r="D1384" s="141"/>
      <c r="E1384" s="150"/>
      <c r="F1384" s="150"/>
      <c r="G1384" s="145"/>
      <c r="H1384" s="145"/>
      <c r="I1384" s="145"/>
      <c r="J1384" s="145"/>
    </row>
    <row r="1385" spans="1:10" s="195" customFormat="1" ht="24.95" hidden="1" customHeight="1">
      <c r="A1385" s="141"/>
      <c r="B1385" s="141"/>
      <c r="C1385" s="142"/>
      <c r="D1385" s="141"/>
      <c r="E1385" s="150"/>
      <c r="F1385" s="150"/>
      <c r="G1385" s="145"/>
      <c r="H1385" s="145"/>
      <c r="I1385" s="145"/>
      <c r="J1385" s="145"/>
    </row>
    <row r="1386" spans="1:10" s="195" customFormat="1" ht="24.95" hidden="1" customHeight="1">
      <c r="A1386" s="141"/>
      <c r="B1386" s="141"/>
      <c r="C1386" s="142"/>
      <c r="D1386" s="141"/>
      <c r="E1386" s="150"/>
      <c r="F1386" s="150"/>
      <c r="G1386" s="145"/>
      <c r="H1386" s="145"/>
      <c r="I1386" s="145"/>
      <c r="J1386" s="145"/>
    </row>
    <row r="1387" spans="1:10" s="195" customFormat="1" ht="24.95" hidden="1" customHeight="1">
      <c r="A1387" s="141"/>
      <c r="B1387" s="141"/>
      <c r="C1387" s="142"/>
      <c r="D1387" s="141"/>
      <c r="E1387" s="150"/>
      <c r="F1387" s="150"/>
      <c r="G1387" s="145"/>
      <c r="H1387" s="145"/>
      <c r="I1387" s="145"/>
      <c r="J1387" s="145"/>
    </row>
    <row r="1388" spans="1:10" s="195" customFormat="1" ht="24.95" hidden="1" customHeight="1">
      <c r="A1388" s="141"/>
      <c r="B1388" s="141"/>
      <c r="C1388" s="142"/>
      <c r="D1388" s="141"/>
      <c r="E1388" s="150"/>
      <c r="F1388" s="150"/>
      <c r="G1388" s="145"/>
      <c r="H1388" s="145"/>
      <c r="I1388" s="145"/>
      <c r="J1388" s="145"/>
    </row>
    <row r="1389" spans="1:10" s="195" customFormat="1" ht="24.95" hidden="1" customHeight="1">
      <c r="A1389" s="141"/>
      <c r="B1389" s="141"/>
      <c r="C1389" s="142"/>
      <c r="D1389" s="141"/>
      <c r="E1389" s="150"/>
      <c r="F1389" s="150"/>
      <c r="G1389" s="145"/>
      <c r="H1389" s="145"/>
      <c r="I1389" s="145"/>
      <c r="J1389" s="145"/>
    </row>
    <row r="1390" spans="1:10" s="195" customFormat="1" ht="24.95" hidden="1" customHeight="1">
      <c r="A1390" s="141"/>
      <c r="B1390" s="141"/>
      <c r="C1390" s="142"/>
      <c r="D1390" s="141"/>
      <c r="E1390" s="150"/>
      <c r="F1390" s="150"/>
      <c r="G1390" s="145"/>
      <c r="H1390" s="145"/>
      <c r="I1390" s="145"/>
      <c r="J1390" s="145"/>
    </row>
    <row r="1391" spans="1:10" s="195" customFormat="1" ht="24.95" hidden="1" customHeight="1">
      <c r="A1391" s="141"/>
      <c r="B1391" s="141"/>
      <c r="C1391" s="142"/>
      <c r="D1391" s="141"/>
      <c r="E1391" s="150"/>
      <c r="F1391" s="150"/>
      <c r="G1391" s="145"/>
      <c r="H1391" s="145"/>
      <c r="I1391" s="145"/>
      <c r="J1391" s="145"/>
    </row>
    <row r="1392" spans="1:10" s="195" customFormat="1" ht="24.95" hidden="1" customHeight="1">
      <c r="A1392" s="141"/>
      <c r="B1392" s="141"/>
      <c r="C1392" s="142"/>
      <c r="D1392" s="141"/>
      <c r="E1392" s="150"/>
      <c r="F1392" s="150"/>
      <c r="G1392" s="145"/>
      <c r="H1392" s="145"/>
      <c r="I1392" s="145"/>
      <c r="J1392" s="145"/>
    </row>
    <row r="1393" spans="1:10" s="195" customFormat="1" ht="24.95" hidden="1" customHeight="1">
      <c r="A1393" s="141"/>
      <c r="B1393" s="141"/>
      <c r="C1393" s="142"/>
      <c r="D1393" s="141"/>
      <c r="E1393" s="150"/>
      <c r="F1393" s="150"/>
      <c r="G1393" s="145"/>
      <c r="H1393" s="145"/>
      <c r="I1393" s="145"/>
      <c r="J1393" s="145"/>
    </row>
    <row r="1394" spans="1:10" s="195" customFormat="1" ht="24.95" hidden="1" customHeight="1">
      <c r="A1394" s="141"/>
      <c r="B1394" s="141"/>
      <c r="C1394" s="142"/>
      <c r="D1394" s="141"/>
      <c r="E1394" s="150"/>
      <c r="F1394" s="150"/>
      <c r="G1394" s="145"/>
      <c r="H1394" s="145"/>
      <c r="I1394" s="145"/>
      <c r="J1394" s="145"/>
    </row>
    <row r="1395" spans="1:10" s="195" customFormat="1" ht="24.95" hidden="1" customHeight="1">
      <c r="A1395" s="141"/>
      <c r="B1395" s="141"/>
      <c r="C1395" s="142"/>
      <c r="D1395" s="141"/>
      <c r="E1395" s="150"/>
      <c r="F1395" s="150"/>
      <c r="G1395" s="145"/>
      <c r="H1395" s="145"/>
      <c r="I1395" s="145"/>
      <c r="J1395" s="145"/>
    </row>
    <row r="1396" spans="1:10" s="195" customFormat="1" ht="24.95" hidden="1" customHeight="1">
      <c r="A1396" s="141"/>
      <c r="B1396" s="141"/>
      <c r="C1396" s="142"/>
      <c r="D1396" s="141"/>
      <c r="E1396" s="150"/>
      <c r="F1396" s="150"/>
      <c r="G1396" s="145"/>
      <c r="H1396" s="145"/>
      <c r="I1396" s="145"/>
      <c r="J1396" s="145"/>
    </row>
    <row r="1397" spans="1:10" s="195" customFormat="1" ht="24.95" hidden="1" customHeight="1">
      <c r="A1397" s="141"/>
      <c r="B1397" s="141"/>
      <c r="C1397" s="142"/>
      <c r="D1397" s="141"/>
      <c r="E1397" s="150"/>
      <c r="F1397" s="150"/>
      <c r="G1397" s="145"/>
      <c r="H1397" s="145"/>
      <c r="I1397" s="145"/>
      <c r="J1397" s="145"/>
    </row>
    <row r="1398" spans="1:10" s="195" customFormat="1" ht="24.95" hidden="1" customHeight="1">
      <c r="A1398" s="141"/>
      <c r="B1398" s="141"/>
      <c r="C1398" s="142"/>
      <c r="D1398" s="141"/>
      <c r="E1398" s="150"/>
      <c r="F1398" s="150"/>
      <c r="G1398" s="145"/>
      <c r="H1398" s="145"/>
      <c r="I1398" s="145"/>
      <c r="J1398" s="145"/>
    </row>
    <row r="1399" spans="1:10" s="195" customFormat="1" ht="24.95" hidden="1" customHeight="1">
      <c r="A1399" s="141"/>
      <c r="B1399" s="141"/>
      <c r="C1399" s="142"/>
      <c r="D1399" s="141"/>
      <c r="E1399" s="150"/>
      <c r="F1399" s="150"/>
      <c r="G1399" s="145"/>
      <c r="H1399" s="145"/>
      <c r="I1399" s="145"/>
      <c r="J1399" s="145"/>
    </row>
    <row r="1400" spans="1:10" s="195" customFormat="1" ht="24.95" hidden="1" customHeight="1">
      <c r="A1400" s="141"/>
      <c r="B1400" s="141"/>
      <c r="C1400" s="142"/>
      <c r="D1400" s="141"/>
      <c r="E1400" s="150"/>
      <c r="F1400" s="150"/>
      <c r="G1400" s="145"/>
      <c r="H1400" s="145"/>
      <c r="I1400" s="145"/>
      <c r="J1400" s="145"/>
    </row>
    <row r="1401" spans="1:10" s="195" customFormat="1" ht="24.95" hidden="1" customHeight="1">
      <c r="A1401" s="141"/>
      <c r="B1401" s="141"/>
      <c r="C1401" s="142"/>
      <c r="D1401" s="141"/>
      <c r="E1401" s="150"/>
      <c r="F1401" s="150"/>
      <c r="G1401" s="145"/>
      <c r="H1401" s="145"/>
      <c r="I1401" s="145"/>
      <c r="J1401" s="145"/>
    </row>
    <row r="1402" spans="1:10" s="195" customFormat="1" ht="24.95" hidden="1" customHeight="1">
      <c r="A1402" s="141"/>
      <c r="B1402" s="141"/>
      <c r="C1402" s="142"/>
      <c r="D1402" s="141"/>
      <c r="E1402" s="150"/>
      <c r="F1402" s="150"/>
      <c r="G1402" s="145"/>
      <c r="H1402" s="145"/>
      <c r="I1402" s="145"/>
      <c r="J1402" s="145"/>
    </row>
    <row r="1403" spans="1:10" s="195" customFormat="1" ht="24.95" hidden="1" customHeight="1">
      <c r="A1403" s="141"/>
      <c r="B1403" s="141"/>
      <c r="C1403" s="142"/>
      <c r="D1403" s="141"/>
      <c r="E1403" s="150"/>
      <c r="F1403" s="150"/>
      <c r="G1403" s="145"/>
      <c r="H1403" s="145"/>
      <c r="I1403" s="145"/>
      <c r="J1403" s="145"/>
    </row>
    <row r="1404" spans="1:10" s="195" customFormat="1" ht="24.95" hidden="1" customHeight="1">
      <c r="A1404" s="141"/>
      <c r="B1404" s="141"/>
      <c r="C1404" s="142"/>
      <c r="D1404" s="141"/>
      <c r="E1404" s="150"/>
      <c r="F1404" s="150"/>
      <c r="G1404" s="145"/>
      <c r="H1404" s="145"/>
      <c r="I1404" s="145"/>
      <c r="J1404" s="145"/>
    </row>
    <row r="1405" spans="1:10" s="195" customFormat="1" ht="24.95" hidden="1" customHeight="1">
      <c r="A1405" s="141"/>
      <c r="B1405" s="141"/>
      <c r="C1405" s="142"/>
      <c r="D1405" s="141"/>
      <c r="E1405" s="150"/>
      <c r="F1405" s="150"/>
      <c r="G1405" s="145"/>
      <c r="H1405" s="145"/>
      <c r="I1405" s="145"/>
      <c r="J1405" s="145"/>
    </row>
    <row r="1406" spans="1:10" s="195" customFormat="1" ht="24.95" hidden="1" customHeight="1">
      <c r="A1406" s="141"/>
      <c r="B1406" s="141"/>
      <c r="C1406" s="142"/>
      <c r="D1406" s="141"/>
      <c r="E1406" s="150"/>
      <c r="F1406" s="150"/>
      <c r="G1406" s="145"/>
      <c r="H1406" s="145"/>
      <c r="I1406" s="145"/>
      <c r="J1406" s="145"/>
    </row>
    <row r="1407" spans="1:10" s="195" customFormat="1" ht="24.95" hidden="1" customHeight="1">
      <c r="A1407" s="141"/>
      <c r="B1407" s="141"/>
      <c r="C1407" s="142"/>
      <c r="D1407" s="141"/>
      <c r="E1407" s="150"/>
      <c r="F1407" s="150"/>
      <c r="G1407" s="145"/>
      <c r="H1407" s="145"/>
      <c r="I1407" s="145"/>
      <c r="J1407" s="145"/>
    </row>
    <row r="1408" spans="1:10" s="195" customFormat="1" ht="24.95" hidden="1" customHeight="1">
      <c r="A1408" s="141"/>
      <c r="B1408" s="141"/>
      <c r="C1408" s="142"/>
      <c r="D1408" s="141"/>
      <c r="E1408" s="150"/>
      <c r="F1408" s="150"/>
      <c r="G1408" s="145"/>
      <c r="H1408" s="145"/>
      <c r="I1408" s="145"/>
      <c r="J1408" s="145"/>
    </row>
    <row r="1409" spans="1:10" s="195" customFormat="1" ht="24.95" hidden="1" customHeight="1">
      <c r="A1409" s="141"/>
      <c r="B1409" s="141"/>
      <c r="C1409" s="142"/>
      <c r="D1409" s="141"/>
      <c r="E1409" s="150"/>
      <c r="F1409" s="150"/>
      <c r="G1409" s="145"/>
      <c r="H1409" s="145"/>
      <c r="I1409" s="145"/>
      <c r="J1409" s="145"/>
    </row>
    <row r="1410" spans="1:10" s="195" customFormat="1" ht="24.95" hidden="1" customHeight="1">
      <c r="A1410" s="141"/>
      <c r="B1410" s="141"/>
      <c r="C1410" s="142"/>
      <c r="D1410" s="141"/>
      <c r="E1410" s="150"/>
      <c r="F1410" s="150"/>
      <c r="G1410" s="145"/>
      <c r="H1410" s="145"/>
      <c r="I1410" s="145"/>
      <c r="J1410" s="145"/>
    </row>
    <row r="1411" spans="1:10" s="195" customFormat="1" ht="24.95" hidden="1" customHeight="1">
      <c r="A1411" s="141"/>
      <c r="B1411" s="141"/>
      <c r="C1411" s="142"/>
      <c r="D1411" s="141"/>
      <c r="E1411" s="150"/>
      <c r="F1411" s="150"/>
      <c r="G1411" s="145"/>
      <c r="H1411" s="145"/>
      <c r="I1411" s="145"/>
      <c r="J1411" s="145"/>
    </row>
    <row r="1412" spans="1:10" s="195" customFormat="1" ht="24.95" hidden="1" customHeight="1">
      <c r="A1412" s="141"/>
      <c r="B1412" s="141"/>
      <c r="C1412" s="142"/>
      <c r="D1412" s="141"/>
      <c r="E1412" s="150"/>
      <c r="F1412" s="150"/>
      <c r="G1412" s="145"/>
      <c r="H1412" s="145"/>
      <c r="I1412" s="145"/>
      <c r="J1412" s="145"/>
    </row>
    <row r="1413" spans="1:10" s="195" customFormat="1" ht="24.95" hidden="1" customHeight="1">
      <c r="A1413" s="141"/>
      <c r="B1413" s="141"/>
      <c r="C1413" s="142"/>
      <c r="D1413" s="141"/>
      <c r="E1413" s="150"/>
      <c r="F1413" s="150"/>
      <c r="G1413" s="145"/>
      <c r="H1413" s="145"/>
      <c r="I1413" s="145"/>
      <c r="J1413" s="145"/>
    </row>
    <row r="1414" spans="1:10" s="195" customFormat="1" ht="24.95" hidden="1" customHeight="1">
      <c r="A1414" s="141"/>
      <c r="B1414" s="141"/>
      <c r="C1414" s="142"/>
      <c r="D1414" s="141"/>
      <c r="E1414" s="150"/>
      <c r="F1414" s="150"/>
      <c r="G1414" s="145"/>
      <c r="H1414" s="145"/>
      <c r="I1414" s="145"/>
      <c r="J1414" s="145"/>
    </row>
    <row r="1415" spans="1:10" s="195" customFormat="1" ht="24.95" hidden="1" customHeight="1">
      <c r="A1415" s="141"/>
      <c r="B1415" s="141"/>
      <c r="C1415" s="142"/>
      <c r="D1415" s="141"/>
      <c r="E1415" s="150"/>
      <c r="F1415" s="150"/>
      <c r="G1415" s="145"/>
      <c r="H1415" s="145"/>
      <c r="I1415" s="145"/>
      <c r="J1415" s="145"/>
    </row>
    <row r="1416" spans="1:10" s="195" customFormat="1" ht="24.95" hidden="1" customHeight="1">
      <c r="A1416" s="141"/>
      <c r="B1416" s="141"/>
      <c r="C1416" s="142"/>
      <c r="D1416" s="141"/>
      <c r="E1416" s="150"/>
      <c r="F1416" s="150"/>
      <c r="G1416" s="145"/>
      <c r="H1416" s="145"/>
      <c r="I1416" s="145"/>
      <c r="J1416" s="145"/>
    </row>
    <row r="1417" spans="1:10" s="195" customFormat="1" ht="24.95" hidden="1" customHeight="1">
      <c r="A1417" s="141"/>
      <c r="B1417" s="141"/>
      <c r="C1417" s="142"/>
      <c r="D1417" s="141"/>
      <c r="E1417" s="150"/>
      <c r="F1417" s="150"/>
      <c r="G1417" s="145"/>
      <c r="H1417" s="145"/>
      <c r="I1417" s="145"/>
      <c r="J1417" s="145"/>
    </row>
    <row r="1418" spans="1:10" s="195" customFormat="1" ht="24.95" hidden="1" customHeight="1">
      <c r="A1418" s="141"/>
      <c r="B1418" s="141"/>
      <c r="C1418" s="142"/>
      <c r="D1418" s="141"/>
      <c r="E1418" s="150"/>
      <c r="F1418" s="150"/>
      <c r="G1418" s="145"/>
      <c r="H1418" s="145"/>
      <c r="I1418" s="145"/>
      <c r="J1418" s="145"/>
    </row>
    <row r="1419" spans="1:10" s="195" customFormat="1" ht="24.95" hidden="1" customHeight="1">
      <c r="A1419" s="141"/>
      <c r="B1419" s="141"/>
      <c r="C1419" s="142"/>
      <c r="D1419" s="141"/>
      <c r="E1419" s="150"/>
      <c r="F1419" s="150"/>
      <c r="G1419" s="145"/>
      <c r="H1419" s="145"/>
      <c r="I1419" s="145"/>
      <c r="J1419" s="145"/>
    </row>
    <row r="1420" spans="1:10" s="195" customFormat="1" ht="24.95" hidden="1" customHeight="1">
      <c r="A1420" s="141"/>
      <c r="B1420" s="141"/>
      <c r="C1420" s="142"/>
      <c r="D1420" s="141"/>
      <c r="E1420" s="150"/>
      <c r="F1420" s="150"/>
      <c r="G1420" s="145"/>
      <c r="H1420" s="145"/>
      <c r="I1420" s="145"/>
      <c r="J1420" s="145"/>
    </row>
    <row r="1421" spans="1:10" s="195" customFormat="1" ht="24.95" hidden="1" customHeight="1">
      <c r="A1421" s="141"/>
      <c r="B1421" s="141"/>
      <c r="C1421" s="142"/>
      <c r="D1421" s="141"/>
      <c r="E1421" s="150"/>
      <c r="F1421" s="150"/>
      <c r="G1421" s="145"/>
      <c r="H1421" s="145"/>
      <c r="I1421" s="145"/>
      <c r="J1421" s="145"/>
    </row>
    <row r="1422" spans="1:10" s="195" customFormat="1" ht="24.95" hidden="1" customHeight="1">
      <c r="A1422" s="141"/>
      <c r="B1422" s="141"/>
      <c r="C1422" s="142"/>
      <c r="D1422" s="141"/>
      <c r="E1422" s="150"/>
      <c r="F1422" s="150"/>
      <c r="G1422" s="145"/>
      <c r="H1422" s="145"/>
      <c r="I1422" s="145"/>
      <c r="J1422" s="145"/>
    </row>
    <row r="1423" spans="1:10" s="195" customFormat="1" ht="24.95" hidden="1" customHeight="1">
      <c r="A1423" s="141"/>
      <c r="B1423" s="141"/>
      <c r="C1423" s="142"/>
      <c r="D1423" s="141"/>
      <c r="E1423" s="150"/>
      <c r="F1423" s="150"/>
      <c r="G1423" s="145"/>
      <c r="H1423" s="145"/>
      <c r="I1423" s="145"/>
      <c r="J1423" s="145"/>
    </row>
    <row r="1424" spans="1:10" s="195" customFormat="1" ht="24.95" hidden="1" customHeight="1">
      <c r="A1424" s="141"/>
      <c r="B1424" s="141"/>
      <c r="C1424" s="142"/>
      <c r="D1424" s="141"/>
      <c r="E1424" s="150"/>
      <c r="F1424" s="150"/>
      <c r="G1424" s="145"/>
      <c r="H1424" s="145"/>
      <c r="I1424" s="145"/>
      <c r="J1424" s="145"/>
    </row>
    <row r="1425" spans="1:10" s="195" customFormat="1" ht="24.95" hidden="1" customHeight="1">
      <c r="A1425" s="141"/>
      <c r="B1425" s="141"/>
      <c r="C1425" s="142"/>
      <c r="D1425" s="141"/>
      <c r="E1425" s="150"/>
      <c r="F1425" s="150"/>
      <c r="G1425" s="145"/>
      <c r="H1425" s="145"/>
      <c r="I1425" s="145"/>
      <c r="J1425" s="145"/>
    </row>
    <row r="1426" spans="1:10" s="195" customFormat="1" ht="24.95" hidden="1" customHeight="1">
      <c r="A1426" s="141"/>
      <c r="B1426" s="141"/>
      <c r="C1426" s="142"/>
      <c r="D1426" s="141"/>
      <c r="E1426" s="150"/>
      <c r="F1426" s="150"/>
      <c r="G1426" s="145"/>
      <c r="H1426" s="145"/>
      <c r="I1426" s="145"/>
      <c r="J1426" s="145"/>
    </row>
    <row r="1427" spans="1:10" s="195" customFormat="1" ht="24.95" hidden="1" customHeight="1">
      <c r="A1427" s="141"/>
      <c r="B1427" s="141"/>
      <c r="C1427" s="142"/>
      <c r="D1427" s="141"/>
      <c r="E1427" s="150"/>
      <c r="F1427" s="150"/>
      <c r="G1427" s="145"/>
      <c r="H1427" s="145"/>
      <c r="I1427" s="145"/>
      <c r="J1427" s="145"/>
    </row>
    <row r="1428" spans="1:10" s="195" customFormat="1" ht="24.95" hidden="1" customHeight="1">
      <c r="A1428" s="141"/>
      <c r="B1428" s="141"/>
      <c r="C1428" s="142"/>
      <c r="D1428" s="141"/>
      <c r="E1428" s="150"/>
      <c r="F1428" s="150"/>
      <c r="G1428" s="145"/>
      <c r="H1428" s="145"/>
      <c r="I1428" s="145"/>
      <c r="J1428" s="145"/>
    </row>
    <row r="1429" spans="1:10" s="195" customFormat="1" ht="24.95" hidden="1" customHeight="1">
      <c r="A1429" s="141"/>
      <c r="B1429" s="141"/>
      <c r="C1429" s="142"/>
      <c r="D1429" s="141"/>
      <c r="E1429" s="150"/>
      <c r="F1429" s="150"/>
      <c r="G1429" s="145"/>
      <c r="H1429" s="145"/>
      <c r="I1429" s="145"/>
      <c r="J1429" s="145"/>
    </row>
    <row r="1430" spans="1:10" s="195" customFormat="1" ht="24.95" hidden="1" customHeight="1">
      <c r="A1430" s="141"/>
      <c r="B1430" s="141"/>
      <c r="C1430" s="142"/>
      <c r="D1430" s="141"/>
      <c r="E1430" s="150"/>
      <c r="F1430" s="150"/>
      <c r="G1430" s="145"/>
      <c r="H1430" s="145"/>
      <c r="I1430" s="145"/>
      <c r="J1430" s="145"/>
    </row>
    <row r="1431" spans="1:10" s="195" customFormat="1" ht="24.95" hidden="1" customHeight="1">
      <c r="A1431" s="141"/>
      <c r="B1431" s="141"/>
      <c r="C1431" s="142"/>
      <c r="D1431" s="141"/>
      <c r="E1431" s="150"/>
      <c r="F1431" s="150"/>
      <c r="G1431" s="145"/>
      <c r="H1431" s="145"/>
      <c r="I1431" s="145"/>
      <c r="J1431" s="145"/>
    </row>
    <row r="1432" spans="1:10" s="195" customFormat="1" ht="24.95" hidden="1" customHeight="1">
      <c r="A1432" s="141"/>
      <c r="B1432" s="141"/>
      <c r="C1432" s="142"/>
      <c r="D1432" s="141"/>
      <c r="E1432" s="150"/>
      <c r="F1432" s="150"/>
      <c r="G1432" s="145"/>
      <c r="H1432" s="145"/>
      <c r="I1432" s="145"/>
      <c r="J1432" s="145"/>
    </row>
    <row r="1433" spans="1:10" s="195" customFormat="1" ht="24.95" hidden="1" customHeight="1">
      <c r="A1433" s="141"/>
      <c r="B1433" s="141"/>
      <c r="C1433" s="142"/>
      <c r="D1433" s="141"/>
      <c r="E1433" s="150"/>
      <c r="F1433" s="150"/>
      <c r="G1433" s="145"/>
      <c r="H1433" s="145"/>
      <c r="I1433" s="145"/>
      <c r="J1433" s="145"/>
    </row>
    <row r="1434" spans="1:10" s="195" customFormat="1" ht="24.95" hidden="1" customHeight="1">
      <c r="A1434" s="141"/>
      <c r="B1434" s="141"/>
      <c r="C1434" s="142"/>
      <c r="D1434" s="141"/>
      <c r="E1434" s="150"/>
      <c r="F1434" s="150"/>
      <c r="G1434" s="145"/>
      <c r="H1434" s="145"/>
      <c r="I1434" s="145"/>
      <c r="J1434" s="145"/>
    </row>
    <row r="1435" spans="1:10" s="195" customFormat="1" ht="24.95" hidden="1" customHeight="1">
      <c r="A1435" s="141"/>
      <c r="B1435" s="141"/>
      <c r="C1435" s="142"/>
      <c r="D1435" s="141"/>
      <c r="E1435" s="150"/>
      <c r="F1435" s="150"/>
      <c r="G1435" s="145"/>
      <c r="H1435" s="145"/>
      <c r="I1435" s="145"/>
      <c r="J1435" s="145"/>
    </row>
    <row r="1436" spans="1:10" s="195" customFormat="1" ht="24.95" hidden="1" customHeight="1">
      <c r="A1436" s="141"/>
      <c r="B1436" s="141"/>
      <c r="C1436" s="142"/>
      <c r="D1436" s="141"/>
      <c r="E1436" s="150"/>
      <c r="F1436" s="150"/>
      <c r="G1436" s="145"/>
      <c r="H1436" s="145"/>
      <c r="I1436" s="145"/>
      <c r="J1436" s="145"/>
    </row>
    <row r="1437" spans="1:10" s="195" customFormat="1" ht="24.95" hidden="1" customHeight="1">
      <c r="A1437" s="141"/>
      <c r="B1437" s="141"/>
      <c r="C1437" s="142"/>
      <c r="D1437" s="141"/>
      <c r="E1437" s="150"/>
      <c r="F1437" s="150"/>
      <c r="G1437" s="145"/>
      <c r="H1437" s="145"/>
      <c r="I1437" s="145"/>
      <c r="J1437" s="145"/>
    </row>
    <row r="1438" spans="1:10" s="195" customFormat="1" ht="24.95" hidden="1" customHeight="1">
      <c r="A1438" s="141"/>
      <c r="B1438" s="141"/>
      <c r="C1438" s="142"/>
      <c r="D1438" s="141"/>
      <c r="E1438" s="150"/>
      <c r="F1438" s="150"/>
      <c r="G1438" s="145"/>
      <c r="H1438" s="145"/>
      <c r="I1438" s="145"/>
      <c r="J1438" s="145"/>
    </row>
    <row r="1439" spans="1:10" s="195" customFormat="1" ht="24.95" hidden="1" customHeight="1">
      <c r="A1439" s="141"/>
      <c r="B1439" s="141"/>
      <c r="C1439" s="142"/>
      <c r="D1439" s="141"/>
      <c r="E1439" s="150"/>
      <c r="F1439" s="150"/>
      <c r="G1439" s="145"/>
      <c r="H1439" s="145"/>
      <c r="I1439" s="145"/>
      <c r="J1439" s="145"/>
    </row>
    <row r="1440" spans="1:10" s="195" customFormat="1" ht="24.95" hidden="1" customHeight="1">
      <c r="A1440" s="141"/>
      <c r="B1440" s="141"/>
      <c r="C1440" s="142"/>
      <c r="D1440" s="141"/>
      <c r="E1440" s="150"/>
      <c r="F1440" s="150"/>
      <c r="G1440" s="145"/>
      <c r="H1440" s="145"/>
      <c r="I1440" s="145"/>
      <c r="J1440" s="145"/>
    </row>
    <row r="1441" spans="1:10" s="195" customFormat="1" ht="24.95" hidden="1" customHeight="1">
      <c r="A1441" s="141"/>
      <c r="B1441" s="141"/>
      <c r="C1441" s="142"/>
      <c r="D1441" s="141"/>
      <c r="E1441" s="150"/>
      <c r="F1441" s="150"/>
      <c r="G1441" s="145"/>
      <c r="H1441" s="145"/>
      <c r="I1441" s="145"/>
      <c r="J1441" s="145"/>
    </row>
    <row r="1442" spans="1:10" s="195" customFormat="1" ht="24.95" hidden="1" customHeight="1">
      <c r="A1442" s="141"/>
      <c r="B1442" s="141"/>
      <c r="C1442" s="142"/>
      <c r="D1442" s="141"/>
      <c r="E1442" s="150"/>
      <c r="F1442" s="150"/>
      <c r="G1442" s="145"/>
      <c r="H1442" s="145"/>
      <c r="I1442" s="145"/>
      <c r="J1442" s="145"/>
    </row>
    <row r="1443" spans="1:10" s="195" customFormat="1" ht="24.95" hidden="1" customHeight="1">
      <c r="A1443" s="141"/>
      <c r="B1443" s="141"/>
      <c r="C1443" s="142"/>
      <c r="D1443" s="141"/>
      <c r="E1443" s="150"/>
      <c r="F1443" s="150"/>
      <c r="G1443" s="145"/>
      <c r="H1443" s="145"/>
      <c r="I1443" s="145"/>
      <c r="J1443" s="145"/>
    </row>
    <row r="1444" spans="1:10" s="195" customFormat="1" ht="24.95" hidden="1" customHeight="1">
      <c r="A1444" s="141"/>
      <c r="B1444" s="141"/>
      <c r="C1444" s="142"/>
      <c r="D1444" s="141"/>
      <c r="E1444" s="150"/>
      <c r="F1444" s="150"/>
      <c r="G1444" s="145"/>
      <c r="H1444" s="145"/>
      <c r="I1444" s="145"/>
      <c r="J1444" s="145"/>
    </row>
    <row r="1445" spans="1:10" s="195" customFormat="1" ht="24.95" hidden="1" customHeight="1">
      <c r="A1445" s="141"/>
      <c r="B1445" s="141"/>
      <c r="C1445" s="142"/>
      <c r="D1445" s="141"/>
      <c r="E1445" s="150"/>
      <c r="F1445" s="150"/>
      <c r="G1445" s="145"/>
      <c r="H1445" s="145"/>
      <c r="I1445" s="145"/>
      <c r="J1445" s="145"/>
    </row>
    <row r="1446" spans="1:10" s="195" customFormat="1" ht="24.95" hidden="1" customHeight="1">
      <c r="A1446" s="141"/>
      <c r="B1446" s="141"/>
      <c r="C1446" s="142"/>
      <c r="D1446" s="141"/>
      <c r="E1446" s="150"/>
      <c r="F1446" s="150"/>
      <c r="G1446" s="145"/>
      <c r="H1446" s="145"/>
      <c r="I1446" s="145"/>
      <c r="J1446" s="145"/>
    </row>
    <row r="1447" spans="1:10" s="195" customFormat="1" ht="24.95" hidden="1" customHeight="1">
      <c r="A1447" s="141"/>
      <c r="B1447" s="141"/>
      <c r="C1447" s="142"/>
      <c r="D1447" s="141"/>
      <c r="E1447" s="150"/>
      <c r="F1447" s="150"/>
      <c r="G1447" s="145"/>
      <c r="H1447" s="145"/>
      <c r="I1447" s="145"/>
      <c r="J1447" s="145"/>
    </row>
    <row r="1448" spans="1:10" s="195" customFormat="1" ht="24.95" hidden="1" customHeight="1">
      <c r="A1448" s="141"/>
      <c r="B1448" s="141"/>
      <c r="C1448" s="142"/>
      <c r="D1448" s="141"/>
      <c r="E1448" s="150"/>
      <c r="F1448" s="150"/>
      <c r="G1448" s="145"/>
      <c r="H1448" s="145"/>
      <c r="I1448" s="145"/>
      <c r="J1448" s="145"/>
    </row>
    <row r="1449" spans="1:10" s="195" customFormat="1" ht="24.95" hidden="1" customHeight="1">
      <c r="A1449" s="141"/>
      <c r="B1449" s="141"/>
      <c r="C1449" s="142"/>
      <c r="D1449" s="141"/>
      <c r="E1449" s="150"/>
      <c r="F1449" s="150"/>
      <c r="G1449" s="145"/>
      <c r="H1449" s="145"/>
      <c r="I1449" s="145"/>
      <c r="J1449" s="145"/>
    </row>
    <row r="1450" spans="1:10" s="195" customFormat="1" ht="24.95" hidden="1" customHeight="1">
      <c r="A1450" s="141"/>
      <c r="B1450" s="141"/>
      <c r="C1450" s="142"/>
      <c r="D1450" s="141"/>
      <c r="E1450" s="150"/>
      <c r="F1450" s="150"/>
      <c r="G1450" s="145"/>
      <c r="H1450" s="145"/>
      <c r="I1450" s="145"/>
      <c r="J1450" s="145"/>
    </row>
    <row r="1451" spans="1:10" s="195" customFormat="1" ht="24.95" hidden="1" customHeight="1">
      <c r="A1451" s="141"/>
      <c r="B1451" s="141"/>
      <c r="C1451" s="142"/>
      <c r="D1451" s="141"/>
      <c r="E1451" s="150"/>
      <c r="F1451" s="150"/>
      <c r="G1451" s="145"/>
      <c r="H1451" s="145"/>
      <c r="I1451" s="145"/>
      <c r="J1451" s="145"/>
    </row>
    <row r="1452" spans="1:10" s="195" customFormat="1" ht="24.95" hidden="1" customHeight="1">
      <c r="A1452" s="141"/>
      <c r="B1452" s="141"/>
      <c r="C1452" s="142"/>
      <c r="D1452" s="141"/>
      <c r="E1452" s="150"/>
      <c r="F1452" s="150"/>
      <c r="G1452" s="145"/>
      <c r="H1452" s="145"/>
      <c r="I1452" s="145"/>
      <c r="J1452" s="145"/>
    </row>
    <row r="1453" spans="1:10" s="195" customFormat="1" ht="24.95" hidden="1" customHeight="1">
      <c r="A1453" s="141"/>
      <c r="B1453" s="141"/>
      <c r="C1453" s="142"/>
      <c r="D1453" s="141"/>
      <c r="E1453" s="150"/>
      <c r="F1453" s="150"/>
      <c r="G1453" s="145"/>
      <c r="H1453" s="145"/>
      <c r="I1453" s="145"/>
      <c r="J1453" s="145"/>
    </row>
    <row r="1454" spans="1:10" s="195" customFormat="1" ht="24.95" hidden="1" customHeight="1">
      <c r="A1454" s="141"/>
      <c r="B1454" s="141"/>
      <c r="C1454" s="142"/>
      <c r="D1454" s="141"/>
      <c r="E1454" s="150"/>
      <c r="F1454" s="150"/>
      <c r="G1454" s="145"/>
      <c r="H1454" s="145"/>
      <c r="I1454" s="145"/>
      <c r="J1454" s="145"/>
    </row>
    <row r="1455" spans="1:10" s="195" customFormat="1" ht="24.95" hidden="1" customHeight="1">
      <c r="A1455" s="141"/>
      <c r="B1455" s="141"/>
      <c r="C1455" s="142"/>
      <c r="D1455" s="141"/>
      <c r="E1455" s="150"/>
      <c r="F1455" s="150"/>
      <c r="G1455" s="145"/>
      <c r="H1455" s="145"/>
      <c r="I1455" s="145"/>
      <c r="J1455" s="145"/>
    </row>
    <row r="1456" spans="1:10" s="195" customFormat="1" ht="24.95" hidden="1" customHeight="1">
      <c r="A1456" s="141"/>
      <c r="B1456" s="141"/>
      <c r="C1456" s="142"/>
      <c r="D1456" s="141"/>
      <c r="E1456" s="150"/>
      <c r="F1456" s="150"/>
      <c r="G1456" s="145"/>
      <c r="H1456" s="145"/>
      <c r="I1456" s="145"/>
      <c r="J1456" s="145"/>
    </row>
    <row r="1457" spans="1:10" s="195" customFormat="1" ht="24.95" hidden="1" customHeight="1">
      <c r="A1457" s="141"/>
      <c r="B1457" s="141"/>
      <c r="C1457" s="142"/>
      <c r="D1457" s="141"/>
      <c r="E1457" s="150"/>
      <c r="F1457" s="150"/>
      <c r="G1457" s="145"/>
      <c r="H1457" s="145"/>
      <c r="I1457" s="145"/>
      <c r="J1457" s="145"/>
    </row>
    <row r="1458" spans="1:10" s="195" customFormat="1" ht="24.95" hidden="1" customHeight="1">
      <c r="A1458" s="141"/>
      <c r="B1458" s="141"/>
      <c r="C1458" s="142"/>
      <c r="D1458" s="141"/>
      <c r="E1458" s="150"/>
      <c r="F1458" s="150"/>
      <c r="G1458" s="145"/>
      <c r="H1458" s="145"/>
      <c r="I1458" s="145"/>
      <c r="J1458" s="145"/>
    </row>
    <row r="1459" spans="1:10" s="195" customFormat="1" ht="24.95" hidden="1" customHeight="1">
      <c r="A1459" s="141"/>
      <c r="B1459" s="141"/>
      <c r="C1459" s="142"/>
      <c r="D1459" s="141"/>
      <c r="E1459" s="150"/>
      <c r="F1459" s="150"/>
      <c r="G1459" s="145"/>
      <c r="H1459" s="145"/>
      <c r="I1459" s="145"/>
      <c r="J1459" s="145"/>
    </row>
    <row r="1460" spans="1:10" s="195" customFormat="1" ht="24.95" hidden="1" customHeight="1">
      <c r="A1460" s="141"/>
      <c r="B1460" s="141"/>
      <c r="C1460" s="142"/>
      <c r="D1460" s="141"/>
      <c r="E1460" s="150"/>
      <c r="F1460" s="150"/>
      <c r="G1460" s="145"/>
      <c r="H1460" s="145"/>
      <c r="I1460" s="145"/>
      <c r="J1460" s="145"/>
    </row>
    <row r="1461" spans="1:10" s="195" customFormat="1" ht="24.95" hidden="1" customHeight="1">
      <c r="A1461" s="141"/>
      <c r="B1461" s="141"/>
      <c r="C1461" s="142"/>
      <c r="D1461" s="141"/>
      <c r="E1461" s="150"/>
      <c r="F1461" s="150"/>
      <c r="G1461" s="145"/>
      <c r="H1461" s="145"/>
      <c r="I1461" s="145"/>
      <c r="J1461" s="145"/>
    </row>
    <row r="1462" spans="1:10" s="195" customFormat="1" ht="24.95" hidden="1" customHeight="1">
      <c r="A1462" s="141"/>
      <c r="B1462" s="141"/>
      <c r="C1462" s="142"/>
      <c r="D1462" s="141"/>
      <c r="E1462" s="150"/>
      <c r="F1462" s="150"/>
      <c r="G1462" s="145"/>
      <c r="H1462" s="145"/>
      <c r="I1462" s="145"/>
      <c r="J1462" s="145"/>
    </row>
    <row r="1463" spans="1:10" s="195" customFormat="1" ht="24.95" hidden="1" customHeight="1">
      <c r="A1463" s="141"/>
      <c r="B1463" s="141"/>
      <c r="C1463" s="142"/>
      <c r="D1463" s="141"/>
      <c r="E1463" s="150"/>
      <c r="F1463" s="150"/>
      <c r="G1463" s="145"/>
      <c r="H1463" s="145"/>
      <c r="I1463" s="145"/>
      <c r="J1463" s="145"/>
    </row>
    <row r="1464" spans="1:10" s="195" customFormat="1" ht="24.95" hidden="1" customHeight="1">
      <c r="A1464" s="141"/>
      <c r="B1464" s="141"/>
      <c r="C1464" s="142"/>
      <c r="D1464" s="141"/>
      <c r="E1464" s="150"/>
      <c r="F1464" s="150"/>
      <c r="G1464" s="145"/>
      <c r="H1464" s="145"/>
      <c r="I1464" s="145"/>
      <c r="J1464" s="145"/>
    </row>
    <row r="1465" spans="1:10" s="195" customFormat="1" ht="24.95" hidden="1" customHeight="1">
      <c r="A1465" s="141"/>
      <c r="B1465" s="141"/>
      <c r="C1465" s="142"/>
      <c r="D1465" s="141"/>
      <c r="E1465" s="150"/>
      <c r="F1465" s="150"/>
      <c r="G1465" s="145"/>
      <c r="H1465" s="145"/>
      <c r="I1465" s="145"/>
      <c r="J1465" s="145"/>
    </row>
    <row r="1466" spans="1:10" s="195" customFormat="1" ht="24.95" hidden="1" customHeight="1">
      <c r="A1466" s="141"/>
      <c r="B1466" s="141"/>
      <c r="C1466" s="142"/>
      <c r="D1466" s="141"/>
      <c r="E1466" s="150"/>
      <c r="F1466" s="150"/>
      <c r="G1466" s="145"/>
      <c r="H1466" s="145"/>
      <c r="I1466" s="145"/>
      <c r="J1466" s="145"/>
    </row>
    <row r="1467" spans="1:10" s="195" customFormat="1" ht="24.95" hidden="1" customHeight="1">
      <c r="A1467" s="141"/>
      <c r="B1467" s="141"/>
      <c r="C1467" s="142"/>
      <c r="D1467" s="141"/>
      <c r="E1467" s="150"/>
      <c r="F1467" s="150"/>
      <c r="G1467" s="145"/>
      <c r="H1467" s="145"/>
      <c r="I1467" s="145"/>
      <c r="J1467" s="145"/>
    </row>
    <row r="1468" spans="1:10" s="195" customFormat="1" ht="24.95" hidden="1" customHeight="1">
      <c r="A1468" s="141"/>
      <c r="B1468" s="141"/>
      <c r="C1468" s="142"/>
      <c r="D1468" s="141"/>
      <c r="E1468" s="150"/>
      <c r="F1468" s="150"/>
      <c r="G1468" s="145"/>
      <c r="H1468" s="145"/>
      <c r="I1468" s="145"/>
      <c r="J1468" s="145"/>
    </row>
    <row r="1469" spans="1:10" s="195" customFormat="1" ht="24.95" hidden="1" customHeight="1">
      <c r="A1469" s="141"/>
      <c r="B1469" s="141"/>
      <c r="C1469" s="142"/>
      <c r="D1469" s="141"/>
      <c r="E1469" s="150"/>
      <c r="F1469" s="150"/>
      <c r="G1469" s="145"/>
      <c r="H1469" s="145"/>
      <c r="I1469" s="145"/>
      <c r="J1469" s="145"/>
    </row>
    <row r="1470" spans="1:10" s="195" customFormat="1" ht="24.95" hidden="1" customHeight="1">
      <c r="A1470" s="141"/>
      <c r="B1470" s="141"/>
      <c r="C1470" s="142"/>
      <c r="D1470" s="141"/>
      <c r="E1470" s="150"/>
      <c r="F1470" s="150"/>
      <c r="G1470" s="145"/>
      <c r="H1470" s="145"/>
      <c r="I1470" s="145"/>
      <c r="J1470" s="145"/>
    </row>
    <row r="1471" spans="1:10" s="195" customFormat="1" ht="24.95" hidden="1" customHeight="1">
      <c r="A1471" s="141"/>
      <c r="B1471" s="141"/>
      <c r="C1471" s="142"/>
      <c r="D1471" s="141"/>
      <c r="E1471" s="150"/>
      <c r="F1471" s="150"/>
      <c r="G1471" s="145"/>
      <c r="H1471" s="145"/>
      <c r="I1471" s="145"/>
      <c r="J1471" s="145"/>
    </row>
    <row r="1472" spans="1:10" s="195" customFormat="1" ht="24.95" hidden="1" customHeight="1">
      <c r="A1472" s="141"/>
      <c r="B1472" s="141"/>
      <c r="C1472" s="142"/>
      <c r="D1472" s="141"/>
      <c r="E1472" s="150"/>
      <c r="F1472" s="150"/>
      <c r="G1472" s="145"/>
      <c r="H1472" s="145"/>
      <c r="I1472" s="145"/>
      <c r="J1472" s="145"/>
    </row>
    <row r="1473" spans="1:10" s="195" customFormat="1" ht="24.95" hidden="1" customHeight="1">
      <c r="A1473" s="141"/>
      <c r="B1473" s="141"/>
      <c r="C1473" s="142"/>
      <c r="D1473" s="141"/>
      <c r="E1473" s="150"/>
      <c r="F1473" s="150"/>
      <c r="G1473" s="145"/>
      <c r="H1473" s="145"/>
      <c r="I1473" s="145"/>
      <c r="J1473" s="145"/>
    </row>
    <row r="1474" spans="1:10" s="195" customFormat="1" ht="24.95" hidden="1" customHeight="1">
      <c r="A1474" s="141"/>
      <c r="B1474" s="141"/>
      <c r="C1474" s="142"/>
      <c r="D1474" s="141"/>
      <c r="E1474" s="150"/>
      <c r="F1474" s="150"/>
      <c r="G1474" s="145"/>
      <c r="H1474" s="145"/>
      <c r="I1474" s="145"/>
      <c r="J1474" s="145"/>
    </row>
    <row r="1475" spans="1:10" s="195" customFormat="1" ht="24.95" hidden="1" customHeight="1">
      <c r="A1475" s="141"/>
      <c r="B1475" s="141"/>
      <c r="C1475" s="142"/>
      <c r="D1475" s="141"/>
      <c r="E1475" s="150"/>
      <c r="F1475" s="150"/>
      <c r="G1475" s="145"/>
      <c r="H1475" s="145"/>
      <c r="I1475" s="145"/>
      <c r="J1475" s="145"/>
    </row>
    <row r="1476" spans="1:10" s="195" customFormat="1" ht="24.95" hidden="1" customHeight="1">
      <c r="A1476" s="141"/>
      <c r="B1476" s="141"/>
      <c r="C1476" s="142"/>
      <c r="D1476" s="141"/>
      <c r="E1476" s="150"/>
      <c r="F1476" s="150"/>
      <c r="G1476" s="145"/>
      <c r="H1476" s="145"/>
      <c r="I1476" s="145"/>
      <c r="J1476" s="145"/>
    </row>
    <row r="1477" spans="1:10" s="195" customFormat="1" ht="24.95" hidden="1" customHeight="1">
      <c r="A1477" s="141"/>
      <c r="B1477" s="141"/>
      <c r="C1477" s="142"/>
      <c r="D1477" s="141"/>
      <c r="E1477" s="150"/>
      <c r="F1477" s="150"/>
      <c r="G1477" s="145"/>
      <c r="H1477" s="145"/>
      <c r="I1477" s="145"/>
      <c r="J1477" s="145"/>
    </row>
    <row r="1478" spans="1:10" s="195" customFormat="1" ht="24.95" hidden="1" customHeight="1">
      <c r="A1478" s="141"/>
      <c r="B1478" s="141"/>
      <c r="C1478" s="142"/>
      <c r="D1478" s="141"/>
      <c r="E1478" s="150"/>
      <c r="F1478" s="150"/>
      <c r="G1478" s="145"/>
      <c r="H1478" s="145"/>
      <c r="I1478" s="145"/>
      <c r="J1478" s="145"/>
    </row>
    <row r="1479" spans="1:10" s="195" customFormat="1" ht="24.95" hidden="1" customHeight="1">
      <c r="A1479" s="141"/>
      <c r="B1479" s="141"/>
      <c r="C1479" s="142"/>
      <c r="D1479" s="141"/>
      <c r="E1479" s="150"/>
      <c r="F1479" s="150"/>
      <c r="G1479" s="145"/>
      <c r="H1479" s="145"/>
      <c r="I1479" s="145"/>
      <c r="J1479" s="145"/>
    </row>
    <row r="1480" spans="1:10" s="195" customFormat="1" ht="24.95" hidden="1" customHeight="1">
      <c r="A1480" s="141"/>
      <c r="B1480" s="141"/>
      <c r="C1480" s="142"/>
      <c r="D1480" s="141"/>
      <c r="E1480" s="150"/>
      <c r="F1480" s="150"/>
      <c r="G1480" s="145"/>
      <c r="H1480" s="145"/>
      <c r="I1480" s="145"/>
      <c r="J1480" s="145"/>
    </row>
    <row r="1481" spans="1:10" s="195" customFormat="1" ht="24.95" hidden="1" customHeight="1">
      <c r="A1481" s="141"/>
      <c r="B1481" s="141"/>
      <c r="C1481" s="142"/>
      <c r="D1481" s="141"/>
      <c r="E1481" s="150"/>
      <c r="F1481" s="150"/>
      <c r="G1481" s="145"/>
      <c r="H1481" s="145"/>
      <c r="I1481" s="145"/>
      <c r="J1481" s="145"/>
    </row>
    <row r="1482" spans="1:10" s="195" customFormat="1" ht="24.95" hidden="1" customHeight="1">
      <c r="A1482" s="141"/>
      <c r="B1482" s="141"/>
      <c r="C1482" s="142"/>
      <c r="D1482" s="141"/>
      <c r="E1482" s="150"/>
      <c r="F1482" s="150"/>
      <c r="G1482" s="145"/>
      <c r="H1482" s="145"/>
      <c r="I1482" s="145"/>
      <c r="J1482" s="145"/>
    </row>
    <row r="1483" spans="1:10" s="195" customFormat="1" ht="24.95" hidden="1" customHeight="1">
      <c r="A1483" s="141"/>
      <c r="B1483" s="141"/>
      <c r="C1483" s="142"/>
      <c r="D1483" s="141"/>
      <c r="E1483" s="150"/>
      <c r="F1483" s="150"/>
      <c r="G1483" s="145"/>
      <c r="H1483" s="145"/>
      <c r="I1483" s="145"/>
      <c r="J1483" s="145"/>
    </row>
    <row r="1484" spans="1:10" s="195" customFormat="1" ht="24.95" hidden="1" customHeight="1">
      <c r="A1484" s="141"/>
      <c r="B1484" s="141"/>
      <c r="C1484" s="142"/>
      <c r="D1484" s="141"/>
      <c r="E1484" s="150"/>
      <c r="F1484" s="150"/>
      <c r="G1484" s="145"/>
      <c r="H1484" s="145"/>
      <c r="I1484" s="145"/>
      <c r="J1484" s="145"/>
    </row>
    <row r="1485" spans="1:10" s="195" customFormat="1" ht="24.95" hidden="1" customHeight="1">
      <c r="A1485" s="141"/>
      <c r="B1485" s="141"/>
      <c r="C1485" s="142"/>
      <c r="D1485" s="141"/>
      <c r="E1485" s="150"/>
      <c r="F1485" s="150"/>
      <c r="G1485" s="145"/>
      <c r="H1485" s="145"/>
      <c r="I1485" s="145"/>
      <c r="J1485" s="145"/>
    </row>
    <row r="1486" spans="1:10" s="195" customFormat="1" ht="24.95" hidden="1" customHeight="1">
      <c r="A1486" s="141"/>
      <c r="B1486" s="141"/>
      <c r="C1486" s="142"/>
      <c r="D1486" s="141"/>
      <c r="E1486" s="150"/>
      <c r="F1486" s="150"/>
      <c r="G1486" s="145"/>
      <c r="H1486" s="145"/>
      <c r="I1486" s="145"/>
      <c r="J1486" s="145"/>
    </row>
    <row r="1487" spans="1:10" s="195" customFormat="1" ht="24.95" hidden="1" customHeight="1">
      <c r="A1487" s="141"/>
      <c r="B1487" s="141"/>
      <c r="C1487" s="142"/>
      <c r="D1487" s="141"/>
      <c r="E1487" s="150"/>
      <c r="F1487" s="150"/>
      <c r="G1487" s="145"/>
      <c r="H1487" s="145"/>
      <c r="I1487" s="145"/>
      <c r="J1487" s="145"/>
    </row>
    <row r="1488" spans="1:10" s="195" customFormat="1" ht="24.95" hidden="1" customHeight="1">
      <c r="A1488" s="141"/>
      <c r="B1488" s="141"/>
      <c r="C1488" s="142"/>
      <c r="D1488" s="141"/>
      <c r="E1488" s="150"/>
      <c r="F1488" s="150"/>
      <c r="G1488" s="145"/>
      <c r="H1488" s="145"/>
      <c r="I1488" s="145"/>
      <c r="J1488" s="145"/>
    </row>
    <row r="1489" spans="1:10" s="195" customFormat="1" ht="24.95" hidden="1" customHeight="1">
      <c r="A1489" s="141"/>
      <c r="B1489" s="141"/>
      <c r="C1489" s="142"/>
      <c r="D1489" s="141"/>
      <c r="E1489" s="150"/>
      <c r="F1489" s="150"/>
      <c r="G1489" s="145"/>
      <c r="H1489" s="145"/>
      <c r="I1489" s="145"/>
      <c r="J1489" s="145"/>
    </row>
    <row r="1490" spans="1:10" s="195" customFormat="1" ht="24.95" hidden="1" customHeight="1">
      <c r="A1490" s="141"/>
      <c r="B1490" s="141"/>
      <c r="C1490" s="142"/>
      <c r="D1490" s="141"/>
      <c r="E1490" s="150"/>
      <c r="F1490" s="150"/>
      <c r="G1490" s="145"/>
      <c r="H1490" s="145"/>
      <c r="I1490" s="145"/>
      <c r="J1490" s="145"/>
    </row>
    <row r="1491" spans="1:10" s="195" customFormat="1" ht="24.95" hidden="1" customHeight="1">
      <c r="A1491" s="141"/>
      <c r="B1491" s="141"/>
      <c r="C1491" s="142"/>
      <c r="D1491" s="141"/>
      <c r="E1491" s="150"/>
      <c r="F1491" s="150"/>
      <c r="G1491" s="145"/>
      <c r="H1491" s="145"/>
      <c r="I1491" s="145"/>
      <c r="J1491" s="145"/>
    </row>
    <row r="1492" spans="1:10" s="195" customFormat="1" ht="24.95" hidden="1" customHeight="1">
      <c r="A1492" s="141"/>
      <c r="B1492" s="141"/>
      <c r="C1492" s="142"/>
      <c r="D1492" s="141"/>
      <c r="E1492" s="150"/>
      <c r="F1492" s="150"/>
      <c r="G1492" s="145"/>
      <c r="H1492" s="145"/>
      <c r="I1492" s="145"/>
      <c r="J1492" s="145"/>
    </row>
    <row r="1493" spans="1:10" s="195" customFormat="1" ht="24.95" hidden="1" customHeight="1">
      <c r="A1493" s="141"/>
      <c r="B1493" s="141"/>
      <c r="C1493" s="142"/>
      <c r="D1493" s="141"/>
      <c r="E1493" s="150"/>
      <c r="F1493" s="150"/>
      <c r="G1493" s="145"/>
      <c r="H1493" s="145"/>
      <c r="I1493" s="145"/>
      <c r="J1493" s="145"/>
    </row>
    <row r="1494" spans="1:10" s="195" customFormat="1" ht="24.95" hidden="1" customHeight="1">
      <c r="A1494" s="141"/>
      <c r="B1494" s="141"/>
      <c r="C1494" s="142"/>
      <c r="D1494" s="141"/>
      <c r="E1494" s="150"/>
      <c r="F1494" s="150"/>
      <c r="G1494" s="145"/>
      <c r="H1494" s="145"/>
      <c r="I1494" s="145"/>
      <c r="J1494" s="145"/>
    </row>
    <row r="1495" spans="1:10" s="195" customFormat="1" ht="24.95" hidden="1" customHeight="1">
      <c r="A1495" s="141"/>
      <c r="B1495" s="141"/>
      <c r="C1495" s="142"/>
      <c r="D1495" s="141"/>
      <c r="E1495" s="150"/>
      <c r="F1495" s="150"/>
      <c r="G1495" s="145"/>
      <c r="H1495" s="145"/>
      <c r="I1495" s="145"/>
      <c r="J1495" s="145"/>
    </row>
    <row r="1496" spans="1:10" s="195" customFormat="1" ht="24.95" hidden="1" customHeight="1">
      <c r="A1496" s="141"/>
      <c r="B1496" s="141"/>
      <c r="C1496" s="142"/>
      <c r="D1496" s="141"/>
      <c r="E1496" s="150"/>
      <c r="F1496" s="150"/>
      <c r="G1496" s="145"/>
      <c r="H1496" s="145"/>
      <c r="I1496" s="145"/>
      <c r="J1496" s="145"/>
    </row>
    <row r="1497" spans="1:10" s="195" customFormat="1" ht="24.95" hidden="1" customHeight="1">
      <c r="A1497" s="141"/>
      <c r="B1497" s="141"/>
      <c r="C1497" s="142"/>
      <c r="D1497" s="141"/>
      <c r="E1497" s="150"/>
      <c r="F1497" s="150"/>
      <c r="G1497" s="145"/>
      <c r="H1497" s="145"/>
      <c r="I1497" s="145"/>
      <c r="J1497" s="145"/>
    </row>
    <row r="1498" spans="1:10" s="195" customFormat="1" ht="24.95" hidden="1" customHeight="1">
      <c r="A1498" s="141"/>
      <c r="B1498" s="141"/>
      <c r="C1498" s="142"/>
      <c r="D1498" s="141"/>
      <c r="E1498" s="150"/>
      <c r="F1498" s="150"/>
      <c r="G1498" s="145"/>
      <c r="H1498" s="145"/>
      <c r="I1498" s="145"/>
      <c r="J1498" s="145"/>
    </row>
    <row r="1499" spans="1:10" s="195" customFormat="1" ht="24.95" hidden="1" customHeight="1">
      <c r="A1499" s="141"/>
      <c r="B1499" s="141"/>
      <c r="C1499" s="142"/>
      <c r="D1499" s="141"/>
      <c r="E1499" s="150"/>
      <c r="F1499" s="150"/>
      <c r="G1499" s="145"/>
      <c r="H1499" s="145"/>
      <c r="I1499" s="145"/>
      <c r="J1499" s="145"/>
    </row>
    <row r="1500" spans="1:10" s="195" customFormat="1" ht="24.95" hidden="1" customHeight="1">
      <c r="A1500" s="141"/>
      <c r="B1500" s="141"/>
      <c r="C1500" s="142"/>
      <c r="D1500" s="141"/>
      <c r="E1500" s="150"/>
      <c r="F1500" s="150"/>
      <c r="G1500" s="145"/>
      <c r="H1500" s="145"/>
      <c r="I1500" s="145"/>
      <c r="J1500" s="145"/>
    </row>
    <row r="1501" spans="1:10" s="195" customFormat="1" ht="24.95" hidden="1" customHeight="1">
      <c r="A1501" s="141"/>
      <c r="B1501" s="141"/>
      <c r="C1501" s="142"/>
      <c r="D1501" s="141"/>
      <c r="E1501" s="150"/>
      <c r="F1501" s="150"/>
      <c r="G1501" s="145"/>
      <c r="H1501" s="145"/>
      <c r="I1501" s="145"/>
      <c r="J1501" s="145"/>
    </row>
    <row r="1502" spans="1:10" s="195" customFormat="1" ht="24.95" hidden="1" customHeight="1">
      <c r="A1502" s="141"/>
      <c r="B1502" s="141"/>
      <c r="C1502" s="142"/>
      <c r="D1502" s="141"/>
      <c r="E1502" s="150"/>
      <c r="F1502" s="150"/>
      <c r="G1502" s="145"/>
      <c r="H1502" s="145"/>
      <c r="I1502" s="145"/>
      <c r="J1502" s="145"/>
    </row>
    <row r="1503" spans="1:10" s="195" customFormat="1" ht="24.95" hidden="1" customHeight="1">
      <c r="A1503" s="141"/>
      <c r="B1503" s="141"/>
      <c r="C1503" s="142"/>
      <c r="D1503" s="141"/>
      <c r="E1503" s="150"/>
      <c r="F1503" s="150"/>
      <c r="G1503" s="145"/>
      <c r="H1503" s="145"/>
      <c r="I1503" s="145"/>
      <c r="J1503" s="145"/>
    </row>
    <row r="1504" spans="1:10" s="195" customFormat="1" ht="24.95" hidden="1" customHeight="1">
      <c r="A1504" s="141"/>
      <c r="B1504" s="141"/>
      <c r="C1504" s="142"/>
      <c r="D1504" s="141"/>
      <c r="E1504" s="150"/>
      <c r="F1504" s="150"/>
      <c r="G1504" s="145"/>
      <c r="H1504" s="145"/>
      <c r="I1504" s="145"/>
      <c r="J1504" s="145"/>
    </row>
    <row r="1505" spans="1:10" s="195" customFormat="1" ht="24.95" hidden="1" customHeight="1">
      <c r="A1505" s="141"/>
      <c r="B1505" s="141"/>
      <c r="C1505" s="142"/>
      <c r="D1505" s="141"/>
      <c r="E1505" s="150"/>
      <c r="F1505" s="150"/>
      <c r="G1505" s="145"/>
      <c r="H1505" s="145"/>
      <c r="I1505" s="145"/>
      <c r="J1505" s="145"/>
    </row>
    <row r="1506" spans="1:10" s="195" customFormat="1" ht="24.95" hidden="1" customHeight="1">
      <c r="A1506" s="141"/>
      <c r="B1506" s="141"/>
      <c r="C1506" s="142"/>
      <c r="D1506" s="141"/>
      <c r="E1506" s="150"/>
      <c r="F1506" s="150"/>
      <c r="G1506" s="145"/>
      <c r="H1506" s="145"/>
      <c r="I1506" s="145"/>
      <c r="J1506" s="145"/>
    </row>
    <row r="1507" spans="1:10" s="195" customFormat="1" ht="24.95" hidden="1" customHeight="1">
      <c r="A1507" s="141"/>
      <c r="B1507" s="141"/>
      <c r="C1507" s="142"/>
      <c r="D1507" s="141"/>
      <c r="E1507" s="150"/>
      <c r="F1507" s="150"/>
      <c r="G1507" s="145"/>
      <c r="H1507" s="145"/>
      <c r="I1507" s="145"/>
      <c r="J1507" s="145"/>
    </row>
    <row r="1508" spans="1:10" s="195" customFormat="1" ht="24.95" hidden="1" customHeight="1">
      <c r="A1508" s="141"/>
      <c r="B1508" s="141"/>
      <c r="C1508" s="142"/>
      <c r="D1508" s="141"/>
      <c r="E1508" s="150"/>
      <c r="F1508" s="150"/>
      <c r="G1508" s="145"/>
      <c r="H1508" s="145"/>
      <c r="I1508" s="145"/>
      <c r="J1508" s="145"/>
    </row>
    <row r="1509" spans="1:10" s="195" customFormat="1" ht="24.95" hidden="1" customHeight="1">
      <c r="A1509" s="141"/>
      <c r="B1509" s="141"/>
      <c r="C1509" s="142"/>
      <c r="D1509" s="141"/>
      <c r="E1509" s="150"/>
      <c r="F1509" s="150"/>
      <c r="G1509" s="145"/>
      <c r="H1509" s="145"/>
      <c r="I1509" s="145"/>
      <c r="J1509" s="145"/>
    </row>
    <row r="1510" spans="1:10" s="195" customFormat="1" ht="24.95" hidden="1" customHeight="1">
      <c r="A1510" s="141"/>
      <c r="B1510" s="141"/>
      <c r="C1510" s="142"/>
      <c r="D1510" s="141"/>
      <c r="E1510" s="150"/>
      <c r="F1510" s="150"/>
      <c r="G1510" s="145"/>
      <c r="H1510" s="145"/>
      <c r="I1510" s="145"/>
      <c r="J1510" s="145"/>
    </row>
    <row r="1511" spans="1:10" s="195" customFormat="1" ht="24.95" hidden="1" customHeight="1">
      <c r="A1511" s="141"/>
      <c r="B1511" s="141"/>
      <c r="C1511" s="142"/>
      <c r="D1511" s="141"/>
      <c r="E1511" s="150"/>
      <c r="F1511" s="150"/>
      <c r="G1511" s="145"/>
      <c r="H1511" s="145"/>
      <c r="I1511" s="145"/>
      <c r="J1511" s="145"/>
    </row>
    <row r="1512" spans="1:10" s="195" customFormat="1" ht="24.95" hidden="1" customHeight="1">
      <c r="A1512" s="141"/>
      <c r="B1512" s="141"/>
      <c r="C1512" s="142"/>
      <c r="D1512" s="141"/>
      <c r="E1512" s="150"/>
      <c r="F1512" s="150"/>
      <c r="G1512" s="145"/>
      <c r="H1512" s="145"/>
      <c r="I1512" s="145"/>
      <c r="J1512" s="145"/>
    </row>
    <row r="1513" spans="1:10" s="195" customFormat="1" ht="24.95" hidden="1" customHeight="1">
      <c r="A1513" s="141"/>
      <c r="B1513" s="141"/>
      <c r="C1513" s="142"/>
      <c r="D1513" s="141"/>
      <c r="E1513" s="150"/>
      <c r="F1513" s="150"/>
      <c r="G1513" s="145"/>
      <c r="H1513" s="145"/>
      <c r="I1513" s="145"/>
      <c r="J1513" s="145"/>
    </row>
    <row r="1514" spans="1:10" s="195" customFormat="1" ht="24.95" hidden="1" customHeight="1">
      <c r="A1514" s="141"/>
      <c r="B1514" s="141"/>
      <c r="C1514" s="142"/>
      <c r="D1514" s="141"/>
      <c r="E1514" s="150"/>
      <c r="F1514" s="150"/>
      <c r="G1514" s="145"/>
      <c r="H1514" s="145"/>
      <c r="I1514" s="145"/>
      <c r="J1514" s="145"/>
    </row>
    <row r="1515" spans="1:10" s="195" customFormat="1" ht="24.95" hidden="1" customHeight="1">
      <c r="A1515" s="141"/>
      <c r="B1515" s="141"/>
      <c r="C1515" s="142"/>
      <c r="D1515" s="141"/>
      <c r="E1515" s="150"/>
      <c r="F1515" s="150"/>
      <c r="G1515" s="145"/>
      <c r="H1515" s="145"/>
      <c r="I1515" s="145"/>
      <c r="J1515" s="145"/>
    </row>
    <row r="1516" spans="1:10" s="195" customFormat="1" ht="24.95" hidden="1" customHeight="1">
      <c r="A1516" s="141"/>
      <c r="B1516" s="141"/>
      <c r="C1516" s="142"/>
      <c r="D1516" s="141"/>
      <c r="E1516" s="150"/>
      <c r="F1516" s="150"/>
      <c r="G1516" s="145"/>
      <c r="H1516" s="145"/>
      <c r="I1516" s="145"/>
      <c r="J1516" s="145"/>
    </row>
    <row r="1517" spans="1:10" s="195" customFormat="1" ht="24.95" hidden="1" customHeight="1">
      <c r="A1517" s="141"/>
      <c r="B1517" s="141"/>
      <c r="C1517" s="142"/>
      <c r="D1517" s="141"/>
      <c r="E1517" s="150"/>
      <c r="F1517" s="150"/>
      <c r="G1517" s="145"/>
      <c r="H1517" s="145"/>
      <c r="I1517" s="145"/>
      <c r="J1517" s="145"/>
    </row>
    <row r="1518" spans="1:10" s="195" customFormat="1" ht="24.95" hidden="1" customHeight="1">
      <c r="A1518" s="141"/>
      <c r="B1518" s="141"/>
      <c r="C1518" s="142"/>
      <c r="D1518" s="141"/>
      <c r="E1518" s="150"/>
      <c r="F1518" s="150"/>
      <c r="G1518" s="145"/>
      <c r="H1518" s="145"/>
      <c r="I1518" s="145"/>
      <c r="J1518" s="145"/>
    </row>
    <row r="1519" spans="1:10" s="195" customFormat="1" ht="24.95" hidden="1" customHeight="1">
      <c r="A1519" s="141"/>
      <c r="B1519" s="141"/>
      <c r="C1519" s="142"/>
      <c r="D1519" s="141"/>
      <c r="E1519" s="150"/>
      <c r="F1519" s="150"/>
      <c r="G1519" s="145"/>
      <c r="H1519" s="145"/>
      <c r="I1519" s="145"/>
      <c r="J1519" s="145"/>
    </row>
    <row r="1520" spans="1:10" s="195" customFormat="1" ht="24.95" hidden="1" customHeight="1">
      <c r="A1520" s="141"/>
      <c r="B1520" s="141"/>
      <c r="C1520" s="142"/>
      <c r="D1520" s="141"/>
      <c r="E1520" s="150"/>
      <c r="F1520" s="150"/>
      <c r="G1520" s="145"/>
      <c r="H1520" s="145"/>
      <c r="I1520" s="145"/>
      <c r="J1520" s="145"/>
    </row>
    <row r="1521" spans="1:10" s="195" customFormat="1" ht="24.95" hidden="1" customHeight="1">
      <c r="A1521" s="141"/>
      <c r="B1521" s="141"/>
      <c r="C1521" s="142"/>
      <c r="D1521" s="141"/>
      <c r="E1521" s="150"/>
      <c r="F1521" s="150"/>
      <c r="G1521" s="145"/>
      <c r="H1521" s="145"/>
      <c r="I1521" s="145"/>
      <c r="J1521" s="145"/>
    </row>
    <row r="1522" spans="1:10" s="195" customFormat="1" ht="24.95" hidden="1" customHeight="1">
      <c r="A1522" s="141"/>
      <c r="B1522" s="141"/>
      <c r="C1522" s="142"/>
      <c r="D1522" s="141"/>
      <c r="E1522" s="150"/>
      <c r="F1522" s="150"/>
      <c r="G1522" s="145"/>
      <c r="H1522" s="145"/>
      <c r="I1522" s="145"/>
      <c r="J1522" s="145"/>
    </row>
    <row r="1523" spans="1:10" s="195" customFormat="1" ht="24.95" hidden="1" customHeight="1">
      <c r="A1523" s="141"/>
      <c r="B1523" s="141"/>
      <c r="C1523" s="142"/>
      <c r="D1523" s="141"/>
      <c r="E1523" s="150"/>
      <c r="F1523" s="150"/>
      <c r="G1523" s="145"/>
      <c r="H1523" s="145"/>
      <c r="I1523" s="145"/>
      <c r="J1523" s="145"/>
    </row>
    <row r="1524" spans="1:10" s="195" customFormat="1" ht="24.95" hidden="1" customHeight="1">
      <c r="A1524" s="141"/>
      <c r="B1524" s="141"/>
      <c r="C1524" s="142"/>
      <c r="D1524" s="141"/>
      <c r="E1524" s="150"/>
      <c r="F1524" s="150"/>
      <c r="G1524" s="145"/>
      <c r="H1524" s="145"/>
      <c r="I1524" s="145"/>
      <c r="J1524" s="145"/>
    </row>
    <row r="1525" spans="1:10" s="195" customFormat="1" ht="24.95" hidden="1" customHeight="1">
      <c r="A1525" s="141"/>
      <c r="B1525" s="141"/>
      <c r="C1525" s="142"/>
      <c r="D1525" s="141"/>
      <c r="E1525" s="150"/>
      <c r="F1525" s="150"/>
      <c r="G1525" s="145"/>
      <c r="H1525" s="145"/>
      <c r="I1525" s="145"/>
      <c r="J1525" s="145"/>
    </row>
    <row r="1526" spans="1:10" s="195" customFormat="1" ht="24.95" hidden="1" customHeight="1">
      <c r="A1526" s="141"/>
      <c r="B1526" s="141"/>
      <c r="C1526" s="142"/>
      <c r="D1526" s="141"/>
      <c r="E1526" s="150"/>
      <c r="F1526" s="150"/>
      <c r="G1526" s="145"/>
      <c r="H1526" s="145"/>
      <c r="I1526" s="145"/>
      <c r="J1526" s="145"/>
    </row>
    <row r="1527" spans="1:10" s="195" customFormat="1" ht="24.95" hidden="1" customHeight="1">
      <c r="A1527" s="141"/>
      <c r="B1527" s="141"/>
      <c r="C1527" s="142"/>
      <c r="D1527" s="141"/>
      <c r="E1527" s="150"/>
      <c r="F1527" s="150"/>
      <c r="G1527" s="145"/>
      <c r="H1527" s="145"/>
      <c r="I1527" s="145"/>
      <c r="J1527" s="145"/>
    </row>
    <row r="1528" spans="1:10" s="195" customFormat="1" ht="24.95" hidden="1" customHeight="1">
      <c r="A1528" s="141"/>
      <c r="B1528" s="141"/>
      <c r="C1528" s="142"/>
      <c r="D1528" s="141"/>
      <c r="E1528" s="150"/>
      <c r="F1528" s="150"/>
      <c r="G1528" s="145"/>
      <c r="H1528" s="145"/>
      <c r="I1528" s="145"/>
      <c r="J1528" s="145"/>
    </row>
    <row r="1529" spans="1:10" s="195" customFormat="1" ht="24.95" hidden="1" customHeight="1">
      <c r="A1529" s="141"/>
      <c r="B1529" s="141"/>
      <c r="C1529" s="142"/>
      <c r="D1529" s="141"/>
      <c r="E1529" s="150"/>
      <c r="F1529" s="150"/>
      <c r="G1529" s="145"/>
      <c r="H1529" s="145"/>
      <c r="I1529" s="145"/>
      <c r="J1529" s="145"/>
    </row>
    <row r="1530" spans="1:10" s="195" customFormat="1" ht="24.95" hidden="1" customHeight="1">
      <c r="A1530" s="141"/>
      <c r="B1530" s="141"/>
      <c r="C1530" s="142"/>
      <c r="D1530" s="141"/>
      <c r="E1530" s="150"/>
      <c r="F1530" s="150"/>
      <c r="G1530" s="145"/>
      <c r="H1530" s="145"/>
      <c r="I1530" s="145"/>
      <c r="J1530" s="145"/>
    </row>
    <row r="1531" spans="1:10" s="195" customFormat="1" ht="24.95" hidden="1" customHeight="1">
      <c r="A1531" s="141"/>
      <c r="B1531" s="141"/>
      <c r="C1531" s="142"/>
      <c r="D1531" s="141"/>
      <c r="E1531" s="150"/>
      <c r="F1531" s="150"/>
      <c r="G1531" s="145"/>
      <c r="H1531" s="145"/>
      <c r="I1531" s="145"/>
      <c r="J1531" s="145"/>
    </row>
    <row r="1532" spans="1:10" s="195" customFormat="1" ht="24.95" hidden="1" customHeight="1">
      <c r="A1532" s="141"/>
      <c r="B1532" s="141"/>
      <c r="C1532" s="142"/>
      <c r="D1532" s="141"/>
      <c r="E1532" s="150"/>
      <c r="F1532" s="150"/>
      <c r="G1532" s="145"/>
      <c r="H1532" s="145"/>
      <c r="I1532" s="145"/>
      <c r="J1532" s="145"/>
    </row>
    <row r="1533" spans="1:10" s="195" customFormat="1" ht="24.95" hidden="1" customHeight="1">
      <c r="A1533" s="141"/>
      <c r="B1533" s="141"/>
      <c r="C1533" s="142"/>
      <c r="D1533" s="141"/>
      <c r="E1533" s="150"/>
      <c r="F1533" s="150"/>
      <c r="G1533" s="145"/>
      <c r="H1533" s="145"/>
      <c r="I1533" s="145"/>
      <c r="J1533" s="145"/>
    </row>
    <row r="1534" spans="1:10" s="195" customFormat="1" ht="24.95" hidden="1" customHeight="1">
      <c r="A1534" s="141"/>
      <c r="B1534" s="141"/>
      <c r="C1534" s="142"/>
      <c r="D1534" s="141"/>
      <c r="E1534" s="150"/>
      <c r="F1534" s="150"/>
      <c r="G1534" s="145"/>
      <c r="H1534" s="145"/>
      <c r="I1534" s="145"/>
      <c r="J1534" s="145"/>
    </row>
    <row r="1535" spans="1:10" s="195" customFormat="1" ht="24.95" hidden="1" customHeight="1">
      <c r="A1535" s="141"/>
      <c r="B1535" s="141"/>
      <c r="C1535" s="142"/>
      <c r="D1535" s="141"/>
      <c r="E1535" s="150"/>
      <c r="F1535" s="150"/>
      <c r="G1535" s="145"/>
      <c r="H1535" s="145"/>
      <c r="I1535" s="145"/>
      <c r="J1535" s="145"/>
    </row>
    <row r="1536" spans="1:10" s="195" customFormat="1" ht="24.95" hidden="1" customHeight="1">
      <c r="A1536" s="141"/>
      <c r="B1536" s="141"/>
      <c r="C1536" s="142"/>
      <c r="D1536" s="141"/>
      <c r="E1536" s="150"/>
      <c r="F1536" s="150"/>
      <c r="G1536" s="145"/>
      <c r="H1536" s="145"/>
      <c r="I1536" s="145"/>
      <c r="J1536" s="145"/>
    </row>
    <row r="1537" spans="1:10" s="195" customFormat="1" ht="24.95" hidden="1" customHeight="1">
      <c r="A1537" s="141"/>
      <c r="B1537" s="141"/>
      <c r="C1537" s="142"/>
      <c r="D1537" s="141"/>
      <c r="E1537" s="150"/>
      <c r="F1537" s="150"/>
      <c r="G1537" s="145"/>
      <c r="H1537" s="145"/>
      <c r="I1537" s="145"/>
      <c r="J1537" s="145"/>
    </row>
    <row r="1538" spans="1:10" s="195" customFormat="1" ht="24.95" hidden="1" customHeight="1">
      <c r="A1538" s="141"/>
      <c r="B1538" s="141"/>
      <c r="C1538" s="142"/>
      <c r="D1538" s="141"/>
      <c r="E1538" s="150"/>
      <c r="F1538" s="150"/>
      <c r="G1538" s="145"/>
      <c r="H1538" s="145"/>
      <c r="I1538" s="145"/>
      <c r="J1538" s="145"/>
    </row>
    <row r="1539" spans="1:10" s="195" customFormat="1" ht="24.95" hidden="1" customHeight="1">
      <c r="A1539" s="141"/>
      <c r="B1539" s="141"/>
      <c r="C1539" s="142"/>
      <c r="D1539" s="141"/>
      <c r="E1539" s="150"/>
      <c r="F1539" s="150"/>
      <c r="G1539" s="145"/>
      <c r="H1539" s="145"/>
      <c r="I1539" s="145"/>
      <c r="J1539" s="145"/>
    </row>
    <row r="1540" spans="1:10" s="195" customFormat="1" ht="24.95" hidden="1" customHeight="1">
      <c r="A1540" s="141"/>
      <c r="B1540" s="141"/>
      <c r="C1540" s="142"/>
      <c r="D1540" s="141"/>
      <c r="E1540" s="150"/>
      <c r="F1540" s="150"/>
      <c r="G1540" s="145"/>
      <c r="H1540" s="145"/>
      <c r="I1540" s="145"/>
      <c r="J1540" s="145"/>
    </row>
    <row r="1541" spans="1:10" s="195" customFormat="1" ht="24.95" hidden="1" customHeight="1">
      <c r="A1541" s="141"/>
      <c r="B1541" s="141"/>
      <c r="C1541" s="142"/>
      <c r="D1541" s="141"/>
      <c r="E1541" s="150"/>
      <c r="F1541" s="150"/>
      <c r="G1541" s="145"/>
      <c r="H1541" s="145"/>
      <c r="I1541" s="145"/>
      <c r="J1541" s="145"/>
    </row>
    <row r="1542" spans="1:10" s="195" customFormat="1" ht="24.95" hidden="1" customHeight="1">
      <c r="A1542" s="141"/>
      <c r="B1542" s="141"/>
      <c r="C1542" s="142"/>
      <c r="D1542" s="141"/>
      <c r="E1542" s="150"/>
      <c r="F1542" s="150"/>
      <c r="G1542" s="145"/>
      <c r="H1542" s="145"/>
      <c r="I1542" s="145"/>
      <c r="J1542" s="145"/>
    </row>
    <row r="1543" spans="1:10" s="195" customFormat="1" ht="24.95" hidden="1" customHeight="1">
      <c r="A1543" s="141"/>
      <c r="B1543" s="141"/>
      <c r="C1543" s="142"/>
      <c r="D1543" s="141"/>
      <c r="E1543" s="150"/>
      <c r="F1543" s="150"/>
      <c r="G1543" s="145"/>
      <c r="H1543" s="145"/>
      <c r="I1543" s="145"/>
      <c r="J1543" s="145"/>
    </row>
    <row r="1544" spans="1:10" s="195" customFormat="1" ht="24.95" hidden="1" customHeight="1">
      <c r="A1544" s="141"/>
      <c r="B1544" s="141"/>
      <c r="C1544" s="142"/>
      <c r="D1544" s="141"/>
      <c r="E1544" s="150"/>
      <c r="F1544" s="150"/>
      <c r="G1544" s="145"/>
      <c r="H1544" s="145"/>
      <c r="I1544" s="145"/>
      <c r="J1544" s="145"/>
    </row>
    <row r="1545" spans="1:10" s="195" customFormat="1" ht="24.95" hidden="1" customHeight="1">
      <c r="A1545" s="141"/>
      <c r="B1545" s="141"/>
      <c r="C1545" s="142"/>
      <c r="D1545" s="141"/>
      <c r="E1545" s="150"/>
      <c r="F1545" s="150"/>
      <c r="G1545" s="145"/>
      <c r="H1545" s="145"/>
      <c r="I1545" s="145"/>
      <c r="J1545" s="145"/>
    </row>
    <row r="1546" spans="1:10" s="195" customFormat="1" ht="24.95" hidden="1" customHeight="1">
      <c r="A1546" s="141"/>
      <c r="B1546" s="141"/>
      <c r="C1546" s="142"/>
      <c r="D1546" s="141"/>
      <c r="E1546" s="150"/>
      <c r="F1546" s="150"/>
      <c r="G1546" s="145"/>
      <c r="H1546" s="145"/>
      <c r="I1546" s="145"/>
      <c r="J1546" s="145"/>
    </row>
    <row r="1547" spans="1:10" s="195" customFormat="1" ht="24.95" hidden="1" customHeight="1">
      <c r="A1547" s="141"/>
      <c r="B1547" s="141"/>
      <c r="C1547" s="142"/>
      <c r="D1547" s="141"/>
      <c r="E1547" s="150"/>
      <c r="F1547" s="150"/>
      <c r="G1547" s="145"/>
      <c r="H1547" s="145"/>
      <c r="I1547" s="145"/>
      <c r="J1547" s="145"/>
    </row>
    <row r="1548" spans="1:10" s="195" customFormat="1" ht="24.95" hidden="1" customHeight="1">
      <c r="A1548" s="141"/>
      <c r="B1548" s="141"/>
      <c r="C1548" s="142"/>
      <c r="D1548" s="141"/>
      <c r="E1548" s="150"/>
      <c r="F1548" s="150"/>
      <c r="G1548" s="145"/>
      <c r="H1548" s="145"/>
      <c r="I1548" s="145"/>
      <c r="J1548" s="145"/>
    </row>
    <row r="1549" spans="1:10" s="195" customFormat="1" ht="24.95" hidden="1" customHeight="1">
      <c r="A1549" s="141"/>
      <c r="B1549" s="141"/>
      <c r="C1549" s="142"/>
      <c r="D1549" s="141"/>
      <c r="E1549" s="150"/>
      <c r="F1549" s="150"/>
      <c r="G1549" s="145"/>
      <c r="H1549" s="145"/>
      <c r="I1549" s="145"/>
      <c r="J1549" s="145"/>
    </row>
    <row r="1550" spans="1:10" s="195" customFormat="1" ht="24.95" hidden="1" customHeight="1">
      <c r="A1550" s="141"/>
      <c r="B1550" s="141"/>
      <c r="C1550" s="142"/>
      <c r="D1550" s="141"/>
      <c r="E1550" s="150"/>
      <c r="F1550" s="150"/>
      <c r="G1550" s="145"/>
      <c r="H1550" s="145"/>
      <c r="I1550" s="145"/>
      <c r="J1550" s="145"/>
    </row>
    <row r="1551" spans="1:10" s="195" customFormat="1" ht="24.95" hidden="1" customHeight="1">
      <c r="A1551" s="141"/>
      <c r="B1551" s="141"/>
      <c r="C1551" s="142"/>
      <c r="D1551" s="141"/>
      <c r="E1551" s="150"/>
      <c r="F1551" s="150"/>
      <c r="G1551" s="145"/>
      <c r="H1551" s="145"/>
      <c r="I1551" s="145"/>
      <c r="J1551" s="145"/>
    </row>
    <row r="1552" spans="1:10" s="195" customFormat="1" ht="24.95" hidden="1" customHeight="1">
      <c r="A1552" s="141"/>
      <c r="B1552" s="141"/>
      <c r="C1552" s="142"/>
      <c r="D1552" s="141"/>
      <c r="E1552" s="150"/>
      <c r="F1552" s="150"/>
      <c r="G1552" s="145"/>
      <c r="H1552" s="145"/>
      <c r="I1552" s="145"/>
      <c r="J1552" s="145"/>
    </row>
    <row r="1553" spans="1:10" s="195" customFormat="1" ht="24.95" hidden="1" customHeight="1">
      <c r="A1553" s="141"/>
      <c r="B1553" s="141"/>
      <c r="C1553" s="142"/>
      <c r="D1553" s="141"/>
      <c r="E1553" s="150"/>
      <c r="F1553" s="150"/>
      <c r="G1553" s="145"/>
      <c r="H1553" s="145"/>
      <c r="I1553" s="145"/>
      <c r="J1553" s="145"/>
    </row>
    <row r="1554" spans="1:10" s="195" customFormat="1" ht="24.95" hidden="1" customHeight="1">
      <c r="A1554" s="141"/>
      <c r="B1554" s="141"/>
      <c r="C1554" s="142"/>
      <c r="D1554" s="141"/>
      <c r="E1554" s="150"/>
      <c r="F1554" s="150"/>
      <c r="G1554" s="145"/>
      <c r="H1554" s="145"/>
      <c r="I1554" s="145"/>
      <c r="J1554" s="145"/>
    </row>
    <row r="1555" spans="1:10" s="195" customFormat="1" ht="24.95" hidden="1" customHeight="1">
      <c r="A1555" s="141"/>
      <c r="B1555" s="141"/>
      <c r="C1555" s="142"/>
      <c r="D1555" s="141"/>
      <c r="E1555" s="150"/>
      <c r="F1555" s="150"/>
      <c r="G1555" s="145"/>
      <c r="H1555" s="145"/>
      <c r="I1555" s="145"/>
      <c r="J1555" s="145"/>
    </row>
    <row r="1556" spans="1:10" s="195" customFormat="1" ht="24.95" hidden="1" customHeight="1">
      <c r="A1556" s="141"/>
      <c r="B1556" s="141"/>
      <c r="C1556" s="142"/>
      <c r="D1556" s="141"/>
      <c r="E1556" s="150"/>
      <c r="F1556" s="150"/>
      <c r="G1556" s="145"/>
      <c r="H1556" s="145"/>
      <c r="I1556" s="145"/>
      <c r="J1556" s="145"/>
    </row>
    <row r="1557" spans="1:10" s="195" customFormat="1" ht="24.95" hidden="1" customHeight="1">
      <c r="A1557" s="141"/>
      <c r="B1557" s="141"/>
      <c r="C1557" s="142"/>
      <c r="D1557" s="141"/>
      <c r="E1557" s="150"/>
      <c r="F1557" s="150"/>
      <c r="G1557" s="145"/>
      <c r="H1557" s="145"/>
      <c r="I1557" s="145"/>
      <c r="J1557" s="145"/>
    </row>
    <row r="1558" spans="1:10" s="195" customFormat="1" ht="24.95" hidden="1" customHeight="1">
      <c r="A1558" s="141"/>
      <c r="B1558" s="141"/>
      <c r="C1558" s="142"/>
      <c r="D1558" s="141"/>
      <c r="E1558" s="150"/>
      <c r="F1558" s="150"/>
      <c r="G1558" s="145"/>
      <c r="H1558" s="145"/>
      <c r="I1558" s="145"/>
      <c r="J1558" s="145"/>
    </row>
    <row r="1559" spans="1:10" s="195" customFormat="1" ht="24.95" hidden="1" customHeight="1">
      <c r="A1559" s="141"/>
      <c r="B1559" s="141"/>
      <c r="C1559" s="142"/>
      <c r="D1559" s="141"/>
      <c r="E1559" s="150"/>
      <c r="F1559" s="150"/>
      <c r="G1559" s="145"/>
      <c r="H1559" s="145"/>
      <c r="I1559" s="145"/>
      <c r="J1559" s="145"/>
    </row>
    <row r="1560" spans="1:10" s="195" customFormat="1" ht="24.95" hidden="1" customHeight="1">
      <c r="A1560" s="141"/>
      <c r="B1560" s="141"/>
      <c r="C1560" s="142"/>
      <c r="D1560" s="141"/>
      <c r="E1560" s="150"/>
      <c r="F1560" s="150"/>
      <c r="G1560" s="145"/>
      <c r="H1560" s="145"/>
      <c r="I1560" s="145"/>
      <c r="J1560" s="145"/>
    </row>
    <row r="1561" spans="1:10" s="195" customFormat="1" ht="24.95" hidden="1" customHeight="1">
      <c r="A1561" s="141"/>
      <c r="B1561" s="141"/>
      <c r="C1561" s="142"/>
      <c r="D1561" s="141"/>
      <c r="E1561" s="150"/>
      <c r="F1561" s="150"/>
      <c r="G1561" s="145"/>
      <c r="H1561" s="145"/>
      <c r="I1561" s="145"/>
      <c r="J1561" s="145"/>
    </row>
    <row r="1562" spans="1:10" s="195" customFormat="1" ht="24.95" hidden="1" customHeight="1">
      <c r="A1562" s="141"/>
      <c r="B1562" s="141"/>
      <c r="C1562" s="142"/>
      <c r="D1562" s="141"/>
      <c r="E1562" s="150"/>
      <c r="F1562" s="150"/>
      <c r="G1562" s="145"/>
      <c r="H1562" s="145"/>
      <c r="I1562" s="145"/>
      <c r="J1562" s="145"/>
    </row>
    <row r="1563" spans="1:10" s="195" customFormat="1" ht="24.95" hidden="1" customHeight="1">
      <c r="A1563" s="141"/>
      <c r="B1563" s="141"/>
      <c r="C1563" s="142"/>
      <c r="D1563" s="141"/>
      <c r="E1563" s="150"/>
      <c r="F1563" s="150"/>
      <c r="G1563" s="145"/>
      <c r="H1563" s="145"/>
      <c r="I1563" s="145"/>
      <c r="J1563" s="145"/>
    </row>
    <row r="1564" spans="1:10" s="195" customFormat="1" ht="24.95" hidden="1" customHeight="1">
      <c r="A1564" s="141"/>
      <c r="B1564" s="141"/>
      <c r="C1564" s="142"/>
      <c r="D1564" s="141"/>
      <c r="E1564" s="150"/>
      <c r="F1564" s="150"/>
      <c r="G1564" s="145"/>
      <c r="H1564" s="145"/>
      <c r="I1564" s="145"/>
      <c r="J1564" s="145"/>
    </row>
    <row r="1565" spans="1:10" s="195" customFormat="1" ht="24.95" hidden="1" customHeight="1">
      <c r="A1565" s="141"/>
      <c r="B1565" s="141"/>
      <c r="C1565" s="142"/>
      <c r="D1565" s="141"/>
      <c r="E1565" s="150"/>
      <c r="F1565" s="150"/>
      <c r="G1565" s="145"/>
      <c r="H1565" s="145"/>
      <c r="I1565" s="145"/>
      <c r="J1565" s="145"/>
    </row>
    <row r="1566" spans="1:10" s="195" customFormat="1" ht="24.95" hidden="1" customHeight="1">
      <c r="A1566" s="141"/>
      <c r="B1566" s="141"/>
      <c r="C1566" s="142"/>
      <c r="D1566" s="141"/>
      <c r="E1566" s="150"/>
      <c r="F1566" s="150"/>
      <c r="G1566" s="145"/>
      <c r="H1566" s="145"/>
      <c r="I1566" s="145"/>
      <c r="J1566" s="145"/>
    </row>
    <row r="1567" spans="1:10" s="195" customFormat="1" ht="24.95" hidden="1" customHeight="1">
      <c r="A1567" s="141"/>
      <c r="B1567" s="141"/>
      <c r="C1567" s="142"/>
      <c r="D1567" s="141"/>
      <c r="E1567" s="150"/>
      <c r="F1567" s="150"/>
      <c r="G1567" s="145"/>
      <c r="H1567" s="145"/>
      <c r="I1567" s="145"/>
      <c r="J1567" s="145"/>
    </row>
    <row r="1568" spans="1:10" s="195" customFormat="1" ht="24.95" hidden="1" customHeight="1">
      <c r="A1568" s="141"/>
      <c r="B1568" s="141"/>
      <c r="C1568" s="142"/>
      <c r="D1568" s="141"/>
      <c r="E1568" s="150"/>
      <c r="F1568" s="150"/>
      <c r="G1568" s="145"/>
      <c r="H1568" s="145"/>
      <c r="I1568" s="145"/>
      <c r="J1568" s="145"/>
    </row>
    <row r="1569" spans="1:10" s="195" customFormat="1" ht="24.95" hidden="1" customHeight="1">
      <c r="A1569" s="141"/>
      <c r="B1569" s="141"/>
      <c r="C1569" s="142"/>
      <c r="D1569" s="141"/>
      <c r="E1569" s="150"/>
      <c r="F1569" s="150"/>
      <c r="G1569" s="145"/>
      <c r="H1569" s="145"/>
      <c r="I1569" s="145"/>
      <c r="J1569" s="145"/>
    </row>
    <row r="1570" spans="1:10" s="195" customFormat="1" ht="24.95" hidden="1" customHeight="1">
      <c r="A1570" s="141"/>
      <c r="B1570" s="141"/>
      <c r="C1570" s="142"/>
      <c r="D1570" s="141"/>
      <c r="E1570" s="150"/>
      <c r="F1570" s="150"/>
      <c r="G1570" s="145"/>
      <c r="H1570" s="145"/>
      <c r="I1570" s="145"/>
      <c r="J1570" s="145"/>
    </row>
    <row r="1571" spans="1:10" s="195" customFormat="1" ht="24.95" hidden="1" customHeight="1">
      <c r="A1571" s="141"/>
      <c r="B1571" s="141"/>
      <c r="C1571" s="142"/>
      <c r="D1571" s="141"/>
      <c r="E1571" s="150"/>
      <c r="F1571" s="150"/>
      <c r="G1571" s="145"/>
      <c r="H1571" s="145"/>
      <c r="I1571" s="145"/>
      <c r="J1571" s="145"/>
    </row>
    <row r="1572" spans="1:10" s="195" customFormat="1" ht="24.95" hidden="1" customHeight="1">
      <c r="A1572" s="141"/>
      <c r="B1572" s="141"/>
      <c r="C1572" s="142"/>
      <c r="D1572" s="141"/>
      <c r="E1572" s="150"/>
      <c r="F1572" s="150"/>
      <c r="G1572" s="145"/>
      <c r="H1572" s="145"/>
      <c r="I1572" s="145"/>
      <c r="J1572" s="145"/>
    </row>
    <row r="1573" spans="1:10" s="195" customFormat="1" ht="24.95" hidden="1" customHeight="1">
      <c r="A1573" s="141"/>
      <c r="B1573" s="141"/>
      <c r="C1573" s="142"/>
      <c r="D1573" s="141"/>
      <c r="E1573" s="150"/>
      <c r="F1573" s="150"/>
      <c r="G1573" s="145"/>
      <c r="H1573" s="145"/>
      <c r="I1573" s="145"/>
      <c r="J1573" s="145"/>
    </row>
    <row r="1574" spans="1:10" s="195" customFormat="1" ht="24.95" hidden="1" customHeight="1">
      <c r="A1574" s="141"/>
      <c r="B1574" s="141"/>
      <c r="C1574" s="142"/>
      <c r="D1574" s="141"/>
      <c r="E1574" s="150"/>
      <c r="F1574" s="150"/>
      <c r="G1574" s="145"/>
      <c r="H1574" s="145"/>
      <c r="I1574" s="145"/>
      <c r="J1574" s="145"/>
    </row>
    <row r="1575" spans="1:10" s="195" customFormat="1" ht="24.95" hidden="1" customHeight="1">
      <c r="A1575" s="141"/>
      <c r="B1575" s="141"/>
      <c r="C1575" s="142"/>
      <c r="D1575" s="141"/>
      <c r="E1575" s="150"/>
      <c r="F1575" s="150"/>
      <c r="G1575" s="145"/>
      <c r="H1575" s="145"/>
      <c r="I1575" s="145"/>
      <c r="J1575" s="145"/>
    </row>
    <row r="1576" spans="1:10" s="195" customFormat="1" ht="24.95" hidden="1" customHeight="1">
      <c r="A1576" s="141"/>
      <c r="B1576" s="141"/>
      <c r="C1576" s="142"/>
      <c r="D1576" s="141"/>
      <c r="E1576" s="150"/>
      <c r="F1576" s="150"/>
      <c r="G1576" s="145"/>
      <c r="H1576" s="145"/>
      <c r="I1576" s="145"/>
      <c r="J1576" s="145"/>
    </row>
    <row r="1577" spans="1:10" s="195" customFormat="1" ht="24.95" hidden="1" customHeight="1">
      <c r="A1577" s="141"/>
      <c r="B1577" s="141"/>
      <c r="C1577" s="142"/>
      <c r="D1577" s="141"/>
      <c r="E1577" s="150"/>
      <c r="F1577" s="150"/>
      <c r="G1577" s="145"/>
      <c r="H1577" s="145"/>
      <c r="I1577" s="145"/>
      <c r="J1577" s="145"/>
    </row>
    <row r="1578" spans="1:10" s="195" customFormat="1" ht="24.95" hidden="1" customHeight="1">
      <c r="A1578" s="141"/>
      <c r="B1578" s="141"/>
      <c r="C1578" s="142"/>
      <c r="D1578" s="141"/>
      <c r="E1578" s="150"/>
      <c r="F1578" s="150"/>
      <c r="G1578" s="145"/>
      <c r="H1578" s="145"/>
      <c r="I1578" s="145"/>
      <c r="J1578" s="145"/>
    </row>
    <row r="1579" spans="1:10" s="195" customFormat="1" ht="24.95" hidden="1" customHeight="1">
      <c r="A1579" s="141"/>
      <c r="B1579" s="141"/>
      <c r="C1579" s="142"/>
      <c r="D1579" s="141"/>
      <c r="E1579" s="150"/>
      <c r="F1579" s="150"/>
      <c r="G1579" s="145"/>
      <c r="H1579" s="145"/>
      <c r="I1579" s="145"/>
      <c r="J1579" s="145"/>
    </row>
    <row r="1580" spans="1:10" s="195" customFormat="1" ht="24.95" hidden="1" customHeight="1">
      <c r="A1580" s="141"/>
      <c r="B1580" s="141"/>
      <c r="C1580" s="142"/>
      <c r="D1580" s="141"/>
      <c r="E1580" s="150"/>
      <c r="F1580" s="150"/>
      <c r="G1580" s="145"/>
      <c r="H1580" s="145"/>
      <c r="I1580" s="145"/>
      <c r="J1580" s="145"/>
    </row>
    <row r="1581" spans="1:10" s="195" customFormat="1" ht="24.95" hidden="1" customHeight="1">
      <c r="A1581" s="141"/>
      <c r="B1581" s="141"/>
      <c r="C1581" s="142"/>
      <c r="D1581" s="141"/>
      <c r="E1581" s="150"/>
      <c r="F1581" s="150"/>
      <c r="G1581" s="145"/>
      <c r="H1581" s="145"/>
      <c r="I1581" s="145"/>
      <c r="J1581" s="145"/>
    </row>
    <row r="1582" spans="1:10" s="195" customFormat="1" ht="24.95" hidden="1" customHeight="1">
      <c r="A1582" s="141"/>
      <c r="B1582" s="141"/>
      <c r="C1582" s="142"/>
      <c r="D1582" s="141"/>
      <c r="E1582" s="150"/>
      <c r="F1582" s="150"/>
      <c r="G1582" s="145"/>
      <c r="H1582" s="145"/>
      <c r="I1582" s="145"/>
      <c r="J1582" s="145"/>
    </row>
    <row r="1583" spans="1:10" s="195" customFormat="1" ht="24.95" hidden="1" customHeight="1">
      <c r="A1583" s="141"/>
      <c r="B1583" s="141"/>
      <c r="C1583" s="142"/>
      <c r="D1583" s="141"/>
      <c r="E1583" s="150"/>
      <c r="F1583" s="150"/>
      <c r="G1583" s="145"/>
      <c r="H1583" s="145"/>
      <c r="I1583" s="145"/>
      <c r="J1583" s="145"/>
    </row>
    <row r="1584" spans="1:10" s="195" customFormat="1" ht="24.95" hidden="1" customHeight="1">
      <c r="A1584" s="141"/>
      <c r="B1584" s="141"/>
      <c r="C1584" s="142"/>
      <c r="D1584" s="141"/>
      <c r="E1584" s="150"/>
      <c r="F1584" s="150"/>
      <c r="G1584" s="145"/>
      <c r="H1584" s="145"/>
      <c r="I1584" s="145"/>
      <c r="J1584" s="145"/>
    </row>
    <row r="1585" spans="1:10" s="195" customFormat="1" ht="24.95" hidden="1" customHeight="1">
      <c r="A1585" s="141"/>
      <c r="B1585" s="141"/>
      <c r="C1585" s="142"/>
      <c r="D1585" s="141"/>
      <c r="E1585" s="150"/>
      <c r="F1585" s="150"/>
      <c r="G1585" s="145"/>
      <c r="H1585" s="145"/>
      <c r="I1585" s="145"/>
      <c r="J1585" s="145"/>
    </row>
    <row r="1586" spans="1:10" s="195" customFormat="1" ht="24.95" hidden="1" customHeight="1">
      <c r="A1586" s="141"/>
      <c r="B1586" s="141"/>
      <c r="C1586" s="142"/>
      <c r="D1586" s="141"/>
      <c r="E1586" s="150"/>
      <c r="F1586" s="150"/>
      <c r="G1586" s="145"/>
      <c r="H1586" s="145"/>
      <c r="I1586" s="145"/>
      <c r="J1586" s="145"/>
    </row>
    <row r="1587" spans="1:10" s="195" customFormat="1" ht="24.95" hidden="1" customHeight="1">
      <c r="A1587" s="141"/>
      <c r="B1587" s="141"/>
      <c r="C1587" s="142"/>
      <c r="D1587" s="141"/>
      <c r="E1587" s="150"/>
      <c r="F1587" s="150"/>
      <c r="G1587" s="145"/>
      <c r="H1587" s="145"/>
      <c r="I1587" s="145"/>
      <c r="J1587" s="145"/>
    </row>
    <row r="1588" spans="1:10" s="195" customFormat="1" ht="24.95" hidden="1" customHeight="1">
      <c r="A1588" s="141"/>
      <c r="B1588" s="141"/>
      <c r="C1588" s="142"/>
      <c r="D1588" s="141"/>
      <c r="E1588" s="150"/>
      <c r="F1588" s="150"/>
      <c r="G1588" s="145"/>
      <c r="H1588" s="145"/>
      <c r="I1588" s="145"/>
      <c r="J1588" s="145"/>
    </row>
    <row r="1589" spans="1:10" s="195" customFormat="1" ht="24.95" hidden="1" customHeight="1">
      <c r="A1589" s="141"/>
      <c r="B1589" s="141"/>
      <c r="C1589" s="142"/>
      <c r="D1589" s="141"/>
      <c r="E1589" s="150"/>
      <c r="F1589" s="150"/>
      <c r="G1589" s="145"/>
      <c r="H1589" s="145"/>
      <c r="I1589" s="145"/>
      <c r="J1589" s="145"/>
    </row>
    <row r="1590" spans="1:10" s="195" customFormat="1" ht="24.95" hidden="1" customHeight="1">
      <c r="A1590" s="141"/>
      <c r="B1590" s="141"/>
      <c r="C1590" s="142"/>
      <c r="D1590" s="141"/>
      <c r="E1590" s="150"/>
      <c r="F1590" s="150"/>
      <c r="G1590" s="145"/>
      <c r="H1590" s="145"/>
      <c r="I1590" s="145"/>
      <c r="J1590" s="145"/>
    </row>
    <row r="1591" spans="1:10" s="195" customFormat="1" ht="24.95" hidden="1" customHeight="1">
      <c r="A1591" s="141"/>
      <c r="B1591" s="141"/>
      <c r="C1591" s="142"/>
      <c r="D1591" s="141"/>
      <c r="E1591" s="150"/>
      <c r="F1591" s="150"/>
      <c r="G1591" s="145"/>
      <c r="H1591" s="145"/>
      <c r="I1591" s="145"/>
      <c r="J1591" s="145"/>
    </row>
    <row r="1592" spans="1:10" s="195" customFormat="1" ht="24.95" hidden="1" customHeight="1">
      <c r="A1592" s="141"/>
      <c r="B1592" s="141"/>
      <c r="C1592" s="142"/>
      <c r="D1592" s="141"/>
      <c r="E1592" s="150"/>
      <c r="F1592" s="150"/>
      <c r="G1592" s="145"/>
      <c r="H1592" s="145"/>
      <c r="I1592" s="145"/>
      <c r="J1592" s="145"/>
    </row>
    <row r="1593" spans="1:10" s="195" customFormat="1" ht="24.95" hidden="1" customHeight="1">
      <c r="A1593" s="141"/>
      <c r="B1593" s="141"/>
      <c r="C1593" s="142"/>
      <c r="D1593" s="141"/>
      <c r="E1593" s="150"/>
      <c r="F1593" s="150"/>
      <c r="G1593" s="145"/>
      <c r="H1593" s="145"/>
      <c r="I1593" s="145"/>
      <c r="J1593" s="145"/>
    </row>
    <row r="1594" spans="1:10" s="195" customFormat="1" ht="24.95" hidden="1" customHeight="1">
      <c r="A1594" s="141"/>
      <c r="B1594" s="141"/>
      <c r="C1594" s="142"/>
      <c r="D1594" s="141"/>
      <c r="E1594" s="150"/>
      <c r="F1594" s="150"/>
      <c r="G1594" s="145"/>
      <c r="H1594" s="145"/>
      <c r="I1594" s="145"/>
      <c r="J1594" s="145"/>
    </row>
    <row r="1595" spans="1:10" s="195" customFormat="1" ht="24.95" hidden="1" customHeight="1">
      <c r="A1595" s="141"/>
      <c r="B1595" s="141"/>
      <c r="C1595" s="142"/>
      <c r="D1595" s="141"/>
      <c r="E1595" s="150"/>
      <c r="F1595" s="150"/>
      <c r="G1595" s="145"/>
      <c r="H1595" s="145"/>
      <c r="I1595" s="145"/>
      <c r="J1595" s="145"/>
    </row>
    <row r="1596" spans="1:10" s="195" customFormat="1" ht="24.95" hidden="1" customHeight="1">
      <c r="A1596" s="141"/>
      <c r="B1596" s="141"/>
      <c r="C1596" s="142"/>
      <c r="D1596" s="141"/>
      <c r="E1596" s="150"/>
      <c r="F1596" s="150"/>
      <c r="G1596" s="145"/>
      <c r="H1596" s="145"/>
      <c r="I1596" s="145"/>
      <c r="J1596" s="145"/>
    </row>
    <row r="1597" spans="1:10" s="195" customFormat="1" ht="24.95" hidden="1" customHeight="1">
      <c r="A1597" s="141"/>
      <c r="B1597" s="141"/>
      <c r="C1597" s="142"/>
      <c r="D1597" s="141"/>
      <c r="E1597" s="150"/>
      <c r="F1597" s="150"/>
      <c r="G1597" s="145"/>
      <c r="H1597" s="145"/>
      <c r="I1597" s="145"/>
      <c r="J1597" s="145"/>
    </row>
    <row r="1598" spans="1:10" s="195" customFormat="1" ht="24.95" hidden="1" customHeight="1">
      <c r="A1598" s="141"/>
      <c r="B1598" s="141"/>
      <c r="C1598" s="142"/>
      <c r="D1598" s="141"/>
      <c r="E1598" s="150"/>
      <c r="F1598" s="150"/>
      <c r="G1598" s="145"/>
      <c r="H1598" s="145"/>
      <c r="I1598" s="145"/>
      <c r="J1598" s="145"/>
    </row>
    <row r="1599" spans="1:10" s="195" customFormat="1" ht="24.95" hidden="1" customHeight="1">
      <c r="A1599" s="141"/>
      <c r="B1599" s="141"/>
      <c r="C1599" s="142"/>
      <c r="D1599" s="141"/>
      <c r="E1599" s="150"/>
      <c r="F1599" s="150"/>
      <c r="G1599" s="145"/>
      <c r="H1599" s="145"/>
      <c r="I1599" s="145"/>
      <c r="J1599" s="145"/>
    </row>
    <row r="1600" spans="1:10" s="195" customFormat="1" ht="24.95" hidden="1" customHeight="1">
      <c r="A1600" s="141"/>
      <c r="B1600" s="141"/>
      <c r="C1600" s="142"/>
      <c r="D1600" s="141"/>
      <c r="E1600" s="150"/>
      <c r="F1600" s="150"/>
      <c r="G1600" s="145"/>
      <c r="H1600" s="145"/>
      <c r="I1600" s="145"/>
      <c r="J1600" s="145"/>
    </row>
    <row r="1601" spans="1:10" s="195" customFormat="1" ht="24.95" hidden="1" customHeight="1">
      <c r="A1601" s="141"/>
      <c r="B1601" s="141"/>
      <c r="C1601" s="142"/>
      <c r="D1601" s="141"/>
      <c r="E1601" s="150"/>
      <c r="F1601" s="150"/>
      <c r="G1601" s="145"/>
      <c r="H1601" s="145"/>
      <c r="I1601" s="145"/>
      <c r="J1601" s="145"/>
    </row>
    <row r="1602" spans="1:10" s="195" customFormat="1" ht="24.95" hidden="1" customHeight="1">
      <c r="A1602" s="141"/>
      <c r="B1602" s="141"/>
      <c r="C1602" s="142"/>
      <c r="D1602" s="141"/>
      <c r="E1602" s="150"/>
      <c r="F1602" s="150"/>
      <c r="G1602" s="145"/>
      <c r="H1602" s="145"/>
      <c r="I1602" s="145"/>
      <c r="J1602" s="145"/>
    </row>
    <row r="1603" spans="1:10" s="195" customFormat="1" ht="24.95" hidden="1" customHeight="1">
      <c r="A1603" s="141"/>
      <c r="B1603" s="141"/>
      <c r="C1603" s="142"/>
      <c r="D1603" s="141"/>
      <c r="E1603" s="150"/>
      <c r="F1603" s="150"/>
      <c r="G1603" s="145"/>
      <c r="H1603" s="145"/>
      <c r="I1603" s="145"/>
      <c r="J1603" s="145"/>
    </row>
    <row r="1604" spans="1:10" s="195" customFormat="1" ht="24.95" hidden="1" customHeight="1">
      <c r="A1604" s="141"/>
      <c r="B1604" s="141"/>
      <c r="C1604" s="142"/>
      <c r="D1604" s="141"/>
      <c r="E1604" s="150"/>
      <c r="F1604" s="150"/>
      <c r="G1604" s="145"/>
      <c r="H1604" s="145"/>
      <c r="I1604" s="145"/>
      <c r="J1604" s="145"/>
    </row>
    <row r="1605" spans="1:10" s="195" customFormat="1" ht="24.95" hidden="1" customHeight="1">
      <c r="A1605" s="141"/>
      <c r="B1605" s="141"/>
      <c r="C1605" s="142"/>
      <c r="D1605" s="141"/>
      <c r="E1605" s="150"/>
      <c r="F1605" s="150"/>
      <c r="G1605" s="145"/>
      <c r="H1605" s="145"/>
      <c r="I1605" s="145"/>
      <c r="J1605" s="145"/>
    </row>
    <row r="1606" spans="1:10" s="195" customFormat="1" ht="24.95" hidden="1" customHeight="1">
      <c r="A1606" s="141"/>
      <c r="B1606" s="141"/>
      <c r="C1606" s="142"/>
      <c r="D1606" s="141"/>
      <c r="E1606" s="150"/>
      <c r="F1606" s="150"/>
      <c r="G1606" s="145"/>
      <c r="H1606" s="145"/>
      <c r="I1606" s="145"/>
      <c r="J1606" s="145"/>
    </row>
    <row r="1607" spans="1:10" s="195" customFormat="1" ht="24.95" hidden="1" customHeight="1">
      <c r="A1607" s="141"/>
      <c r="B1607" s="141"/>
      <c r="C1607" s="142"/>
      <c r="D1607" s="141"/>
      <c r="E1607" s="150"/>
      <c r="F1607" s="150"/>
      <c r="G1607" s="145"/>
      <c r="H1607" s="145"/>
      <c r="I1607" s="145"/>
      <c r="J1607" s="145"/>
    </row>
    <row r="1608" spans="1:10" s="195" customFormat="1" ht="24.95" hidden="1" customHeight="1">
      <c r="A1608" s="141"/>
      <c r="B1608" s="141"/>
      <c r="C1608" s="142"/>
      <c r="D1608" s="141"/>
      <c r="E1608" s="150"/>
      <c r="F1608" s="150"/>
      <c r="G1608" s="145"/>
      <c r="H1608" s="145"/>
      <c r="I1608" s="145"/>
      <c r="J1608" s="145"/>
    </row>
    <row r="1609" spans="1:10" s="195" customFormat="1" ht="24.95" hidden="1" customHeight="1">
      <c r="A1609" s="141"/>
      <c r="B1609" s="141"/>
      <c r="C1609" s="142"/>
      <c r="D1609" s="141"/>
      <c r="E1609" s="150"/>
      <c r="F1609" s="150"/>
      <c r="G1609" s="145"/>
      <c r="H1609" s="145"/>
      <c r="I1609" s="145"/>
      <c r="J1609" s="145"/>
    </row>
    <row r="1610" spans="1:10" s="195" customFormat="1" ht="24.95" hidden="1" customHeight="1">
      <c r="A1610" s="141"/>
      <c r="B1610" s="141"/>
      <c r="C1610" s="142"/>
      <c r="D1610" s="141"/>
      <c r="E1610" s="150"/>
      <c r="F1610" s="150"/>
      <c r="G1610" s="145"/>
      <c r="H1610" s="145"/>
      <c r="I1610" s="145"/>
      <c r="J1610" s="145"/>
    </row>
    <row r="1611" spans="1:10" s="195" customFormat="1" ht="24.95" hidden="1" customHeight="1">
      <c r="A1611" s="141"/>
      <c r="B1611" s="141"/>
      <c r="C1611" s="142"/>
      <c r="D1611" s="141"/>
      <c r="E1611" s="150"/>
      <c r="F1611" s="150"/>
      <c r="G1611" s="145"/>
      <c r="H1611" s="145"/>
      <c r="I1611" s="145"/>
      <c r="J1611" s="145"/>
    </row>
    <row r="1612" spans="1:10" s="195" customFormat="1" ht="24.95" hidden="1" customHeight="1">
      <c r="A1612" s="141"/>
      <c r="B1612" s="141"/>
      <c r="C1612" s="142"/>
      <c r="D1612" s="141"/>
      <c r="E1612" s="150"/>
      <c r="F1612" s="150"/>
      <c r="G1612" s="145"/>
      <c r="H1612" s="145"/>
      <c r="I1612" s="145"/>
      <c r="J1612" s="145"/>
    </row>
    <row r="1613" spans="1:10" s="195" customFormat="1" ht="24.95" hidden="1" customHeight="1">
      <c r="A1613" s="141"/>
      <c r="B1613" s="141"/>
      <c r="C1613" s="142"/>
      <c r="D1613" s="141"/>
      <c r="E1613" s="150"/>
      <c r="F1613" s="150"/>
      <c r="G1613" s="145"/>
      <c r="H1613" s="145"/>
      <c r="I1613" s="145"/>
      <c r="J1613" s="145"/>
    </row>
    <row r="1614" spans="1:10" s="195" customFormat="1" ht="24.95" hidden="1" customHeight="1">
      <c r="A1614" s="141"/>
      <c r="B1614" s="141"/>
      <c r="C1614" s="142"/>
      <c r="D1614" s="141"/>
      <c r="E1614" s="150"/>
      <c r="F1614" s="150"/>
      <c r="G1614" s="145"/>
      <c r="H1614" s="145"/>
      <c r="I1614" s="145"/>
      <c r="J1614" s="145"/>
    </row>
    <row r="1615" spans="1:10" s="195" customFormat="1" ht="24.95" hidden="1" customHeight="1">
      <c r="A1615" s="141"/>
      <c r="B1615" s="141"/>
      <c r="C1615" s="142"/>
      <c r="D1615" s="141"/>
      <c r="E1615" s="150"/>
      <c r="F1615" s="150"/>
      <c r="G1615" s="145"/>
      <c r="H1615" s="145"/>
      <c r="I1615" s="145"/>
      <c r="J1615" s="145"/>
    </row>
    <row r="1616" spans="1:10" s="195" customFormat="1" ht="24.95" hidden="1" customHeight="1">
      <c r="A1616" s="141"/>
      <c r="B1616" s="141"/>
      <c r="C1616" s="142"/>
      <c r="D1616" s="141"/>
      <c r="E1616" s="150"/>
      <c r="F1616" s="150"/>
      <c r="G1616" s="145"/>
      <c r="H1616" s="145"/>
      <c r="I1616" s="145"/>
      <c r="J1616" s="145"/>
    </row>
    <row r="1617" spans="1:10" s="195" customFormat="1" ht="24.95" hidden="1" customHeight="1">
      <c r="A1617" s="141"/>
      <c r="B1617" s="141"/>
      <c r="C1617" s="142"/>
      <c r="D1617" s="141"/>
      <c r="E1617" s="150"/>
      <c r="F1617" s="150"/>
      <c r="G1617" s="145"/>
      <c r="H1617" s="145"/>
      <c r="I1617" s="145"/>
      <c r="J1617" s="145"/>
    </row>
    <row r="1618" spans="1:10" s="195" customFormat="1" ht="24.95" hidden="1" customHeight="1">
      <c r="A1618" s="141"/>
      <c r="B1618" s="141"/>
      <c r="C1618" s="142"/>
      <c r="D1618" s="141"/>
      <c r="E1618" s="150"/>
      <c r="F1618" s="150"/>
      <c r="G1618" s="145"/>
      <c r="H1618" s="145"/>
      <c r="I1618" s="145"/>
      <c r="J1618" s="145"/>
    </row>
    <row r="1619" spans="1:10" s="195" customFormat="1" ht="24.95" hidden="1" customHeight="1">
      <c r="A1619" s="141"/>
      <c r="B1619" s="141"/>
      <c r="C1619" s="142"/>
      <c r="D1619" s="141"/>
      <c r="E1619" s="150"/>
      <c r="F1619" s="150"/>
      <c r="G1619" s="145"/>
      <c r="H1619" s="145"/>
      <c r="I1619" s="145"/>
      <c r="J1619" s="145"/>
    </row>
    <row r="1620" spans="1:10" s="195" customFormat="1" ht="24.95" hidden="1" customHeight="1">
      <c r="A1620" s="141"/>
      <c r="B1620" s="141"/>
      <c r="C1620" s="142"/>
      <c r="D1620" s="141"/>
      <c r="E1620" s="150"/>
      <c r="F1620" s="150"/>
      <c r="G1620" s="145"/>
      <c r="H1620" s="145"/>
      <c r="I1620" s="145"/>
      <c r="J1620" s="145"/>
    </row>
    <row r="1621" spans="1:10" s="195" customFormat="1" ht="24.95" hidden="1" customHeight="1">
      <c r="A1621" s="141"/>
      <c r="B1621" s="141"/>
      <c r="C1621" s="142"/>
      <c r="D1621" s="141"/>
      <c r="E1621" s="150"/>
      <c r="F1621" s="150"/>
      <c r="G1621" s="145"/>
      <c r="H1621" s="145"/>
      <c r="I1621" s="145"/>
      <c r="J1621" s="145"/>
    </row>
    <row r="1622" spans="1:10" s="195" customFormat="1" ht="24.95" hidden="1" customHeight="1">
      <c r="A1622" s="141"/>
      <c r="B1622" s="141"/>
      <c r="C1622" s="142"/>
      <c r="D1622" s="141"/>
      <c r="E1622" s="150"/>
      <c r="F1622" s="150"/>
      <c r="G1622" s="145"/>
      <c r="H1622" s="145"/>
      <c r="I1622" s="145"/>
      <c r="J1622" s="145"/>
    </row>
    <row r="1623" spans="1:10" s="195" customFormat="1" ht="24.95" hidden="1" customHeight="1">
      <c r="A1623" s="141"/>
      <c r="B1623" s="141"/>
      <c r="C1623" s="142"/>
      <c r="D1623" s="141"/>
      <c r="E1623" s="150"/>
      <c r="F1623" s="150"/>
      <c r="G1623" s="145"/>
      <c r="H1623" s="145"/>
      <c r="I1623" s="145"/>
      <c r="J1623" s="145"/>
    </row>
    <row r="1624" spans="1:10" s="195" customFormat="1" ht="24.95" hidden="1" customHeight="1">
      <c r="A1624" s="141"/>
      <c r="B1624" s="141"/>
      <c r="C1624" s="142"/>
      <c r="D1624" s="141"/>
      <c r="E1624" s="150"/>
      <c r="F1624" s="150"/>
      <c r="G1624" s="145"/>
      <c r="H1624" s="145"/>
      <c r="I1624" s="145"/>
      <c r="J1624" s="145"/>
    </row>
    <row r="1625" spans="1:10" s="195" customFormat="1" ht="24.95" hidden="1" customHeight="1">
      <c r="A1625" s="141"/>
      <c r="B1625" s="141"/>
      <c r="C1625" s="142"/>
      <c r="D1625" s="141"/>
      <c r="E1625" s="150"/>
      <c r="F1625" s="150"/>
      <c r="G1625" s="145"/>
      <c r="H1625" s="145"/>
      <c r="I1625" s="145"/>
      <c r="J1625" s="145"/>
    </row>
    <row r="1626" spans="1:10" s="195" customFormat="1" ht="24.95" hidden="1" customHeight="1">
      <c r="A1626" s="141"/>
      <c r="B1626" s="141"/>
      <c r="C1626" s="142"/>
      <c r="D1626" s="141"/>
      <c r="E1626" s="150"/>
      <c r="F1626" s="150"/>
      <c r="G1626" s="145"/>
      <c r="H1626" s="145"/>
      <c r="I1626" s="145"/>
      <c r="J1626" s="145"/>
    </row>
    <row r="1627" spans="1:10" s="195" customFormat="1" ht="24.95" hidden="1" customHeight="1">
      <c r="A1627" s="141"/>
      <c r="B1627" s="141"/>
      <c r="C1627" s="142"/>
      <c r="D1627" s="141"/>
      <c r="E1627" s="150"/>
      <c r="F1627" s="150"/>
      <c r="G1627" s="145"/>
      <c r="H1627" s="145"/>
      <c r="I1627" s="145"/>
      <c r="J1627" s="145"/>
    </row>
    <row r="1628" spans="1:10" s="195" customFormat="1" ht="24.95" hidden="1" customHeight="1">
      <c r="A1628" s="141"/>
      <c r="B1628" s="141"/>
      <c r="C1628" s="142"/>
      <c r="D1628" s="141"/>
      <c r="E1628" s="150"/>
      <c r="F1628" s="150"/>
      <c r="G1628" s="145"/>
      <c r="H1628" s="145"/>
      <c r="I1628" s="145"/>
      <c r="J1628" s="145"/>
    </row>
    <row r="1629" spans="1:10" s="195" customFormat="1" ht="24.95" hidden="1" customHeight="1">
      <c r="A1629" s="141"/>
      <c r="B1629" s="141"/>
      <c r="C1629" s="142"/>
      <c r="D1629" s="141"/>
      <c r="E1629" s="150"/>
      <c r="F1629" s="150"/>
      <c r="G1629" s="145"/>
      <c r="H1629" s="145"/>
      <c r="I1629" s="145"/>
      <c r="J1629" s="145"/>
    </row>
    <row r="1630" spans="1:10" s="195" customFormat="1" ht="24.95" hidden="1" customHeight="1">
      <c r="A1630" s="141"/>
      <c r="B1630" s="141"/>
      <c r="C1630" s="142"/>
      <c r="D1630" s="141"/>
      <c r="E1630" s="150"/>
      <c r="F1630" s="150"/>
      <c r="G1630" s="145"/>
      <c r="H1630" s="145"/>
      <c r="I1630" s="145"/>
      <c r="J1630" s="145"/>
    </row>
    <row r="1631" spans="1:10" s="195" customFormat="1" ht="24.95" hidden="1" customHeight="1">
      <c r="A1631" s="141"/>
      <c r="B1631" s="141"/>
      <c r="C1631" s="142"/>
      <c r="D1631" s="141"/>
      <c r="E1631" s="150"/>
      <c r="F1631" s="150"/>
      <c r="G1631" s="145"/>
      <c r="H1631" s="145"/>
      <c r="I1631" s="145"/>
      <c r="J1631" s="145"/>
    </row>
    <row r="1632" spans="1:10" s="195" customFormat="1" ht="24.95" hidden="1" customHeight="1">
      <c r="A1632" s="141"/>
      <c r="B1632" s="141"/>
      <c r="C1632" s="142"/>
      <c r="D1632" s="141"/>
      <c r="E1632" s="150"/>
      <c r="F1632" s="150"/>
      <c r="G1632" s="145"/>
      <c r="H1632" s="145"/>
      <c r="I1632" s="145"/>
      <c r="J1632" s="145"/>
    </row>
    <row r="1633" spans="1:10" s="195" customFormat="1" ht="24.95" hidden="1" customHeight="1">
      <c r="A1633" s="141"/>
      <c r="B1633" s="141"/>
      <c r="C1633" s="142"/>
      <c r="D1633" s="141"/>
      <c r="E1633" s="150"/>
      <c r="F1633" s="150"/>
      <c r="G1633" s="145"/>
      <c r="H1633" s="145"/>
      <c r="I1633" s="145"/>
      <c r="J1633" s="145"/>
    </row>
    <row r="1634" spans="1:10" s="195" customFormat="1" ht="24.95" hidden="1" customHeight="1">
      <c r="A1634" s="141"/>
      <c r="B1634" s="141"/>
      <c r="C1634" s="142"/>
      <c r="D1634" s="141"/>
      <c r="E1634" s="150"/>
      <c r="F1634" s="150"/>
      <c r="G1634" s="145"/>
      <c r="H1634" s="145"/>
      <c r="I1634" s="145"/>
      <c r="J1634" s="145"/>
    </row>
    <row r="1635" spans="1:10" s="195" customFormat="1" ht="24.95" hidden="1" customHeight="1">
      <c r="A1635" s="141"/>
      <c r="B1635" s="141"/>
      <c r="C1635" s="142"/>
      <c r="D1635" s="141"/>
      <c r="E1635" s="150"/>
      <c r="F1635" s="150"/>
      <c r="G1635" s="145"/>
      <c r="H1635" s="145"/>
      <c r="I1635" s="145"/>
      <c r="J1635" s="145"/>
    </row>
    <row r="1636" spans="1:10" s="195" customFormat="1" ht="24.95" hidden="1" customHeight="1">
      <c r="A1636" s="141"/>
      <c r="B1636" s="141"/>
      <c r="C1636" s="142"/>
      <c r="D1636" s="141"/>
      <c r="E1636" s="150"/>
      <c r="F1636" s="150"/>
      <c r="G1636" s="145"/>
      <c r="H1636" s="145"/>
      <c r="I1636" s="145"/>
      <c r="J1636" s="145"/>
    </row>
    <row r="1637" spans="1:10" s="195" customFormat="1" ht="24.95" hidden="1" customHeight="1">
      <c r="A1637" s="141"/>
      <c r="B1637" s="141"/>
      <c r="C1637" s="142"/>
      <c r="D1637" s="141"/>
      <c r="E1637" s="150"/>
      <c r="F1637" s="150"/>
      <c r="G1637" s="145"/>
      <c r="H1637" s="145"/>
      <c r="I1637" s="145"/>
      <c r="J1637" s="145"/>
    </row>
    <row r="1638" spans="1:10" s="195" customFormat="1" ht="24.95" hidden="1" customHeight="1">
      <c r="A1638" s="141"/>
      <c r="B1638" s="141"/>
      <c r="C1638" s="142"/>
      <c r="D1638" s="141"/>
      <c r="E1638" s="150"/>
      <c r="F1638" s="150"/>
      <c r="G1638" s="145"/>
      <c r="H1638" s="145"/>
      <c r="I1638" s="145"/>
      <c r="J1638" s="145"/>
    </row>
    <row r="1639" spans="1:10" s="195" customFormat="1" ht="24.95" hidden="1" customHeight="1">
      <c r="A1639" s="141"/>
      <c r="B1639" s="141"/>
      <c r="C1639" s="142"/>
      <c r="D1639" s="141"/>
      <c r="E1639" s="150"/>
      <c r="F1639" s="150"/>
      <c r="G1639" s="145"/>
      <c r="H1639" s="145"/>
      <c r="I1639" s="145"/>
      <c r="J1639" s="145"/>
    </row>
    <row r="1640" spans="1:10" s="195" customFormat="1" ht="24.95" hidden="1" customHeight="1">
      <c r="A1640" s="141"/>
      <c r="B1640" s="141"/>
      <c r="C1640" s="142"/>
      <c r="D1640" s="141"/>
      <c r="E1640" s="150"/>
      <c r="F1640" s="150"/>
      <c r="G1640" s="145"/>
      <c r="H1640" s="145"/>
      <c r="I1640" s="145"/>
      <c r="J1640" s="145"/>
    </row>
    <row r="1641" spans="1:10" s="195" customFormat="1" ht="24.95" hidden="1" customHeight="1">
      <c r="A1641" s="141"/>
      <c r="B1641" s="141"/>
      <c r="C1641" s="142"/>
      <c r="D1641" s="141"/>
      <c r="E1641" s="150"/>
      <c r="F1641" s="150"/>
      <c r="G1641" s="145"/>
      <c r="H1641" s="145"/>
      <c r="I1641" s="145"/>
      <c r="J1641" s="145"/>
    </row>
    <row r="1642" spans="1:10" s="195" customFormat="1" ht="24.95" hidden="1" customHeight="1">
      <c r="A1642" s="141"/>
      <c r="B1642" s="141"/>
      <c r="C1642" s="142"/>
      <c r="D1642" s="141"/>
      <c r="E1642" s="150"/>
      <c r="F1642" s="150"/>
      <c r="G1642" s="145"/>
      <c r="H1642" s="145"/>
      <c r="I1642" s="145"/>
      <c r="J1642" s="145"/>
    </row>
    <row r="1643" spans="1:10" s="195" customFormat="1" ht="24.95" hidden="1" customHeight="1">
      <c r="A1643" s="141"/>
      <c r="B1643" s="141"/>
      <c r="C1643" s="142"/>
      <c r="D1643" s="141"/>
      <c r="E1643" s="150"/>
      <c r="F1643" s="150"/>
      <c r="G1643" s="145"/>
      <c r="H1643" s="145"/>
      <c r="I1643" s="145"/>
      <c r="J1643" s="145"/>
    </row>
    <row r="1644" spans="1:10" s="195" customFormat="1" ht="24.95" hidden="1" customHeight="1">
      <c r="A1644" s="141"/>
      <c r="B1644" s="141"/>
      <c r="C1644" s="142"/>
      <c r="D1644" s="141"/>
      <c r="E1644" s="150"/>
      <c r="F1644" s="150"/>
      <c r="G1644" s="145"/>
      <c r="H1644" s="145"/>
      <c r="I1644" s="145"/>
      <c r="J1644" s="145"/>
    </row>
    <row r="1645" spans="1:10" s="195" customFormat="1" ht="24.95" hidden="1" customHeight="1">
      <c r="A1645" s="141"/>
      <c r="B1645" s="141"/>
      <c r="C1645" s="142"/>
      <c r="D1645" s="141"/>
      <c r="E1645" s="150"/>
      <c r="F1645" s="150"/>
      <c r="G1645" s="145"/>
      <c r="H1645" s="145"/>
      <c r="I1645" s="145"/>
      <c r="J1645" s="145"/>
    </row>
    <row r="1646" spans="1:10" s="195" customFormat="1" ht="24.95" hidden="1" customHeight="1">
      <c r="A1646" s="141"/>
      <c r="B1646" s="141"/>
      <c r="C1646" s="142"/>
      <c r="D1646" s="141"/>
      <c r="E1646" s="150"/>
      <c r="F1646" s="150"/>
      <c r="G1646" s="145"/>
      <c r="H1646" s="145"/>
      <c r="I1646" s="145"/>
      <c r="J1646" s="145"/>
    </row>
    <row r="1647" spans="1:10" s="195" customFormat="1" ht="24.95" hidden="1" customHeight="1">
      <c r="A1647" s="141"/>
      <c r="B1647" s="141"/>
      <c r="C1647" s="142"/>
      <c r="D1647" s="141"/>
      <c r="E1647" s="150"/>
      <c r="F1647" s="150"/>
      <c r="G1647" s="145"/>
      <c r="H1647" s="145"/>
      <c r="I1647" s="145"/>
      <c r="J1647" s="145"/>
    </row>
    <row r="1648" spans="1:10" s="195" customFormat="1" ht="24.95" hidden="1" customHeight="1">
      <c r="A1648" s="141"/>
      <c r="B1648" s="141"/>
      <c r="C1648" s="142"/>
      <c r="D1648" s="141"/>
      <c r="E1648" s="150"/>
      <c r="F1648" s="150"/>
      <c r="G1648" s="145"/>
      <c r="H1648" s="145"/>
      <c r="I1648" s="145"/>
      <c r="J1648" s="145"/>
    </row>
    <row r="1649" spans="1:10" s="195" customFormat="1" ht="24.95" hidden="1" customHeight="1">
      <c r="A1649" s="141"/>
      <c r="B1649" s="141"/>
      <c r="C1649" s="142"/>
      <c r="D1649" s="141"/>
      <c r="E1649" s="150"/>
      <c r="F1649" s="150"/>
      <c r="G1649" s="145"/>
      <c r="H1649" s="145"/>
      <c r="I1649" s="145"/>
      <c r="J1649" s="145"/>
    </row>
    <row r="1650" spans="1:10" s="195" customFormat="1" ht="24.95" hidden="1" customHeight="1">
      <c r="A1650" s="141"/>
      <c r="B1650" s="141"/>
      <c r="C1650" s="142"/>
      <c r="D1650" s="141"/>
      <c r="E1650" s="150"/>
      <c r="F1650" s="150"/>
      <c r="G1650" s="145"/>
      <c r="H1650" s="145"/>
      <c r="I1650" s="145"/>
      <c r="J1650" s="145"/>
    </row>
    <row r="1651" spans="1:10" s="195" customFormat="1" ht="24.95" hidden="1" customHeight="1">
      <c r="A1651" s="141"/>
      <c r="B1651" s="141"/>
      <c r="C1651" s="142"/>
      <c r="D1651" s="141"/>
      <c r="E1651" s="150"/>
      <c r="F1651" s="150"/>
      <c r="G1651" s="145"/>
      <c r="H1651" s="145"/>
      <c r="I1651" s="145"/>
      <c r="J1651" s="145"/>
    </row>
    <row r="1652" spans="1:10" s="195" customFormat="1" ht="24.95" hidden="1" customHeight="1">
      <c r="A1652" s="141"/>
      <c r="B1652" s="141"/>
      <c r="C1652" s="142"/>
      <c r="D1652" s="141"/>
      <c r="E1652" s="150"/>
      <c r="F1652" s="150"/>
      <c r="G1652" s="145"/>
      <c r="H1652" s="145"/>
      <c r="I1652" s="145"/>
      <c r="J1652" s="145"/>
    </row>
    <row r="1653" spans="1:10" s="195" customFormat="1" ht="24.95" hidden="1" customHeight="1">
      <c r="A1653" s="141"/>
      <c r="B1653" s="141"/>
      <c r="C1653" s="142"/>
      <c r="D1653" s="141"/>
      <c r="E1653" s="150"/>
      <c r="F1653" s="150"/>
      <c r="G1653" s="145"/>
      <c r="H1653" s="145"/>
      <c r="I1653" s="145"/>
      <c r="J1653" s="145"/>
    </row>
    <row r="1654" spans="1:10" s="195" customFormat="1" ht="24.95" hidden="1" customHeight="1">
      <c r="A1654" s="141"/>
      <c r="B1654" s="141"/>
      <c r="C1654" s="142"/>
      <c r="D1654" s="141"/>
      <c r="E1654" s="150"/>
      <c r="F1654" s="150"/>
      <c r="G1654" s="145"/>
      <c r="H1654" s="145"/>
      <c r="I1654" s="145"/>
      <c r="J1654" s="145"/>
    </row>
    <row r="1655" spans="1:10" s="195" customFormat="1" ht="24.95" hidden="1" customHeight="1">
      <c r="A1655" s="141"/>
      <c r="B1655" s="141"/>
      <c r="C1655" s="142"/>
      <c r="D1655" s="141"/>
      <c r="E1655" s="150"/>
      <c r="F1655" s="150"/>
      <c r="G1655" s="145"/>
      <c r="H1655" s="145"/>
      <c r="I1655" s="145"/>
      <c r="J1655" s="145"/>
    </row>
    <row r="1656" spans="1:10" s="195" customFormat="1" ht="24.95" hidden="1" customHeight="1">
      <c r="A1656" s="141"/>
      <c r="B1656" s="141"/>
      <c r="C1656" s="142"/>
      <c r="D1656" s="141"/>
      <c r="E1656" s="150"/>
      <c r="F1656" s="150"/>
      <c r="G1656" s="145"/>
      <c r="H1656" s="145"/>
      <c r="I1656" s="145"/>
      <c r="J1656" s="145"/>
    </row>
    <row r="1657" spans="1:10" s="195" customFormat="1" ht="24.95" hidden="1" customHeight="1">
      <c r="A1657" s="141"/>
      <c r="B1657" s="141"/>
      <c r="C1657" s="142"/>
      <c r="D1657" s="141"/>
      <c r="E1657" s="150"/>
      <c r="F1657" s="150"/>
      <c r="G1657" s="145"/>
      <c r="H1657" s="145"/>
      <c r="I1657" s="145"/>
      <c r="J1657" s="145"/>
    </row>
    <row r="1658" spans="1:10" s="195" customFormat="1" ht="24.95" hidden="1" customHeight="1">
      <c r="A1658" s="141"/>
      <c r="B1658" s="141"/>
      <c r="C1658" s="142"/>
      <c r="D1658" s="141"/>
      <c r="E1658" s="150"/>
      <c r="F1658" s="150"/>
      <c r="G1658" s="145"/>
      <c r="H1658" s="145"/>
      <c r="I1658" s="145"/>
      <c r="J1658" s="145"/>
    </row>
    <row r="1659" spans="1:10" s="195" customFormat="1" ht="24.95" hidden="1" customHeight="1">
      <c r="A1659" s="141"/>
      <c r="B1659" s="141"/>
      <c r="C1659" s="142"/>
      <c r="D1659" s="141"/>
      <c r="E1659" s="150"/>
      <c r="F1659" s="150"/>
      <c r="G1659" s="145"/>
      <c r="H1659" s="145"/>
      <c r="I1659" s="145"/>
      <c r="J1659" s="145"/>
    </row>
    <row r="1660" spans="1:10" s="195" customFormat="1" ht="24.95" hidden="1" customHeight="1">
      <c r="A1660" s="141"/>
      <c r="B1660" s="141"/>
      <c r="C1660" s="142"/>
      <c r="D1660" s="141"/>
      <c r="E1660" s="150"/>
      <c r="F1660" s="150"/>
      <c r="G1660" s="145"/>
      <c r="H1660" s="145"/>
      <c r="I1660" s="145"/>
      <c r="J1660" s="145"/>
    </row>
    <row r="1661" spans="1:10" s="195" customFormat="1" ht="24.95" hidden="1" customHeight="1">
      <c r="A1661" s="141"/>
      <c r="B1661" s="141"/>
      <c r="C1661" s="142"/>
      <c r="D1661" s="141"/>
      <c r="E1661" s="150"/>
      <c r="F1661" s="150"/>
      <c r="G1661" s="145"/>
      <c r="H1661" s="145"/>
      <c r="I1661" s="145"/>
      <c r="J1661" s="145"/>
    </row>
    <row r="1662" spans="1:10" s="195" customFormat="1" ht="24.95" hidden="1" customHeight="1">
      <c r="A1662" s="141"/>
      <c r="B1662" s="141"/>
      <c r="C1662" s="142"/>
      <c r="D1662" s="141"/>
      <c r="E1662" s="150"/>
      <c r="F1662" s="150"/>
      <c r="G1662" s="145"/>
      <c r="H1662" s="145"/>
      <c r="I1662" s="145"/>
      <c r="J1662" s="145"/>
    </row>
    <row r="1663" spans="1:10" s="195" customFormat="1" ht="24.95" hidden="1" customHeight="1">
      <c r="A1663" s="141"/>
      <c r="B1663" s="141"/>
      <c r="C1663" s="142"/>
      <c r="D1663" s="141"/>
      <c r="E1663" s="150"/>
      <c r="F1663" s="150"/>
      <c r="G1663" s="145"/>
      <c r="H1663" s="145"/>
      <c r="I1663" s="145"/>
      <c r="J1663" s="145"/>
    </row>
    <row r="1664" spans="1:10" s="195" customFormat="1" ht="24.95" hidden="1" customHeight="1">
      <c r="A1664" s="141"/>
      <c r="B1664" s="141"/>
      <c r="C1664" s="142"/>
      <c r="D1664" s="141"/>
      <c r="E1664" s="150"/>
      <c r="F1664" s="150"/>
      <c r="G1664" s="145"/>
      <c r="H1664" s="145"/>
      <c r="I1664" s="145"/>
      <c r="J1664" s="145"/>
    </row>
    <row r="1665" spans="1:10" s="195" customFormat="1" ht="24.95" hidden="1" customHeight="1">
      <c r="A1665" s="141"/>
      <c r="B1665" s="141"/>
      <c r="C1665" s="142"/>
      <c r="D1665" s="141"/>
      <c r="E1665" s="150"/>
      <c r="F1665" s="150"/>
      <c r="G1665" s="145"/>
      <c r="H1665" s="145"/>
      <c r="I1665" s="145"/>
      <c r="J1665" s="145"/>
    </row>
    <row r="1666" spans="1:10" s="195" customFormat="1" ht="24.95" hidden="1" customHeight="1">
      <c r="A1666" s="141"/>
      <c r="B1666" s="141"/>
      <c r="C1666" s="142"/>
      <c r="D1666" s="141"/>
      <c r="E1666" s="150"/>
      <c r="F1666" s="150"/>
      <c r="G1666" s="145"/>
      <c r="H1666" s="145"/>
      <c r="I1666" s="145"/>
      <c r="J1666" s="145"/>
    </row>
    <row r="1667" spans="1:10" s="195" customFormat="1" ht="24.95" hidden="1" customHeight="1">
      <c r="A1667" s="141"/>
      <c r="B1667" s="141"/>
      <c r="C1667" s="142"/>
      <c r="D1667" s="141"/>
      <c r="E1667" s="150"/>
      <c r="F1667" s="150"/>
      <c r="G1667" s="145"/>
      <c r="H1667" s="145"/>
      <c r="I1667" s="145"/>
      <c r="J1667" s="145"/>
    </row>
    <row r="1668" spans="1:10" s="195" customFormat="1" ht="24.95" hidden="1" customHeight="1">
      <c r="A1668" s="141"/>
      <c r="B1668" s="141"/>
      <c r="C1668" s="142"/>
      <c r="D1668" s="141"/>
      <c r="E1668" s="150"/>
      <c r="F1668" s="150"/>
      <c r="G1668" s="145"/>
      <c r="H1668" s="145"/>
      <c r="I1668" s="145"/>
      <c r="J1668" s="145"/>
    </row>
    <row r="1669" spans="1:10" s="195" customFormat="1" ht="24.95" hidden="1" customHeight="1">
      <c r="A1669" s="141"/>
      <c r="B1669" s="141"/>
      <c r="C1669" s="142"/>
      <c r="D1669" s="141"/>
      <c r="E1669" s="150"/>
      <c r="F1669" s="150"/>
      <c r="G1669" s="145"/>
      <c r="H1669" s="145"/>
      <c r="I1669" s="145"/>
      <c r="J1669" s="145"/>
    </row>
    <row r="1670" spans="1:10" s="195" customFormat="1" ht="24.95" hidden="1" customHeight="1">
      <c r="A1670" s="141"/>
      <c r="B1670" s="141"/>
      <c r="C1670" s="142"/>
      <c r="D1670" s="141"/>
      <c r="E1670" s="150"/>
      <c r="F1670" s="150"/>
      <c r="G1670" s="145"/>
      <c r="H1670" s="145"/>
      <c r="I1670" s="145"/>
      <c r="J1670" s="145"/>
    </row>
    <row r="1671" spans="1:10" s="195" customFormat="1" ht="24.95" hidden="1" customHeight="1">
      <c r="A1671" s="141"/>
      <c r="B1671" s="141"/>
      <c r="C1671" s="142"/>
      <c r="D1671" s="141"/>
      <c r="E1671" s="150"/>
      <c r="F1671" s="150"/>
      <c r="G1671" s="145"/>
      <c r="H1671" s="145"/>
      <c r="I1671" s="145"/>
      <c r="J1671" s="145"/>
    </row>
    <row r="1672" spans="1:10" s="195" customFormat="1" ht="24.95" hidden="1" customHeight="1">
      <c r="A1672" s="141"/>
      <c r="B1672" s="141"/>
      <c r="C1672" s="142"/>
      <c r="D1672" s="141"/>
      <c r="E1672" s="150"/>
      <c r="F1672" s="150"/>
      <c r="G1672" s="145"/>
      <c r="H1672" s="145"/>
      <c r="I1672" s="145"/>
      <c r="J1672" s="145"/>
    </row>
    <row r="1673" spans="1:10" s="195" customFormat="1" ht="24.95" hidden="1" customHeight="1">
      <c r="A1673" s="141"/>
      <c r="B1673" s="141"/>
      <c r="C1673" s="142"/>
      <c r="D1673" s="141"/>
      <c r="E1673" s="150"/>
      <c r="F1673" s="150"/>
      <c r="G1673" s="145"/>
      <c r="H1673" s="145"/>
      <c r="I1673" s="145"/>
      <c r="J1673" s="145"/>
    </row>
    <row r="1674" spans="1:10" s="195" customFormat="1" ht="24.95" hidden="1" customHeight="1">
      <c r="A1674" s="141"/>
      <c r="B1674" s="141"/>
      <c r="C1674" s="142"/>
      <c r="D1674" s="141"/>
      <c r="E1674" s="150"/>
      <c r="F1674" s="150"/>
      <c r="G1674" s="145"/>
      <c r="H1674" s="145"/>
      <c r="I1674" s="145"/>
      <c r="J1674" s="145"/>
    </row>
    <row r="1675" spans="1:10" s="195" customFormat="1" ht="24.95" hidden="1" customHeight="1">
      <c r="A1675" s="141"/>
      <c r="B1675" s="141"/>
      <c r="C1675" s="142"/>
      <c r="D1675" s="141"/>
      <c r="E1675" s="150"/>
      <c r="F1675" s="150"/>
      <c r="G1675" s="145"/>
      <c r="H1675" s="145"/>
      <c r="I1675" s="145"/>
      <c r="J1675" s="145"/>
    </row>
    <row r="1676" spans="1:10" s="195" customFormat="1" ht="24.95" hidden="1" customHeight="1">
      <c r="A1676" s="141"/>
      <c r="B1676" s="141"/>
      <c r="C1676" s="142"/>
      <c r="D1676" s="141"/>
      <c r="E1676" s="150"/>
      <c r="F1676" s="150"/>
      <c r="G1676" s="145"/>
      <c r="H1676" s="145"/>
      <c r="I1676" s="145"/>
      <c r="J1676" s="145"/>
    </row>
    <row r="1677" spans="1:10" s="195" customFormat="1" ht="24.95" hidden="1" customHeight="1">
      <c r="A1677" s="141"/>
      <c r="B1677" s="141"/>
      <c r="C1677" s="142"/>
      <c r="D1677" s="141"/>
      <c r="E1677" s="150"/>
      <c r="F1677" s="150"/>
      <c r="G1677" s="145"/>
      <c r="H1677" s="145"/>
      <c r="I1677" s="145"/>
      <c r="J1677" s="145"/>
    </row>
    <row r="1678" spans="1:10" s="195" customFormat="1" ht="24.95" hidden="1" customHeight="1">
      <c r="A1678" s="141"/>
      <c r="B1678" s="141"/>
      <c r="C1678" s="142"/>
      <c r="D1678" s="141"/>
      <c r="E1678" s="150"/>
      <c r="F1678" s="150"/>
      <c r="G1678" s="145"/>
      <c r="H1678" s="145"/>
      <c r="I1678" s="145"/>
      <c r="J1678" s="145"/>
    </row>
    <row r="1679" spans="1:10" s="195" customFormat="1" ht="24.95" hidden="1" customHeight="1">
      <c r="A1679" s="141"/>
      <c r="B1679" s="141"/>
      <c r="C1679" s="142"/>
      <c r="D1679" s="141"/>
      <c r="E1679" s="150"/>
      <c r="F1679" s="150"/>
      <c r="G1679" s="145"/>
      <c r="H1679" s="145"/>
      <c r="I1679" s="145"/>
      <c r="J1679" s="145"/>
    </row>
    <row r="1680" spans="1:10" s="195" customFormat="1" ht="24.95" hidden="1" customHeight="1">
      <c r="A1680" s="141"/>
      <c r="B1680" s="141"/>
      <c r="C1680" s="142"/>
      <c r="D1680" s="141"/>
      <c r="E1680" s="150"/>
      <c r="F1680" s="150"/>
      <c r="G1680" s="145"/>
      <c r="H1680" s="145"/>
      <c r="I1680" s="145"/>
      <c r="J1680" s="145"/>
    </row>
    <row r="1681" spans="1:10" s="195" customFormat="1" ht="24.95" hidden="1" customHeight="1">
      <c r="A1681" s="141"/>
      <c r="B1681" s="141"/>
      <c r="C1681" s="142"/>
      <c r="D1681" s="141"/>
      <c r="E1681" s="150"/>
      <c r="F1681" s="150"/>
      <c r="G1681" s="145"/>
      <c r="H1681" s="145"/>
      <c r="I1681" s="145"/>
      <c r="J1681" s="145"/>
    </row>
    <row r="1682" spans="1:10" s="195" customFormat="1" ht="24.95" hidden="1" customHeight="1">
      <c r="A1682" s="141"/>
      <c r="B1682" s="141"/>
      <c r="C1682" s="142"/>
      <c r="D1682" s="141"/>
      <c r="E1682" s="150"/>
      <c r="F1682" s="150"/>
      <c r="G1682" s="145"/>
      <c r="H1682" s="145"/>
      <c r="I1682" s="145"/>
      <c r="J1682" s="145"/>
    </row>
    <row r="1683" spans="1:10" s="195" customFormat="1" ht="24.95" hidden="1" customHeight="1">
      <c r="A1683" s="141"/>
      <c r="B1683" s="141"/>
      <c r="C1683" s="142"/>
      <c r="D1683" s="141"/>
      <c r="E1683" s="150"/>
      <c r="F1683" s="150"/>
      <c r="G1683" s="145"/>
      <c r="H1683" s="145"/>
      <c r="I1683" s="145"/>
      <c r="J1683" s="145"/>
    </row>
    <row r="1684" spans="1:10" s="195" customFormat="1" ht="24.95" hidden="1" customHeight="1">
      <c r="A1684" s="141"/>
      <c r="B1684" s="141"/>
      <c r="C1684" s="142"/>
      <c r="D1684" s="141"/>
      <c r="E1684" s="150"/>
      <c r="F1684" s="150"/>
      <c r="G1684" s="145"/>
      <c r="H1684" s="145"/>
      <c r="I1684" s="145"/>
      <c r="J1684" s="145"/>
    </row>
    <row r="1685" spans="1:10" s="195" customFormat="1" ht="24.95" hidden="1" customHeight="1">
      <c r="A1685" s="141"/>
      <c r="B1685" s="141"/>
      <c r="C1685" s="142"/>
      <c r="D1685" s="141"/>
      <c r="E1685" s="150"/>
      <c r="F1685" s="150"/>
      <c r="G1685" s="145"/>
      <c r="H1685" s="145"/>
      <c r="I1685" s="145"/>
      <c r="J1685" s="145"/>
    </row>
    <row r="1686" spans="1:10" s="195" customFormat="1" ht="24.95" hidden="1" customHeight="1">
      <c r="A1686" s="141"/>
      <c r="B1686" s="141"/>
      <c r="C1686" s="142"/>
      <c r="D1686" s="141"/>
      <c r="E1686" s="150"/>
      <c r="F1686" s="150"/>
      <c r="G1686" s="145"/>
      <c r="H1686" s="145"/>
      <c r="I1686" s="145"/>
      <c r="J1686" s="145"/>
    </row>
    <row r="1687" spans="1:10" s="195" customFormat="1" ht="24.95" hidden="1" customHeight="1">
      <c r="A1687" s="141"/>
      <c r="B1687" s="141"/>
      <c r="C1687" s="142"/>
      <c r="D1687" s="141"/>
      <c r="E1687" s="150"/>
      <c r="F1687" s="150"/>
      <c r="G1687" s="145"/>
      <c r="H1687" s="145"/>
      <c r="I1687" s="145"/>
      <c r="J1687" s="145"/>
    </row>
    <row r="1688" spans="1:10" s="195" customFormat="1" ht="24.95" hidden="1" customHeight="1">
      <c r="A1688" s="141"/>
      <c r="B1688" s="141"/>
      <c r="C1688" s="142"/>
      <c r="D1688" s="141"/>
      <c r="E1688" s="150"/>
      <c r="F1688" s="150"/>
      <c r="G1688" s="145"/>
      <c r="H1688" s="145"/>
      <c r="I1688" s="145"/>
      <c r="J1688" s="145"/>
    </row>
    <row r="1689" spans="1:10" s="195" customFormat="1" ht="24.95" hidden="1" customHeight="1">
      <c r="A1689" s="141"/>
      <c r="B1689" s="141"/>
      <c r="C1689" s="142"/>
      <c r="D1689" s="141"/>
      <c r="E1689" s="150"/>
      <c r="F1689" s="150"/>
      <c r="G1689" s="145"/>
      <c r="H1689" s="145"/>
      <c r="I1689" s="145"/>
      <c r="J1689" s="145"/>
    </row>
    <row r="1690" spans="1:10" s="195" customFormat="1" ht="24.95" hidden="1" customHeight="1">
      <c r="A1690" s="141"/>
      <c r="B1690" s="141"/>
      <c r="C1690" s="142"/>
      <c r="D1690" s="141"/>
      <c r="E1690" s="150"/>
      <c r="F1690" s="150"/>
      <c r="G1690" s="145"/>
      <c r="H1690" s="145"/>
      <c r="I1690" s="145"/>
      <c r="J1690" s="145"/>
    </row>
    <row r="1691" spans="1:10" s="195" customFormat="1" ht="24.95" hidden="1" customHeight="1">
      <c r="A1691" s="141"/>
      <c r="B1691" s="141"/>
      <c r="C1691" s="142"/>
      <c r="D1691" s="141"/>
      <c r="E1691" s="150"/>
      <c r="F1691" s="150"/>
      <c r="G1691" s="145"/>
      <c r="H1691" s="145"/>
      <c r="I1691" s="145"/>
      <c r="J1691" s="145"/>
    </row>
    <row r="1692" spans="1:10" s="195" customFormat="1" ht="24.95" hidden="1" customHeight="1">
      <c r="A1692" s="141"/>
      <c r="B1692" s="141"/>
      <c r="C1692" s="142"/>
      <c r="D1692" s="141"/>
      <c r="E1692" s="150"/>
      <c r="F1692" s="150"/>
      <c r="G1692" s="145"/>
      <c r="H1692" s="145"/>
      <c r="I1692" s="145"/>
      <c r="J1692" s="145"/>
    </row>
    <row r="1693" spans="1:10" s="195" customFormat="1" ht="24.95" hidden="1" customHeight="1">
      <c r="A1693" s="141"/>
      <c r="B1693" s="141"/>
      <c r="C1693" s="142"/>
      <c r="D1693" s="141"/>
      <c r="E1693" s="150"/>
      <c r="F1693" s="150"/>
      <c r="G1693" s="145"/>
      <c r="H1693" s="145"/>
      <c r="I1693" s="145"/>
      <c r="J1693" s="145"/>
    </row>
    <row r="1694" spans="1:10" s="195" customFormat="1" ht="24.95" hidden="1" customHeight="1">
      <c r="A1694" s="141"/>
      <c r="B1694" s="141"/>
      <c r="C1694" s="142"/>
      <c r="D1694" s="141"/>
      <c r="E1694" s="150"/>
      <c r="F1694" s="150"/>
      <c r="G1694" s="145"/>
      <c r="H1694" s="145"/>
      <c r="I1694" s="145"/>
      <c r="J1694" s="145"/>
    </row>
    <row r="1695" spans="1:10" s="195" customFormat="1" ht="24.95" hidden="1" customHeight="1">
      <c r="A1695" s="141"/>
      <c r="B1695" s="141"/>
      <c r="C1695" s="142"/>
      <c r="D1695" s="141"/>
      <c r="E1695" s="150"/>
      <c r="F1695" s="150"/>
      <c r="G1695" s="145"/>
      <c r="H1695" s="145"/>
      <c r="I1695" s="145"/>
      <c r="J1695" s="145"/>
    </row>
    <row r="1696" spans="1:10" s="195" customFormat="1" ht="24.95" hidden="1" customHeight="1">
      <c r="A1696" s="141"/>
      <c r="B1696" s="141"/>
      <c r="C1696" s="142"/>
      <c r="D1696" s="141"/>
      <c r="E1696" s="150"/>
      <c r="F1696" s="150"/>
      <c r="G1696" s="145"/>
      <c r="H1696" s="145"/>
      <c r="I1696" s="145"/>
      <c r="J1696" s="145"/>
    </row>
    <row r="1697" spans="1:10" s="195" customFormat="1" ht="24.95" hidden="1" customHeight="1">
      <c r="A1697" s="141"/>
      <c r="B1697" s="141"/>
      <c r="C1697" s="142"/>
      <c r="D1697" s="141"/>
      <c r="E1697" s="150"/>
      <c r="F1697" s="150"/>
      <c r="G1697" s="145"/>
      <c r="H1697" s="145"/>
      <c r="I1697" s="145"/>
      <c r="J1697" s="145"/>
    </row>
    <row r="1698" spans="1:10" s="195" customFormat="1" ht="24.95" hidden="1" customHeight="1">
      <c r="A1698" s="141"/>
      <c r="B1698" s="141"/>
      <c r="C1698" s="142"/>
      <c r="D1698" s="141"/>
      <c r="E1698" s="150"/>
      <c r="F1698" s="150"/>
      <c r="G1698" s="145"/>
      <c r="H1698" s="145"/>
      <c r="I1698" s="145"/>
      <c r="J1698" s="145"/>
    </row>
    <row r="1699" spans="1:10" s="195" customFormat="1" ht="24.95" hidden="1" customHeight="1">
      <c r="A1699" s="141"/>
      <c r="B1699" s="141"/>
      <c r="C1699" s="142"/>
      <c r="D1699" s="141"/>
      <c r="E1699" s="150"/>
      <c r="F1699" s="150"/>
      <c r="G1699" s="145"/>
      <c r="H1699" s="145"/>
      <c r="I1699" s="145"/>
      <c r="J1699" s="145"/>
    </row>
    <row r="1700" spans="1:10" s="195" customFormat="1" ht="24.95" hidden="1" customHeight="1">
      <c r="A1700" s="141"/>
      <c r="B1700" s="141"/>
      <c r="C1700" s="142"/>
      <c r="D1700" s="141"/>
      <c r="E1700" s="150"/>
      <c r="F1700" s="150"/>
      <c r="G1700" s="145"/>
      <c r="H1700" s="145"/>
      <c r="I1700" s="145"/>
      <c r="J1700" s="145"/>
    </row>
    <row r="1701" spans="1:10" s="195" customFormat="1" ht="24.95" hidden="1" customHeight="1">
      <c r="A1701" s="141"/>
      <c r="B1701" s="141"/>
      <c r="C1701" s="142"/>
      <c r="D1701" s="141"/>
      <c r="E1701" s="150"/>
      <c r="F1701" s="150"/>
      <c r="G1701" s="145"/>
      <c r="H1701" s="145"/>
      <c r="I1701" s="145"/>
      <c r="J1701" s="145"/>
    </row>
    <row r="1702" spans="1:10" s="195" customFormat="1" ht="24.95" hidden="1" customHeight="1">
      <c r="A1702" s="141"/>
      <c r="B1702" s="141"/>
      <c r="C1702" s="142"/>
      <c r="D1702" s="141"/>
      <c r="E1702" s="150"/>
      <c r="F1702" s="150"/>
      <c r="G1702" s="145"/>
      <c r="H1702" s="145"/>
      <c r="I1702" s="145"/>
      <c r="J1702" s="145"/>
    </row>
    <row r="1703" spans="1:10" s="195" customFormat="1" ht="24.95" hidden="1" customHeight="1">
      <c r="A1703" s="141"/>
      <c r="B1703" s="141"/>
      <c r="C1703" s="142"/>
      <c r="D1703" s="141"/>
      <c r="E1703" s="150"/>
      <c r="F1703" s="150"/>
      <c r="G1703" s="145"/>
      <c r="H1703" s="145"/>
      <c r="I1703" s="145"/>
      <c r="J1703" s="145"/>
    </row>
    <row r="1704" spans="1:10" s="195" customFormat="1" ht="24.95" hidden="1" customHeight="1">
      <c r="A1704" s="141"/>
      <c r="B1704" s="141"/>
      <c r="C1704" s="142"/>
      <c r="D1704" s="141"/>
      <c r="E1704" s="150"/>
      <c r="F1704" s="150"/>
      <c r="G1704" s="145"/>
      <c r="H1704" s="145"/>
      <c r="I1704" s="145"/>
      <c r="J1704" s="145"/>
    </row>
    <row r="1705" spans="1:10" s="195" customFormat="1" ht="24.95" hidden="1" customHeight="1">
      <c r="A1705" s="141"/>
      <c r="B1705" s="141"/>
      <c r="C1705" s="142"/>
      <c r="D1705" s="141"/>
      <c r="E1705" s="150"/>
      <c r="F1705" s="150"/>
      <c r="G1705" s="145"/>
      <c r="H1705" s="145"/>
      <c r="I1705" s="145"/>
      <c r="J1705" s="145"/>
    </row>
    <row r="1706" spans="1:10" s="195" customFormat="1" ht="24.95" hidden="1" customHeight="1">
      <c r="A1706" s="141"/>
      <c r="B1706" s="141"/>
      <c r="C1706" s="142"/>
      <c r="D1706" s="141"/>
      <c r="E1706" s="150"/>
      <c r="F1706" s="150"/>
      <c r="G1706" s="145"/>
      <c r="H1706" s="145"/>
      <c r="I1706" s="145"/>
      <c r="J1706" s="145"/>
    </row>
    <row r="1707" spans="1:10" s="195" customFormat="1" ht="24.95" hidden="1" customHeight="1">
      <c r="A1707" s="141"/>
      <c r="B1707" s="141"/>
      <c r="C1707" s="142"/>
      <c r="D1707" s="141"/>
      <c r="E1707" s="150"/>
      <c r="F1707" s="150"/>
      <c r="G1707" s="145"/>
      <c r="H1707" s="145"/>
      <c r="I1707" s="145"/>
      <c r="J1707" s="145"/>
    </row>
    <row r="1708" spans="1:10" s="195" customFormat="1" ht="24.95" hidden="1" customHeight="1">
      <c r="A1708" s="141"/>
      <c r="B1708" s="141"/>
      <c r="C1708" s="142"/>
      <c r="D1708" s="141"/>
      <c r="E1708" s="150"/>
      <c r="F1708" s="150"/>
      <c r="G1708" s="145"/>
      <c r="H1708" s="145"/>
      <c r="I1708" s="145"/>
      <c r="J1708" s="145"/>
    </row>
    <row r="1709" spans="1:10" s="195" customFormat="1" ht="24.95" hidden="1" customHeight="1">
      <c r="A1709" s="141"/>
      <c r="B1709" s="141"/>
      <c r="C1709" s="142"/>
      <c r="D1709" s="141"/>
      <c r="E1709" s="150"/>
      <c r="F1709" s="150"/>
      <c r="G1709" s="145"/>
      <c r="H1709" s="145"/>
      <c r="I1709" s="145"/>
      <c r="J1709" s="145"/>
    </row>
    <row r="1710" spans="1:10" s="195" customFormat="1" ht="24.95" hidden="1" customHeight="1">
      <c r="A1710" s="141"/>
      <c r="B1710" s="141"/>
      <c r="C1710" s="142"/>
      <c r="D1710" s="141"/>
      <c r="E1710" s="150"/>
      <c r="F1710" s="150"/>
      <c r="G1710" s="145"/>
      <c r="H1710" s="145"/>
      <c r="I1710" s="145"/>
      <c r="J1710" s="145"/>
    </row>
    <row r="1711" spans="1:10" s="195" customFormat="1" ht="24.95" hidden="1" customHeight="1">
      <c r="A1711" s="141"/>
      <c r="B1711" s="141"/>
      <c r="C1711" s="142"/>
      <c r="D1711" s="141"/>
      <c r="E1711" s="150"/>
      <c r="F1711" s="150"/>
      <c r="G1711" s="145"/>
      <c r="H1711" s="145"/>
      <c r="I1711" s="145"/>
      <c r="J1711" s="145"/>
    </row>
    <row r="1712" spans="1:10" s="195" customFormat="1" ht="24.95" hidden="1" customHeight="1">
      <c r="A1712" s="141"/>
      <c r="B1712" s="141"/>
      <c r="C1712" s="142"/>
      <c r="D1712" s="141"/>
      <c r="E1712" s="150"/>
      <c r="F1712" s="150"/>
      <c r="G1712" s="145"/>
      <c r="H1712" s="145"/>
      <c r="I1712" s="145"/>
      <c r="J1712" s="145"/>
    </row>
    <row r="1713" spans="1:10" s="195" customFormat="1" ht="24.95" hidden="1" customHeight="1">
      <c r="A1713" s="141"/>
      <c r="B1713" s="141"/>
      <c r="C1713" s="142"/>
      <c r="D1713" s="141"/>
      <c r="E1713" s="150"/>
      <c r="F1713" s="150"/>
      <c r="G1713" s="145"/>
      <c r="H1713" s="145"/>
      <c r="I1713" s="145"/>
      <c r="J1713" s="145"/>
    </row>
    <row r="1714" spans="1:10" s="195" customFormat="1" ht="24.95" hidden="1" customHeight="1">
      <c r="A1714" s="141"/>
      <c r="B1714" s="141"/>
      <c r="C1714" s="142"/>
      <c r="D1714" s="141"/>
      <c r="E1714" s="150"/>
      <c r="F1714" s="150"/>
      <c r="G1714" s="145"/>
      <c r="H1714" s="145"/>
      <c r="I1714" s="145"/>
      <c r="J1714" s="145"/>
    </row>
    <row r="1715" spans="1:10" s="195" customFormat="1" ht="24.95" hidden="1" customHeight="1">
      <c r="A1715" s="141"/>
      <c r="B1715" s="141"/>
      <c r="C1715" s="142"/>
      <c r="D1715" s="141"/>
      <c r="E1715" s="150"/>
      <c r="F1715" s="150"/>
      <c r="G1715" s="145"/>
      <c r="H1715" s="145"/>
      <c r="I1715" s="145"/>
      <c r="J1715" s="145"/>
    </row>
    <row r="1716" spans="1:10" s="195" customFormat="1" ht="24.95" hidden="1" customHeight="1">
      <c r="A1716" s="141"/>
      <c r="B1716" s="141"/>
      <c r="C1716" s="142"/>
      <c r="D1716" s="141"/>
      <c r="E1716" s="150"/>
      <c r="F1716" s="150"/>
      <c r="G1716" s="145"/>
      <c r="H1716" s="145"/>
      <c r="I1716" s="145"/>
      <c r="J1716" s="145"/>
    </row>
    <row r="1717" spans="1:10" s="195" customFormat="1" ht="24.95" hidden="1" customHeight="1">
      <c r="A1717" s="141"/>
      <c r="B1717" s="141"/>
      <c r="C1717" s="142"/>
      <c r="D1717" s="141"/>
      <c r="E1717" s="150"/>
      <c r="F1717" s="150"/>
      <c r="G1717" s="145"/>
      <c r="H1717" s="145"/>
      <c r="I1717" s="145"/>
      <c r="J1717" s="145"/>
    </row>
    <row r="1718" spans="1:10" s="195" customFormat="1" ht="24.95" hidden="1" customHeight="1">
      <c r="A1718" s="141"/>
      <c r="B1718" s="141"/>
      <c r="C1718" s="142"/>
      <c r="D1718" s="141"/>
      <c r="E1718" s="150"/>
      <c r="F1718" s="150"/>
      <c r="G1718" s="145"/>
      <c r="H1718" s="145"/>
      <c r="I1718" s="145"/>
      <c r="J1718" s="145"/>
    </row>
    <row r="1719" spans="1:10" s="195" customFormat="1" ht="24.95" hidden="1" customHeight="1">
      <c r="A1719" s="141"/>
      <c r="B1719" s="141"/>
      <c r="C1719" s="142"/>
      <c r="D1719" s="141"/>
      <c r="E1719" s="150"/>
      <c r="F1719" s="150"/>
      <c r="G1719" s="145"/>
      <c r="H1719" s="145"/>
      <c r="I1719" s="145"/>
      <c r="J1719" s="145"/>
    </row>
    <row r="1720" spans="1:10" s="195" customFormat="1" ht="24.95" hidden="1" customHeight="1">
      <c r="A1720" s="141"/>
      <c r="B1720" s="141"/>
      <c r="C1720" s="142"/>
      <c r="D1720" s="141"/>
      <c r="E1720" s="150"/>
      <c r="F1720" s="150"/>
      <c r="G1720" s="145"/>
      <c r="H1720" s="145"/>
      <c r="I1720" s="145"/>
      <c r="J1720" s="145"/>
    </row>
    <row r="1721" spans="1:10" s="195" customFormat="1" ht="24.95" hidden="1" customHeight="1">
      <c r="A1721" s="141"/>
      <c r="B1721" s="141"/>
      <c r="C1721" s="142"/>
      <c r="D1721" s="141"/>
      <c r="E1721" s="150"/>
      <c r="F1721" s="150"/>
      <c r="G1721" s="145"/>
      <c r="H1721" s="145"/>
      <c r="I1721" s="145"/>
      <c r="J1721" s="145"/>
    </row>
    <row r="1722" spans="1:10" s="195" customFormat="1" ht="24.95" hidden="1" customHeight="1">
      <c r="A1722" s="141"/>
      <c r="B1722" s="141"/>
      <c r="C1722" s="142"/>
      <c r="D1722" s="141"/>
      <c r="E1722" s="150"/>
      <c r="F1722" s="150"/>
      <c r="G1722" s="145"/>
      <c r="H1722" s="145"/>
      <c r="I1722" s="145"/>
      <c r="J1722" s="145"/>
    </row>
    <row r="1723" spans="1:10" s="195" customFormat="1" ht="24.95" hidden="1" customHeight="1">
      <c r="A1723" s="141"/>
      <c r="B1723" s="141"/>
      <c r="C1723" s="142"/>
      <c r="D1723" s="141"/>
      <c r="E1723" s="150"/>
      <c r="F1723" s="150"/>
      <c r="G1723" s="145"/>
      <c r="H1723" s="145"/>
      <c r="I1723" s="145"/>
      <c r="J1723" s="145"/>
    </row>
    <row r="1724" spans="1:10" s="195" customFormat="1" ht="24.95" hidden="1" customHeight="1">
      <c r="A1724" s="141"/>
      <c r="B1724" s="141"/>
      <c r="C1724" s="142"/>
      <c r="D1724" s="141"/>
      <c r="E1724" s="150"/>
      <c r="F1724" s="150"/>
      <c r="G1724" s="145"/>
      <c r="H1724" s="145"/>
      <c r="I1724" s="145"/>
      <c r="J1724" s="145"/>
    </row>
    <row r="1725" spans="1:10" s="195" customFormat="1" ht="24.95" hidden="1" customHeight="1">
      <c r="A1725" s="141"/>
      <c r="B1725" s="141"/>
      <c r="C1725" s="142"/>
      <c r="D1725" s="141"/>
      <c r="E1725" s="150"/>
      <c r="F1725" s="150"/>
      <c r="G1725" s="145"/>
      <c r="H1725" s="145"/>
      <c r="I1725" s="145"/>
      <c r="J1725" s="145"/>
    </row>
    <row r="1726" spans="1:10" s="195" customFormat="1" ht="24.95" hidden="1" customHeight="1">
      <c r="A1726" s="141"/>
      <c r="B1726" s="141"/>
      <c r="C1726" s="142"/>
      <c r="D1726" s="141"/>
      <c r="E1726" s="150"/>
      <c r="F1726" s="150"/>
      <c r="G1726" s="145"/>
      <c r="H1726" s="145"/>
      <c r="I1726" s="145"/>
      <c r="J1726" s="145"/>
    </row>
    <row r="1727" spans="1:10" s="195" customFormat="1" ht="24.95" hidden="1" customHeight="1">
      <c r="A1727" s="141"/>
      <c r="B1727" s="141"/>
      <c r="C1727" s="142"/>
      <c r="D1727" s="141"/>
      <c r="E1727" s="150"/>
      <c r="F1727" s="150"/>
      <c r="G1727" s="145"/>
      <c r="H1727" s="145"/>
      <c r="I1727" s="145"/>
      <c r="J1727" s="145"/>
    </row>
    <row r="1728" spans="1:10" s="195" customFormat="1" ht="24.95" hidden="1" customHeight="1">
      <c r="A1728" s="141"/>
      <c r="B1728" s="141"/>
      <c r="C1728" s="142"/>
      <c r="D1728" s="141"/>
      <c r="E1728" s="150"/>
      <c r="F1728" s="150"/>
      <c r="G1728" s="145"/>
      <c r="H1728" s="145"/>
      <c r="I1728" s="145"/>
      <c r="J1728" s="145"/>
    </row>
    <row r="1729" spans="1:10" s="195" customFormat="1" ht="24.95" hidden="1" customHeight="1">
      <c r="A1729" s="141"/>
      <c r="B1729" s="141"/>
      <c r="C1729" s="142"/>
      <c r="D1729" s="141"/>
      <c r="E1729" s="150"/>
      <c r="F1729" s="150"/>
      <c r="G1729" s="145"/>
      <c r="H1729" s="145"/>
      <c r="I1729" s="145"/>
      <c r="J1729" s="145"/>
    </row>
    <row r="1730" spans="1:10" s="195" customFormat="1" ht="24.95" hidden="1" customHeight="1">
      <c r="A1730" s="141"/>
      <c r="B1730" s="141"/>
      <c r="C1730" s="142"/>
      <c r="D1730" s="141"/>
      <c r="E1730" s="150"/>
      <c r="F1730" s="150"/>
      <c r="G1730" s="145"/>
      <c r="H1730" s="145"/>
      <c r="I1730" s="145"/>
      <c r="J1730" s="145"/>
    </row>
    <row r="1731" spans="1:10" s="195" customFormat="1" ht="24.95" hidden="1" customHeight="1">
      <c r="A1731" s="141"/>
      <c r="B1731" s="141"/>
      <c r="C1731" s="142"/>
      <c r="D1731" s="141"/>
      <c r="E1731" s="150"/>
      <c r="F1731" s="150"/>
      <c r="G1731" s="145"/>
      <c r="H1731" s="145"/>
      <c r="I1731" s="145"/>
      <c r="J1731" s="145"/>
    </row>
    <row r="1732" spans="1:10" s="195" customFormat="1" ht="24.95" hidden="1" customHeight="1">
      <c r="A1732" s="141"/>
      <c r="B1732" s="141"/>
      <c r="C1732" s="142"/>
      <c r="D1732" s="141"/>
      <c r="E1732" s="150"/>
      <c r="F1732" s="150"/>
      <c r="G1732" s="145"/>
      <c r="H1732" s="145"/>
      <c r="I1732" s="145"/>
      <c r="J1732" s="145"/>
    </row>
    <row r="1733" spans="1:10" s="195" customFormat="1" ht="24.95" hidden="1" customHeight="1">
      <c r="A1733" s="141"/>
      <c r="B1733" s="141"/>
      <c r="C1733" s="142"/>
      <c r="D1733" s="141"/>
      <c r="E1733" s="150"/>
      <c r="F1733" s="150"/>
      <c r="G1733" s="145"/>
      <c r="H1733" s="145"/>
      <c r="I1733" s="145"/>
      <c r="J1733" s="145"/>
    </row>
    <row r="1734" spans="1:10" s="195" customFormat="1" ht="24.95" hidden="1" customHeight="1">
      <c r="A1734" s="141"/>
      <c r="B1734" s="141"/>
      <c r="C1734" s="142"/>
      <c r="D1734" s="141"/>
      <c r="E1734" s="150"/>
      <c r="F1734" s="150"/>
      <c r="G1734" s="145"/>
      <c r="H1734" s="145"/>
      <c r="I1734" s="145"/>
      <c r="J1734" s="145"/>
    </row>
    <row r="1735" spans="1:10" s="195" customFormat="1" ht="24.95" hidden="1" customHeight="1">
      <c r="A1735" s="141"/>
      <c r="B1735" s="141"/>
      <c r="C1735" s="142"/>
      <c r="D1735" s="141"/>
      <c r="E1735" s="150"/>
      <c r="F1735" s="150"/>
      <c r="G1735" s="145"/>
      <c r="H1735" s="145"/>
      <c r="I1735" s="145"/>
      <c r="J1735" s="145"/>
    </row>
    <row r="1736" spans="1:10" s="195" customFormat="1" ht="24.95" hidden="1" customHeight="1">
      <c r="A1736" s="141"/>
      <c r="B1736" s="141"/>
      <c r="C1736" s="142"/>
      <c r="D1736" s="141"/>
      <c r="E1736" s="150"/>
      <c r="F1736" s="150"/>
      <c r="G1736" s="145"/>
      <c r="H1736" s="145"/>
      <c r="I1736" s="145"/>
      <c r="J1736" s="145"/>
    </row>
    <row r="1737" spans="1:10" s="195" customFormat="1" ht="24.95" hidden="1" customHeight="1">
      <c r="A1737" s="141"/>
      <c r="B1737" s="141"/>
      <c r="C1737" s="142"/>
      <c r="D1737" s="141"/>
      <c r="E1737" s="150"/>
      <c r="F1737" s="150"/>
      <c r="G1737" s="145"/>
      <c r="H1737" s="145"/>
      <c r="I1737" s="145"/>
      <c r="J1737" s="145"/>
    </row>
    <row r="1738" spans="1:10" s="195" customFormat="1" ht="24.95" hidden="1" customHeight="1">
      <c r="A1738" s="141"/>
      <c r="B1738" s="141"/>
      <c r="C1738" s="142"/>
      <c r="D1738" s="141"/>
      <c r="E1738" s="150"/>
      <c r="F1738" s="150"/>
      <c r="G1738" s="145"/>
      <c r="H1738" s="145"/>
      <c r="I1738" s="145"/>
      <c r="J1738" s="145"/>
    </row>
    <row r="1739" spans="1:10" s="195" customFormat="1" ht="24.95" hidden="1" customHeight="1">
      <c r="A1739" s="141"/>
      <c r="B1739" s="141"/>
      <c r="C1739" s="142"/>
      <c r="D1739" s="141"/>
      <c r="E1739" s="150"/>
      <c r="F1739" s="150"/>
      <c r="G1739" s="145"/>
      <c r="H1739" s="145"/>
      <c r="I1739" s="145"/>
      <c r="J1739" s="145"/>
    </row>
    <row r="1740" spans="1:10" s="195" customFormat="1" ht="24.95" hidden="1" customHeight="1">
      <c r="A1740" s="141"/>
      <c r="B1740" s="141"/>
      <c r="C1740" s="142"/>
      <c r="D1740" s="141"/>
      <c r="E1740" s="150"/>
      <c r="F1740" s="150"/>
      <c r="G1740" s="145"/>
      <c r="H1740" s="145"/>
      <c r="I1740" s="145"/>
      <c r="J1740" s="145"/>
    </row>
    <row r="1741" spans="1:10" s="195" customFormat="1" ht="24.95" hidden="1" customHeight="1">
      <c r="A1741" s="141"/>
      <c r="B1741" s="141"/>
      <c r="C1741" s="142"/>
      <c r="D1741" s="141"/>
      <c r="E1741" s="150"/>
      <c r="F1741" s="150"/>
      <c r="G1741" s="145"/>
      <c r="H1741" s="145"/>
      <c r="I1741" s="145"/>
      <c r="J1741" s="145"/>
    </row>
    <row r="1742" spans="1:10" s="195" customFormat="1" ht="24.95" hidden="1" customHeight="1">
      <c r="A1742" s="141"/>
      <c r="B1742" s="141"/>
      <c r="C1742" s="142"/>
      <c r="D1742" s="141"/>
      <c r="E1742" s="150"/>
      <c r="F1742" s="150"/>
      <c r="G1742" s="145"/>
      <c r="H1742" s="145"/>
      <c r="I1742" s="145"/>
      <c r="J1742" s="145"/>
    </row>
    <row r="1743" spans="1:10" s="195" customFormat="1" ht="24.95" hidden="1" customHeight="1">
      <c r="A1743" s="141"/>
      <c r="B1743" s="141"/>
      <c r="C1743" s="142"/>
      <c r="D1743" s="141"/>
      <c r="E1743" s="150"/>
      <c r="F1743" s="150"/>
      <c r="G1743" s="145"/>
      <c r="H1743" s="145"/>
      <c r="I1743" s="145"/>
      <c r="J1743" s="145"/>
    </row>
    <row r="1744" spans="1:10" s="195" customFormat="1" ht="24.95" hidden="1" customHeight="1">
      <c r="A1744" s="141"/>
      <c r="B1744" s="141"/>
      <c r="C1744" s="142"/>
      <c r="D1744" s="141"/>
      <c r="E1744" s="150"/>
      <c r="F1744" s="150"/>
      <c r="G1744" s="145"/>
      <c r="H1744" s="145"/>
      <c r="I1744" s="145"/>
      <c r="J1744" s="145"/>
    </row>
    <row r="1745" spans="1:10" s="195" customFormat="1" ht="24.95" hidden="1" customHeight="1">
      <c r="A1745" s="141"/>
      <c r="B1745" s="141"/>
      <c r="C1745" s="142"/>
      <c r="D1745" s="141"/>
      <c r="E1745" s="150"/>
      <c r="F1745" s="150"/>
      <c r="G1745" s="145"/>
      <c r="H1745" s="145"/>
      <c r="I1745" s="145"/>
      <c r="J1745" s="145"/>
    </row>
    <row r="1746" spans="1:10" s="195" customFormat="1" ht="24.95" hidden="1" customHeight="1">
      <c r="A1746" s="141"/>
      <c r="B1746" s="141"/>
      <c r="C1746" s="142"/>
      <c r="D1746" s="141"/>
      <c r="E1746" s="150"/>
      <c r="F1746" s="150"/>
      <c r="G1746" s="145"/>
      <c r="H1746" s="145"/>
      <c r="I1746" s="145"/>
      <c r="J1746" s="145"/>
    </row>
    <row r="1747" spans="1:10" s="195" customFormat="1" ht="24.95" hidden="1" customHeight="1">
      <c r="A1747" s="141"/>
      <c r="B1747" s="141"/>
      <c r="C1747" s="142"/>
      <c r="D1747" s="141"/>
      <c r="E1747" s="150"/>
      <c r="F1747" s="150"/>
      <c r="G1747" s="145"/>
      <c r="H1747" s="145"/>
      <c r="I1747" s="145"/>
      <c r="J1747" s="145"/>
    </row>
    <row r="1748" spans="1:10" s="195" customFormat="1" ht="24.95" hidden="1" customHeight="1">
      <c r="A1748" s="141"/>
      <c r="B1748" s="141"/>
      <c r="C1748" s="142"/>
      <c r="D1748" s="141"/>
      <c r="E1748" s="150"/>
      <c r="F1748" s="150"/>
      <c r="G1748" s="145"/>
      <c r="H1748" s="145"/>
      <c r="I1748" s="145"/>
      <c r="J1748" s="145"/>
    </row>
    <row r="1749" spans="1:10" s="195" customFormat="1" ht="24.95" hidden="1" customHeight="1">
      <c r="A1749" s="141"/>
      <c r="B1749" s="141"/>
      <c r="C1749" s="142"/>
      <c r="D1749" s="141"/>
      <c r="E1749" s="150"/>
      <c r="F1749" s="150"/>
      <c r="G1749" s="145"/>
      <c r="H1749" s="145"/>
      <c r="I1749" s="145"/>
      <c r="J1749" s="145"/>
    </row>
    <row r="1750" spans="1:10" s="195" customFormat="1" ht="24.95" hidden="1" customHeight="1">
      <c r="A1750" s="141"/>
      <c r="B1750" s="141"/>
      <c r="C1750" s="142"/>
      <c r="D1750" s="141"/>
      <c r="E1750" s="150"/>
      <c r="F1750" s="150"/>
      <c r="G1750" s="145"/>
      <c r="H1750" s="145"/>
      <c r="I1750" s="145"/>
      <c r="J1750" s="145"/>
    </row>
    <row r="1751" spans="1:10" s="195" customFormat="1" ht="24.95" hidden="1" customHeight="1">
      <c r="A1751" s="141"/>
      <c r="B1751" s="141"/>
      <c r="C1751" s="142"/>
      <c r="D1751" s="141"/>
      <c r="E1751" s="150"/>
      <c r="F1751" s="150"/>
      <c r="G1751" s="145"/>
      <c r="H1751" s="145"/>
      <c r="I1751" s="145"/>
      <c r="J1751" s="145"/>
    </row>
    <row r="1752" spans="1:10" s="195" customFormat="1" ht="24.95" hidden="1" customHeight="1">
      <c r="A1752" s="141"/>
      <c r="B1752" s="141"/>
      <c r="C1752" s="142"/>
      <c r="D1752" s="141"/>
      <c r="E1752" s="150"/>
      <c r="F1752" s="150"/>
      <c r="G1752" s="145"/>
      <c r="H1752" s="145"/>
      <c r="I1752" s="145"/>
      <c r="J1752" s="145"/>
    </row>
    <row r="1753" spans="1:10" s="195" customFormat="1" ht="24.95" hidden="1" customHeight="1">
      <c r="A1753" s="141"/>
      <c r="B1753" s="141"/>
      <c r="C1753" s="142"/>
      <c r="D1753" s="141"/>
      <c r="E1753" s="150"/>
      <c r="F1753" s="150"/>
      <c r="G1753" s="145"/>
      <c r="H1753" s="145"/>
      <c r="I1753" s="145"/>
      <c r="J1753" s="145"/>
    </row>
    <row r="1754" spans="1:10" s="195" customFormat="1" ht="24.95" hidden="1" customHeight="1">
      <c r="A1754" s="141"/>
      <c r="B1754" s="141"/>
      <c r="C1754" s="142"/>
      <c r="D1754" s="141"/>
      <c r="E1754" s="150"/>
      <c r="F1754" s="150"/>
      <c r="G1754" s="145"/>
      <c r="H1754" s="145"/>
      <c r="I1754" s="145"/>
      <c r="J1754" s="145"/>
    </row>
    <row r="1755" spans="1:10" s="195" customFormat="1" ht="24.95" hidden="1" customHeight="1">
      <c r="A1755" s="141"/>
      <c r="B1755" s="141"/>
      <c r="C1755" s="142"/>
      <c r="D1755" s="141"/>
      <c r="E1755" s="150"/>
      <c r="F1755" s="150"/>
      <c r="G1755" s="145"/>
      <c r="H1755" s="145"/>
      <c r="I1755" s="145"/>
      <c r="J1755" s="145"/>
    </row>
    <row r="1756" spans="1:10" s="195" customFormat="1" ht="24.95" hidden="1" customHeight="1">
      <c r="A1756" s="141"/>
      <c r="B1756" s="141"/>
      <c r="C1756" s="142"/>
      <c r="D1756" s="141"/>
      <c r="E1756" s="150"/>
      <c r="F1756" s="150"/>
      <c r="G1756" s="145"/>
      <c r="H1756" s="145"/>
      <c r="I1756" s="145"/>
      <c r="J1756" s="145"/>
    </row>
    <row r="1757" spans="1:10" s="195" customFormat="1" ht="24.95" hidden="1" customHeight="1">
      <c r="A1757" s="141"/>
      <c r="B1757" s="141"/>
      <c r="C1757" s="142"/>
      <c r="D1757" s="141"/>
      <c r="E1757" s="150"/>
      <c r="F1757" s="150"/>
      <c r="G1757" s="145"/>
      <c r="H1757" s="145"/>
      <c r="I1757" s="145"/>
      <c r="J1757" s="145"/>
    </row>
    <row r="1758" spans="1:10" s="195" customFormat="1" ht="24.95" hidden="1" customHeight="1">
      <c r="A1758" s="141"/>
      <c r="B1758" s="141"/>
      <c r="C1758" s="142"/>
      <c r="D1758" s="141"/>
      <c r="E1758" s="150"/>
      <c r="F1758" s="150"/>
      <c r="G1758" s="145"/>
      <c r="H1758" s="145"/>
      <c r="I1758" s="145"/>
      <c r="J1758" s="145"/>
    </row>
    <row r="1759" spans="1:10" s="195" customFormat="1" ht="24.95" hidden="1" customHeight="1">
      <c r="A1759" s="141"/>
      <c r="B1759" s="141"/>
      <c r="C1759" s="142"/>
      <c r="D1759" s="141"/>
      <c r="E1759" s="150"/>
      <c r="F1759" s="150"/>
      <c r="G1759" s="145"/>
      <c r="H1759" s="145"/>
      <c r="I1759" s="145"/>
      <c r="J1759" s="145"/>
    </row>
    <row r="1760" spans="1:10" s="195" customFormat="1" ht="24.95" hidden="1" customHeight="1">
      <c r="A1760" s="141"/>
      <c r="B1760" s="141"/>
      <c r="C1760" s="142"/>
      <c r="D1760" s="141"/>
      <c r="E1760" s="150"/>
      <c r="F1760" s="150"/>
      <c r="G1760" s="145"/>
      <c r="H1760" s="145"/>
      <c r="I1760" s="145"/>
      <c r="J1760" s="145"/>
    </row>
    <row r="1761" spans="1:10" s="195" customFormat="1" ht="24.95" hidden="1" customHeight="1">
      <c r="A1761" s="141"/>
      <c r="B1761" s="141"/>
      <c r="C1761" s="142"/>
      <c r="D1761" s="141"/>
      <c r="E1761" s="150"/>
      <c r="F1761" s="150"/>
      <c r="G1761" s="145"/>
      <c r="H1761" s="145"/>
      <c r="I1761" s="145"/>
      <c r="J1761" s="145"/>
    </row>
    <row r="1762" spans="1:10" s="195" customFormat="1" ht="24.95" hidden="1" customHeight="1">
      <c r="A1762" s="141"/>
      <c r="B1762" s="141"/>
      <c r="C1762" s="142"/>
      <c r="D1762" s="141"/>
      <c r="E1762" s="150"/>
      <c r="F1762" s="150"/>
      <c r="G1762" s="145"/>
      <c r="H1762" s="145"/>
      <c r="I1762" s="145"/>
      <c r="J1762" s="145"/>
    </row>
    <row r="1763" spans="1:10" s="195" customFormat="1" ht="24.95" hidden="1" customHeight="1">
      <c r="A1763" s="141"/>
      <c r="B1763" s="141"/>
      <c r="C1763" s="142"/>
      <c r="D1763" s="141"/>
      <c r="E1763" s="150"/>
      <c r="F1763" s="150"/>
      <c r="G1763" s="145"/>
      <c r="H1763" s="145"/>
      <c r="I1763" s="145"/>
      <c r="J1763" s="145"/>
    </row>
    <row r="1764" spans="1:10" s="195" customFormat="1" ht="24.95" hidden="1" customHeight="1">
      <c r="A1764" s="141"/>
      <c r="B1764" s="141"/>
      <c r="C1764" s="142"/>
      <c r="D1764" s="141"/>
      <c r="E1764" s="150"/>
      <c r="F1764" s="150"/>
      <c r="G1764" s="145"/>
      <c r="H1764" s="145"/>
      <c r="I1764" s="145"/>
      <c r="J1764" s="145"/>
    </row>
    <row r="1765" spans="1:10" s="195" customFormat="1" ht="24.95" hidden="1" customHeight="1">
      <c r="A1765" s="141"/>
      <c r="B1765" s="141"/>
      <c r="C1765" s="142"/>
      <c r="D1765" s="141"/>
      <c r="E1765" s="150"/>
      <c r="F1765" s="150"/>
      <c r="G1765" s="145"/>
      <c r="H1765" s="145"/>
      <c r="I1765" s="145"/>
      <c r="J1765" s="145"/>
    </row>
    <row r="1766" spans="1:10" s="195" customFormat="1" ht="24.95" hidden="1" customHeight="1">
      <c r="A1766" s="141"/>
      <c r="B1766" s="141"/>
      <c r="C1766" s="142"/>
      <c r="D1766" s="141"/>
      <c r="E1766" s="150"/>
      <c r="F1766" s="150"/>
      <c r="G1766" s="145"/>
      <c r="H1766" s="145"/>
      <c r="I1766" s="145"/>
      <c r="J1766" s="145"/>
    </row>
    <row r="1767" spans="1:10" s="195" customFormat="1" ht="24.95" hidden="1" customHeight="1">
      <c r="A1767" s="141"/>
      <c r="B1767" s="141"/>
      <c r="C1767" s="142"/>
      <c r="D1767" s="141"/>
      <c r="E1767" s="150"/>
      <c r="F1767" s="150"/>
      <c r="G1767" s="145"/>
      <c r="H1767" s="145"/>
      <c r="I1767" s="145"/>
      <c r="J1767" s="145"/>
    </row>
    <row r="1768" spans="1:10" s="195" customFormat="1" ht="24.95" hidden="1" customHeight="1">
      <c r="A1768" s="141"/>
      <c r="B1768" s="141"/>
      <c r="C1768" s="142"/>
      <c r="D1768" s="141"/>
      <c r="E1768" s="150"/>
      <c r="F1768" s="150"/>
      <c r="G1768" s="145"/>
      <c r="H1768" s="145"/>
      <c r="I1768" s="145"/>
      <c r="J1768" s="145"/>
    </row>
    <row r="1769" spans="1:10" s="195" customFormat="1" ht="24.95" hidden="1" customHeight="1">
      <c r="A1769" s="141"/>
      <c r="B1769" s="141"/>
      <c r="C1769" s="142"/>
      <c r="D1769" s="141"/>
      <c r="E1769" s="150"/>
      <c r="F1769" s="150"/>
      <c r="G1769" s="145"/>
      <c r="H1769" s="145"/>
      <c r="I1769" s="145"/>
      <c r="J1769" s="145"/>
    </row>
    <row r="1770" spans="1:10" s="195" customFormat="1" ht="24.95" hidden="1" customHeight="1">
      <c r="A1770" s="141"/>
      <c r="B1770" s="141"/>
      <c r="C1770" s="142"/>
      <c r="D1770" s="141"/>
      <c r="E1770" s="150"/>
      <c r="F1770" s="150"/>
      <c r="G1770" s="145"/>
      <c r="H1770" s="145"/>
      <c r="I1770" s="145"/>
      <c r="J1770" s="145"/>
    </row>
    <row r="1771" spans="1:10" s="195" customFormat="1" ht="24.95" hidden="1" customHeight="1">
      <c r="A1771" s="141"/>
      <c r="B1771" s="141"/>
      <c r="C1771" s="142"/>
      <c r="D1771" s="141"/>
      <c r="E1771" s="150"/>
      <c r="F1771" s="150"/>
      <c r="G1771" s="145"/>
      <c r="H1771" s="145"/>
      <c r="I1771" s="145"/>
      <c r="J1771" s="145"/>
    </row>
    <row r="1772" spans="1:10" s="195" customFormat="1" ht="24.95" hidden="1" customHeight="1">
      <c r="A1772" s="141"/>
      <c r="B1772" s="141"/>
      <c r="C1772" s="142"/>
      <c r="D1772" s="141"/>
      <c r="E1772" s="150"/>
      <c r="F1772" s="150"/>
      <c r="G1772" s="145"/>
      <c r="H1772" s="145"/>
      <c r="I1772" s="145"/>
      <c r="J1772" s="145"/>
    </row>
    <row r="1773" spans="1:10" s="195" customFormat="1" ht="24.95" hidden="1" customHeight="1">
      <c r="A1773" s="141"/>
      <c r="B1773" s="141"/>
      <c r="C1773" s="142"/>
      <c r="D1773" s="141"/>
      <c r="E1773" s="150"/>
      <c r="F1773" s="150"/>
      <c r="G1773" s="145"/>
      <c r="H1773" s="145"/>
      <c r="I1773" s="145"/>
      <c r="J1773" s="145"/>
    </row>
    <row r="1774" spans="1:10" s="195" customFormat="1" ht="24.95" hidden="1" customHeight="1">
      <c r="A1774" s="141"/>
      <c r="B1774" s="141"/>
      <c r="C1774" s="142"/>
      <c r="D1774" s="141"/>
      <c r="E1774" s="150"/>
      <c r="F1774" s="150"/>
      <c r="G1774" s="145"/>
      <c r="H1774" s="145"/>
      <c r="I1774" s="145"/>
      <c r="J1774" s="145"/>
    </row>
    <row r="1775" spans="1:10" s="195" customFormat="1" ht="24.95" hidden="1" customHeight="1">
      <c r="A1775" s="141"/>
      <c r="B1775" s="141"/>
      <c r="C1775" s="142"/>
      <c r="D1775" s="141"/>
      <c r="E1775" s="150"/>
      <c r="F1775" s="150"/>
      <c r="G1775" s="145"/>
      <c r="H1775" s="145"/>
      <c r="I1775" s="145"/>
      <c r="J1775" s="145"/>
    </row>
    <row r="1776" spans="1:10" s="195" customFormat="1" ht="24.95" hidden="1" customHeight="1">
      <c r="A1776" s="141"/>
      <c r="B1776" s="141"/>
      <c r="C1776" s="142"/>
      <c r="D1776" s="141"/>
      <c r="E1776" s="150"/>
      <c r="F1776" s="150"/>
      <c r="G1776" s="145"/>
      <c r="H1776" s="145"/>
      <c r="I1776" s="145"/>
      <c r="J1776" s="145"/>
    </row>
    <row r="1777" spans="1:10" s="195" customFormat="1" ht="24.95" hidden="1" customHeight="1">
      <c r="A1777" s="141"/>
      <c r="B1777" s="141"/>
      <c r="C1777" s="142"/>
      <c r="D1777" s="141"/>
      <c r="E1777" s="150"/>
      <c r="F1777" s="150"/>
      <c r="G1777" s="145"/>
      <c r="H1777" s="145"/>
      <c r="I1777" s="145"/>
      <c r="J1777" s="145"/>
    </row>
    <row r="1778" spans="1:10" s="195" customFormat="1" ht="24.95" hidden="1" customHeight="1">
      <c r="A1778" s="141"/>
      <c r="B1778" s="141"/>
      <c r="C1778" s="142"/>
      <c r="D1778" s="141"/>
      <c r="E1778" s="150"/>
      <c r="F1778" s="150"/>
      <c r="G1778" s="145"/>
      <c r="H1778" s="145"/>
      <c r="I1778" s="145"/>
      <c r="J1778" s="145"/>
    </row>
    <row r="1779" spans="1:10" s="195" customFormat="1" ht="24.95" hidden="1" customHeight="1">
      <c r="A1779" s="141"/>
      <c r="B1779" s="141"/>
      <c r="C1779" s="142"/>
      <c r="D1779" s="141"/>
      <c r="E1779" s="150"/>
      <c r="F1779" s="150"/>
      <c r="G1779" s="145"/>
      <c r="H1779" s="145"/>
      <c r="I1779" s="145"/>
      <c r="J1779" s="145"/>
    </row>
    <row r="1780" spans="1:10" s="195" customFormat="1" ht="24.95" hidden="1" customHeight="1">
      <c r="A1780" s="141"/>
      <c r="B1780" s="141"/>
      <c r="C1780" s="142"/>
      <c r="D1780" s="141"/>
      <c r="E1780" s="150"/>
      <c r="F1780" s="150"/>
      <c r="G1780" s="145"/>
      <c r="H1780" s="145"/>
      <c r="I1780" s="145"/>
      <c r="J1780" s="145"/>
    </row>
    <row r="1781" spans="1:10" s="195" customFormat="1" ht="24.95" hidden="1" customHeight="1">
      <c r="A1781" s="141"/>
      <c r="B1781" s="141"/>
      <c r="C1781" s="142"/>
      <c r="D1781" s="141"/>
      <c r="E1781" s="150"/>
      <c r="F1781" s="150"/>
      <c r="G1781" s="145"/>
      <c r="H1781" s="145"/>
      <c r="I1781" s="145"/>
      <c r="J1781" s="145"/>
    </row>
    <row r="1782" spans="1:10" s="195" customFormat="1" ht="24.95" hidden="1" customHeight="1">
      <c r="A1782" s="141"/>
      <c r="B1782" s="141"/>
      <c r="C1782" s="142"/>
      <c r="D1782" s="141"/>
      <c r="E1782" s="150"/>
      <c r="F1782" s="150"/>
      <c r="G1782" s="145"/>
      <c r="H1782" s="145"/>
      <c r="I1782" s="145"/>
      <c r="J1782" s="145"/>
    </row>
    <row r="1783" spans="1:10" s="195" customFormat="1" ht="24.95" hidden="1" customHeight="1">
      <c r="A1783" s="141"/>
      <c r="B1783" s="141"/>
      <c r="C1783" s="142"/>
      <c r="D1783" s="141"/>
      <c r="E1783" s="150"/>
      <c r="F1783" s="150"/>
      <c r="G1783" s="145"/>
      <c r="H1783" s="145"/>
      <c r="I1783" s="145"/>
      <c r="J1783" s="145"/>
    </row>
    <row r="1784" spans="1:10" s="195" customFormat="1" ht="24.95" hidden="1" customHeight="1">
      <c r="A1784" s="141"/>
      <c r="B1784" s="141"/>
      <c r="C1784" s="142"/>
      <c r="D1784" s="141"/>
      <c r="E1784" s="150"/>
      <c r="F1784" s="150"/>
      <c r="G1784" s="145"/>
      <c r="H1784" s="145"/>
      <c r="I1784" s="145"/>
      <c r="J1784" s="145"/>
    </row>
    <row r="1785" spans="1:10" s="195" customFormat="1" ht="24.95" hidden="1" customHeight="1">
      <c r="A1785" s="141"/>
      <c r="B1785" s="141"/>
      <c r="C1785" s="142"/>
      <c r="D1785" s="141"/>
      <c r="E1785" s="150"/>
      <c r="F1785" s="150"/>
      <c r="G1785" s="145"/>
      <c r="H1785" s="145"/>
      <c r="I1785" s="145"/>
      <c r="J1785" s="145"/>
    </row>
    <row r="1786" spans="1:10" s="195" customFormat="1" ht="24.95" hidden="1" customHeight="1">
      <c r="A1786" s="141"/>
      <c r="B1786" s="141"/>
      <c r="C1786" s="142"/>
      <c r="D1786" s="141"/>
      <c r="E1786" s="150"/>
      <c r="F1786" s="150"/>
      <c r="G1786" s="145"/>
      <c r="H1786" s="145"/>
      <c r="I1786" s="145"/>
      <c r="J1786" s="145"/>
    </row>
    <row r="1787" spans="1:10" s="195" customFormat="1" ht="24.95" hidden="1" customHeight="1">
      <c r="A1787" s="141"/>
      <c r="B1787" s="141"/>
      <c r="C1787" s="142"/>
      <c r="D1787" s="141"/>
      <c r="E1787" s="150"/>
      <c r="F1787" s="150"/>
      <c r="G1787" s="145"/>
      <c r="H1787" s="145"/>
      <c r="I1787" s="145"/>
      <c r="J1787" s="145"/>
    </row>
    <row r="1788" spans="1:10" s="195" customFormat="1" ht="24.95" hidden="1" customHeight="1">
      <c r="A1788" s="141"/>
      <c r="B1788" s="141"/>
      <c r="C1788" s="142"/>
      <c r="D1788" s="141"/>
      <c r="E1788" s="150"/>
      <c r="F1788" s="150"/>
      <c r="G1788" s="145"/>
      <c r="H1788" s="145"/>
      <c r="I1788" s="145"/>
      <c r="J1788" s="145"/>
    </row>
    <row r="1789" spans="1:10" s="195" customFormat="1" ht="24.95" hidden="1" customHeight="1">
      <c r="A1789" s="141"/>
      <c r="B1789" s="141"/>
      <c r="C1789" s="142"/>
      <c r="D1789" s="141"/>
      <c r="E1789" s="150"/>
      <c r="F1789" s="150"/>
      <c r="G1789" s="145"/>
      <c r="H1789" s="145"/>
      <c r="I1789" s="145"/>
      <c r="J1789" s="145"/>
    </row>
    <row r="1790" spans="1:10" s="195" customFormat="1" ht="24.95" hidden="1" customHeight="1">
      <c r="A1790" s="141"/>
      <c r="B1790" s="141"/>
      <c r="C1790" s="142"/>
      <c r="D1790" s="141"/>
      <c r="E1790" s="150"/>
      <c r="F1790" s="150"/>
      <c r="G1790" s="145"/>
      <c r="H1790" s="145"/>
      <c r="I1790" s="145"/>
      <c r="J1790" s="145"/>
    </row>
    <row r="1791" spans="1:10" s="195" customFormat="1" ht="24.95" hidden="1" customHeight="1">
      <c r="A1791" s="141"/>
      <c r="B1791" s="141"/>
      <c r="C1791" s="142"/>
      <c r="D1791" s="141"/>
      <c r="E1791" s="150"/>
      <c r="F1791" s="150"/>
      <c r="G1791" s="145"/>
      <c r="H1791" s="145"/>
      <c r="I1791" s="145"/>
      <c r="J1791" s="145"/>
    </row>
    <row r="1792" spans="1:10" s="195" customFormat="1" ht="24.95" hidden="1" customHeight="1">
      <c r="A1792" s="141"/>
      <c r="B1792" s="141"/>
      <c r="C1792" s="142"/>
      <c r="D1792" s="141"/>
      <c r="E1792" s="150"/>
      <c r="F1792" s="150"/>
      <c r="G1792" s="145"/>
      <c r="H1792" s="145"/>
      <c r="I1792" s="145"/>
      <c r="J1792" s="145"/>
    </row>
    <row r="1793" spans="1:10" s="195" customFormat="1" ht="24.95" hidden="1" customHeight="1">
      <c r="A1793" s="141"/>
      <c r="B1793" s="141"/>
      <c r="C1793" s="142"/>
      <c r="D1793" s="141"/>
      <c r="E1793" s="150"/>
      <c r="F1793" s="150"/>
      <c r="G1793" s="145"/>
      <c r="H1793" s="145"/>
      <c r="I1793" s="145"/>
      <c r="J1793" s="145"/>
    </row>
    <row r="1794" spans="1:10" s="195" customFormat="1" ht="24.95" hidden="1" customHeight="1">
      <c r="A1794" s="141"/>
      <c r="B1794" s="141"/>
      <c r="C1794" s="142"/>
      <c r="D1794" s="141"/>
      <c r="E1794" s="150"/>
      <c r="F1794" s="150"/>
      <c r="G1794" s="145"/>
      <c r="H1794" s="145"/>
      <c r="I1794" s="145"/>
      <c r="J1794" s="145"/>
    </row>
    <row r="1795" spans="1:10" s="195" customFormat="1" ht="24.95" hidden="1" customHeight="1">
      <c r="A1795" s="141"/>
      <c r="B1795" s="141"/>
      <c r="C1795" s="142"/>
      <c r="D1795" s="141"/>
      <c r="E1795" s="150"/>
      <c r="F1795" s="150"/>
      <c r="G1795" s="145"/>
      <c r="H1795" s="145"/>
      <c r="I1795" s="145"/>
      <c r="J1795" s="145"/>
    </row>
    <row r="1796" spans="1:10" s="195" customFormat="1" ht="24.95" hidden="1" customHeight="1">
      <c r="A1796" s="141"/>
      <c r="B1796" s="141"/>
      <c r="C1796" s="142"/>
      <c r="D1796" s="141"/>
      <c r="E1796" s="150"/>
      <c r="F1796" s="150"/>
      <c r="G1796" s="145"/>
      <c r="H1796" s="145"/>
      <c r="I1796" s="145"/>
      <c r="J1796" s="145"/>
    </row>
    <row r="1797" spans="1:10" s="195" customFormat="1" ht="24.95" hidden="1" customHeight="1">
      <c r="A1797" s="141"/>
      <c r="B1797" s="141"/>
      <c r="C1797" s="142"/>
      <c r="D1797" s="141"/>
      <c r="E1797" s="150"/>
      <c r="F1797" s="150"/>
      <c r="G1797" s="145"/>
      <c r="H1797" s="145"/>
      <c r="I1797" s="145"/>
      <c r="J1797" s="145"/>
    </row>
    <row r="1798" spans="1:10" s="195" customFormat="1" ht="24.95" hidden="1" customHeight="1">
      <c r="A1798" s="141"/>
      <c r="B1798" s="141"/>
      <c r="C1798" s="142"/>
      <c r="D1798" s="141"/>
      <c r="E1798" s="150"/>
      <c r="F1798" s="150"/>
      <c r="G1798" s="145"/>
      <c r="H1798" s="145"/>
      <c r="I1798" s="145"/>
      <c r="J1798" s="145"/>
    </row>
    <row r="1799" spans="1:10" s="195" customFormat="1" ht="24.95" hidden="1" customHeight="1">
      <c r="A1799" s="141"/>
      <c r="B1799" s="141"/>
      <c r="C1799" s="142"/>
      <c r="D1799" s="141"/>
      <c r="E1799" s="150"/>
      <c r="F1799" s="150"/>
      <c r="G1799" s="145"/>
      <c r="H1799" s="145"/>
      <c r="I1799" s="145"/>
      <c r="J1799" s="145"/>
    </row>
    <row r="1800" spans="1:10" s="195" customFormat="1" ht="24.95" hidden="1" customHeight="1">
      <c r="A1800" s="141"/>
      <c r="B1800" s="141"/>
      <c r="C1800" s="142"/>
      <c r="D1800" s="141"/>
      <c r="E1800" s="150"/>
      <c r="F1800" s="150"/>
      <c r="G1800" s="145"/>
      <c r="H1800" s="145"/>
      <c r="I1800" s="145"/>
      <c r="J1800" s="145"/>
    </row>
    <row r="1801" spans="1:10" s="195" customFormat="1" ht="24.95" hidden="1" customHeight="1">
      <c r="A1801" s="141"/>
      <c r="B1801" s="141"/>
      <c r="C1801" s="142"/>
      <c r="D1801" s="141"/>
      <c r="E1801" s="150"/>
      <c r="F1801" s="150"/>
      <c r="G1801" s="145"/>
      <c r="H1801" s="145"/>
      <c r="I1801" s="145"/>
      <c r="J1801" s="145"/>
    </row>
    <row r="1802" spans="1:10" s="195" customFormat="1" ht="24.95" hidden="1" customHeight="1">
      <c r="A1802" s="141"/>
      <c r="B1802" s="141"/>
      <c r="C1802" s="142"/>
      <c r="D1802" s="141"/>
      <c r="E1802" s="150"/>
      <c r="F1802" s="150"/>
      <c r="G1802" s="145"/>
      <c r="H1802" s="145"/>
      <c r="I1802" s="145"/>
      <c r="J1802" s="145"/>
    </row>
    <row r="1803" spans="1:10" s="195" customFormat="1" ht="24.95" hidden="1" customHeight="1">
      <c r="A1803" s="141"/>
      <c r="B1803" s="141"/>
      <c r="C1803" s="142"/>
      <c r="D1803" s="141"/>
      <c r="E1803" s="150"/>
      <c r="F1803" s="150"/>
      <c r="G1803" s="145"/>
      <c r="H1803" s="145"/>
      <c r="I1803" s="145"/>
      <c r="J1803" s="145"/>
    </row>
    <row r="1804" spans="1:10" s="195" customFormat="1" ht="24.95" hidden="1" customHeight="1">
      <c r="A1804" s="141"/>
      <c r="B1804" s="141"/>
      <c r="C1804" s="142"/>
      <c r="D1804" s="141"/>
      <c r="E1804" s="150"/>
      <c r="F1804" s="150"/>
      <c r="G1804" s="145"/>
      <c r="H1804" s="145"/>
      <c r="I1804" s="145"/>
      <c r="J1804" s="145"/>
    </row>
    <row r="1805" spans="1:10" s="195" customFormat="1" ht="24.95" hidden="1" customHeight="1">
      <c r="A1805" s="141"/>
      <c r="B1805" s="141"/>
      <c r="C1805" s="142"/>
      <c r="D1805" s="141"/>
      <c r="E1805" s="150"/>
      <c r="F1805" s="150"/>
      <c r="G1805" s="145"/>
      <c r="H1805" s="145"/>
      <c r="I1805" s="145"/>
      <c r="J1805" s="145"/>
    </row>
    <row r="1806" spans="1:10" s="195" customFormat="1" ht="24.95" hidden="1" customHeight="1">
      <c r="A1806" s="141"/>
      <c r="B1806" s="141"/>
      <c r="C1806" s="142"/>
      <c r="D1806" s="141"/>
      <c r="E1806" s="150"/>
      <c r="F1806" s="150"/>
      <c r="G1806" s="145"/>
      <c r="H1806" s="145"/>
      <c r="I1806" s="145"/>
      <c r="J1806" s="145"/>
    </row>
    <row r="1807" spans="1:10" s="195" customFormat="1" ht="24.95" hidden="1" customHeight="1">
      <c r="A1807" s="141"/>
      <c r="B1807" s="141"/>
      <c r="C1807" s="142"/>
      <c r="D1807" s="141"/>
      <c r="E1807" s="150"/>
      <c r="F1807" s="150"/>
      <c r="G1807" s="145"/>
      <c r="H1807" s="145"/>
      <c r="I1807" s="145"/>
      <c r="J1807" s="145"/>
    </row>
    <row r="1808" spans="1:10" s="195" customFormat="1" ht="24.95" hidden="1" customHeight="1">
      <c r="A1808" s="141"/>
      <c r="B1808" s="141"/>
      <c r="C1808" s="142"/>
      <c r="D1808" s="141"/>
      <c r="E1808" s="150"/>
      <c r="F1808" s="150"/>
      <c r="G1808" s="145"/>
      <c r="H1808" s="145"/>
      <c r="I1808" s="145"/>
      <c r="J1808" s="145"/>
    </row>
    <row r="1809" spans="1:10" s="195" customFormat="1" ht="24.95" hidden="1" customHeight="1">
      <c r="A1809" s="141"/>
      <c r="B1809" s="141"/>
      <c r="C1809" s="142"/>
      <c r="D1809" s="141"/>
      <c r="E1809" s="150"/>
      <c r="F1809" s="150"/>
      <c r="G1809" s="145"/>
      <c r="H1809" s="145"/>
      <c r="I1809" s="145"/>
      <c r="J1809" s="145"/>
    </row>
    <row r="1810" spans="1:10" s="195" customFormat="1" ht="24.95" hidden="1" customHeight="1">
      <c r="A1810" s="141"/>
      <c r="B1810" s="141"/>
      <c r="C1810" s="142"/>
      <c r="D1810" s="141"/>
      <c r="E1810" s="150"/>
      <c r="F1810" s="150"/>
      <c r="G1810" s="145"/>
      <c r="H1810" s="145"/>
      <c r="I1810" s="145"/>
      <c r="J1810" s="145"/>
    </row>
    <row r="1811" spans="1:10" s="195" customFormat="1" ht="24.95" hidden="1" customHeight="1">
      <c r="A1811" s="141"/>
      <c r="B1811" s="141"/>
      <c r="C1811" s="142"/>
      <c r="D1811" s="141"/>
      <c r="E1811" s="150"/>
      <c r="F1811" s="150"/>
      <c r="G1811" s="145"/>
      <c r="H1811" s="145"/>
      <c r="I1811" s="145"/>
      <c r="J1811" s="145"/>
    </row>
    <row r="1812" spans="1:10" s="195" customFormat="1" ht="24.95" hidden="1" customHeight="1">
      <c r="A1812" s="141"/>
      <c r="B1812" s="141"/>
      <c r="C1812" s="142"/>
      <c r="D1812" s="141"/>
      <c r="E1812" s="150"/>
      <c r="F1812" s="150"/>
      <c r="G1812" s="145"/>
      <c r="H1812" s="145"/>
      <c r="I1812" s="145"/>
      <c r="J1812" s="145"/>
    </row>
    <row r="1813" spans="1:10" s="195" customFormat="1" ht="24.95" hidden="1" customHeight="1">
      <c r="A1813" s="141"/>
      <c r="B1813" s="141"/>
      <c r="C1813" s="142"/>
      <c r="D1813" s="141"/>
      <c r="E1813" s="150"/>
      <c r="F1813" s="150"/>
      <c r="G1813" s="145"/>
      <c r="H1813" s="145"/>
      <c r="I1813" s="145"/>
      <c r="J1813" s="145"/>
    </row>
    <row r="1814" spans="1:10" s="195" customFormat="1" ht="24.95" hidden="1" customHeight="1">
      <c r="A1814" s="141"/>
      <c r="B1814" s="141"/>
      <c r="C1814" s="142"/>
      <c r="D1814" s="141"/>
      <c r="E1814" s="150"/>
      <c r="F1814" s="150"/>
      <c r="G1814" s="145"/>
      <c r="H1814" s="145"/>
      <c r="I1814" s="145"/>
      <c r="J1814" s="145"/>
    </row>
    <row r="1815" spans="1:10" s="195" customFormat="1" ht="24.95" hidden="1" customHeight="1">
      <c r="A1815" s="141"/>
      <c r="B1815" s="141"/>
      <c r="C1815" s="142"/>
      <c r="D1815" s="141"/>
      <c r="E1815" s="150"/>
      <c r="F1815" s="150"/>
      <c r="G1815" s="145"/>
      <c r="H1815" s="145"/>
      <c r="I1815" s="145"/>
      <c r="J1815" s="145"/>
    </row>
    <row r="1816" spans="1:10" s="195" customFormat="1" ht="24.95" hidden="1" customHeight="1">
      <c r="A1816" s="141"/>
      <c r="B1816" s="141"/>
      <c r="C1816" s="142"/>
      <c r="D1816" s="141"/>
      <c r="E1816" s="150"/>
      <c r="F1816" s="150"/>
      <c r="G1816" s="145"/>
      <c r="H1816" s="145"/>
      <c r="I1816" s="145"/>
      <c r="J1816" s="145"/>
    </row>
    <row r="1817" spans="1:10" s="195" customFormat="1" ht="24.95" hidden="1" customHeight="1">
      <c r="A1817" s="141"/>
      <c r="B1817" s="141"/>
      <c r="C1817" s="142"/>
      <c r="D1817" s="141"/>
      <c r="E1817" s="150"/>
      <c r="F1817" s="150"/>
      <c r="G1817" s="145"/>
      <c r="H1817" s="145"/>
      <c r="I1817" s="145"/>
      <c r="J1817" s="145"/>
    </row>
    <row r="1818" spans="1:10" s="195" customFormat="1" ht="24.95" hidden="1" customHeight="1">
      <c r="A1818" s="141"/>
      <c r="B1818" s="141"/>
      <c r="C1818" s="142"/>
      <c r="D1818" s="141"/>
      <c r="E1818" s="150"/>
      <c r="F1818" s="150"/>
      <c r="G1818" s="145"/>
      <c r="H1818" s="145"/>
      <c r="I1818" s="145"/>
      <c r="J1818" s="145"/>
    </row>
    <row r="1819" spans="1:10" s="195" customFormat="1" ht="24.95" hidden="1" customHeight="1">
      <c r="A1819" s="141"/>
      <c r="B1819" s="141"/>
      <c r="C1819" s="142"/>
      <c r="D1819" s="141"/>
      <c r="E1819" s="150"/>
      <c r="F1819" s="150"/>
      <c r="G1819" s="145"/>
      <c r="H1819" s="145"/>
      <c r="I1819" s="145"/>
      <c r="J1819" s="145"/>
    </row>
    <row r="1820" spans="1:10" s="195" customFormat="1" ht="24.95" hidden="1" customHeight="1">
      <c r="A1820" s="141"/>
      <c r="B1820" s="141"/>
      <c r="C1820" s="142"/>
      <c r="D1820" s="141"/>
      <c r="E1820" s="150"/>
      <c r="F1820" s="150"/>
      <c r="G1820" s="145"/>
      <c r="H1820" s="145"/>
      <c r="I1820" s="145"/>
      <c r="J1820" s="145"/>
    </row>
    <row r="1821" spans="1:10" s="195" customFormat="1" ht="24.95" hidden="1" customHeight="1">
      <c r="A1821" s="141"/>
      <c r="B1821" s="141"/>
      <c r="C1821" s="142"/>
      <c r="D1821" s="141"/>
      <c r="E1821" s="150"/>
      <c r="F1821" s="150"/>
      <c r="G1821" s="145"/>
      <c r="H1821" s="145"/>
      <c r="I1821" s="145"/>
      <c r="J1821" s="145"/>
    </row>
    <row r="1822" spans="1:10" s="195" customFormat="1" ht="24.95" hidden="1" customHeight="1">
      <c r="A1822" s="141"/>
      <c r="B1822" s="141"/>
      <c r="C1822" s="142"/>
      <c r="D1822" s="141"/>
      <c r="E1822" s="150"/>
      <c r="F1822" s="150"/>
      <c r="G1822" s="145"/>
      <c r="H1822" s="145"/>
      <c r="I1822" s="145"/>
      <c r="J1822" s="145"/>
    </row>
    <row r="1823" spans="1:10" s="195" customFormat="1" ht="24.95" hidden="1" customHeight="1">
      <c r="A1823" s="141"/>
      <c r="B1823" s="141"/>
      <c r="C1823" s="142"/>
      <c r="D1823" s="141"/>
      <c r="E1823" s="150"/>
      <c r="F1823" s="150"/>
      <c r="G1823" s="145"/>
      <c r="H1823" s="145"/>
      <c r="I1823" s="145"/>
      <c r="J1823" s="145"/>
    </row>
    <row r="1824" spans="1:10" s="195" customFormat="1" ht="24.95" hidden="1" customHeight="1">
      <c r="A1824" s="141"/>
      <c r="B1824" s="141"/>
      <c r="C1824" s="142"/>
      <c r="D1824" s="141"/>
      <c r="E1824" s="150"/>
      <c r="F1824" s="150"/>
      <c r="G1824" s="145"/>
      <c r="H1824" s="145"/>
      <c r="I1824" s="145"/>
      <c r="J1824" s="145"/>
    </row>
    <row r="1825" spans="1:10" s="195" customFormat="1" ht="24.95" hidden="1" customHeight="1">
      <c r="A1825" s="141"/>
      <c r="B1825" s="141"/>
      <c r="C1825" s="142"/>
      <c r="D1825" s="141"/>
      <c r="E1825" s="150"/>
      <c r="F1825" s="150"/>
      <c r="G1825" s="145"/>
      <c r="H1825" s="145"/>
      <c r="I1825" s="145"/>
      <c r="J1825" s="145"/>
    </row>
    <row r="1826" spans="1:10" s="195" customFormat="1" ht="24.95" hidden="1" customHeight="1">
      <c r="A1826" s="141"/>
      <c r="B1826" s="141"/>
      <c r="C1826" s="142"/>
      <c r="D1826" s="141"/>
      <c r="E1826" s="150"/>
      <c r="F1826" s="150"/>
      <c r="G1826" s="145"/>
      <c r="H1826" s="145"/>
      <c r="I1826" s="145"/>
      <c r="J1826" s="145"/>
    </row>
    <row r="1827" spans="1:10" s="195" customFormat="1" ht="24.95" hidden="1" customHeight="1">
      <c r="A1827" s="141"/>
      <c r="B1827" s="141"/>
      <c r="C1827" s="142"/>
      <c r="D1827" s="141"/>
      <c r="E1827" s="150"/>
      <c r="F1827" s="150"/>
      <c r="G1827" s="145"/>
      <c r="H1827" s="145"/>
      <c r="I1827" s="145"/>
      <c r="J1827" s="145"/>
    </row>
    <row r="1828" spans="1:10" s="195" customFormat="1" ht="24.95" hidden="1" customHeight="1">
      <c r="A1828" s="141"/>
      <c r="B1828" s="141"/>
      <c r="C1828" s="142"/>
      <c r="D1828" s="141"/>
      <c r="E1828" s="150"/>
      <c r="F1828" s="150"/>
      <c r="G1828" s="145"/>
      <c r="H1828" s="145"/>
      <c r="I1828" s="145"/>
      <c r="J1828" s="145"/>
    </row>
    <row r="1829" spans="1:10" s="195" customFormat="1" ht="24.95" hidden="1" customHeight="1">
      <c r="A1829" s="141"/>
      <c r="B1829" s="141"/>
      <c r="C1829" s="142"/>
      <c r="D1829" s="141"/>
      <c r="E1829" s="150"/>
      <c r="F1829" s="150"/>
      <c r="G1829" s="145"/>
      <c r="H1829" s="145"/>
      <c r="I1829" s="145"/>
      <c r="J1829" s="145"/>
    </row>
    <row r="1830" spans="1:10" s="195" customFormat="1" ht="24.95" hidden="1" customHeight="1">
      <c r="A1830" s="141"/>
      <c r="B1830" s="141"/>
      <c r="C1830" s="142"/>
      <c r="D1830" s="141"/>
      <c r="E1830" s="150"/>
      <c r="F1830" s="150"/>
      <c r="G1830" s="145"/>
      <c r="H1830" s="145"/>
      <c r="I1830" s="145"/>
      <c r="J1830" s="145"/>
    </row>
    <row r="1831" spans="1:10" s="195" customFormat="1" ht="24.95" hidden="1" customHeight="1">
      <c r="A1831" s="141"/>
      <c r="B1831" s="141"/>
      <c r="C1831" s="142"/>
      <c r="D1831" s="141"/>
      <c r="E1831" s="150"/>
      <c r="F1831" s="150"/>
      <c r="G1831" s="145"/>
      <c r="H1831" s="145"/>
      <c r="I1831" s="145"/>
      <c r="J1831" s="145"/>
    </row>
    <row r="1832" spans="1:10" s="195" customFormat="1" ht="24.95" hidden="1" customHeight="1">
      <c r="A1832" s="141"/>
      <c r="B1832" s="141"/>
      <c r="C1832" s="142"/>
      <c r="D1832" s="141"/>
      <c r="E1832" s="150"/>
      <c r="F1832" s="150"/>
      <c r="G1832" s="145"/>
      <c r="H1832" s="145"/>
      <c r="I1832" s="145"/>
      <c r="J1832" s="145"/>
    </row>
    <row r="1833" spans="1:10" s="195" customFormat="1" ht="24.95" hidden="1" customHeight="1">
      <c r="A1833" s="141"/>
      <c r="B1833" s="141"/>
      <c r="C1833" s="142"/>
      <c r="D1833" s="141"/>
      <c r="E1833" s="150"/>
      <c r="F1833" s="150"/>
      <c r="G1833" s="145"/>
      <c r="H1833" s="145"/>
      <c r="I1833" s="145"/>
      <c r="J1833" s="145"/>
    </row>
    <row r="1834" spans="1:10" s="195" customFormat="1" ht="24.95" hidden="1" customHeight="1">
      <c r="A1834" s="141"/>
      <c r="B1834" s="141"/>
      <c r="C1834" s="142"/>
      <c r="D1834" s="141"/>
      <c r="E1834" s="150"/>
      <c r="F1834" s="150"/>
      <c r="G1834" s="145"/>
      <c r="H1834" s="145"/>
      <c r="I1834" s="145"/>
      <c r="J1834" s="145"/>
    </row>
    <row r="1835" spans="1:10" s="195" customFormat="1" ht="24.95" hidden="1" customHeight="1">
      <c r="A1835" s="141"/>
      <c r="B1835" s="141"/>
      <c r="C1835" s="142"/>
      <c r="D1835" s="141"/>
      <c r="E1835" s="150"/>
      <c r="F1835" s="150"/>
      <c r="G1835" s="145"/>
      <c r="H1835" s="145"/>
      <c r="I1835" s="145"/>
      <c r="J1835" s="145"/>
    </row>
    <row r="1836" spans="1:10" s="195" customFormat="1" ht="24.95" hidden="1" customHeight="1">
      <c r="A1836" s="141"/>
      <c r="B1836" s="141"/>
      <c r="C1836" s="142"/>
      <c r="D1836" s="141"/>
      <c r="E1836" s="150"/>
      <c r="F1836" s="150"/>
      <c r="G1836" s="145"/>
      <c r="H1836" s="145"/>
      <c r="I1836" s="145"/>
      <c r="J1836" s="145"/>
    </row>
    <row r="1837" spans="1:10" s="195" customFormat="1" ht="24.95" hidden="1" customHeight="1">
      <c r="A1837" s="141"/>
      <c r="B1837" s="141"/>
      <c r="C1837" s="142"/>
      <c r="D1837" s="141"/>
      <c r="E1837" s="150"/>
      <c r="F1837" s="150"/>
      <c r="G1837" s="145"/>
      <c r="H1837" s="145"/>
      <c r="I1837" s="145"/>
      <c r="J1837" s="145"/>
    </row>
    <row r="1838" spans="1:10" s="195" customFormat="1" ht="24.95" hidden="1" customHeight="1">
      <c r="A1838" s="141"/>
      <c r="B1838" s="141"/>
      <c r="C1838" s="142"/>
      <c r="D1838" s="141"/>
      <c r="E1838" s="150"/>
      <c r="F1838" s="150"/>
      <c r="G1838" s="145"/>
      <c r="H1838" s="145"/>
      <c r="I1838" s="145"/>
      <c r="J1838" s="145"/>
    </row>
    <row r="1839" spans="1:10" s="195" customFormat="1" ht="24.95" hidden="1" customHeight="1">
      <c r="A1839" s="141"/>
      <c r="B1839" s="141"/>
      <c r="C1839" s="142"/>
      <c r="D1839" s="141"/>
      <c r="E1839" s="150"/>
      <c r="F1839" s="150"/>
      <c r="G1839" s="145"/>
      <c r="H1839" s="145"/>
      <c r="I1839" s="145"/>
      <c r="J1839" s="145"/>
    </row>
    <row r="1840" spans="1:10" s="195" customFormat="1" ht="24.95" hidden="1" customHeight="1">
      <c r="A1840" s="141"/>
      <c r="B1840" s="141"/>
      <c r="C1840" s="142"/>
      <c r="D1840" s="141"/>
      <c r="E1840" s="150"/>
      <c r="F1840" s="150"/>
      <c r="G1840" s="145"/>
      <c r="H1840" s="145"/>
      <c r="I1840" s="145"/>
      <c r="J1840" s="145"/>
    </row>
    <row r="1841" spans="1:10" s="195" customFormat="1" ht="24.95" hidden="1" customHeight="1">
      <c r="A1841" s="141"/>
      <c r="B1841" s="141"/>
      <c r="C1841" s="142"/>
      <c r="D1841" s="141"/>
      <c r="E1841" s="150"/>
      <c r="F1841" s="150"/>
      <c r="G1841" s="145"/>
      <c r="H1841" s="145"/>
      <c r="I1841" s="145"/>
      <c r="J1841" s="145"/>
    </row>
    <row r="1842" spans="1:10" s="195" customFormat="1" ht="24.95" hidden="1" customHeight="1">
      <c r="A1842" s="141"/>
      <c r="B1842" s="141"/>
      <c r="C1842" s="142"/>
      <c r="D1842" s="141"/>
      <c r="E1842" s="150"/>
      <c r="F1842" s="150"/>
      <c r="G1842" s="145"/>
      <c r="H1842" s="145"/>
      <c r="I1842" s="145"/>
      <c r="J1842" s="145"/>
    </row>
    <row r="1843" spans="1:10" s="195" customFormat="1" ht="24.95" hidden="1" customHeight="1">
      <c r="A1843" s="141"/>
      <c r="B1843" s="141"/>
      <c r="C1843" s="142"/>
      <c r="D1843" s="141"/>
      <c r="E1843" s="150"/>
      <c r="F1843" s="150"/>
      <c r="G1843" s="145"/>
      <c r="H1843" s="145"/>
      <c r="I1843" s="145"/>
      <c r="J1843" s="145"/>
    </row>
    <row r="1844" spans="1:10" s="195" customFormat="1" ht="24.95" hidden="1" customHeight="1">
      <c r="A1844" s="141"/>
      <c r="B1844" s="141"/>
      <c r="C1844" s="142"/>
      <c r="D1844" s="141"/>
      <c r="E1844" s="150"/>
      <c r="F1844" s="150"/>
      <c r="G1844" s="145"/>
      <c r="H1844" s="145"/>
      <c r="I1844" s="145"/>
      <c r="J1844" s="145"/>
    </row>
    <row r="1845" spans="1:10" s="195" customFormat="1" ht="24.95" hidden="1" customHeight="1">
      <c r="A1845" s="141"/>
      <c r="B1845" s="141"/>
      <c r="C1845" s="142"/>
      <c r="D1845" s="141"/>
      <c r="E1845" s="150"/>
      <c r="F1845" s="150"/>
      <c r="G1845" s="145"/>
      <c r="H1845" s="145"/>
      <c r="I1845" s="145"/>
      <c r="J1845" s="145"/>
    </row>
    <row r="1846" spans="1:10" s="195" customFormat="1" ht="24.95" hidden="1" customHeight="1">
      <c r="A1846" s="141"/>
      <c r="B1846" s="141"/>
      <c r="C1846" s="142"/>
      <c r="D1846" s="141"/>
      <c r="E1846" s="150"/>
      <c r="F1846" s="150"/>
      <c r="G1846" s="145"/>
      <c r="H1846" s="145"/>
      <c r="I1846" s="145"/>
      <c r="J1846" s="145"/>
    </row>
    <row r="1847" spans="1:10" s="195" customFormat="1" ht="24.95" hidden="1" customHeight="1">
      <c r="A1847" s="141"/>
      <c r="B1847" s="141"/>
      <c r="C1847" s="142"/>
      <c r="D1847" s="141"/>
      <c r="E1847" s="150"/>
      <c r="F1847" s="150"/>
      <c r="G1847" s="145"/>
      <c r="H1847" s="145"/>
      <c r="I1847" s="145"/>
      <c r="J1847" s="145"/>
    </row>
    <row r="1848" spans="1:10" s="195" customFormat="1" ht="24.95" hidden="1" customHeight="1">
      <c r="A1848" s="141"/>
      <c r="B1848" s="141"/>
      <c r="C1848" s="142"/>
      <c r="D1848" s="141"/>
      <c r="E1848" s="150"/>
      <c r="F1848" s="150"/>
      <c r="G1848" s="145"/>
      <c r="H1848" s="145"/>
      <c r="I1848" s="145"/>
      <c r="J1848" s="145"/>
    </row>
    <row r="1849" spans="1:10" s="195" customFormat="1" ht="24.95" hidden="1" customHeight="1">
      <c r="A1849" s="141"/>
      <c r="B1849" s="141"/>
      <c r="C1849" s="142"/>
      <c r="D1849" s="141"/>
      <c r="E1849" s="150"/>
      <c r="F1849" s="150"/>
      <c r="G1849" s="145"/>
      <c r="H1849" s="145"/>
      <c r="I1849" s="145"/>
      <c r="J1849" s="145"/>
    </row>
    <row r="1850" spans="1:10" s="195" customFormat="1" ht="24.95" hidden="1" customHeight="1">
      <c r="A1850" s="141"/>
      <c r="B1850" s="141"/>
      <c r="C1850" s="142"/>
      <c r="D1850" s="141"/>
      <c r="E1850" s="150"/>
      <c r="F1850" s="150"/>
      <c r="G1850" s="145"/>
      <c r="H1850" s="145"/>
      <c r="I1850" s="145"/>
      <c r="J1850" s="145"/>
    </row>
    <row r="1851" spans="1:10" s="195" customFormat="1" ht="24.95" hidden="1" customHeight="1">
      <c r="A1851" s="141"/>
      <c r="B1851" s="141"/>
      <c r="C1851" s="142"/>
      <c r="D1851" s="141"/>
      <c r="E1851" s="150"/>
      <c r="F1851" s="150"/>
      <c r="G1851" s="145"/>
      <c r="H1851" s="145"/>
      <c r="I1851" s="145"/>
      <c r="J1851" s="145"/>
    </row>
    <row r="1852" spans="1:10" s="195" customFormat="1" ht="24.95" hidden="1" customHeight="1">
      <c r="A1852" s="141"/>
      <c r="B1852" s="141"/>
      <c r="C1852" s="142"/>
      <c r="D1852" s="141"/>
      <c r="E1852" s="150"/>
      <c r="F1852" s="150"/>
      <c r="G1852" s="145"/>
      <c r="H1852" s="145"/>
      <c r="I1852" s="145"/>
      <c r="J1852" s="145"/>
    </row>
    <row r="1853" spans="1:10" s="195" customFormat="1" ht="24.95" hidden="1" customHeight="1">
      <c r="A1853" s="141"/>
      <c r="B1853" s="141"/>
      <c r="C1853" s="142"/>
      <c r="D1853" s="141"/>
      <c r="E1853" s="150"/>
      <c r="F1853" s="150"/>
      <c r="G1853" s="145"/>
      <c r="H1853" s="145"/>
      <c r="I1853" s="145"/>
      <c r="J1853" s="145"/>
    </row>
    <row r="1854" spans="1:10" s="195" customFormat="1" ht="24.95" hidden="1" customHeight="1">
      <c r="A1854" s="141"/>
      <c r="B1854" s="141"/>
      <c r="C1854" s="142"/>
      <c r="D1854" s="141"/>
      <c r="E1854" s="150"/>
      <c r="F1854" s="150"/>
      <c r="G1854" s="145"/>
      <c r="H1854" s="145"/>
      <c r="I1854" s="145"/>
      <c r="J1854" s="145"/>
    </row>
    <row r="1855" spans="1:10" s="195" customFormat="1" ht="24.95" hidden="1" customHeight="1">
      <c r="A1855" s="141"/>
      <c r="B1855" s="141"/>
      <c r="C1855" s="142"/>
      <c r="D1855" s="141"/>
      <c r="E1855" s="150"/>
      <c r="F1855" s="150"/>
      <c r="G1855" s="145"/>
      <c r="H1855" s="145"/>
      <c r="I1855" s="145"/>
      <c r="J1855" s="145"/>
    </row>
    <row r="1856" spans="1:10" s="195" customFormat="1" ht="24.95" hidden="1" customHeight="1">
      <c r="A1856" s="141"/>
      <c r="B1856" s="141"/>
      <c r="C1856" s="142"/>
      <c r="D1856" s="141"/>
      <c r="E1856" s="150"/>
      <c r="F1856" s="150"/>
      <c r="G1856" s="145"/>
      <c r="H1856" s="145"/>
      <c r="I1856" s="145"/>
      <c r="J1856" s="145"/>
    </row>
    <row r="1857" spans="1:10" s="195" customFormat="1" ht="24.95" hidden="1" customHeight="1">
      <c r="A1857" s="141"/>
      <c r="B1857" s="141"/>
      <c r="C1857" s="142"/>
      <c r="D1857" s="141"/>
      <c r="E1857" s="150"/>
      <c r="F1857" s="150"/>
      <c r="G1857" s="145"/>
      <c r="H1857" s="145"/>
      <c r="I1857" s="145"/>
      <c r="J1857" s="145"/>
    </row>
    <row r="1858" spans="1:10" s="195" customFormat="1" ht="24.95" hidden="1" customHeight="1">
      <c r="A1858" s="141"/>
      <c r="B1858" s="141"/>
      <c r="C1858" s="142"/>
      <c r="D1858" s="141"/>
      <c r="E1858" s="150"/>
      <c r="F1858" s="150"/>
      <c r="G1858" s="145"/>
      <c r="H1858" s="145"/>
      <c r="I1858" s="145"/>
      <c r="J1858" s="145"/>
    </row>
    <row r="1859" spans="1:10" s="195" customFormat="1" ht="24.95" hidden="1" customHeight="1">
      <c r="A1859" s="141"/>
      <c r="B1859" s="141"/>
      <c r="C1859" s="142"/>
      <c r="D1859" s="141"/>
      <c r="E1859" s="150"/>
      <c r="F1859" s="150"/>
      <c r="G1859" s="145"/>
      <c r="H1859" s="145"/>
      <c r="I1859" s="145"/>
      <c r="J1859" s="145"/>
    </row>
    <row r="1860" spans="1:10" s="195" customFormat="1" ht="24.95" hidden="1" customHeight="1">
      <c r="A1860" s="141"/>
      <c r="B1860" s="141"/>
      <c r="C1860" s="142"/>
      <c r="D1860" s="141"/>
      <c r="E1860" s="150"/>
      <c r="F1860" s="150"/>
      <c r="G1860" s="145"/>
      <c r="H1860" s="145"/>
      <c r="I1860" s="145"/>
      <c r="J1860" s="145"/>
    </row>
    <row r="1861" spans="1:10" s="195" customFormat="1" ht="24.95" hidden="1" customHeight="1">
      <c r="A1861" s="141"/>
      <c r="B1861" s="141"/>
      <c r="C1861" s="142"/>
      <c r="D1861" s="141"/>
      <c r="E1861" s="150"/>
      <c r="F1861" s="150"/>
      <c r="G1861" s="145"/>
      <c r="H1861" s="145"/>
      <c r="I1861" s="145"/>
      <c r="J1861" s="145"/>
    </row>
    <row r="1862" spans="1:10" s="195" customFormat="1" ht="24.95" hidden="1" customHeight="1">
      <c r="A1862" s="141"/>
      <c r="B1862" s="141"/>
      <c r="C1862" s="142"/>
      <c r="D1862" s="141"/>
      <c r="E1862" s="150"/>
      <c r="F1862" s="150"/>
      <c r="G1862" s="145"/>
      <c r="H1862" s="145"/>
      <c r="I1862" s="145"/>
      <c r="J1862" s="145"/>
    </row>
    <row r="1863" spans="1:10" s="195" customFormat="1" ht="24.95" hidden="1" customHeight="1">
      <c r="A1863" s="141"/>
      <c r="B1863" s="141"/>
      <c r="C1863" s="142"/>
      <c r="D1863" s="141"/>
      <c r="E1863" s="150"/>
      <c r="F1863" s="150"/>
      <c r="G1863" s="145"/>
      <c r="H1863" s="145"/>
      <c r="I1863" s="145"/>
      <c r="J1863" s="145"/>
    </row>
    <row r="1864" spans="1:10" s="195" customFormat="1" ht="24.95" hidden="1" customHeight="1">
      <c r="A1864" s="141"/>
      <c r="B1864" s="141"/>
      <c r="C1864" s="142"/>
      <c r="D1864" s="141"/>
      <c r="E1864" s="150"/>
      <c r="F1864" s="150"/>
      <c r="G1864" s="145"/>
      <c r="H1864" s="145"/>
      <c r="I1864" s="145"/>
      <c r="J1864" s="145"/>
    </row>
    <row r="1865" spans="1:10" s="195" customFormat="1" ht="24.95" hidden="1" customHeight="1">
      <c r="A1865" s="141"/>
      <c r="B1865" s="141"/>
      <c r="C1865" s="142"/>
      <c r="D1865" s="143"/>
      <c r="E1865" s="150"/>
      <c r="F1865" s="150"/>
      <c r="G1865" s="145"/>
      <c r="H1865" s="145"/>
      <c r="I1865" s="145"/>
      <c r="J1865" s="145"/>
    </row>
    <row r="1866" spans="1:10" s="195" customFormat="1" ht="24.95" hidden="1" customHeight="1">
      <c r="A1866" s="141"/>
      <c r="B1866" s="141"/>
      <c r="C1866" s="142"/>
      <c r="D1866" s="143"/>
      <c r="E1866" s="150"/>
      <c r="F1866" s="150"/>
      <c r="G1866" s="145"/>
      <c r="H1866" s="145"/>
      <c r="I1866" s="145"/>
      <c r="J1866" s="145"/>
    </row>
    <row r="1867" spans="1:10" s="195" customFormat="1" ht="24.95" hidden="1" customHeight="1">
      <c r="A1867" s="141"/>
      <c r="B1867" s="141"/>
      <c r="C1867" s="142"/>
      <c r="D1867" s="141"/>
      <c r="E1867" s="150"/>
      <c r="F1867" s="150"/>
      <c r="G1867" s="145"/>
      <c r="H1867" s="145"/>
      <c r="I1867" s="145"/>
      <c r="J1867" s="145"/>
    </row>
    <row r="1868" spans="1:10" s="195" customFormat="1" ht="24.95" hidden="1" customHeight="1">
      <c r="A1868" s="141"/>
      <c r="B1868" s="141"/>
      <c r="C1868" s="142"/>
      <c r="D1868" s="141"/>
      <c r="E1868" s="150"/>
      <c r="F1868" s="150"/>
      <c r="G1868" s="145"/>
      <c r="H1868" s="145"/>
      <c r="I1868" s="145"/>
      <c r="J1868" s="145"/>
    </row>
    <row r="1869" spans="1:10" s="195" customFormat="1" ht="24.95" hidden="1" customHeight="1">
      <c r="A1869" s="141"/>
      <c r="B1869" s="141"/>
      <c r="C1869" s="142"/>
      <c r="D1869" s="141"/>
      <c r="E1869" s="150"/>
      <c r="F1869" s="150"/>
      <c r="G1869" s="145"/>
      <c r="H1869" s="145"/>
      <c r="I1869" s="145"/>
      <c r="J1869" s="145"/>
    </row>
    <row r="1870" spans="1:10" s="195" customFormat="1" ht="24.95" hidden="1" customHeight="1">
      <c r="A1870" s="141"/>
      <c r="B1870" s="141"/>
      <c r="C1870" s="142"/>
      <c r="D1870" s="141"/>
      <c r="E1870" s="150"/>
      <c r="F1870" s="150"/>
      <c r="G1870" s="145"/>
      <c r="H1870" s="145"/>
      <c r="I1870" s="145"/>
      <c r="J1870" s="145"/>
    </row>
    <row r="1871" spans="1:10" s="195" customFormat="1" ht="24.95" hidden="1" customHeight="1">
      <c r="A1871" s="141"/>
      <c r="B1871" s="141"/>
      <c r="C1871" s="142"/>
      <c r="D1871" s="141"/>
      <c r="E1871" s="150"/>
      <c r="F1871" s="150"/>
      <c r="G1871" s="145"/>
      <c r="H1871" s="145"/>
      <c r="I1871" s="145"/>
      <c r="J1871" s="145"/>
    </row>
    <row r="1872" spans="1:10" s="195" customFormat="1" ht="24.95" hidden="1" customHeight="1">
      <c r="A1872" s="141"/>
      <c r="B1872" s="141"/>
      <c r="C1872" s="142"/>
      <c r="D1872" s="141"/>
      <c r="E1872" s="150"/>
      <c r="F1872" s="150"/>
      <c r="G1872" s="145"/>
      <c r="H1872" s="145"/>
      <c r="I1872" s="145"/>
      <c r="J1872" s="145"/>
    </row>
    <row r="1873" spans="1:10" s="195" customFormat="1" ht="24.95" hidden="1" customHeight="1">
      <c r="A1873" s="141"/>
      <c r="B1873" s="141"/>
      <c r="C1873" s="142"/>
      <c r="D1873" s="141"/>
      <c r="E1873" s="150"/>
      <c r="F1873" s="150"/>
      <c r="G1873" s="145"/>
      <c r="H1873" s="145"/>
      <c r="I1873" s="145"/>
      <c r="J1873" s="145"/>
    </row>
    <row r="1874" spans="1:10" s="195" customFormat="1" ht="24.95" hidden="1" customHeight="1">
      <c r="A1874" s="141"/>
      <c r="B1874" s="141"/>
      <c r="C1874" s="142"/>
      <c r="D1874" s="141"/>
      <c r="E1874" s="150"/>
      <c r="F1874" s="150"/>
      <c r="G1874" s="145"/>
      <c r="H1874" s="145"/>
      <c r="I1874" s="145"/>
      <c r="J1874" s="145"/>
    </row>
    <row r="1875" spans="1:10" s="195" customFormat="1" ht="24.95" hidden="1" customHeight="1">
      <c r="A1875" s="141"/>
      <c r="B1875" s="141"/>
      <c r="C1875" s="142"/>
      <c r="D1875" s="141"/>
      <c r="E1875" s="150"/>
      <c r="F1875" s="150"/>
      <c r="G1875" s="145"/>
      <c r="H1875" s="145"/>
      <c r="I1875" s="145"/>
      <c r="J1875" s="145"/>
    </row>
    <row r="1876" spans="1:10" s="195" customFormat="1" ht="24.95" hidden="1" customHeight="1">
      <c r="A1876" s="141"/>
      <c r="B1876" s="141"/>
      <c r="C1876" s="142"/>
      <c r="D1876" s="141"/>
      <c r="E1876" s="150"/>
      <c r="F1876" s="150"/>
      <c r="G1876" s="145"/>
      <c r="H1876" s="145"/>
      <c r="I1876" s="145"/>
      <c r="J1876" s="145"/>
    </row>
    <row r="1877" spans="1:10" s="195" customFormat="1" ht="24.95" hidden="1" customHeight="1">
      <c r="A1877" s="141"/>
      <c r="B1877" s="141"/>
      <c r="C1877" s="142"/>
      <c r="D1877" s="141"/>
      <c r="E1877" s="150"/>
      <c r="F1877" s="150"/>
      <c r="G1877" s="145"/>
      <c r="H1877" s="145"/>
      <c r="I1877" s="145"/>
      <c r="J1877" s="145"/>
    </row>
    <row r="1878" spans="1:10" s="195" customFormat="1" ht="24.95" hidden="1" customHeight="1">
      <c r="A1878" s="141"/>
      <c r="B1878" s="141"/>
      <c r="C1878" s="142"/>
      <c r="D1878" s="141"/>
      <c r="E1878" s="150"/>
      <c r="F1878" s="150"/>
      <c r="G1878" s="145"/>
      <c r="H1878" s="145"/>
      <c r="I1878" s="145"/>
      <c r="J1878" s="145"/>
    </row>
    <row r="1879" spans="1:10" s="195" customFormat="1" ht="24.95" hidden="1" customHeight="1">
      <c r="A1879" s="141"/>
      <c r="B1879" s="141"/>
      <c r="C1879" s="142"/>
      <c r="D1879" s="141"/>
      <c r="E1879" s="150"/>
      <c r="F1879" s="150"/>
      <c r="G1879" s="145"/>
      <c r="H1879" s="145"/>
      <c r="I1879" s="145"/>
      <c r="J1879" s="145"/>
    </row>
    <row r="1880" spans="1:10" s="195" customFormat="1" ht="24.95" hidden="1" customHeight="1">
      <c r="A1880" s="141"/>
      <c r="B1880" s="141"/>
      <c r="C1880" s="142"/>
      <c r="D1880" s="141"/>
      <c r="E1880" s="150"/>
      <c r="F1880" s="150"/>
      <c r="G1880" s="145"/>
      <c r="H1880" s="145"/>
      <c r="I1880" s="145"/>
      <c r="J1880" s="145"/>
    </row>
    <row r="1881" spans="1:10" s="195" customFormat="1" ht="24.95" hidden="1" customHeight="1">
      <c r="A1881" s="141"/>
      <c r="B1881" s="141"/>
      <c r="C1881" s="142"/>
      <c r="D1881" s="141"/>
      <c r="E1881" s="150"/>
      <c r="F1881" s="150"/>
      <c r="G1881" s="145"/>
      <c r="H1881" s="145"/>
      <c r="I1881" s="145"/>
      <c r="J1881" s="145"/>
    </row>
    <row r="1882" spans="1:10" s="195" customFormat="1" ht="24.95" hidden="1" customHeight="1">
      <c r="A1882" s="141"/>
      <c r="B1882" s="141"/>
      <c r="C1882" s="142"/>
      <c r="D1882" s="141"/>
      <c r="E1882" s="150"/>
      <c r="F1882" s="150"/>
      <c r="G1882" s="145"/>
      <c r="H1882" s="145"/>
      <c r="I1882" s="145"/>
      <c r="J1882" s="145"/>
    </row>
    <row r="1883" spans="1:10" s="195" customFormat="1" ht="24.95" hidden="1" customHeight="1">
      <c r="A1883" s="141"/>
      <c r="B1883" s="141"/>
      <c r="C1883" s="142"/>
      <c r="D1883" s="141"/>
      <c r="E1883" s="150"/>
      <c r="F1883" s="150"/>
      <c r="G1883" s="145"/>
      <c r="H1883" s="145"/>
      <c r="I1883" s="145"/>
      <c r="J1883" s="145"/>
    </row>
    <row r="1884" spans="1:10" s="195" customFormat="1" ht="24.95" hidden="1" customHeight="1">
      <c r="A1884" s="141"/>
      <c r="B1884" s="141"/>
      <c r="C1884" s="142"/>
      <c r="D1884" s="141"/>
      <c r="E1884" s="150"/>
      <c r="F1884" s="150"/>
      <c r="G1884" s="145"/>
      <c r="H1884" s="145"/>
      <c r="I1884" s="145"/>
      <c r="J1884" s="145"/>
    </row>
    <row r="1885" spans="1:10" s="195" customFormat="1" ht="24.95" hidden="1" customHeight="1">
      <c r="A1885" s="141"/>
      <c r="B1885" s="141"/>
      <c r="C1885" s="142"/>
      <c r="D1885" s="141"/>
      <c r="E1885" s="150"/>
      <c r="F1885" s="150"/>
      <c r="G1885" s="145"/>
      <c r="H1885" s="145"/>
      <c r="I1885" s="145"/>
      <c r="J1885" s="145"/>
    </row>
    <row r="1886" spans="1:10" s="195" customFormat="1" ht="24.95" hidden="1" customHeight="1">
      <c r="A1886" s="141"/>
      <c r="B1886" s="141"/>
      <c r="C1886" s="142"/>
      <c r="D1886" s="141"/>
      <c r="E1886" s="150"/>
      <c r="F1886" s="150"/>
      <c r="G1886" s="145"/>
      <c r="H1886" s="145"/>
      <c r="I1886" s="145"/>
      <c r="J1886" s="145"/>
    </row>
    <row r="1887" spans="1:10" s="195" customFormat="1" ht="24.95" hidden="1" customHeight="1">
      <c r="A1887" s="141"/>
      <c r="B1887" s="141"/>
      <c r="C1887" s="142"/>
      <c r="D1887" s="141"/>
      <c r="E1887" s="150"/>
      <c r="F1887" s="150"/>
      <c r="G1887" s="145"/>
      <c r="H1887" s="145"/>
      <c r="I1887" s="145"/>
      <c r="J1887" s="145"/>
    </row>
    <row r="1888" spans="1:10" s="195" customFormat="1" ht="24.95" hidden="1" customHeight="1">
      <c r="A1888" s="141"/>
      <c r="B1888" s="141"/>
      <c r="C1888" s="142"/>
      <c r="D1888" s="141"/>
      <c r="E1888" s="150"/>
      <c r="F1888" s="150"/>
      <c r="G1888" s="145"/>
      <c r="H1888" s="145"/>
      <c r="I1888" s="145"/>
      <c r="J1888" s="145"/>
    </row>
    <row r="1889" spans="1:10" s="195" customFormat="1" ht="24.95" hidden="1" customHeight="1">
      <c r="A1889" s="141"/>
      <c r="B1889" s="141"/>
      <c r="C1889" s="142"/>
      <c r="D1889" s="141"/>
      <c r="E1889" s="150"/>
      <c r="F1889" s="150"/>
      <c r="G1889" s="145"/>
      <c r="H1889" s="145"/>
      <c r="I1889" s="145"/>
      <c r="J1889" s="145"/>
    </row>
    <row r="1890" spans="1:10" s="195" customFormat="1" ht="24.95" hidden="1" customHeight="1">
      <c r="A1890" s="141"/>
      <c r="B1890" s="141"/>
      <c r="C1890" s="142"/>
      <c r="D1890" s="141"/>
      <c r="E1890" s="150"/>
      <c r="F1890" s="150"/>
      <c r="G1890" s="145"/>
      <c r="H1890" s="145"/>
      <c r="I1890" s="145"/>
      <c r="J1890" s="145"/>
    </row>
    <row r="1891" spans="1:10" s="195" customFormat="1" ht="24.95" hidden="1" customHeight="1">
      <c r="A1891" s="141"/>
      <c r="B1891" s="141"/>
      <c r="C1891" s="142"/>
      <c r="D1891" s="141"/>
      <c r="E1891" s="150"/>
      <c r="F1891" s="150"/>
      <c r="G1891" s="145"/>
      <c r="H1891" s="145"/>
      <c r="I1891" s="145"/>
      <c r="J1891" s="145"/>
    </row>
    <row r="1892" spans="1:10" s="195" customFormat="1" ht="24.95" hidden="1" customHeight="1">
      <c r="A1892" s="141"/>
      <c r="B1892" s="141"/>
      <c r="C1892" s="142"/>
      <c r="D1892" s="141"/>
      <c r="E1892" s="150"/>
      <c r="F1892" s="150"/>
      <c r="G1892" s="145"/>
      <c r="H1892" s="145"/>
      <c r="I1892" s="145"/>
      <c r="J1892" s="145"/>
    </row>
    <row r="1893" spans="1:10" s="195" customFormat="1" ht="24.95" hidden="1" customHeight="1">
      <c r="A1893" s="141"/>
      <c r="B1893" s="141"/>
      <c r="C1893" s="142"/>
      <c r="D1893" s="141"/>
      <c r="E1893" s="150"/>
      <c r="F1893" s="150"/>
      <c r="G1893" s="145"/>
      <c r="H1893" s="145"/>
      <c r="I1893" s="145"/>
      <c r="J1893" s="145"/>
    </row>
    <row r="1894" spans="1:10" s="195" customFormat="1" ht="24.95" hidden="1" customHeight="1">
      <c r="A1894" s="141"/>
      <c r="B1894" s="141"/>
      <c r="C1894" s="142"/>
      <c r="D1894" s="141"/>
      <c r="E1894" s="150"/>
      <c r="F1894" s="150"/>
      <c r="G1894" s="145"/>
      <c r="H1894" s="145"/>
      <c r="I1894" s="145"/>
      <c r="J1894" s="145"/>
    </row>
    <row r="1895" spans="1:10" s="195" customFormat="1" ht="24.95" hidden="1" customHeight="1">
      <c r="A1895" s="141"/>
      <c r="B1895" s="141"/>
      <c r="C1895" s="142"/>
      <c r="D1895" s="141"/>
      <c r="E1895" s="150"/>
      <c r="F1895" s="150"/>
      <c r="G1895" s="145"/>
      <c r="H1895" s="145"/>
      <c r="I1895" s="145"/>
      <c r="J1895" s="145"/>
    </row>
    <row r="1896" spans="1:10" s="195" customFormat="1" ht="24.95" hidden="1" customHeight="1">
      <c r="A1896" s="141"/>
      <c r="B1896" s="141"/>
      <c r="C1896" s="142"/>
      <c r="D1896" s="141"/>
      <c r="E1896" s="150"/>
      <c r="F1896" s="150"/>
      <c r="G1896" s="145"/>
      <c r="H1896" s="145"/>
      <c r="I1896" s="145"/>
      <c r="J1896" s="145"/>
    </row>
    <row r="1897" spans="1:10" s="195" customFormat="1" ht="24.95" hidden="1" customHeight="1">
      <c r="A1897" s="141"/>
      <c r="B1897" s="141"/>
      <c r="C1897" s="142"/>
      <c r="D1897" s="141"/>
      <c r="E1897" s="150"/>
      <c r="F1897" s="150"/>
      <c r="G1897" s="145"/>
      <c r="H1897" s="145"/>
      <c r="I1897" s="145"/>
      <c r="J1897" s="145"/>
    </row>
    <row r="1898" spans="1:10" s="195" customFormat="1" ht="24.95" hidden="1" customHeight="1">
      <c r="A1898" s="141"/>
      <c r="B1898" s="141"/>
      <c r="C1898" s="142"/>
      <c r="D1898" s="141"/>
      <c r="E1898" s="150"/>
      <c r="F1898" s="150"/>
      <c r="G1898" s="145"/>
      <c r="H1898" s="145"/>
      <c r="I1898" s="145"/>
      <c r="J1898" s="145"/>
    </row>
    <row r="1899" spans="1:10" s="195" customFormat="1" ht="24.95" hidden="1" customHeight="1">
      <c r="A1899" s="141"/>
      <c r="B1899" s="141"/>
      <c r="C1899" s="142"/>
      <c r="D1899" s="141"/>
      <c r="E1899" s="150"/>
      <c r="F1899" s="150"/>
      <c r="G1899" s="145"/>
      <c r="H1899" s="145"/>
      <c r="I1899" s="145"/>
      <c r="J1899" s="145"/>
    </row>
    <row r="1900" spans="1:10" s="195" customFormat="1" ht="24.95" hidden="1" customHeight="1">
      <c r="A1900" s="141"/>
      <c r="B1900" s="141"/>
      <c r="C1900" s="142"/>
      <c r="D1900" s="141"/>
      <c r="E1900" s="150"/>
      <c r="F1900" s="150"/>
      <c r="G1900" s="145"/>
      <c r="H1900" s="145"/>
      <c r="I1900" s="145"/>
      <c r="J1900" s="145"/>
    </row>
    <row r="1901" spans="1:10" s="195" customFormat="1" ht="24.95" hidden="1" customHeight="1">
      <c r="A1901" s="141"/>
      <c r="B1901" s="141"/>
      <c r="C1901" s="142"/>
      <c r="D1901" s="141"/>
      <c r="E1901" s="150"/>
      <c r="F1901" s="150"/>
      <c r="G1901" s="145"/>
      <c r="H1901" s="145"/>
      <c r="I1901" s="145"/>
      <c r="J1901" s="145"/>
    </row>
    <row r="1902" spans="1:10" s="195" customFormat="1" ht="24.95" hidden="1" customHeight="1">
      <c r="A1902" s="141"/>
      <c r="B1902" s="141"/>
      <c r="C1902" s="142"/>
      <c r="D1902" s="141"/>
      <c r="E1902" s="150"/>
      <c r="F1902" s="150"/>
      <c r="G1902" s="145"/>
      <c r="H1902" s="145"/>
      <c r="I1902" s="145"/>
      <c r="J1902" s="145"/>
    </row>
    <row r="1903" spans="1:10" s="195" customFormat="1" ht="24.95" hidden="1" customHeight="1">
      <c r="A1903" s="141"/>
      <c r="B1903" s="141"/>
      <c r="C1903" s="142"/>
      <c r="D1903" s="141"/>
      <c r="E1903" s="150"/>
      <c r="F1903" s="150"/>
      <c r="G1903" s="145"/>
      <c r="H1903" s="145"/>
      <c r="I1903" s="145"/>
      <c r="J1903" s="145"/>
    </row>
    <row r="1904" spans="1:10" s="195" customFormat="1" ht="24.95" hidden="1" customHeight="1">
      <c r="A1904" s="141"/>
      <c r="B1904" s="141"/>
      <c r="C1904" s="142"/>
      <c r="D1904" s="141"/>
      <c r="E1904" s="150"/>
      <c r="F1904" s="150"/>
      <c r="G1904" s="145"/>
      <c r="H1904" s="145"/>
      <c r="I1904" s="145"/>
      <c r="J1904" s="145"/>
    </row>
    <row r="1905" spans="1:10" s="195" customFormat="1" ht="24.95" hidden="1" customHeight="1">
      <c r="A1905" s="141"/>
      <c r="B1905" s="141"/>
      <c r="C1905" s="142"/>
      <c r="D1905" s="141"/>
      <c r="E1905" s="150"/>
      <c r="F1905" s="150"/>
      <c r="G1905" s="145"/>
      <c r="H1905" s="145"/>
      <c r="I1905" s="145"/>
      <c r="J1905" s="145"/>
    </row>
    <row r="1906" spans="1:10" s="195" customFormat="1" ht="24.95" hidden="1" customHeight="1">
      <c r="A1906" s="141"/>
      <c r="B1906" s="141"/>
      <c r="C1906" s="142"/>
      <c r="D1906" s="141"/>
      <c r="E1906" s="150"/>
      <c r="F1906" s="150"/>
      <c r="G1906" s="145"/>
      <c r="H1906" s="145"/>
      <c r="I1906" s="145"/>
      <c r="J1906" s="145"/>
    </row>
    <row r="1907" spans="1:10" s="195" customFormat="1" ht="24.95" hidden="1" customHeight="1">
      <c r="A1907" s="141"/>
      <c r="B1907" s="141"/>
      <c r="C1907" s="142"/>
      <c r="D1907" s="141"/>
      <c r="E1907" s="150"/>
      <c r="F1907" s="150"/>
      <c r="G1907" s="145"/>
      <c r="H1907" s="145"/>
      <c r="I1907" s="145"/>
      <c r="J1907" s="145"/>
    </row>
    <row r="1908" spans="1:10" s="195" customFormat="1" ht="24.95" hidden="1" customHeight="1">
      <c r="A1908" s="141"/>
      <c r="B1908" s="141"/>
      <c r="C1908" s="142"/>
      <c r="D1908" s="141"/>
      <c r="E1908" s="150"/>
      <c r="F1908" s="150"/>
      <c r="G1908" s="145"/>
      <c r="H1908" s="145"/>
      <c r="I1908" s="145"/>
      <c r="J1908" s="145"/>
    </row>
    <row r="1909" spans="1:10" s="195" customFormat="1" ht="24.95" hidden="1" customHeight="1">
      <c r="A1909" s="141"/>
      <c r="B1909" s="141"/>
      <c r="C1909" s="142"/>
      <c r="D1909" s="141"/>
      <c r="E1909" s="150"/>
      <c r="F1909" s="150"/>
      <c r="G1909" s="145"/>
      <c r="H1909" s="145"/>
      <c r="I1909" s="145"/>
      <c r="J1909" s="145"/>
    </row>
    <row r="1910" spans="1:10" s="195" customFormat="1" ht="24.95" hidden="1" customHeight="1">
      <c r="A1910" s="141"/>
      <c r="B1910" s="141"/>
      <c r="C1910" s="142"/>
      <c r="D1910" s="141"/>
      <c r="E1910" s="150"/>
      <c r="F1910" s="150"/>
      <c r="G1910" s="145"/>
      <c r="H1910" s="145"/>
      <c r="I1910" s="145"/>
      <c r="J1910" s="145"/>
    </row>
    <row r="1911" spans="1:10" s="195" customFormat="1" ht="24.95" hidden="1" customHeight="1">
      <c r="A1911" s="141"/>
      <c r="B1911" s="141"/>
      <c r="C1911" s="142"/>
      <c r="D1911" s="141"/>
      <c r="E1911" s="150"/>
      <c r="F1911" s="150"/>
      <c r="G1911" s="145"/>
      <c r="H1911" s="145"/>
      <c r="I1911" s="145"/>
      <c r="J1911" s="145"/>
    </row>
    <row r="1912" spans="1:10" s="195" customFormat="1" ht="24.95" hidden="1" customHeight="1">
      <c r="A1912" s="141"/>
      <c r="B1912" s="141"/>
      <c r="C1912" s="142"/>
      <c r="D1912" s="141"/>
      <c r="E1912" s="150"/>
      <c r="F1912" s="150"/>
      <c r="G1912" s="145"/>
      <c r="H1912" s="145"/>
      <c r="I1912" s="145"/>
      <c r="J1912" s="145"/>
    </row>
    <row r="1913" spans="1:10" s="195" customFormat="1" ht="24.95" hidden="1" customHeight="1">
      <c r="A1913" s="141"/>
      <c r="B1913" s="141"/>
      <c r="C1913" s="142"/>
      <c r="D1913" s="141"/>
      <c r="E1913" s="150"/>
      <c r="F1913" s="150"/>
      <c r="G1913" s="145"/>
      <c r="H1913" s="145"/>
      <c r="I1913" s="145"/>
      <c r="J1913" s="145"/>
    </row>
    <row r="1914" spans="1:10" s="195" customFormat="1" ht="24.95" hidden="1" customHeight="1">
      <c r="A1914" s="141"/>
      <c r="B1914" s="141"/>
      <c r="C1914" s="142"/>
      <c r="D1914" s="141"/>
      <c r="E1914" s="150"/>
      <c r="F1914" s="150"/>
      <c r="G1914" s="145"/>
      <c r="H1914" s="145"/>
      <c r="I1914" s="145"/>
      <c r="J1914" s="145"/>
    </row>
    <row r="1915" spans="1:10" s="195" customFormat="1" ht="24.95" hidden="1" customHeight="1">
      <c r="A1915" s="141"/>
      <c r="B1915" s="141"/>
      <c r="C1915" s="142"/>
      <c r="D1915" s="141"/>
      <c r="E1915" s="150"/>
      <c r="F1915" s="150"/>
      <c r="G1915" s="145"/>
      <c r="H1915" s="145"/>
      <c r="I1915" s="145"/>
      <c r="J1915" s="145"/>
    </row>
    <row r="1916" spans="1:10" s="195" customFormat="1" ht="24.95" hidden="1" customHeight="1">
      <c r="A1916" s="141"/>
      <c r="B1916" s="141"/>
      <c r="C1916" s="142"/>
      <c r="D1916" s="141"/>
      <c r="E1916" s="150"/>
      <c r="F1916" s="150"/>
      <c r="G1916" s="145"/>
      <c r="H1916" s="145"/>
      <c r="I1916" s="145"/>
      <c r="J1916" s="145"/>
    </row>
    <row r="1917" spans="1:10" s="195" customFormat="1" ht="24.95" hidden="1" customHeight="1">
      <c r="A1917" s="141"/>
      <c r="B1917" s="141"/>
      <c r="C1917" s="142"/>
      <c r="D1917" s="141"/>
      <c r="E1917" s="150"/>
      <c r="F1917" s="150"/>
      <c r="G1917" s="145"/>
      <c r="H1917" s="145"/>
      <c r="I1917" s="145"/>
      <c r="J1917" s="145"/>
    </row>
    <row r="1918" spans="1:10" s="195" customFormat="1" ht="24.95" hidden="1" customHeight="1">
      <c r="A1918" s="141"/>
      <c r="B1918" s="141"/>
      <c r="C1918" s="142"/>
      <c r="D1918" s="141"/>
      <c r="E1918" s="150"/>
      <c r="F1918" s="150"/>
      <c r="G1918" s="145"/>
      <c r="H1918" s="145"/>
      <c r="I1918" s="145"/>
      <c r="J1918" s="145"/>
    </row>
    <row r="1919" spans="1:10" s="195" customFormat="1" ht="24.95" hidden="1" customHeight="1">
      <c r="A1919" s="141"/>
      <c r="B1919" s="141"/>
      <c r="C1919" s="142"/>
      <c r="D1919" s="141"/>
      <c r="E1919" s="150"/>
      <c r="F1919" s="150"/>
      <c r="G1919" s="145"/>
      <c r="H1919" s="145"/>
      <c r="I1919" s="145"/>
      <c r="J1919" s="145"/>
    </row>
    <row r="1920" spans="1:10" s="195" customFormat="1" ht="24.95" hidden="1" customHeight="1">
      <c r="A1920" s="141"/>
      <c r="B1920" s="141"/>
      <c r="C1920" s="142"/>
      <c r="D1920" s="141"/>
      <c r="E1920" s="150"/>
      <c r="F1920" s="150"/>
      <c r="G1920" s="145"/>
      <c r="H1920" s="145"/>
      <c r="I1920" s="145"/>
      <c r="J1920" s="145"/>
    </row>
    <row r="1921" spans="1:10" s="195" customFormat="1" ht="24.95" hidden="1" customHeight="1">
      <c r="A1921" s="141"/>
      <c r="B1921" s="141"/>
      <c r="C1921" s="142"/>
      <c r="D1921" s="141"/>
      <c r="E1921" s="150"/>
      <c r="F1921" s="150"/>
      <c r="G1921" s="145"/>
      <c r="H1921" s="145"/>
      <c r="I1921" s="145"/>
      <c r="J1921" s="145"/>
    </row>
    <row r="1922" spans="1:10" s="195" customFormat="1" ht="24.95" hidden="1" customHeight="1">
      <c r="A1922" s="141"/>
      <c r="B1922" s="141"/>
      <c r="C1922" s="142"/>
      <c r="D1922" s="141"/>
      <c r="E1922" s="150"/>
      <c r="F1922" s="150"/>
      <c r="G1922" s="145"/>
      <c r="H1922" s="145"/>
      <c r="I1922" s="145"/>
      <c r="J1922" s="145"/>
    </row>
    <row r="1923" spans="1:10" s="195" customFormat="1" ht="24.95" hidden="1" customHeight="1">
      <c r="A1923" s="141"/>
      <c r="B1923" s="141"/>
      <c r="C1923" s="142"/>
      <c r="D1923" s="141"/>
      <c r="E1923" s="150"/>
      <c r="F1923" s="150"/>
      <c r="G1923" s="145"/>
      <c r="H1923" s="145"/>
      <c r="I1923" s="145"/>
      <c r="J1923" s="145"/>
    </row>
    <row r="1924" spans="1:10" s="195" customFormat="1" ht="24.95" hidden="1" customHeight="1">
      <c r="A1924" s="141"/>
      <c r="B1924" s="141"/>
      <c r="C1924" s="142"/>
      <c r="D1924" s="141"/>
      <c r="E1924" s="150"/>
      <c r="F1924" s="150"/>
      <c r="G1924" s="145"/>
      <c r="H1924" s="145"/>
      <c r="I1924" s="145"/>
      <c r="J1924" s="145"/>
    </row>
    <row r="1925" spans="1:10" s="195" customFormat="1" ht="24.95" hidden="1" customHeight="1">
      <c r="A1925" s="141"/>
      <c r="B1925" s="141"/>
      <c r="C1925" s="142"/>
      <c r="D1925" s="141"/>
      <c r="E1925" s="150"/>
      <c r="F1925" s="150"/>
      <c r="G1925" s="145"/>
      <c r="H1925" s="145"/>
      <c r="I1925" s="145"/>
      <c r="J1925" s="145"/>
    </row>
    <row r="1926" spans="1:10" s="195" customFormat="1" ht="24.95" hidden="1" customHeight="1">
      <c r="A1926" s="141"/>
      <c r="B1926" s="141"/>
      <c r="C1926" s="142"/>
      <c r="D1926" s="141"/>
      <c r="E1926" s="150"/>
      <c r="F1926" s="150"/>
      <c r="G1926" s="145"/>
      <c r="H1926" s="145"/>
      <c r="I1926" s="145"/>
      <c r="J1926" s="145"/>
    </row>
    <row r="1927" spans="1:10" s="195" customFormat="1" ht="24.95" hidden="1" customHeight="1">
      <c r="A1927" s="141"/>
      <c r="B1927" s="141"/>
      <c r="C1927" s="142"/>
      <c r="D1927" s="141"/>
      <c r="E1927" s="150"/>
      <c r="F1927" s="150"/>
      <c r="G1927" s="145"/>
      <c r="H1927" s="145"/>
      <c r="I1927" s="145"/>
      <c r="J1927" s="145"/>
    </row>
    <row r="1928" spans="1:10" s="195" customFormat="1" ht="24.95" hidden="1" customHeight="1">
      <c r="A1928" s="141"/>
      <c r="B1928" s="141"/>
      <c r="C1928" s="142"/>
      <c r="D1928" s="141"/>
      <c r="E1928" s="150"/>
      <c r="F1928" s="150"/>
      <c r="G1928" s="145"/>
      <c r="H1928" s="145"/>
      <c r="I1928" s="145"/>
      <c r="J1928" s="145"/>
    </row>
    <row r="1929" spans="1:10" s="195" customFormat="1" ht="24.95" hidden="1" customHeight="1">
      <c r="A1929" s="141"/>
      <c r="B1929" s="141"/>
      <c r="C1929" s="142"/>
      <c r="D1929" s="141"/>
      <c r="E1929" s="150"/>
      <c r="F1929" s="150"/>
      <c r="G1929" s="145"/>
      <c r="H1929" s="145"/>
      <c r="I1929" s="145"/>
      <c r="J1929" s="145"/>
    </row>
    <row r="1930" spans="1:10" s="195" customFormat="1" ht="24.95" hidden="1" customHeight="1">
      <c r="A1930" s="141"/>
      <c r="B1930" s="141"/>
      <c r="C1930" s="142"/>
      <c r="D1930" s="141"/>
      <c r="E1930" s="150"/>
      <c r="F1930" s="150"/>
      <c r="G1930" s="145"/>
      <c r="H1930" s="145"/>
      <c r="I1930" s="145"/>
      <c r="J1930" s="145"/>
    </row>
    <row r="1931" spans="1:10" s="195" customFormat="1" ht="24.95" hidden="1" customHeight="1">
      <c r="A1931" s="141"/>
      <c r="B1931" s="141"/>
      <c r="C1931" s="142"/>
      <c r="D1931" s="141"/>
      <c r="E1931" s="150"/>
      <c r="F1931" s="150"/>
      <c r="G1931" s="145"/>
      <c r="H1931" s="145"/>
      <c r="I1931" s="145"/>
      <c r="J1931" s="145"/>
    </row>
    <row r="1932" spans="1:10" s="195" customFormat="1" ht="24.95" hidden="1" customHeight="1">
      <c r="A1932" s="141"/>
      <c r="B1932" s="141"/>
      <c r="C1932" s="142"/>
      <c r="D1932" s="141"/>
      <c r="E1932" s="150"/>
      <c r="F1932" s="150"/>
      <c r="G1932" s="145"/>
      <c r="H1932" s="145"/>
      <c r="I1932" s="145"/>
      <c r="J1932" s="145"/>
    </row>
    <row r="1933" spans="1:10" s="195" customFormat="1" ht="24.95" hidden="1" customHeight="1">
      <c r="A1933" s="141"/>
      <c r="B1933" s="141"/>
      <c r="C1933" s="142"/>
      <c r="D1933" s="141"/>
      <c r="E1933" s="150"/>
      <c r="F1933" s="150"/>
      <c r="G1933" s="145"/>
      <c r="H1933" s="145"/>
      <c r="I1933" s="145"/>
      <c r="J1933" s="145"/>
    </row>
    <row r="1934" spans="1:10" s="195" customFormat="1" ht="24.95" hidden="1" customHeight="1">
      <c r="A1934" s="141"/>
      <c r="B1934" s="141"/>
      <c r="C1934" s="142"/>
      <c r="D1934" s="141"/>
      <c r="E1934" s="150"/>
      <c r="F1934" s="150"/>
      <c r="G1934" s="145"/>
      <c r="H1934" s="145"/>
      <c r="I1934" s="145"/>
      <c r="J1934" s="145"/>
    </row>
    <row r="1935" spans="1:10" s="195" customFormat="1" ht="24.95" hidden="1" customHeight="1">
      <c r="A1935" s="138"/>
      <c r="B1935" s="138"/>
      <c r="C1935" s="139"/>
      <c r="D1935" s="138"/>
      <c r="E1935" s="151"/>
      <c r="F1935" s="151"/>
      <c r="G1935" s="146"/>
      <c r="H1935" s="146"/>
      <c r="I1935" s="146"/>
      <c r="J1935" s="146"/>
    </row>
    <row r="1936" spans="1:10" s="195" customFormat="1" ht="24.95" hidden="1" customHeight="1">
      <c r="A1936" s="138"/>
      <c r="B1936" s="138"/>
      <c r="C1936" s="139"/>
      <c r="D1936" s="138"/>
      <c r="E1936" s="151"/>
      <c r="F1936" s="151"/>
      <c r="G1936" s="146"/>
      <c r="H1936" s="146"/>
      <c r="I1936" s="146"/>
      <c r="J1936" s="146"/>
    </row>
    <row r="1937" spans="1:10" s="195" customFormat="1" ht="24.95" hidden="1" customHeight="1">
      <c r="A1937" s="138"/>
      <c r="B1937" s="138"/>
      <c r="C1937" s="139"/>
      <c r="D1937" s="138"/>
      <c r="E1937" s="151"/>
      <c r="F1937" s="151"/>
      <c r="G1937" s="146"/>
      <c r="H1937" s="146"/>
      <c r="I1937" s="146"/>
      <c r="J1937" s="146"/>
    </row>
    <row r="1938" spans="1:10" s="195" customFormat="1" ht="24.95" hidden="1" customHeight="1">
      <c r="A1938" s="138"/>
      <c r="B1938" s="138"/>
      <c r="C1938" s="139"/>
      <c r="D1938" s="138"/>
      <c r="E1938" s="151"/>
      <c r="F1938" s="151"/>
      <c r="G1938" s="146"/>
      <c r="H1938" s="146"/>
      <c r="I1938" s="146"/>
      <c r="J1938" s="146"/>
    </row>
    <row r="1939" spans="1:10" s="195" customFormat="1" ht="24.95" hidden="1" customHeight="1">
      <c r="A1939" s="138"/>
      <c r="B1939" s="138"/>
      <c r="C1939" s="139"/>
      <c r="D1939" s="138"/>
      <c r="E1939" s="151"/>
      <c r="F1939" s="151"/>
      <c r="G1939" s="146"/>
      <c r="H1939" s="146"/>
      <c r="I1939" s="146"/>
      <c r="J1939" s="146"/>
    </row>
    <row r="1940" spans="1:10" s="195" customFormat="1" ht="24.95" hidden="1" customHeight="1">
      <c r="A1940" s="138"/>
      <c r="B1940" s="138"/>
      <c r="C1940" s="139"/>
      <c r="D1940" s="138"/>
      <c r="E1940" s="151"/>
      <c r="F1940" s="151"/>
      <c r="G1940" s="146"/>
      <c r="H1940" s="146"/>
      <c r="I1940" s="146"/>
      <c r="J1940" s="146"/>
    </row>
    <row r="1941" spans="1:10" s="195" customFormat="1" ht="24.95" hidden="1" customHeight="1">
      <c r="A1941" s="138"/>
      <c r="B1941" s="138"/>
      <c r="C1941" s="139"/>
      <c r="D1941" s="138"/>
      <c r="E1941" s="151"/>
      <c r="F1941" s="151"/>
      <c r="G1941" s="146"/>
      <c r="H1941" s="146"/>
      <c r="I1941" s="146"/>
      <c r="J1941" s="146"/>
    </row>
    <row r="1942" spans="1:10" s="195" customFormat="1" ht="24.95" hidden="1" customHeight="1">
      <c r="A1942" s="138"/>
      <c r="B1942" s="138"/>
      <c r="C1942" s="139"/>
      <c r="D1942" s="138"/>
      <c r="E1942" s="151"/>
      <c r="F1942" s="151"/>
      <c r="G1942" s="146"/>
      <c r="H1942" s="146"/>
      <c r="I1942" s="146"/>
      <c r="J1942" s="146"/>
    </row>
    <row r="1943" spans="1:10" s="195" customFormat="1" ht="24.95" hidden="1" customHeight="1">
      <c r="A1943" s="138"/>
      <c r="B1943" s="138"/>
      <c r="C1943" s="139"/>
      <c r="D1943" s="138"/>
      <c r="E1943" s="151"/>
      <c r="F1943" s="151"/>
      <c r="G1943" s="146"/>
      <c r="H1943" s="146"/>
      <c r="I1943" s="146"/>
      <c r="J1943" s="146"/>
    </row>
    <row r="1944" spans="1:10" s="195" customFormat="1" ht="24.95" hidden="1" customHeight="1">
      <c r="A1944" s="138"/>
      <c r="B1944" s="138"/>
      <c r="C1944" s="139"/>
      <c r="D1944" s="138"/>
      <c r="E1944" s="151"/>
      <c r="F1944" s="151"/>
      <c r="G1944" s="146"/>
      <c r="H1944" s="146"/>
      <c r="I1944" s="146"/>
      <c r="J1944" s="146"/>
    </row>
    <row r="1945" spans="1:10" s="195" customFormat="1" ht="24.95" hidden="1" customHeight="1">
      <c r="A1945" s="138"/>
      <c r="B1945" s="138"/>
      <c r="C1945" s="139"/>
      <c r="D1945" s="138"/>
      <c r="E1945" s="151"/>
      <c r="F1945" s="151"/>
      <c r="G1945" s="146"/>
      <c r="H1945" s="146"/>
      <c r="I1945" s="146"/>
      <c r="J1945" s="146"/>
    </row>
    <row r="1946" spans="1:10" s="195" customFormat="1" ht="24.95" hidden="1" customHeight="1">
      <c r="A1946" s="138"/>
      <c r="B1946" s="138"/>
      <c r="C1946" s="139"/>
      <c r="D1946" s="138"/>
      <c r="E1946" s="151"/>
      <c r="F1946" s="151"/>
      <c r="G1946" s="146"/>
      <c r="H1946" s="146"/>
      <c r="I1946" s="146"/>
      <c r="J1946" s="146"/>
    </row>
    <row r="1947" spans="1:10" s="195" customFormat="1" ht="24.95" hidden="1" customHeight="1">
      <c r="A1947" s="138"/>
      <c r="B1947" s="138"/>
      <c r="C1947" s="139"/>
      <c r="D1947" s="138"/>
      <c r="E1947" s="151"/>
      <c r="F1947" s="151"/>
      <c r="G1947" s="146"/>
      <c r="H1947" s="146"/>
      <c r="I1947" s="146"/>
      <c r="J1947" s="146"/>
    </row>
    <row r="1948" spans="1:10" s="195" customFormat="1" ht="24.95" hidden="1" customHeight="1">
      <c r="A1948" s="138"/>
      <c r="B1948" s="138"/>
      <c r="C1948" s="139"/>
      <c r="D1948" s="138"/>
      <c r="E1948" s="151"/>
      <c r="F1948" s="151"/>
      <c r="G1948" s="146"/>
      <c r="H1948" s="146"/>
      <c r="I1948" s="146"/>
      <c r="J1948" s="146"/>
    </row>
    <row r="1949" spans="1:10" s="195" customFormat="1" ht="24.95" hidden="1" customHeight="1">
      <c r="A1949" s="138"/>
      <c r="B1949" s="138"/>
      <c r="C1949" s="139"/>
      <c r="D1949" s="138"/>
      <c r="E1949" s="151"/>
      <c r="F1949" s="151"/>
      <c r="G1949" s="146"/>
      <c r="H1949" s="146"/>
      <c r="I1949" s="146"/>
      <c r="J1949" s="146"/>
    </row>
    <row r="1950" spans="1:10" s="195" customFormat="1" ht="24.95" hidden="1" customHeight="1">
      <c r="A1950" s="138"/>
      <c r="B1950" s="138"/>
      <c r="C1950" s="139"/>
      <c r="D1950" s="138"/>
      <c r="E1950" s="151"/>
      <c r="F1950" s="151"/>
      <c r="G1950" s="146"/>
      <c r="H1950" s="146"/>
      <c r="I1950" s="146"/>
      <c r="J1950" s="146"/>
    </row>
    <row r="1951" spans="1:10" s="195" customFormat="1" ht="24.95" hidden="1" customHeight="1">
      <c r="A1951" s="138"/>
      <c r="B1951" s="138"/>
      <c r="C1951" s="139"/>
      <c r="D1951" s="138"/>
      <c r="E1951" s="151"/>
      <c r="F1951" s="151"/>
      <c r="G1951" s="146"/>
      <c r="H1951" s="146"/>
      <c r="I1951" s="146"/>
      <c r="J1951" s="146"/>
    </row>
    <row r="1952" spans="1:10" s="195" customFormat="1" ht="24.95" hidden="1" customHeight="1">
      <c r="A1952" s="138"/>
      <c r="B1952" s="138"/>
      <c r="C1952" s="139"/>
      <c r="D1952" s="138"/>
      <c r="E1952" s="151"/>
      <c r="F1952" s="151"/>
      <c r="G1952" s="146"/>
      <c r="H1952" s="146"/>
      <c r="I1952" s="146"/>
      <c r="J1952" s="146"/>
    </row>
    <row r="1953" spans="1:10" s="195" customFormat="1" ht="24.95" hidden="1" customHeight="1">
      <c r="A1953" s="138"/>
      <c r="B1953" s="138"/>
      <c r="C1953" s="139"/>
      <c r="D1953" s="138"/>
      <c r="E1953" s="151"/>
      <c r="F1953" s="151"/>
      <c r="G1953" s="146"/>
      <c r="H1953" s="146"/>
      <c r="I1953" s="146"/>
      <c r="J1953" s="146"/>
    </row>
    <row r="1954" spans="1:10" s="195" customFormat="1" ht="24.95" hidden="1" customHeight="1">
      <c r="A1954" s="138"/>
      <c r="B1954" s="138"/>
      <c r="C1954" s="139"/>
      <c r="D1954" s="138"/>
      <c r="E1954" s="151"/>
      <c r="F1954" s="151"/>
      <c r="G1954" s="146"/>
      <c r="H1954" s="146"/>
      <c r="I1954" s="146"/>
      <c r="J1954" s="146"/>
    </row>
    <row r="1955" spans="1:10" s="195" customFormat="1" ht="24.95" hidden="1" customHeight="1">
      <c r="A1955" s="138"/>
      <c r="B1955" s="138"/>
      <c r="C1955" s="139"/>
      <c r="D1955" s="138"/>
      <c r="E1955" s="151"/>
      <c r="F1955" s="151"/>
      <c r="G1955" s="146"/>
      <c r="H1955" s="146"/>
      <c r="I1955" s="146"/>
      <c r="J1955" s="146"/>
    </row>
    <row r="1956" spans="1:10" s="195" customFormat="1" ht="24.95" hidden="1" customHeight="1">
      <c r="A1956" s="138"/>
      <c r="B1956" s="138"/>
      <c r="C1956" s="139"/>
      <c r="D1956" s="138"/>
      <c r="E1956" s="151"/>
      <c r="F1956" s="151"/>
      <c r="G1956" s="146"/>
      <c r="H1956" s="146"/>
      <c r="I1956" s="146"/>
      <c r="J1956" s="146"/>
    </row>
    <row r="1957" spans="1:10" s="195" customFormat="1" ht="24.95" hidden="1" customHeight="1">
      <c r="A1957" s="138"/>
      <c r="B1957" s="138"/>
      <c r="C1957" s="139"/>
      <c r="D1957" s="138"/>
      <c r="E1957" s="151"/>
      <c r="F1957" s="151"/>
      <c r="G1957" s="146"/>
      <c r="H1957" s="146"/>
      <c r="I1957" s="146"/>
      <c r="J1957" s="146"/>
    </row>
    <row r="1958" spans="1:10" s="195" customFormat="1" ht="24.95" hidden="1" customHeight="1">
      <c r="A1958" s="138"/>
      <c r="B1958" s="138"/>
      <c r="C1958" s="139"/>
      <c r="D1958" s="138"/>
      <c r="E1958" s="151"/>
      <c r="F1958" s="151"/>
      <c r="G1958" s="146"/>
      <c r="H1958" s="146"/>
      <c r="I1958" s="146"/>
      <c r="J1958" s="146"/>
    </row>
    <row r="1959" spans="1:10" s="195" customFormat="1" ht="24.95" hidden="1" customHeight="1">
      <c r="A1959" s="138"/>
      <c r="B1959" s="138"/>
      <c r="C1959" s="139"/>
      <c r="D1959" s="138"/>
      <c r="E1959" s="151"/>
      <c r="F1959" s="151"/>
      <c r="G1959" s="146"/>
      <c r="H1959" s="146"/>
      <c r="I1959" s="146"/>
      <c r="J1959" s="146"/>
    </row>
    <row r="1960" spans="1:10" s="195" customFormat="1" ht="24.95" hidden="1" customHeight="1">
      <c r="A1960" s="138"/>
      <c r="B1960" s="138"/>
      <c r="C1960" s="139"/>
      <c r="D1960" s="138"/>
      <c r="E1960" s="151"/>
      <c r="F1960" s="151"/>
      <c r="G1960" s="146"/>
      <c r="H1960" s="146"/>
      <c r="I1960" s="146"/>
      <c r="J1960" s="146"/>
    </row>
    <row r="1961" spans="1:10" s="195" customFormat="1" ht="24.95" hidden="1" customHeight="1">
      <c r="A1961" s="138"/>
      <c r="B1961" s="138"/>
      <c r="C1961" s="139"/>
      <c r="D1961" s="138"/>
      <c r="E1961" s="151"/>
      <c r="F1961" s="151"/>
      <c r="G1961" s="146"/>
      <c r="H1961" s="146"/>
      <c r="I1961" s="146"/>
      <c r="J1961" s="146"/>
    </row>
    <row r="1962" spans="1:10" s="195" customFormat="1" ht="24.95" hidden="1" customHeight="1">
      <c r="A1962" s="138"/>
      <c r="B1962" s="138"/>
      <c r="C1962" s="139"/>
      <c r="D1962" s="138"/>
      <c r="E1962" s="151"/>
      <c r="F1962" s="151"/>
      <c r="G1962" s="146"/>
      <c r="H1962" s="146"/>
      <c r="I1962" s="146"/>
      <c r="J1962" s="146"/>
    </row>
    <row r="1963" spans="1:10" s="195" customFormat="1" ht="24.95" hidden="1" customHeight="1">
      <c r="A1963" s="138"/>
      <c r="B1963" s="138"/>
      <c r="C1963" s="139"/>
      <c r="D1963" s="138"/>
      <c r="E1963" s="151"/>
      <c r="F1963" s="151"/>
      <c r="G1963" s="146"/>
      <c r="H1963" s="146"/>
      <c r="I1963" s="146"/>
      <c r="J1963" s="146"/>
    </row>
    <row r="1964" spans="1:10" s="195" customFormat="1" ht="24.95" hidden="1" customHeight="1">
      <c r="A1964" s="138"/>
      <c r="B1964" s="138"/>
      <c r="C1964" s="139"/>
      <c r="D1964" s="138"/>
      <c r="E1964" s="151"/>
      <c r="F1964" s="151"/>
      <c r="G1964" s="146"/>
      <c r="H1964" s="146"/>
      <c r="I1964" s="146"/>
      <c r="J1964" s="146"/>
    </row>
    <row r="1965" spans="1:10" s="195" customFormat="1" ht="24.95" hidden="1" customHeight="1">
      <c r="A1965" s="138"/>
      <c r="B1965" s="138"/>
      <c r="C1965" s="139"/>
      <c r="D1965" s="138"/>
      <c r="E1965" s="151"/>
      <c r="F1965" s="151"/>
      <c r="G1965" s="146"/>
      <c r="H1965" s="146"/>
      <c r="I1965" s="146"/>
      <c r="J1965" s="146"/>
    </row>
    <row r="1966" spans="1:10" s="195" customFormat="1" ht="24.95" hidden="1" customHeight="1">
      <c r="A1966" s="138"/>
      <c r="B1966" s="138"/>
      <c r="C1966" s="139"/>
      <c r="D1966" s="138"/>
      <c r="E1966" s="151"/>
      <c r="F1966" s="151"/>
      <c r="G1966" s="146"/>
      <c r="H1966" s="146"/>
      <c r="I1966" s="146"/>
      <c r="J1966" s="146"/>
    </row>
    <row r="1967" spans="1:10" s="195" customFormat="1" ht="24.95" hidden="1" customHeight="1">
      <c r="A1967" s="138"/>
      <c r="B1967" s="138"/>
      <c r="C1967" s="139"/>
      <c r="D1967" s="138"/>
      <c r="E1967" s="151"/>
      <c r="F1967" s="151"/>
      <c r="G1967" s="146"/>
      <c r="H1967" s="146"/>
      <c r="I1967" s="146"/>
      <c r="J1967" s="146"/>
    </row>
    <row r="1968" spans="1:10" s="195" customFormat="1" ht="24.95" hidden="1" customHeight="1">
      <c r="A1968" s="138"/>
      <c r="B1968" s="138"/>
      <c r="C1968" s="139"/>
      <c r="D1968" s="138"/>
      <c r="E1968" s="151"/>
      <c r="F1968" s="151"/>
      <c r="G1968" s="146"/>
      <c r="H1968" s="146"/>
      <c r="I1968" s="146"/>
      <c r="J1968" s="146"/>
    </row>
    <row r="1969" spans="1:10" s="195" customFormat="1" ht="24.95" hidden="1" customHeight="1">
      <c r="A1969" s="138"/>
      <c r="B1969" s="138"/>
      <c r="C1969" s="139"/>
      <c r="D1969" s="138"/>
      <c r="E1969" s="151"/>
      <c r="F1969" s="151"/>
      <c r="G1969" s="146"/>
      <c r="H1969" s="146"/>
      <c r="I1969" s="146"/>
      <c r="J1969" s="146"/>
    </row>
    <row r="1970" spans="1:10" s="195" customFormat="1" ht="24.95" hidden="1" customHeight="1">
      <c r="A1970" s="138"/>
      <c r="B1970" s="138"/>
      <c r="C1970" s="139"/>
      <c r="D1970" s="138"/>
      <c r="E1970" s="151"/>
      <c r="F1970" s="151"/>
      <c r="G1970" s="146"/>
      <c r="H1970" s="146"/>
      <c r="I1970" s="146"/>
      <c r="J1970" s="146"/>
    </row>
    <row r="1971" spans="1:10" s="195" customFormat="1" ht="24.95" hidden="1" customHeight="1">
      <c r="A1971" s="138"/>
      <c r="B1971" s="138"/>
      <c r="C1971" s="139"/>
      <c r="D1971" s="138"/>
      <c r="E1971" s="151"/>
      <c r="F1971" s="151"/>
      <c r="G1971" s="146"/>
      <c r="H1971" s="146"/>
      <c r="I1971" s="146"/>
      <c r="J1971" s="146"/>
    </row>
    <row r="1972" spans="1:10" s="195" customFormat="1" ht="24.95" hidden="1" customHeight="1">
      <c r="A1972" s="138"/>
      <c r="B1972" s="138"/>
      <c r="C1972" s="139"/>
      <c r="D1972" s="138"/>
      <c r="E1972" s="151"/>
      <c r="F1972" s="151"/>
      <c r="G1972" s="146"/>
      <c r="H1972" s="146"/>
      <c r="I1972" s="146"/>
      <c r="J1972" s="146"/>
    </row>
    <row r="1973" spans="1:10" s="195" customFormat="1" ht="24.95" hidden="1" customHeight="1">
      <c r="A1973" s="138"/>
      <c r="B1973" s="138"/>
      <c r="C1973" s="139"/>
      <c r="D1973" s="138"/>
      <c r="E1973" s="151"/>
      <c r="F1973" s="151"/>
      <c r="G1973" s="146"/>
      <c r="H1973" s="146"/>
      <c r="I1973" s="146"/>
      <c r="J1973" s="146"/>
    </row>
    <row r="1974" spans="1:10" s="195" customFormat="1" ht="24.95" hidden="1" customHeight="1">
      <c r="A1974" s="138"/>
      <c r="B1974" s="138"/>
      <c r="C1974" s="139"/>
      <c r="D1974" s="138"/>
      <c r="E1974" s="151"/>
      <c r="F1974" s="151"/>
      <c r="G1974" s="146"/>
      <c r="H1974" s="146"/>
      <c r="I1974" s="146"/>
      <c r="J1974" s="146"/>
    </row>
    <row r="1975" spans="1:10" s="195" customFormat="1" ht="24.95" hidden="1" customHeight="1">
      <c r="A1975" s="138"/>
      <c r="B1975" s="138"/>
      <c r="C1975" s="139"/>
      <c r="D1975" s="138"/>
      <c r="E1975" s="151"/>
      <c r="F1975" s="151"/>
      <c r="G1975" s="146"/>
      <c r="H1975" s="146"/>
      <c r="I1975" s="146"/>
      <c r="J1975" s="146"/>
    </row>
    <row r="1976" spans="1:10" s="195" customFormat="1" ht="24.95" hidden="1" customHeight="1">
      <c r="A1976" s="138"/>
      <c r="B1976" s="138"/>
      <c r="C1976" s="139"/>
      <c r="D1976" s="138"/>
      <c r="E1976" s="151"/>
      <c r="F1976" s="151"/>
      <c r="G1976" s="146"/>
      <c r="H1976" s="146"/>
      <c r="I1976" s="146"/>
      <c r="J1976" s="146"/>
    </row>
    <row r="1977" spans="1:10" s="195" customFormat="1" ht="24.95" hidden="1" customHeight="1">
      <c r="A1977" s="138"/>
      <c r="B1977" s="138"/>
      <c r="C1977" s="139"/>
      <c r="D1977" s="138"/>
      <c r="E1977" s="151"/>
      <c r="F1977" s="151"/>
      <c r="G1977" s="146"/>
      <c r="H1977" s="146"/>
      <c r="I1977" s="146"/>
      <c r="J1977" s="146"/>
    </row>
    <row r="1978" spans="1:10" s="195" customFormat="1" ht="24.95" hidden="1" customHeight="1">
      <c r="A1978" s="138"/>
      <c r="B1978" s="138"/>
      <c r="C1978" s="139"/>
      <c r="D1978" s="138"/>
      <c r="E1978" s="151"/>
      <c r="F1978" s="151"/>
      <c r="G1978" s="146"/>
      <c r="H1978" s="146"/>
      <c r="I1978" s="146"/>
      <c r="J1978" s="146"/>
    </row>
    <row r="1979" spans="1:10" s="195" customFormat="1" ht="24.95" hidden="1" customHeight="1">
      <c r="A1979" s="138"/>
      <c r="B1979" s="138"/>
      <c r="C1979" s="139"/>
      <c r="D1979" s="138"/>
      <c r="E1979" s="151"/>
      <c r="F1979" s="151"/>
      <c r="G1979" s="146"/>
      <c r="H1979" s="146"/>
      <c r="I1979" s="146"/>
      <c r="J1979" s="146"/>
    </row>
    <row r="1980" spans="1:10" s="195" customFormat="1" ht="24.95" hidden="1" customHeight="1">
      <c r="A1980" s="138"/>
      <c r="B1980" s="138"/>
      <c r="C1980" s="139"/>
      <c r="D1980" s="138"/>
      <c r="E1980" s="151"/>
      <c r="F1980" s="151"/>
      <c r="G1980" s="146"/>
      <c r="H1980" s="146"/>
      <c r="I1980" s="146"/>
      <c r="J1980" s="146"/>
    </row>
    <row r="1981" spans="1:10" s="195" customFormat="1" ht="24.95" hidden="1" customHeight="1">
      <c r="A1981" s="138"/>
      <c r="B1981" s="138"/>
      <c r="C1981" s="139"/>
      <c r="D1981" s="138"/>
      <c r="E1981" s="151"/>
      <c r="F1981" s="151"/>
      <c r="G1981" s="146"/>
      <c r="H1981" s="146"/>
      <c r="I1981" s="146"/>
      <c r="J1981" s="146"/>
    </row>
    <row r="1982" spans="1:10" s="195" customFormat="1" ht="24.95" hidden="1" customHeight="1">
      <c r="A1982" s="138"/>
      <c r="B1982" s="138"/>
      <c r="C1982" s="139"/>
      <c r="D1982" s="138"/>
      <c r="E1982" s="151"/>
      <c r="F1982" s="151"/>
      <c r="G1982" s="146"/>
      <c r="H1982" s="146"/>
      <c r="I1982" s="146"/>
      <c r="J1982" s="146"/>
    </row>
    <row r="1983" spans="1:10" s="195" customFormat="1" ht="24.95" hidden="1" customHeight="1">
      <c r="A1983" s="138"/>
      <c r="B1983" s="138"/>
      <c r="C1983" s="139"/>
      <c r="D1983" s="138"/>
      <c r="E1983" s="151"/>
      <c r="F1983" s="151"/>
      <c r="G1983" s="146"/>
      <c r="H1983" s="146"/>
      <c r="I1983" s="146"/>
      <c r="J1983" s="146"/>
    </row>
    <row r="1984" spans="1:10" s="195" customFormat="1" ht="24.95" hidden="1" customHeight="1">
      <c r="A1984" s="138"/>
      <c r="B1984" s="138"/>
      <c r="C1984" s="139"/>
      <c r="D1984" s="138"/>
      <c r="E1984" s="151"/>
      <c r="F1984" s="151"/>
      <c r="G1984" s="146"/>
      <c r="H1984" s="146"/>
      <c r="I1984" s="146"/>
      <c r="J1984" s="146"/>
    </row>
    <row r="1985" spans="1:10" s="195" customFormat="1" ht="24.95" hidden="1" customHeight="1">
      <c r="A1985" s="138"/>
      <c r="B1985" s="138"/>
      <c r="C1985" s="139"/>
      <c r="D1985" s="138"/>
      <c r="E1985" s="151"/>
      <c r="F1985" s="151"/>
      <c r="G1985" s="146"/>
      <c r="H1985" s="146"/>
      <c r="I1985" s="146"/>
      <c r="J1985" s="146"/>
    </row>
    <row r="1986" spans="1:10" s="195" customFormat="1" ht="24.95" hidden="1" customHeight="1">
      <c r="A1986" s="138"/>
      <c r="B1986" s="138"/>
      <c r="C1986" s="139"/>
      <c r="D1986" s="138"/>
      <c r="E1986" s="151"/>
      <c r="F1986" s="151"/>
      <c r="G1986" s="146"/>
      <c r="H1986" s="146"/>
      <c r="I1986" s="146"/>
      <c r="J1986" s="146"/>
    </row>
    <row r="1987" spans="1:10" s="195" customFormat="1" ht="24.95" hidden="1" customHeight="1">
      <c r="A1987" s="138"/>
      <c r="B1987" s="138"/>
      <c r="C1987" s="139"/>
      <c r="D1987" s="138"/>
      <c r="E1987" s="151"/>
      <c r="F1987" s="151"/>
      <c r="G1987" s="146"/>
      <c r="H1987" s="146"/>
      <c r="I1987" s="146"/>
      <c r="J1987" s="146"/>
    </row>
    <row r="1988" spans="1:10" s="195" customFormat="1" ht="24.95" hidden="1" customHeight="1">
      <c r="A1988" s="138"/>
      <c r="B1988" s="138"/>
      <c r="C1988" s="139"/>
      <c r="D1988" s="138"/>
      <c r="E1988" s="151"/>
      <c r="F1988" s="151"/>
      <c r="G1988" s="146"/>
      <c r="H1988" s="146"/>
      <c r="I1988" s="146"/>
      <c r="J1988" s="146"/>
    </row>
    <row r="1989" spans="1:10" s="195" customFormat="1" ht="24.95" hidden="1" customHeight="1">
      <c r="A1989" s="138"/>
      <c r="B1989" s="138"/>
      <c r="C1989" s="139"/>
      <c r="D1989" s="138"/>
      <c r="E1989" s="151"/>
      <c r="F1989" s="151"/>
      <c r="G1989" s="146"/>
      <c r="H1989" s="146"/>
      <c r="I1989" s="146"/>
      <c r="J1989" s="146"/>
    </row>
    <row r="1990" spans="1:10" s="195" customFormat="1" ht="24.95" hidden="1" customHeight="1">
      <c r="A1990" s="138"/>
      <c r="B1990" s="138"/>
      <c r="C1990" s="139"/>
      <c r="D1990" s="138"/>
      <c r="E1990" s="151"/>
      <c r="F1990" s="151"/>
      <c r="G1990" s="146"/>
      <c r="H1990" s="146"/>
      <c r="I1990" s="146"/>
      <c r="J1990" s="146"/>
    </row>
    <row r="1991" spans="1:10" s="195" customFormat="1" ht="24.95" hidden="1" customHeight="1">
      <c r="A1991" s="138"/>
      <c r="B1991" s="138"/>
      <c r="C1991" s="139"/>
      <c r="D1991" s="138"/>
      <c r="E1991" s="151"/>
      <c r="F1991" s="151"/>
      <c r="G1991" s="146"/>
      <c r="H1991" s="146"/>
      <c r="I1991" s="146"/>
      <c r="J1991" s="146"/>
    </row>
    <row r="1992" spans="1:10" s="195" customFormat="1" ht="24.95" hidden="1" customHeight="1">
      <c r="A1992" s="138"/>
      <c r="B1992" s="138"/>
      <c r="C1992" s="139"/>
      <c r="D1992" s="138"/>
      <c r="E1992" s="151"/>
      <c r="F1992" s="151"/>
      <c r="G1992" s="146"/>
      <c r="H1992" s="146"/>
      <c r="I1992" s="146"/>
      <c r="J1992" s="146"/>
    </row>
    <row r="1993" spans="1:10" s="195" customFormat="1" ht="24.95" hidden="1" customHeight="1">
      <c r="A1993" s="138"/>
      <c r="B1993" s="138"/>
      <c r="C1993" s="139"/>
      <c r="D1993" s="138"/>
      <c r="E1993" s="151"/>
      <c r="F1993" s="151"/>
      <c r="G1993" s="146"/>
      <c r="H1993" s="146"/>
      <c r="I1993" s="146"/>
      <c r="J1993" s="146"/>
    </row>
    <row r="1994" spans="1:10" s="195" customFormat="1" ht="24.95" hidden="1" customHeight="1">
      <c r="A1994" s="138"/>
      <c r="B1994" s="138"/>
      <c r="C1994" s="139"/>
      <c r="D1994" s="138"/>
      <c r="E1994" s="151"/>
      <c r="F1994" s="151"/>
      <c r="G1994" s="146"/>
      <c r="H1994" s="146"/>
      <c r="I1994" s="146"/>
      <c r="J1994" s="146"/>
    </row>
    <row r="1995" spans="1:10" s="195" customFormat="1" ht="24.95" hidden="1" customHeight="1">
      <c r="A1995" s="138"/>
      <c r="B1995" s="138"/>
      <c r="C1995" s="139"/>
      <c r="D1995" s="138"/>
      <c r="E1995" s="151"/>
      <c r="F1995" s="151"/>
      <c r="G1995" s="146"/>
      <c r="H1995" s="146"/>
      <c r="I1995" s="146"/>
      <c r="J1995" s="146"/>
    </row>
    <row r="1996" spans="1:10" s="195" customFormat="1" ht="24.95" hidden="1" customHeight="1">
      <c r="A1996" s="138"/>
      <c r="B1996" s="138"/>
      <c r="C1996" s="139"/>
      <c r="D1996" s="138"/>
      <c r="E1996" s="151"/>
      <c r="F1996" s="151"/>
      <c r="G1996" s="146"/>
      <c r="H1996" s="146"/>
      <c r="I1996" s="146"/>
      <c r="J1996" s="146"/>
    </row>
    <row r="1997" spans="1:10" s="195" customFormat="1" ht="24.95" hidden="1" customHeight="1">
      <c r="A1997" s="138"/>
      <c r="B1997" s="138"/>
      <c r="C1997" s="139"/>
      <c r="D1997" s="138"/>
      <c r="E1997" s="151"/>
      <c r="F1997" s="151"/>
      <c r="G1997" s="146"/>
      <c r="H1997" s="146"/>
      <c r="I1997" s="146"/>
      <c r="J1997" s="146"/>
    </row>
    <row r="1998" spans="1:10" s="195" customFormat="1" ht="24.95" hidden="1" customHeight="1">
      <c r="A1998" s="138"/>
      <c r="B1998" s="138"/>
      <c r="C1998" s="139"/>
      <c r="D1998" s="138"/>
      <c r="E1998" s="151"/>
      <c r="F1998" s="151"/>
      <c r="G1998" s="146"/>
      <c r="H1998" s="146"/>
      <c r="I1998" s="146"/>
      <c r="J1998" s="146"/>
    </row>
    <row r="1999" spans="1:10" s="195" customFormat="1" ht="24.95" hidden="1" customHeight="1">
      <c r="A1999" s="138"/>
      <c r="B1999" s="138"/>
      <c r="C1999" s="139"/>
      <c r="D1999" s="138"/>
      <c r="E1999" s="151"/>
      <c r="F1999" s="151"/>
      <c r="G1999" s="146"/>
      <c r="H1999" s="146"/>
      <c r="I1999" s="146"/>
      <c r="J1999" s="146"/>
    </row>
    <row r="2000" spans="1:10" s="195" customFormat="1" ht="24.95" hidden="1" customHeight="1">
      <c r="A2000" s="182"/>
      <c r="B2000" s="182"/>
      <c r="C2000" s="190"/>
      <c r="D2000" s="182"/>
      <c r="E2000" s="184"/>
      <c r="F2000" s="184"/>
      <c r="G2000" s="185"/>
      <c r="H2000" s="185"/>
      <c r="I2000" s="185"/>
      <c r="J2000" s="185"/>
    </row>
  </sheetData>
  <pageMargins left="0.24" right="0.25" top="0.2" bottom="0.75" header="0.2" footer="0.3"/>
  <pageSetup scale="76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1" tint="0.34998626667073579"/>
    <pageSetUpPr fitToPage="1"/>
  </sheetPr>
  <dimension ref="A1:M2000"/>
  <sheetViews>
    <sheetView view="pageBreakPreview" zoomScale="85" zoomScaleNormal="85" zoomScaleSheetLayoutView="85" workbookViewId="0">
      <pane ySplit="8" topLeftCell="A9" activePane="bottomLeft" state="frozen"/>
      <selection pane="bottomLeft" activeCell="H2007" sqref="H2007"/>
    </sheetView>
  </sheetViews>
  <sheetFormatPr defaultColWidth="9.1328125" defaultRowHeight="24.95" customHeight="1"/>
  <cols>
    <col min="1" max="1" width="6.3984375" style="186" customWidth="1"/>
    <col min="2" max="2" width="13.59765625" style="186" customWidth="1"/>
    <col min="3" max="3" width="13.73046875" style="187" customWidth="1"/>
    <col min="4" max="4" width="11.86328125" style="186" customWidth="1"/>
    <col min="5" max="5" width="21.86328125" style="187" customWidth="1"/>
    <col min="6" max="6" width="9.73046875" style="188" customWidth="1"/>
    <col min="7" max="7" width="11.3984375" style="188" customWidth="1"/>
    <col min="8" max="8" width="11" style="189" customWidth="1"/>
    <col min="9" max="9" width="13.265625" style="189" customWidth="1"/>
    <col min="10" max="10" width="11.59765625" style="137" customWidth="1"/>
    <col min="11" max="11" width="9.1328125" style="137"/>
    <col min="12" max="12" width="10.73046875" style="137" bestFit="1" customWidth="1"/>
    <col min="13" max="16384" width="9.1328125" style="137"/>
  </cols>
  <sheetData>
    <row r="1" spans="1:13" s="2" customFormat="1" ht="9.75" customHeight="1">
      <c r="A1" s="131"/>
      <c r="B1" s="131"/>
      <c r="C1" s="131"/>
      <c r="D1" s="131"/>
      <c r="E1" s="131"/>
      <c r="F1" s="148"/>
      <c r="G1" s="148"/>
      <c r="H1" s="135"/>
      <c r="I1" s="135"/>
    </row>
    <row r="2" spans="1:13" s="2" customFormat="1" ht="75.75" customHeight="1">
      <c r="A2" s="131"/>
      <c r="B2" s="131"/>
      <c r="C2" s="131"/>
      <c r="D2" s="131"/>
      <c r="E2" s="131"/>
      <c r="F2" s="148"/>
      <c r="G2" s="148"/>
      <c r="H2" s="135"/>
      <c r="I2" s="135"/>
      <c r="L2" s="153">
        <f ca="1">NOW()</f>
        <v>44825.391208912035</v>
      </c>
      <c r="M2" s="125" t="s">
        <v>173</v>
      </c>
    </row>
    <row r="3" spans="1:13" s="2" customFormat="1" ht="15" customHeight="1">
      <c r="A3" s="132"/>
      <c r="B3" s="181" t="s">
        <v>176</v>
      </c>
      <c r="C3" s="206">
        <v>44166</v>
      </c>
      <c r="D3" s="181" t="s">
        <v>188</v>
      </c>
      <c r="E3" s="208">
        <v>52022002</v>
      </c>
      <c r="F3" s="175"/>
      <c r="G3" s="180"/>
      <c r="H3" s="180"/>
      <c r="I3" s="135"/>
      <c r="L3" s="153">
        <f ca="1">EOMONTH(L2,-1)+1</f>
        <v>44805</v>
      </c>
      <c r="M3" s="125" t="s">
        <v>174</v>
      </c>
    </row>
    <row r="4" spans="1:13" s="2" customFormat="1" ht="15" customHeight="1">
      <c r="A4" s="132"/>
      <c r="B4" s="181" t="s">
        <v>177</v>
      </c>
      <c r="C4" s="206">
        <v>44196</v>
      </c>
      <c r="D4" s="181" t="s">
        <v>192</v>
      </c>
      <c r="E4" s="208" t="str">
        <f>VLOOKUP(E3,DM_HangHoa!$C$3:$K$1048576,3,0)</f>
        <v> Đèn Compact Điện Quang ĐQ CFL4UF14 45DE27AW (45W daylight E27)</v>
      </c>
      <c r="F4" s="179"/>
      <c r="G4" s="180"/>
      <c r="H4" s="180"/>
      <c r="I4" s="135"/>
      <c r="L4" s="153">
        <f ca="1">EOMONTH(L2,0)</f>
        <v>44834</v>
      </c>
      <c r="M4" s="125" t="s">
        <v>175</v>
      </c>
    </row>
    <row r="5" spans="1:13" s="2" customFormat="1" ht="15" customHeight="1">
      <c r="A5" s="132"/>
      <c r="B5" s="181" t="s">
        <v>178</v>
      </c>
      <c r="C5" s="207" t="s">
        <v>153</v>
      </c>
      <c r="D5" s="181" t="s">
        <v>233</v>
      </c>
      <c r="E5" s="208" t="str">
        <f>VLOOKUP(E3,DM_HangHoa!$C$3:$K$1048576,4,0)</f>
        <v>Cái</v>
      </c>
      <c r="F5" s="175"/>
      <c r="G5" s="180"/>
      <c r="H5" s="180"/>
      <c r="I5" s="135"/>
      <c r="M5" s="125"/>
    </row>
    <row r="6" spans="1:13" s="125" customFormat="1" ht="8.25" customHeight="1">
      <c r="A6" s="131"/>
      <c r="B6" s="131"/>
      <c r="C6" s="131"/>
      <c r="D6" s="131"/>
      <c r="E6" s="131"/>
      <c r="F6" s="148"/>
      <c r="G6" s="148"/>
      <c r="H6" s="135"/>
      <c r="I6" s="135"/>
    </row>
    <row r="7" spans="1:13" s="2" customFormat="1" ht="30" customHeight="1">
      <c r="A7" s="209" t="s">
        <v>23</v>
      </c>
      <c r="B7" s="209" t="s">
        <v>120</v>
      </c>
      <c r="C7" s="209" t="s">
        <v>193</v>
      </c>
      <c r="D7" s="209" t="s">
        <v>194</v>
      </c>
      <c r="E7" s="209" t="s">
        <v>197</v>
      </c>
      <c r="F7" s="210" t="s">
        <v>122</v>
      </c>
      <c r="G7" s="210" t="s">
        <v>189</v>
      </c>
      <c r="H7" s="210" t="s">
        <v>190</v>
      </c>
      <c r="I7" s="210" t="s">
        <v>191</v>
      </c>
    </row>
    <row r="8" spans="1:13" ht="24.75" customHeight="1">
      <c r="A8" s="359" t="str">
        <f>"SỐ LƯỢNG TỒN ĐẦU THÁNG"&amp;" "&amp;MONTH(C3)&amp;":"</f>
        <v>SỐ LƯỢNG TỒN ĐẦU THÁNG 12:</v>
      </c>
      <c r="B8" s="360"/>
      <c r="C8" s="360"/>
      <c r="D8" s="360"/>
      <c r="E8" s="360"/>
      <c r="F8" s="360"/>
      <c r="G8" s="360"/>
      <c r="H8" s="361"/>
      <c r="I8" s="198"/>
    </row>
    <row r="9" spans="1:13" ht="24.95" customHeight="1">
      <c r="A9" s="136">
        <v>1</v>
      </c>
      <c r="B9" s="176">
        <v>44184</v>
      </c>
      <c r="C9" s="177" t="s">
        <v>301</v>
      </c>
      <c r="D9" s="136"/>
      <c r="E9" s="177" t="s">
        <v>94</v>
      </c>
      <c r="F9" s="144" t="s">
        <v>45</v>
      </c>
      <c r="G9" s="144">
        <v>500</v>
      </c>
      <c r="H9" s="144"/>
      <c r="I9" s="144">
        <v>500</v>
      </c>
    </row>
    <row r="10" spans="1:13" ht="24.95" hidden="1" customHeight="1">
      <c r="A10" s="136"/>
      <c r="B10" s="176"/>
      <c r="C10" s="177"/>
      <c r="D10" s="136"/>
      <c r="E10" s="177"/>
      <c r="F10" s="144"/>
      <c r="G10" s="144"/>
      <c r="H10" s="144"/>
      <c r="I10" s="144"/>
    </row>
    <row r="11" spans="1:13" ht="24.95" hidden="1" customHeight="1">
      <c r="A11" s="136"/>
      <c r="B11" s="176"/>
      <c r="C11" s="177"/>
      <c r="D11" s="136"/>
      <c r="E11" s="177"/>
      <c r="F11" s="144"/>
      <c r="G11" s="144"/>
      <c r="H11" s="144"/>
      <c r="I11" s="144"/>
      <c r="M11" s="197"/>
    </row>
    <row r="12" spans="1:13" ht="24.95" hidden="1" customHeight="1">
      <c r="A12" s="136"/>
      <c r="B12" s="176"/>
      <c r="C12" s="177"/>
      <c r="D12" s="136"/>
      <c r="E12" s="177"/>
      <c r="F12" s="144"/>
      <c r="G12" s="144"/>
      <c r="H12" s="144"/>
      <c r="I12" s="144"/>
    </row>
    <row r="13" spans="1:13" ht="24.95" hidden="1" customHeight="1">
      <c r="A13" s="136"/>
      <c r="B13" s="176"/>
      <c r="C13" s="177"/>
      <c r="D13" s="136"/>
      <c r="E13" s="177"/>
      <c r="F13" s="144"/>
      <c r="G13" s="144"/>
      <c r="H13" s="144"/>
      <c r="I13" s="144"/>
    </row>
    <row r="14" spans="1:13" ht="24.95" hidden="1" customHeight="1">
      <c r="A14" s="136"/>
      <c r="B14" s="176"/>
      <c r="C14" s="177"/>
      <c r="D14" s="136"/>
      <c r="E14" s="177"/>
      <c r="F14" s="144"/>
      <c r="G14" s="144"/>
      <c r="H14" s="144"/>
      <c r="I14" s="144"/>
    </row>
    <row r="15" spans="1:13" ht="24.95" hidden="1" customHeight="1">
      <c r="A15" s="136"/>
      <c r="B15" s="176"/>
      <c r="C15" s="177"/>
      <c r="D15" s="136"/>
      <c r="E15" s="177"/>
      <c r="F15" s="144"/>
      <c r="G15" s="144"/>
      <c r="H15" s="144"/>
      <c r="I15" s="144"/>
    </row>
    <row r="16" spans="1:13" ht="24.95" hidden="1" customHeight="1">
      <c r="A16" s="136"/>
      <c r="B16" s="176"/>
      <c r="C16" s="177"/>
      <c r="D16" s="136"/>
      <c r="E16" s="177"/>
      <c r="F16" s="144"/>
      <c r="G16" s="144"/>
      <c r="H16" s="144"/>
      <c r="I16" s="144"/>
    </row>
    <row r="17" spans="1:9" ht="24.95" hidden="1" customHeight="1">
      <c r="A17" s="136"/>
      <c r="B17" s="176"/>
      <c r="C17" s="177"/>
      <c r="D17" s="136"/>
      <c r="E17" s="177"/>
      <c r="F17" s="144"/>
      <c r="G17" s="144"/>
      <c r="H17" s="144"/>
      <c r="I17" s="144"/>
    </row>
    <row r="18" spans="1:9" ht="24.95" hidden="1" customHeight="1">
      <c r="A18" s="136"/>
      <c r="B18" s="176"/>
      <c r="C18" s="177"/>
      <c r="D18" s="136"/>
      <c r="E18" s="177"/>
      <c r="F18" s="144"/>
      <c r="G18" s="144"/>
      <c r="H18" s="144"/>
      <c r="I18" s="144"/>
    </row>
    <row r="19" spans="1:9" ht="24.95" hidden="1" customHeight="1">
      <c r="A19" s="136"/>
      <c r="B19" s="176"/>
      <c r="C19" s="177"/>
      <c r="D19" s="136"/>
      <c r="E19" s="177"/>
      <c r="F19" s="144"/>
      <c r="G19" s="144"/>
      <c r="H19" s="144"/>
      <c r="I19" s="144"/>
    </row>
    <row r="20" spans="1:9" ht="24.95" hidden="1" customHeight="1">
      <c r="A20" s="136"/>
      <c r="B20" s="176"/>
      <c r="C20" s="177"/>
      <c r="D20" s="136"/>
      <c r="E20" s="177"/>
      <c r="F20" s="144"/>
      <c r="G20" s="144"/>
      <c r="H20" s="144"/>
      <c r="I20" s="144"/>
    </row>
    <row r="21" spans="1:9" ht="24.95" hidden="1" customHeight="1">
      <c r="A21" s="136"/>
      <c r="B21" s="176"/>
      <c r="C21" s="177"/>
      <c r="D21" s="136"/>
      <c r="E21" s="177"/>
      <c r="F21" s="144"/>
      <c r="G21" s="144"/>
      <c r="H21" s="144"/>
      <c r="I21" s="144"/>
    </row>
    <row r="22" spans="1:9" ht="24.95" hidden="1" customHeight="1">
      <c r="A22" s="136"/>
      <c r="B22" s="176"/>
      <c r="C22" s="177"/>
      <c r="D22" s="136"/>
      <c r="E22" s="177"/>
      <c r="F22" s="144"/>
      <c r="G22" s="144"/>
      <c r="H22" s="144"/>
      <c r="I22" s="144"/>
    </row>
    <row r="23" spans="1:9" ht="24.95" hidden="1" customHeight="1">
      <c r="A23" s="136"/>
      <c r="B23" s="176"/>
      <c r="C23" s="177"/>
      <c r="D23" s="136"/>
      <c r="E23" s="177"/>
      <c r="F23" s="144"/>
      <c r="G23" s="144"/>
      <c r="H23" s="144"/>
      <c r="I23" s="144"/>
    </row>
    <row r="24" spans="1:9" ht="24.95" hidden="1" customHeight="1">
      <c r="A24" s="136"/>
      <c r="B24" s="176"/>
      <c r="C24" s="177"/>
      <c r="D24" s="136"/>
      <c r="E24" s="177"/>
      <c r="F24" s="144"/>
      <c r="G24" s="144"/>
      <c r="H24" s="144"/>
      <c r="I24" s="144"/>
    </row>
    <row r="25" spans="1:9" ht="24.95" hidden="1" customHeight="1">
      <c r="A25" s="136"/>
      <c r="B25" s="176"/>
      <c r="C25" s="177"/>
      <c r="D25" s="136"/>
      <c r="E25" s="177"/>
      <c r="F25" s="144"/>
      <c r="G25" s="144"/>
      <c r="H25" s="144"/>
      <c r="I25" s="144"/>
    </row>
    <row r="26" spans="1:9" ht="24.95" hidden="1" customHeight="1">
      <c r="A26" s="136"/>
      <c r="B26" s="176"/>
      <c r="C26" s="177"/>
      <c r="D26" s="136"/>
      <c r="E26" s="177"/>
      <c r="F26" s="144"/>
      <c r="G26" s="144"/>
      <c r="H26" s="144"/>
      <c r="I26" s="144"/>
    </row>
    <row r="27" spans="1:9" ht="24.95" hidden="1" customHeight="1">
      <c r="A27" s="136"/>
      <c r="B27" s="176"/>
      <c r="C27" s="177"/>
      <c r="D27" s="136"/>
      <c r="E27" s="177"/>
      <c r="F27" s="144"/>
      <c r="G27" s="144"/>
      <c r="H27" s="144"/>
      <c r="I27" s="144"/>
    </row>
    <row r="28" spans="1:9" ht="24.95" hidden="1" customHeight="1">
      <c r="A28" s="141"/>
      <c r="B28" s="305"/>
      <c r="C28" s="143"/>
      <c r="D28" s="141"/>
      <c r="E28" s="143"/>
      <c r="F28" s="150"/>
      <c r="G28" s="150"/>
      <c r="H28" s="145"/>
      <c r="I28" s="145"/>
    </row>
    <row r="29" spans="1:9" ht="24.95" hidden="1" customHeight="1">
      <c r="A29" s="141"/>
      <c r="B29" s="141"/>
      <c r="C29" s="143"/>
      <c r="D29" s="141"/>
      <c r="E29" s="143"/>
      <c r="F29" s="150"/>
      <c r="G29" s="150"/>
      <c r="H29" s="145"/>
      <c r="I29" s="145"/>
    </row>
    <row r="30" spans="1:9" ht="24.95" hidden="1" customHeight="1">
      <c r="A30" s="141"/>
      <c r="B30" s="141"/>
      <c r="C30" s="143"/>
      <c r="D30" s="141"/>
      <c r="E30" s="143"/>
      <c r="F30" s="150"/>
      <c r="G30" s="150"/>
      <c r="H30" s="145"/>
      <c r="I30" s="145"/>
    </row>
    <row r="31" spans="1:9" ht="24.95" hidden="1" customHeight="1">
      <c r="A31" s="141"/>
      <c r="B31" s="141"/>
      <c r="C31" s="143"/>
      <c r="D31" s="141"/>
      <c r="E31" s="143"/>
      <c r="F31" s="150"/>
      <c r="G31" s="150"/>
      <c r="H31" s="145"/>
      <c r="I31" s="145"/>
    </row>
    <row r="32" spans="1:9" ht="24.95" hidden="1" customHeight="1">
      <c r="A32" s="141"/>
      <c r="B32" s="141"/>
      <c r="C32" s="143"/>
      <c r="D32" s="141"/>
      <c r="E32" s="143"/>
      <c r="F32" s="150"/>
      <c r="G32" s="150"/>
      <c r="H32" s="145"/>
      <c r="I32" s="145"/>
    </row>
    <row r="33" spans="1:9" ht="24.95" hidden="1" customHeight="1">
      <c r="A33" s="141"/>
      <c r="B33" s="141"/>
      <c r="C33" s="143"/>
      <c r="D33" s="141"/>
      <c r="E33" s="143"/>
      <c r="F33" s="150"/>
      <c r="G33" s="150"/>
      <c r="H33" s="145"/>
      <c r="I33" s="145"/>
    </row>
    <row r="34" spans="1:9" ht="24.95" hidden="1" customHeight="1">
      <c r="A34" s="141"/>
      <c r="B34" s="141"/>
      <c r="C34" s="143"/>
      <c r="D34" s="141"/>
      <c r="E34" s="143"/>
      <c r="F34" s="150"/>
      <c r="G34" s="150"/>
      <c r="H34" s="145"/>
      <c r="I34" s="145"/>
    </row>
    <row r="35" spans="1:9" ht="24.95" hidden="1" customHeight="1">
      <c r="A35" s="141"/>
      <c r="B35" s="141"/>
      <c r="C35" s="143"/>
      <c r="D35" s="141"/>
      <c r="E35" s="143"/>
      <c r="F35" s="150"/>
      <c r="G35" s="150"/>
      <c r="H35" s="145"/>
      <c r="I35" s="145"/>
    </row>
    <row r="36" spans="1:9" ht="24.95" hidden="1" customHeight="1">
      <c r="A36" s="141"/>
      <c r="B36" s="141"/>
      <c r="C36" s="143"/>
      <c r="D36" s="141"/>
      <c r="E36" s="143"/>
      <c r="F36" s="150"/>
      <c r="G36" s="150"/>
      <c r="H36" s="145"/>
      <c r="I36" s="145"/>
    </row>
    <row r="37" spans="1:9" ht="24.95" hidden="1" customHeight="1">
      <c r="A37" s="141"/>
      <c r="B37" s="141"/>
      <c r="C37" s="143"/>
      <c r="D37" s="141"/>
      <c r="E37" s="143"/>
      <c r="F37" s="150"/>
      <c r="G37" s="150"/>
      <c r="H37" s="145"/>
      <c r="I37" s="145"/>
    </row>
    <row r="38" spans="1:9" ht="24.95" hidden="1" customHeight="1">
      <c r="A38" s="141"/>
      <c r="B38" s="141"/>
      <c r="C38" s="143"/>
      <c r="D38" s="141"/>
      <c r="E38" s="143"/>
      <c r="F38" s="150"/>
      <c r="G38" s="150"/>
      <c r="H38" s="145"/>
      <c r="I38" s="145"/>
    </row>
    <row r="39" spans="1:9" ht="24.95" hidden="1" customHeight="1">
      <c r="A39" s="141"/>
      <c r="B39" s="141"/>
      <c r="C39" s="143"/>
      <c r="D39" s="141"/>
      <c r="E39" s="143"/>
      <c r="F39" s="150"/>
      <c r="G39" s="150"/>
      <c r="H39" s="145"/>
      <c r="I39" s="145"/>
    </row>
    <row r="40" spans="1:9" ht="24.95" hidden="1" customHeight="1">
      <c r="A40" s="141"/>
      <c r="B40" s="141"/>
      <c r="C40" s="143"/>
      <c r="D40" s="141"/>
      <c r="E40" s="143"/>
      <c r="F40" s="150"/>
      <c r="G40" s="150"/>
      <c r="H40" s="145"/>
      <c r="I40" s="145"/>
    </row>
    <row r="41" spans="1:9" ht="24.95" hidden="1" customHeight="1">
      <c r="A41" s="141"/>
      <c r="B41" s="141"/>
      <c r="C41" s="143"/>
      <c r="D41" s="141"/>
      <c r="E41" s="143"/>
      <c r="F41" s="150"/>
      <c r="G41" s="150"/>
      <c r="H41" s="145"/>
      <c r="I41" s="145"/>
    </row>
    <row r="42" spans="1:9" ht="24.95" hidden="1" customHeight="1">
      <c r="A42" s="141"/>
      <c r="B42" s="141"/>
      <c r="C42" s="143"/>
      <c r="D42" s="141"/>
      <c r="E42" s="143"/>
      <c r="F42" s="150"/>
      <c r="G42" s="150"/>
      <c r="H42" s="145"/>
      <c r="I42" s="145"/>
    </row>
    <row r="43" spans="1:9" ht="24.95" hidden="1" customHeight="1">
      <c r="A43" s="141"/>
      <c r="B43" s="141"/>
      <c r="C43" s="143"/>
      <c r="D43" s="141"/>
      <c r="E43" s="143"/>
      <c r="F43" s="150"/>
      <c r="G43" s="150"/>
      <c r="H43" s="145"/>
      <c r="I43" s="145"/>
    </row>
    <row r="44" spans="1:9" ht="24.95" hidden="1" customHeight="1">
      <c r="A44" s="141"/>
      <c r="B44" s="141"/>
      <c r="C44" s="143"/>
      <c r="D44" s="141"/>
      <c r="E44" s="143"/>
      <c r="F44" s="150"/>
      <c r="G44" s="150"/>
      <c r="H44" s="145"/>
      <c r="I44" s="145"/>
    </row>
    <row r="45" spans="1:9" ht="24.95" hidden="1" customHeight="1">
      <c r="A45" s="141"/>
      <c r="B45" s="141"/>
      <c r="C45" s="143"/>
      <c r="D45" s="141"/>
      <c r="E45" s="143"/>
      <c r="F45" s="150"/>
      <c r="G45" s="150"/>
      <c r="H45" s="145"/>
      <c r="I45" s="145"/>
    </row>
    <row r="46" spans="1:9" ht="24.95" hidden="1" customHeight="1">
      <c r="A46" s="141"/>
      <c r="B46" s="141"/>
      <c r="C46" s="143"/>
      <c r="D46" s="141"/>
      <c r="E46" s="143"/>
      <c r="F46" s="150"/>
      <c r="G46" s="150"/>
      <c r="H46" s="145"/>
      <c r="I46" s="145"/>
    </row>
    <row r="47" spans="1:9" ht="24.95" hidden="1" customHeight="1">
      <c r="A47" s="141"/>
      <c r="B47" s="141"/>
      <c r="C47" s="143"/>
      <c r="D47" s="141"/>
      <c r="E47" s="143"/>
      <c r="F47" s="150"/>
      <c r="G47" s="150"/>
      <c r="H47" s="145"/>
      <c r="I47" s="145"/>
    </row>
    <row r="48" spans="1:9" ht="24.95" hidden="1" customHeight="1">
      <c r="A48" s="141"/>
      <c r="B48" s="141"/>
      <c r="C48" s="143"/>
      <c r="D48" s="141"/>
      <c r="E48" s="143"/>
      <c r="F48" s="150"/>
      <c r="G48" s="150"/>
      <c r="H48" s="145"/>
      <c r="I48" s="145"/>
    </row>
    <row r="49" spans="1:9" ht="24.95" hidden="1" customHeight="1">
      <c r="A49" s="141"/>
      <c r="B49" s="141"/>
      <c r="C49" s="143"/>
      <c r="D49" s="141"/>
      <c r="E49" s="143"/>
      <c r="F49" s="150"/>
      <c r="G49" s="150"/>
      <c r="H49" s="145"/>
      <c r="I49" s="145"/>
    </row>
    <row r="50" spans="1:9" ht="24.95" hidden="1" customHeight="1">
      <c r="A50" s="141"/>
      <c r="B50" s="141"/>
      <c r="C50" s="143"/>
      <c r="D50" s="141"/>
      <c r="E50" s="143"/>
      <c r="F50" s="150"/>
      <c r="G50" s="150"/>
      <c r="H50" s="145"/>
      <c r="I50" s="145"/>
    </row>
    <row r="51" spans="1:9" ht="24.95" hidden="1" customHeight="1">
      <c r="A51" s="141"/>
      <c r="B51" s="141"/>
      <c r="C51" s="143"/>
      <c r="D51" s="141"/>
      <c r="E51" s="143"/>
      <c r="F51" s="150"/>
      <c r="G51" s="150"/>
      <c r="H51" s="145"/>
      <c r="I51" s="145"/>
    </row>
    <row r="52" spans="1:9" ht="24.95" hidden="1" customHeight="1">
      <c r="A52" s="141"/>
      <c r="B52" s="141"/>
      <c r="C52" s="143"/>
      <c r="D52" s="141"/>
      <c r="E52" s="143"/>
      <c r="F52" s="150"/>
      <c r="G52" s="150"/>
      <c r="H52" s="145"/>
      <c r="I52" s="145"/>
    </row>
    <row r="53" spans="1:9" ht="24.95" hidden="1" customHeight="1">
      <c r="A53" s="141"/>
      <c r="B53" s="141"/>
      <c r="C53" s="143"/>
      <c r="D53" s="141"/>
      <c r="E53" s="143"/>
      <c r="F53" s="150"/>
      <c r="G53" s="150"/>
      <c r="H53" s="145"/>
      <c r="I53" s="145"/>
    </row>
    <row r="54" spans="1:9" ht="24.95" hidden="1" customHeight="1">
      <c r="A54" s="141"/>
      <c r="B54" s="141"/>
      <c r="C54" s="143"/>
      <c r="D54" s="141"/>
      <c r="E54" s="143"/>
      <c r="F54" s="150"/>
      <c r="G54" s="150"/>
      <c r="H54" s="145"/>
      <c r="I54" s="145"/>
    </row>
    <row r="55" spans="1:9" ht="24.95" hidden="1" customHeight="1">
      <c r="A55" s="141"/>
      <c r="B55" s="141"/>
      <c r="C55" s="143"/>
      <c r="D55" s="141"/>
      <c r="E55" s="143"/>
      <c r="F55" s="150"/>
      <c r="G55" s="150"/>
      <c r="H55" s="145"/>
      <c r="I55" s="145"/>
    </row>
    <row r="56" spans="1:9" ht="24.95" hidden="1" customHeight="1">
      <c r="A56" s="141"/>
      <c r="B56" s="141"/>
      <c r="C56" s="143"/>
      <c r="D56" s="141"/>
      <c r="E56" s="143"/>
      <c r="F56" s="150"/>
      <c r="G56" s="150"/>
      <c r="H56" s="145"/>
      <c r="I56" s="145"/>
    </row>
    <row r="57" spans="1:9" ht="24.95" hidden="1" customHeight="1">
      <c r="A57" s="141"/>
      <c r="B57" s="141"/>
      <c r="C57" s="143"/>
      <c r="D57" s="141"/>
      <c r="E57" s="143"/>
      <c r="F57" s="150"/>
      <c r="G57" s="150"/>
      <c r="H57" s="145"/>
      <c r="I57" s="145"/>
    </row>
    <row r="58" spans="1:9" ht="24.95" hidden="1" customHeight="1">
      <c r="A58" s="141"/>
      <c r="B58" s="141"/>
      <c r="C58" s="143"/>
      <c r="D58" s="141"/>
      <c r="E58" s="143"/>
      <c r="F58" s="150"/>
      <c r="G58" s="150"/>
      <c r="H58" s="145"/>
      <c r="I58" s="145"/>
    </row>
    <row r="59" spans="1:9" ht="24.95" hidden="1" customHeight="1">
      <c r="A59" s="141"/>
      <c r="B59" s="141"/>
      <c r="C59" s="143"/>
      <c r="D59" s="141"/>
      <c r="E59" s="143"/>
      <c r="F59" s="150"/>
      <c r="G59" s="150"/>
      <c r="H59" s="145"/>
      <c r="I59" s="145"/>
    </row>
    <row r="60" spans="1:9" ht="24.95" hidden="1" customHeight="1">
      <c r="A60" s="141"/>
      <c r="B60" s="141"/>
      <c r="C60" s="143"/>
      <c r="D60" s="141"/>
      <c r="E60" s="143"/>
      <c r="F60" s="150"/>
      <c r="G60" s="150"/>
      <c r="H60" s="145"/>
      <c r="I60" s="145"/>
    </row>
    <row r="61" spans="1:9" ht="24.95" hidden="1" customHeight="1">
      <c r="A61" s="141"/>
      <c r="B61" s="141"/>
      <c r="C61" s="143"/>
      <c r="D61" s="141"/>
      <c r="E61" s="143"/>
      <c r="F61" s="150"/>
      <c r="G61" s="150"/>
      <c r="H61" s="145"/>
      <c r="I61" s="145"/>
    </row>
    <row r="62" spans="1:9" ht="24.95" hidden="1" customHeight="1">
      <c r="A62" s="141"/>
      <c r="B62" s="141"/>
      <c r="C62" s="143"/>
      <c r="D62" s="141"/>
      <c r="E62" s="143"/>
      <c r="F62" s="150"/>
      <c r="G62" s="150"/>
      <c r="H62" s="145"/>
      <c r="I62" s="145"/>
    </row>
    <row r="63" spans="1:9" ht="24.95" hidden="1" customHeight="1">
      <c r="A63" s="141"/>
      <c r="B63" s="141"/>
      <c r="C63" s="143"/>
      <c r="D63" s="141"/>
      <c r="E63" s="143"/>
      <c r="F63" s="150"/>
      <c r="G63" s="150"/>
      <c r="H63" s="145"/>
      <c r="I63" s="145"/>
    </row>
    <row r="64" spans="1:9" ht="24.95" hidden="1" customHeight="1">
      <c r="A64" s="141"/>
      <c r="B64" s="141"/>
      <c r="C64" s="143"/>
      <c r="D64" s="141"/>
      <c r="E64" s="143"/>
      <c r="F64" s="150"/>
      <c r="G64" s="150"/>
      <c r="H64" s="145"/>
      <c r="I64" s="145"/>
    </row>
    <row r="65" spans="1:9" ht="24.95" hidden="1" customHeight="1">
      <c r="A65" s="141"/>
      <c r="B65" s="141"/>
      <c r="C65" s="143"/>
      <c r="D65" s="141"/>
      <c r="E65" s="143"/>
      <c r="F65" s="150"/>
      <c r="G65" s="150"/>
      <c r="H65" s="145"/>
      <c r="I65" s="145"/>
    </row>
    <row r="66" spans="1:9" ht="24.95" hidden="1" customHeight="1">
      <c r="A66" s="141"/>
      <c r="B66" s="141"/>
      <c r="C66" s="143"/>
      <c r="D66" s="141"/>
      <c r="E66" s="143"/>
      <c r="F66" s="150"/>
      <c r="G66" s="150"/>
      <c r="H66" s="145"/>
      <c r="I66" s="145"/>
    </row>
    <row r="67" spans="1:9" ht="24.95" hidden="1" customHeight="1">
      <c r="A67" s="141"/>
      <c r="B67" s="141"/>
      <c r="C67" s="143"/>
      <c r="D67" s="141"/>
      <c r="E67" s="143"/>
      <c r="F67" s="150"/>
      <c r="G67" s="150"/>
      <c r="H67" s="145"/>
      <c r="I67" s="145"/>
    </row>
    <row r="68" spans="1:9" ht="24.95" hidden="1" customHeight="1">
      <c r="A68" s="141"/>
      <c r="B68" s="141"/>
      <c r="C68" s="143"/>
      <c r="D68" s="141"/>
      <c r="E68" s="143"/>
      <c r="F68" s="150"/>
      <c r="G68" s="150"/>
      <c r="H68" s="145"/>
      <c r="I68" s="145"/>
    </row>
    <row r="69" spans="1:9" ht="24.95" hidden="1" customHeight="1">
      <c r="A69" s="141"/>
      <c r="B69" s="141"/>
      <c r="C69" s="143"/>
      <c r="D69" s="141"/>
      <c r="E69" s="143"/>
      <c r="F69" s="150"/>
      <c r="G69" s="150"/>
      <c r="H69" s="145"/>
      <c r="I69" s="145"/>
    </row>
    <row r="70" spans="1:9" ht="24.95" hidden="1" customHeight="1">
      <c r="A70" s="141"/>
      <c r="B70" s="141"/>
      <c r="C70" s="143"/>
      <c r="D70" s="141"/>
      <c r="E70" s="143"/>
      <c r="F70" s="150"/>
      <c r="G70" s="150"/>
      <c r="H70" s="145"/>
      <c r="I70" s="145"/>
    </row>
    <row r="71" spans="1:9" ht="24.95" hidden="1" customHeight="1">
      <c r="A71" s="141"/>
      <c r="B71" s="141"/>
      <c r="C71" s="143"/>
      <c r="D71" s="141"/>
      <c r="E71" s="143"/>
      <c r="F71" s="150"/>
      <c r="G71" s="150"/>
      <c r="H71" s="145"/>
      <c r="I71" s="145"/>
    </row>
    <row r="72" spans="1:9" ht="24.95" hidden="1" customHeight="1">
      <c r="A72" s="141"/>
      <c r="B72" s="141"/>
      <c r="C72" s="143"/>
      <c r="D72" s="141"/>
      <c r="E72" s="143"/>
      <c r="F72" s="150"/>
      <c r="G72" s="150"/>
      <c r="H72" s="145"/>
      <c r="I72" s="145"/>
    </row>
    <row r="73" spans="1:9" ht="24.95" hidden="1" customHeight="1">
      <c r="A73" s="141"/>
      <c r="B73" s="141"/>
      <c r="C73" s="143"/>
      <c r="D73" s="141"/>
      <c r="E73" s="143"/>
      <c r="F73" s="150"/>
      <c r="G73" s="150"/>
      <c r="H73" s="145"/>
      <c r="I73" s="145"/>
    </row>
    <row r="74" spans="1:9" ht="24.95" hidden="1" customHeight="1">
      <c r="A74" s="141"/>
      <c r="B74" s="141"/>
      <c r="C74" s="143"/>
      <c r="D74" s="141"/>
      <c r="E74" s="143"/>
      <c r="F74" s="150"/>
      <c r="G74" s="150"/>
      <c r="H74" s="145"/>
      <c r="I74" s="145"/>
    </row>
    <row r="75" spans="1:9" ht="24.95" hidden="1" customHeight="1">
      <c r="A75" s="141"/>
      <c r="B75" s="141"/>
      <c r="C75" s="143"/>
      <c r="D75" s="141"/>
      <c r="E75" s="143"/>
      <c r="F75" s="150"/>
      <c r="G75" s="150"/>
      <c r="H75" s="145"/>
      <c r="I75" s="145"/>
    </row>
    <row r="76" spans="1:9" ht="24.95" hidden="1" customHeight="1">
      <c r="A76" s="141"/>
      <c r="B76" s="141"/>
      <c r="C76" s="143"/>
      <c r="D76" s="141"/>
      <c r="E76" s="143"/>
      <c r="F76" s="150"/>
      <c r="G76" s="150"/>
      <c r="H76" s="145"/>
      <c r="I76" s="145"/>
    </row>
    <row r="77" spans="1:9" ht="24.95" hidden="1" customHeight="1">
      <c r="A77" s="141"/>
      <c r="B77" s="141"/>
      <c r="C77" s="143"/>
      <c r="D77" s="141"/>
      <c r="E77" s="143"/>
      <c r="F77" s="150"/>
      <c r="G77" s="150"/>
      <c r="H77" s="145"/>
      <c r="I77" s="145"/>
    </row>
    <row r="78" spans="1:9" ht="24.95" hidden="1" customHeight="1">
      <c r="A78" s="141"/>
      <c r="B78" s="141"/>
      <c r="C78" s="143"/>
      <c r="D78" s="141"/>
      <c r="E78" s="143"/>
      <c r="F78" s="150"/>
      <c r="G78" s="150"/>
      <c r="H78" s="145"/>
      <c r="I78" s="145"/>
    </row>
    <row r="79" spans="1:9" ht="24.95" hidden="1" customHeight="1">
      <c r="A79" s="141"/>
      <c r="B79" s="141"/>
      <c r="C79" s="143"/>
      <c r="D79" s="141"/>
      <c r="E79" s="143"/>
      <c r="F79" s="150"/>
      <c r="G79" s="150"/>
      <c r="H79" s="145"/>
      <c r="I79" s="145"/>
    </row>
    <row r="80" spans="1:9" ht="24.95" hidden="1" customHeight="1">
      <c r="A80" s="141"/>
      <c r="B80" s="141"/>
      <c r="C80" s="143"/>
      <c r="D80" s="141"/>
      <c r="E80" s="143"/>
      <c r="F80" s="150"/>
      <c r="G80" s="150"/>
      <c r="H80" s="145"/>
      <c r="I80" s="145"/>
    </row>
    <row r="81" spans="1:9" ht="24.95" hidden="1" customHeight="1">
      <c r="A81" s="141"/>
      <c r="B81" s="141"/>
      <c r="C81" s="143"/>
      <c r="D81" s="141"/>
      <c r="E81" s="143"/>
      <c r="F81" s="150"/>
      <c r="G81" s="150"/>
      <c r="H81" s="145"/>
      <c r="I81" s="145"/>
    </row>
    <row r="82" spans="1:9" ht="24.95" hidden="1" customHeight="1">
      <c r="A82" s="141"/>
      <c r="B82" s="141"/>
      <c r="C82" s="143"/>
      <c r="D82" s="141"/>
      <c r="E82" s="143"/>
      <c r="F82" s="150"/>
      <c r="G82" s="150"/>
      <c r="H82" s="145"/>
      <c r="I82" s="145"/>
    </row>
    <row r="83" spans="1:9" ht="24.95" hidden="1" customHeight="1">
      <c r="A83" s="141"/>
      <c r="B83" s="141"/>
      <c r="C83" s="143"/>
      <c r="D83" s="141"/>
      <c r="E83" s="143"/>
      <c r="F83" s="150"/>
      <c r="G83" s="150"/>
      <c r="H83" s="145"/>
      <c r="I83" s="145"/>
    </row>
    <row r="84" spans="1:9" ht="24.95" hidden="1" customHeight="1">
      <c r="A84" s="141"/>
      <c r="B84" s="141"/>
      <c r="C84" s="143"/>
      <c r="D84" s="141"/>
      <c r="E84" s="143"/>
      <c r="F84" s="150"/>
      <c r="G84" s="150"/>
      <c r="H84" s="145"/>
      <c r="I84" s="145"/>
    </row>
    <row r="85" spans="1:9" ht="24.95" hidden="1" customHeight="1">
      <c r="A85" s="141"/>
      <c r="B85" s="141"/>
      <c r="C85" s="143"/>
      <c r="D85" s="141"/>
      <c r="E85" s="143"/>
      <c r="F85" s="150"/>
      <c r="G85" s="150"/>
      <c r="H85" s="145"/>
      <c r="I85" s="145"/>
    </row>
    <row r="86" spans="1:9" ht="24.95" hidden="1" customHeight="1">
      <c r="A86" s="141"/>
      <c r="B86" s="141"/>
      <c r="C86" s="143"/>
      <c r="D86" s="141"/>
      <c r="E86" s="143"/>
      <c r="F86" s="150"/>
      <c r="G86" s="150"/>
      <c r="H86" s="145"/>
      <c r="I86" s="145"/>
    </row>
    <row r="87" spans="1:9" ht="24.95" hidden="1" customHeight="1">
      <c r="A87" s="141"/>
      <c r="B87" s="141"/>
      <c r="C87" s="143"/>
      <c r="D87" s="141"/>
      <c r="E87" s="143"/>
      <c r="F87" s="150"/>
      <c r="G87" s="150"/>
      <c r="H87" s="145"/>
      <c r="I87" s="145"/>
    </row>
    <row r="88" spans="1:9" ht="24.95" hidden="1" customHeight="1">
      <c r="A88" s="141"/>
      <c r="B88" s="141"/>
      <c r="C88" s="143"/>
      <c r="D88" s="141"/>
      <c r="E88" s="143"/>
      <c r="F88" s="150"/>
      <c r="G88" s="150"/>
      <c r="H88" s="145"/>
      <c r="I88" s="145"/>
    </row>
    <row r="89" spans="1:9" ht="24.95" hidden="1" customHeight="1">
      <c r="A89" s="141"/>
      <c r="B89" s="141"/>
      <c r="C89" s="143"/>
      <c r="D89" s="141"/>
      <c r="E89" s="143"/>
      <c r="F89" s="150"/>
      <c r="G89" s="150"/>
      <c r="H89" s="145"/>
      <c r="I89" s="145"/>
    </row>
    <row r="90" spans="1:9" ht="24.95" hidden="1" customHeight="1">
      <c r="A90" s="141"/>
      <c r="B90" s="141"/>
      <c r="C90" s="143"/>
      <c r="D90" s="141"/>
      <c r="E90" s="143"/>
      <c r="F90" s="150"/>
      <c r="G90" s="150"/>
      <c r="H90" s="145"/>
      <c r="I90" s="145"/>
    </row>
    <row r="91" spans="1:9" ht="24.95" hidden="1" customHeight="1">
      <c r="A91" s="141"/>
      <c r="B91" s="141"/>
      <c r="C91" s="143"/>
      <c r="D91" s="141"/>
      <c r="E91" s="143"/>
      <c r="F91" s="150"/>
      <c r="G91" s="150"/>
      <c r="H91" s="145"/>
      <c r="I91" s="145"/>
    </row>
    <row r="92" spans="1:9" ht="24.95" hidden="1" customHeight="1">
      <c r="A92" s="141"/>
      <c r="B92" s="141"/>
      <c r="C92" s="143"/>
      <c r="D92" s="141"/>
      <c r="E92" s="143"/>
      <c r="F92" s="150"/>
      <c r="G92" s="150"/>
      <c r="H92" s="145"/>
      <c r="I92" s="145"/>
    </row>
    <row r="93" spans="1:9" ht="24.95" hidden="1" customHeight="1">
      <c r="A93" s="141"/>
      <c r="B93" s="141"/>
      <c r="C93" s="143"/>
      <c r="D93" s="141"/>
      <c r="E93" s="143"/>
      <c r="F93" s="150"/>
      <c r="G93" s="150"/>
      <c r="H93" s="145"/>
      <c r="I93" s="145"/>
    </row>
    <row r="94" spans="1:9" ht="24.95" hidden="1" customHeight="1">
      <c r="A94" s="141"/>
      <c r="B94" s="141"/>
      <c r="C94" s="143"/>
      <c r="D94" s="141"/>
      <c r="E94" s="143"/>
      <c r="F94" s="150"/>
      <c r="G94" s="150"/>
      <c r="H94" s="145"/>
      <c r="I94" s="145"/>
    </row>
    <row r="95" spans="1:9" ht="24.95" hidden="1" customHeight="1">
      <c r="A95" s="141"/>
      <c r="B95" s="141"/>
      <c r="C95" s="143"/>
      <c r="D95" s="141"/>
      <c r="E95" s="143"/>
      <c r="F95" s="150"/>
      <c r="G95" s="150"/>
      <c r="H95" s="145"/>
      <c r="I95" s="145"/>
    </row>
    <row r="96" spans="1:9" ht="24.95" hidden="1" customHeight="1">
      <c r="A96" s="141"/>
      <c r="B96" s="141"/>
      <c r="C96" s="143"/>
      <c r="D96" s="141"/>
      <c r="E96" s="143"/>
      <c r="F96" s="150"/>
      <c r="G96" s="150"/>
      <c r="H96" s="145"/>
      <c r="I96" s="145"/>
    </row>
    <row r="97" spans="1:9" ht="24.95" hidden="1" customHeight="1">
      <c r="A97" s="141"/>
      <c r="B97" s="141"/>
      <c r="C97" s="143"/>
      <c r="D97" s="141"/>
      <c r="E97" s="143"/>
      <c r="F97" s="150"/>
      <c r="G97" s="150"/>
      <c r="H97" s="145"/>
      <c r="I97" s="145"/>
    </row>
    <row r="98" spans="1:9" ht="24.95" hidden="1" customHeight="1">
      <c r="A98" s="141"/>
      <c r="B98" s="141"/>
      <c r="C98" s="143"/>
      <c r="D98" s="141"/>
      <c r="E98" s="143"/>
      <c r="F98" s="150"/>
      <c r="G98" s="150"/>
      <c r="H98" s="145"/>
      <c r="I98" s="145"/>
    </row>
    <row r="99" spans="1:9" ht="24.95" hidden="1" customHeight="1">
      <c r="A99" s="141"/>
      <c r="B99" s="141"/>
      <c r="C99" s="143"/>
      <c r="D99" s="141"/>
      <c r="E99" s="143"/>
      <c r="F99" s="150"/>
      <c r="G99" s="150"/>
      <c r="H99" s="145"/>
      <c r="I99" s="145"/>
    </row>
    <row r="100" spans="1:9" ht="24.95" hidden="1" customHeight="1">
      <c r="A100" s="141"/>
      <c r="B100" s="141"/>
      <c r="C100" s="143"/>
      <c r="D100" s="141"/>
      <c r="E100" s="143"/>
      <c r="F100" s="150"/>
      <c r="G100" s="150"/>
      <c r="H100" s="145"/>
      <c r="I100" s="145"/>
    </row>
    <row r="101" spans="1:9" ht="24.95" hidden="1" customHeight="1">
      <c r="A101" s="141"/>
      <c r="B101" s="141"/>
      <c r="C101" s="143"/>
      <c r="D101" s="141"/>
      <c r="E101" s="143"/>
      <c r="F101" s="150"/>
      <c r="G101" s="150"/>
      <c r="H101" s="145"/>
      <c r="I101" s="145"/>
    </row>
    <row r="102" spans="1:9" ht="24.95" hidden="1" customHeight="1">
      <c r="A102" s="141"/>
      <c r="B102" s="141"/>
      <c r="C102" s="143"/>
      <c r="D102" s="141"/>
      <c r="E102" s="143"/>
      <c r="F102" s="150"/>
      <c r="G102" s="150"/>
      <c r="H102" s="145"/>
      <c r="I102" s="145"/>
    </row>
    <row r="103" spans="1:9" ht="24.95" hidden="1" customHeight="1">
      <c r="A103" s="141"/>
      <c r="B103" s="141"/>
      <c r="C103" s="143"/>
      <c r="D103" s="141"/>
      <c r="E103" s="143"/>
      <c r="F103" s="150"/>
      <c r="G103" s="150"/>
      <c r="H103" s="145"/>
      <c r="I103" s="145"/>
    </row>
    <row r="104" spans="1:9" ht="24.95" hidden="1" customHeight="1">
      <c r="A104" s="141"/>
      <c r="B104" s="141"/>
      <c r="C104" s="143"/>
      <c r="D104" s="141"/>
      <c r="E104" s="143"/>
      <c r="F104" s="150"/>
      <c r="G104" s="150"/>
      <c r="H104" s="145"/>
      <c r="I104" s="145"/>
    </row>
    <row r="105" spans="1:9" ht="24.95" hidden="1" customHeight="1">
      <c r="A105" s="141"/>
      <c r="B105" s="141"/>
      <c r="C105" s="143"/>
      <c r="D105" s="141"/>
      <c r="E105" s="143"/>
      <c r="F105" s="150"/>
      <c r="G105" s="150"/>
      <c r="H105" s="145"/>
      <c r="I105" s="145"/>
    </row>
    <row r="106" spans="1:9" ht="24.95" hidden="1" customHeight="1">
      <c r="A106" s="141"/>
      <c r="B106" s="141"/>
      <c r="C106" s="143"/>
      <c r="D106" s="141"/>
      <c r="E106" s="143"/>
      <c r="F106" s="150"/>
      <c r="G106" s="150"/>
      <c r="H106" s="145"/>
      <c r="I106" s="145"/>
    </row>
    <row r="107" spans="1:9" ht="24.95" hidden="1" customHeight="1">
      <c r="A107" s="141"/>
      <c r="B107" s="141"/>
      <c r="C107" s="143"/>
      <c r="D107" s="141"/>
      <c r="E107" s="143"/>
      <c r="F107" s="150"/>
      <c r="G107" s="150"/>
      <c r="H107" s="145"/>
      <c r="I107" s="145"/>
    </row>
    <row r="108" spans="1:9" ht="24.95" hidden="1" customHeight="1">
      <c r="A108" s="141"/>
      <c r="B108" s="141"/>
      <c r="C108" s="143"/>
      <c r="D108" s="141"/>
      <c r="E108" s="143"/>
      <c r="F108" s="150"/>
      <c r="G108" s="150"/>
      <c r="H108" s="145"/>
      <c r="I108" s="145"/>
    </row>
    <row r="109" spans="1:9" ht="24.95" hidden="1" customHeight="1">
      <c r="A109" s="141"/>
      <c r="B109" s="141"/>
      <c r="C109" s="143"/>
      <c r="D109" s="141"/>
      <c r="E109" s="143"/>
      <c r="F109" s="150"/>
      <c r="G109" s="150"/>
      <c r="H109" s="145"/>
      <c r="I109" s="145"/>
    </row>
    <row r="110" spans="1:9" ht="24.95" hidden="1" customHeight="1">
      <c r="A110" s="141"/>
      <c r="B110" s="141"/>
      <c r="C110" s="143"/>
      <c r="D110" s="141"/>
      <c r="E110" s="143"/>
      <c r="F110" s="150"/>
      <c r="G110" s="150"/>
      <c r="H110" s="145"/>
      <c r="I110" s="145"/>
    </row>
    <row r="111" spans="1:9" ht="24.95" hidden="1" customHeight="1">
      <c r="A111" s="141"/>
      <c r="B111" s="141"/>
      <c r="C111" s="143"/>
      <c r="D111" s="141"/>
      <c r="E111" s="143"/>
      <c r="F111" s="150"/>
      <c r="G111" s="150"/>
      <c r="H111" s="145"/>
      <c r="I111" s="145"/>
    </row>
    <row r="112" spans="1:9" ht="24.95" hidden="1" customHeight="1">
      <c r="A112" s="141"/>
      <c r="B112" s="141"/>
      <c r="C112" s="143"/>
      <c r="D112" s="141"/>
      <c r="E112" s="143"/>
      <c r="F112" s="150"/>
      <c r="G112" s="150"/>
      <c r="H112" s="145"/>
      <c r="I112" s="145"/>
    </row>
    <row r="113" spans="1:9" ht="24.95" hidden="1" customHeight="1">
      <c r="A113" s="141"/>
      <c r="B113" s="141"/>
      <c r="C113" s="143"/>
      <c r="D113" s="141"/>
      <c r="E113" s="143"/>
      <c r="F113" s="150"/>
      <c r="G113" s="150"/>
      <c r="H113" s="145"/>
      <c r="I113" s="145"/>
    </row>
    <row r="114" spans="1:9" ht="24.95" hidden="1" customHeight="1">
      <c r="A114" s="141"/>
      <c r="B114" s="141"/>
      <c r="C114" s="143"/>
      <c r="D114" s="141"/>
      <c r="E114" s="143"/>
      <c r="F114" s="150"/>
      <c r="G114" s="150"/>
      <c r="H114" s="145"/>
      <c r="I114" s="145"/>
    </row>
    <row r="115" spans="1:9" ht="24.95" hidden="1" customHeight="1">
      <c r="A115" s="141"/>
      <c r="B115" s="141"/>
      <c r="C115" s="143"/>
      <c r="D115" s="141"/>
      <c r="E115" s="143"/>
      <c r="F115" s="150"/>
      <c r="G115" s="150"/>
      <c r="H115" s="145"/>
      <c r="I115" s="145"/>
    </row>
    <row r="116" spans="1:9" ht="24.95" hidden="1" customHeight="1">
      <c r="A116" s="141"/>
      <c r="B116" s="141"/>
      <c r="C116" s="143"/>
      <c r="D116" s="141"/>
      <c r="E116" s="143"/>
      <c r="F116" s="150"/>
      <c r="G116" s="150"/>
      <c r="H116" s="145"/>
      <c r="I116" s="145"/>
    </row>
    <row r="117" spans="1:9" ht="24.95" hidden="1" customHeight="1">
      <c r="A117" s="141"/>
      <c r="B117" s="141"/>
      <c r="C117" s="143"/>
      <c r="D117" s="141"/>
      <c r="E117" s="143"/>
      <c r="F117" s="150"/>
      <c r="G117" s="150"/>
      <c r="H117" s="145"/>
      <c r="I117" s="145"/>
    </row>
    <row r="118" spans="1:9" ht="24.95" hidden="1" customHeight="1">
      <c r="A118" s="141"/>
      <c r="B118" s="141"/>
      <c r="C118" s="143"/>
      <c r="D118" s="141"/>
      <c r="E118" s="143"/>
      <c r="F118" s="150"/>
      <c r="G118" s="150"/>
      <c r="H118" s="145"/>
      <c r="I118" s="145"/>
    </row>
    <row r="119" spans="1:9" ht="24.95" hidden="1" customHeight="1">
      <c r="A119" s="141"/>
      <c r="B119" s="141"/>
      <c r="C119" s="143"/>
      <c r="D119" s="141"/>
      <c r="E119" s="143"/>
      <c r="F119" s="150"/>
      <c r="G119" s="150"/>
      <c r="H119" s="145"/>
      <c r="I119" s="145"/>
    </row>
    <row r="120" spans="1:9" ht="24.95" hidden="1" customHeight="1">
      <c r="A120" s="141"/>
      <c r="B120" s="141"/>
      <c r="C120" s="143"/>
      <c r="D120" s="141"/>
      <c r="E120" s="143"/>
      <c r="F120" s="150"/>
      <c r="G120" s="150"/>
      <c r="H120" s="145"/>
      <c r="I120" s="145"/>
    </row>
    <row r="121" spans="1:9" ht="24.95" hidden="1" customHeight="1">
      <c r="A121" s="141"/>
      <c r="B121" s="141"/>
      <c r="C121" s="143"/>
      <c r="D121" s="141"/>
      <c r="E121" s="143"/>
      <c r="F121" s="150"/>
      <c r="G121" s="150"/>
      <c r="H121" s="145"/>
      <c r="I121" s="145"/>
    </row>
    <row r="122" spans="1:9" ht="24.95" hidden="1" customHeight="1">
      <c r="A122" s="141"/>
      <c r="B122" s="141"/>
      <c r="C122" s="143"/>
      <c r="D122" s="141"/>
      <c r="E122" s="143"/>
      <c r="F122" s="150"/>
      <c r="G122" s="150"/>
      <c r="H122" s="145"/>
      <c r="I122" s="145"/>
    </row>
    <row r="123" spans="1:9" ht="24.95" hidden="1" customHeight="1">
      <c r="A123" s="141"/>
      <c r="B123" s="141"/>
      <c r="C123" s="143"/>
      <c r="D123" s="141"/>
      <c r="E123" s="143"/>
      <c r="F123" s="150"/>
      <c r="G123" s="150"/>
      <c r="H123" s="145"/>
      <c r="I123" s="145"/>
    </row>
    <row r="124" spans="1:9" ht="24.95" hidden="1" customHeight="1">
      <c r="A124" s="141"/>
      <c r="B124" s="141"/>
      <c r="C124" s="143"/>
      <c r="D124" s="141"/>
      <c r="E124" s="143"/>
      <c r="F124" s="150"/>
      <c r="G124" s="150"/>
      <c r="H124" s="145"/>
      <c r="I124" s="145"/>
    </row>
    <row r="125" spans="1:9" ht="24.95" hidden="1" customHeight="1">
      <c r="A125" s="141"/>
      <c r="B125" s="141"/>
      <c r="C125" s="143"/>
      <c r="D125" s="141"/>
      <c r="E125" s="143"/>
      <c r="F125" s="150"/>
      <c r="G125" s="150"/>
      <c r="H125" s="145"/>
      <c r="I125" s="145"/>
    </row>
    <row r="126" spans="1:9" ht="24.95" hidden="1" customHeight="1">
      <c r="A126" s="141"/>
      <c r="B126" s="141"/>
      <c r="C126" s="143"/>
      <c r="D126" s="141"/>
      <c r="E126" s="143"/>
      <c r="F126" s="150"/>
      <c r="G126" s="150"/>
      <c r="H126" s="145"/>
      <c r="I126" s="145"/>
    </row>
    <row r="127" spans="1:9" ht="24.95" hidden="1" customHeight="1">
      <c r="A127" s="141"/>
      <c r="B127" s="141"/>
      <c r="C127" s="143"/>
      <c r="D127" s="141"/>
      <c r="E127" s="143"/>
      <c r="F127" s="150"/>
      <c r="G127" s="150"/>
      <c r="H127" s="145"/>
      <c r="I127" s="145"/>
    </row>
    <row r="128" spans="1:9" ht="24.95" hidden="1" customHeight="1">
      <c r="A128" s="141"/>
      <c r="B128" s="141"/>
      <c r="C128" s="143"/>
      <c r="D128" s="141"/>
      <c r="E128" s="143"/>
      <c r="F128" s="150"/>
      <c r="G128" s="150"/>
      <c r="H128" s="145"/>
      <c r="I128" s="145"/>
    </row>
    <row r="129" spans="1:9" ht="24.95" hidden="1" customHeight="1">
      <c r="A129" s="141"/>
      <c r="B129" s="141"/>
      <c r="C129" s="143"/>
      <c r="D129" s="141"/>
      <c r="E129" s="143"/>
      <c r="F129" s="150"/>
      <c r="G129" s="150"/>
      <c r="H129" s="145"/>
      <c r="I129" s="145"/>
    </row>
    <row r="130" spans="1:9" ht="24.95" hidden="1" customHeight="1">
      <c r="A130" s="141"/>
      <c r="B130" s="141"/>
      <c r="C130" s="143"/>
      <c r="D130" s="141"/>
      <c r="E130" s="143"/>
      <c r="F130" s="150"/>
      <c r="G130" s="150"/>
      <c r="H130" s="145"/>
      <c r="I130" s="145"/>
    </row>
    <row r="131" spans="1:9" ht="24.95" hidden="1" customHeight="1">
      <c r="A131" s="141"/>
      <c r="B131" s="141"/>
      <c r="C131" s="143"/>
      <c r="D131" s="141"/>
      <c r="E131" s="143"/>
      <c r="F131" s="150"/>
      <c r="G131" s="150"/>
      <c r="H131" s="145"/>
      <c r="I131" s="145"/>
    </row>
    <row r="132" spans="1:9" ht="24.95" hidden="1" customHeight="1">
      <c r="A132" s="141"/>
      <c r="B132" s="141"/>
      <c r="C132" s="143"/>
      <c r="D132" s="141"/>
      <c r="E132" s="143"/>
      <c r="F132" s="150"/>
      <c r="G132" s="150"/>
      <c r="H132" s="145"/>
      <c r="I132" s="145"/>
    </row>
    <row r="133" spans="1:9" ht="24.95" hidden="1" customHeight="1">
      <c r="A133" s="141"/>
      <c r="B133" s="141"/>
      <c r="C133" s="143"/>
      <c r="D133" s="141"/>
      <c r="E133" s="143"/>
      <c r="F133" s="150"/>
      <c r="G133" s="150"/>
      <c r="H133" s="145"/>
      <c r="I133" s="145"/>
    </row>
    <row r="134" spans="1:9" ht="24.95" hidden="1" customHeight="1">
      <c r="A134" s="141"/>
      <c r="B134" s="141"/>
      <c r="C134" s="143"/>
      <c r="D134" s="141"/>
      <c r="E134" s="143"/>
      <c r="F134" s="150"/>
      <c r="G134" s="150"/>
      <c r="H134" s="145"/>
      <c r="I134" s="145"/>
    </row>
    <row r="135" spans="1:9" ht="24.95" hidden="1" customHeight="1">
      <c r="A135" s="141"/>
      <c r="B135" s="141"/>
      <c r="C135" s="143"/>
      <c r="D135" s="141"/>
      <c r="E135" s="143"/>
      <c r="F135" s="150"/>
      <c r="G135" s="150"/>
      <c r="H135" s="145"/>
      <c r="I135" s="145"/>
    </row>
    <row r="136" spans="1:9" ht="24.95" hidden="1" customHeight="1">
      <c r="A136" s="141"/>
      <c r="B136" s="141"/>
      <c r="C136" s="143"/>
      <c r="D136" s="141"/>
      <c r="E136" s="143"/>
      <c r="F136" s="150"/>
      <c r="G136" s="150"/>
      <c r="H136" s="145"/>
      <c r="I136" s="145"/>
    </row>
    <row r="137" spans="1:9" ht="24.95" hidden="1" customHeight="1">
      <c r="A137" s="141"/>
      <c r="B137" s="141"/>
      <c r="C137" s="143"/>
      <c r="D137" s="141"/>
      <c r="E137" s="143"/>
      <c r="F137" s="150"/>
      <c r="G137" s="150"/>
      <c r="H137" s="145"/>
      <c r="I137" s="145"/>
    </row>
    <row r="138" spans="1:9" ht="24.95" hidden="1" customHeight="1">
      <c r="A138" s="141"/>
      <c r="B138" s="141"/>
      <c r="C138" s="143"/>
      <c r="D138" s="141"/>
      <c r="E138" s="143"/>
      <c r="F138" s="150"/>
      <c r="G138" s="150"/>
      <c r="H138" s="145"/>
      <c r="I138" s="145"/>
    </row>
    <row r="139" spans="1:9" ht="24.95" hidden="1" customHeight="1">
      <c r="A139" s="141"/>
      <c r="B139" s="141"/>
      <c r="C139" s="143"/>
      <c r="D139" s="141"/>
      <c r="E139" s="143"/>
      <c r="F139" s="150"/>
      <c r="G139" s="150"/>
      <c r="H139" s="145"/>
      <c r="I139" s="145"/>
    </row>
    <row r="140" spans="1:9" ht="24.95" hidden="1" customHeight="1">
      <c r="A140" s="141"/>
      <c r="B140" s="141"/>
      <c r="C140" s="143"/>
      <c r="D140" s="141"/>
      <c r="E140" s="143"/>
      <c r="F140" s="150"/>
      <c r="G140" s="150"/>
      <c r="H140" s="145"/>
      <c r="I140" s="145"/>
    </row>
    <row r="141" spans="1:9" ht="24.95" hidden="1" customHeight="1">
      <c r="A141" s="141"/>
      <c r="B141" s="141"/>
      <c r="C141" s="143"/>
      <c r="D141" s="141"/>
      <c r="E141" s="143"/>
      <c r="F141" s="150"/>
      <c r="G141" s="150"/>
      <c r="H141" s="145"/>
      <c r="I141" s="145"/>
    </row>
    <row r="142" spans="1:9" ht="24.95" hidden="1" customHeight="1">
      <c r="A142" s="141"/>
      <c r="B142" s="141"/>
      <c r="C142" s="143"/>
      <c r="D142" s="141"/>
      <c r="E142" s="143"/>
      <c r="F142" s="150"/>
      <c r="G142" s="150"/>
      <c r="H142" s="145"/>
      <c r="I142" s="145"/>
    </row>
    <row r="143" spans="1:9" ht="24.95" hidden="1" customHeight="1">
      <c r="A143" s="141"/>
      <c r="B143" s="141"/>
      <c r="C143" s="143"/>
      <c r="D143" s="141"/>
      <c r="E143" s="143"/>
      <c r="F143" s="150"/>
      <c r="G143" s="150"/>
      <c r="H143" s="145"/>
      <c r="I143" s="145"/>
    </row>
    <row r="144" spans="1:9" ht="24.95" hidden="1" customHeight="1">
      <c r="A144" s="141"/>
      <c r="B144" s="141"/>
      <c r="C144" s="143"/>
      <c r="D144" s="141"/>
      <c r="E144" s="143"/>
      <c r="F144" s="150"/>
      <c r="G144" s="150"/>
      <c r="H144" s="145"/>
      <c r="I144" s="145"/>
    </row>
    <row r="145" spans="1:9" ht="24.95" hidden="1" customHeight="1">
      <c r="A145" s="141"/>
      <c r="B145" s="141"/>
      <c r="C145" s="143"/>
      <c r="D145" s="141"/>
      <c r="E145" s="143"/>
      <c r="F145" s="150"/>
      <c r="G145" s="150"/>
      <c r="H145" s="145"/>
      <c r="I145" s="145"/>
    </row>
    <row r="146" spans="1:9" ht="24.95" hidden="1" customHeight="1">
      <c r="A146" s="141"/>
      <c r="B146" s="141"/>
      <c r="C146" s="143"/>
      <c r="D146" s="141"/>
      <c r="E146" s="143"/>
      <c r="F146" s="150"/>
      <c r="G146" s="150"/>
      <c r="H146" s="145"/>
      <c r="I146" s="145"/>
    </row>
    <row r="147" spans="1:9" ht="24.95" hidden="1" customHeight="1">
      <c r="A147" s="141"/>
      <c r="B147" s="141"/>
      <c r="C147" s="143"/>
      <c r="D147" s="141"/>
      <c r="E147" s="143"/>
      <c r="F147" s="150"/>
      <c r="G147" s="150"/>
      <c r="H147" s="145"/>
      <c r="I147" s="145"/>
    </row>
    <row r="148" spans="1:9" ht="24.95" hidden="1" customHeight="1">
      <c r="A148" s="141"/>
      <c r="B148" s="141"/>
      <c r="C148" s="143"/>
      <c r="D148" s="141"/>
      <c r="E148" s="143"/>
      <c r="F148" s="150"/>
      <c r="G148" s="150"/>
      <c r="H148" s="145"/>
      <c r="I148" s="145"/>
    </row>
    <row r="149" spans="1:9" ht="24.95" hidden="1" customHeight="1">
      <c r="A149" s="141"/>
      <c r="B149" s="141"/>
      <c r="C149" s="143"/>
      <c r="D149" s="141"/>
      <c r="E149" s="143"/>
      <c r="F149" s="150"/>
      <c r="G149" s="150"/>
      <c r="H149" s="145"/>
      <c r="I149" s="145"/>
    </row>
    <row r="150" spans="1:9" ht="24.95" hidden="1" customHeight="1">
      <c r="A150" s="141"/>
      <c r="B150" s="141"/>
      <c r="C150" s="143"/>
      <c r="D150" s="141"/>
      <c r="E150" s="143"/>
      <c r="F150" s="150"/>
      <c r="G150" s="150"/>
      <c r="H150" s="145"/>
      <c r="I150" s="145"/>
    </row>
    <row r="151" spans="1:9" ht="24.95" hidden="1" customHeight="1">
      <c r="A151" s="141"/>
      <c r="B151" s="141"/>
      <c r="C151" s="143"/>
      <c r="D151" s="141"/>
      <c r="E151" s="143"/>
      <c r="F151" s="150"/>
      <c r="G151" s="150"/>
      <c r="H151" s="145"/>
      <c r="I151" s="145"/>
    </row>
    <row r="152" spans="1:9" ht="24.95" hidden="1" customHeight="1">
      <c r="A152" s="141"/>
      <c r="B152" s="141"/>
      <c r="C152" s="143"/>
      <c r="D152" s="141"/>
      <c r="E152" s="143"/>
      <c r="F152" s="150"/>
      <c r="G152" s="150"/>
      <c r="H152" s="145"/>
      <c r="I152" s="145"/>
    </row>
    <row r="153" spans="1:9" ht="24.95" hidden="1" customHeight="1">
      <c r="A153" s="141"/>
      <c r="B153" s="141"/>
      <c r="C153" s="143"/>
      <c r="D153" s="141"/>
      <c r="E153" s="143"/>
      <c r="F153" s="150"/>
      <c r="G153" s="150"/>
      <c r="H153" s="145"/>
      <c r="I153" s="145"/>
    </row>
    <row r="154" spans="1:9" ht="24.95" hidden="1" customHeight="1">
      <c r="A154" s="141"/>
      <c r="B154" s="141"/>
      <c r="C154" s="143"/>
      <c r="D154" s="141"/>
      <c r="E154" s="143"/>
      <c r="F154" s="150"/>
      <c r="G154" s="150"/>
      <c r="H154" s="145"/>
      <c r="I154" s="145"/>
    </row>
    <row r="155" spans="1:9" ht="24.95" hidden="1" customHeight="1">
      <c r="A155" s="141"/>
      <c r="B155" s="141"/>
      <c r="C155" s="143"/>
      <c r="D155" s="141"/>
      <c r="E155" s="143"/>
      <c r="F155" s="150"/>
      <c r="G155" s="150"/>
      <c r="H155" s="145"/>
      <c r="I155" s="145"/>
    </row>
    <row r="156" spans="1:9" ht="24.95" hidden="1" customHeight="1">
      <c r="A156" s="141"/>
      <c r="B156" s="141"/>
      <c r="C156" s="143"/>
      <c r="D156" s="141"/>
      <c r="E156" s="143"/>
      <c r="F156" s="150"/>
      <c r="G156" s="150"/>
      <c r="H156" s="145"/>
      <c r="I156" s="145"/>
    </row>
    <row r="157" spans="1:9" ht="24.95" hidden="1" customHeight="1">
      <c r="A157" s="141"/>
      <c r="B157" s="141"/>
      <c r="C157" s="143"/>
      <c r="D157" s="141"/>
      <c r="E157" s="143"/>
      <c r="F157" s="150"/>
      <c r="G157" s="150"/>
      <c r="H157" s="145"/>
      <c r="I157" s="145"/>
    </row>
    <row r="158" spans="1:9" ht="24.95" hidden="1" customHeight="1">
      <c r="A158" s="141"/>
      <c r="B158" s="141"/>
      <c r="C158" s="143"/>
      <c r="D158" s="141"/>
      <c r="E158" s="143"/>
      <c r="F158" s="150"/>
      <c r="G158" s="150"/>
      <c r="H158" s="145"/>
      <c r="I158" s="145"/>
    </row>
    <row r="159" spans="1:9" ht="24.95" hidden="1" customHeight="1">
      <c r="A159" s="141"/>
      <c r="B159" s="141"/>
      <c r="C159" s="143"/>
      <c r="D159" s="141"/>
      <c r="E159" s="143"/>
      <c r="F159" s="150"/>
      <c r="G159" s="150"/>
      <c r="H159" s="145"/>
      <c r="I159" s="145"/>
    </row>
    <row r="160" spans="1:9" ht="24.95" hidden="1" customHeight="1">
      <c r="A160" s="141"/>
      <c r="B160" s="141"/>
      <c r="C160" s="143"/>
      <c r="D160" s="141"/>
      <c r="E160" s="143"/>
      <c r="F160" s="150"/>
      <c r="G160" s="150"/>
      <c r="H160" s="145"/>
      <c r="I160" s="145"/>
    </row>
    <row r="161" spans="1:9" ht="24.95" hidden="1" customHeight="1">
      <c r="A161" s="141"/>
      <c r="B161" s="141"/>
      <c r="C161" s="143"/>
      <c r="D161" s="141"/>
      <c r="E161" s="143"/>
      <c r="F161" s="150"/>
      <c r="G161" s="150"/>
      <c r="H161" s="145"/>
      <c r="I161" s="145"/>
    </row>
    <row r="162" spans="1:9" ht="24.95" hidden="1" customHeight="1">
      <c r="A162" s="141"/>
      <c r="B162" s="141"/>
      <c r="C162" s="143"/>
      <c r="D162" s="141"/>
      <c r="E162" s="143"/>
      <c r="F162" s="150"/>
      <c r="G162" s="150"/>
      <c r="H162" s="145"/>
      <c r="I162" s="145"/>
    </row>
    <row r="163" spans="1:9" ht="24.95" hidden="1" customHeight="1">
      <c r="A163" s="141"/>
      <c r="B163" s="141"/>
      <c r="C163" s="143"/>
      <c r="D163" s="141"/>
      <c r="E163" s="143"/>
      <c r="F163" s="150"/>
      <c r="G163" s="150"/>
      <c r="H163" s="145"/>
      <c r="I163" s="145"/>
    </row>
    <row r="164" spans="1:9" ht="24.95" hidden="1" customHeight="1">
      <c r="A164" s="141"/>
      <c r="B164" s="141"/>
      <c r="C164" s="143"/>
      <c r="D164" s="141"/>
      <c r="E164" s="143"/>
      <c r="F164" s="150"/>
      <c r="G164" s="150"/>
      <c r="H164" s="145"/>
      <c r="I164" s="145"/>
    </row>
    <row r="165" spans="1:9" ht="24.95" hidden="1" customHeight="1">
      <c r="A165" s="141"/>
      <c r="B165" s="141"/>
      <c r="C165" s="143"/>
      <c r="D165" s="141"/>
      <c r="E165" s="143"/>
      <c r="F165" s="150"/>
      <c r="G165" s="150"/>
      <c r="H165" s="145"/>
      <c r="I165" s="145"/>
    </row>
    <row r="166" spans="1:9" ht="24.95" hidden="1" customHeight="1">
      <c r="A166" s="141"/>
      <c r="B166" s="141"/>
      <c r="C166" s="143"/>
      <c r="D166" s="141"/>
      <c r="E166" s="143"/>
      <c r="F166" s="150"/>
      <c r="G166" s="150"/>
      <c r="H166" s="145"/>
      <c r="I166" s="145"/>
    </row>
    <row r="167" spans="1:9" ht="24.95" hidden="1" customHeight="1">
      <c r="A167" s="141"/>
      <c r="B167" s="141"/>
      <c r="C167" s="143"/>
      <c r="D167" s="141"/>
      <c r="E167" s="143"/>
      <c r="F167" s="150"/>
      <c r="G167" s="150"/>
      <c r="H167" s="145"/>
      <c r="I167" s="145"/>
    </row>
    <row r="168" spans="1:9" ht="24.95" hidden="1" customHeight="1">
      <c r="A168" s="141"/>
      <c r="B168" s="141"/>
      <c r="C168" s="143"/>
      <c r="D168" s="141"/>
      <c r="E168" s="143"/>
      <c r="F168" s="150"/>
      <c r="G168" s="150"/>
      <c r="H168" s="145"/>
      <c r="I168" s="145"/>
    </row>
    <row r="169" spans="1:9" ht="24.95" hidden="1" customHeight="1">
      <c r="A169" s="141"/>
      <c r="B169" s="141"/>
      <c r="C169" s="143"/>
      <c r="D169" s="141"/>
      <c r="E169" s="143"/>
      <c r="F169" s="150"/>
      <c r="G169" s="150"/>
      <c r="H169" s="145"/>
      <c r="I169" s="145"/>
    </row>
    <row r="170" spans="1:9" ht="24.95" hidden="1" customHeight="1">
      <c r="A170" s="141"/>
      <c r="B170" s="141"/>
      <c r="C170" s="143"/>
      <c r="D170" s="141"/>
      <c r="E170" s="143"/>
      <c r="F170" s="150"/>
      <c r="G170" s="150"/>
      <c r="H170" s="145"/>
      <c r="I170" s="145"/>
    </row>
    <row r="171" spans="1:9" ht="24.95" hidden="1" customHeight="1">
      <c r="A171" s="141"/>
      <c r="B171" s="141"/>
      <c r="C171" s="143"/>
      <c r="D171" s="141"/>
      <c r="E171" s="143"/>
      <c r="F171" s="150"/>
      <c r="G171" s="150"/>
      <c r="H171" s="145"/>
      <c r="I171" s="145"/>
    </row>
    <row r="172" spans="1:9" ht="24.95" hidden="1" customHeight="1">
      <c r="A172" s="141"/>
      <c r="B172" s="141"/>
      <c r="C172" s="143"/>
      <c r="D172" s="141"/>
      <c r="E172" s="143"/>
      <c r="F172" s="150"/>
      <c r="G172" s="150"/>
      <c r="H172" s="145"/>
      <c r="I172" s="145"/>
    </row>
    <row r="173" spans="1:9" ht="24.95" hidden="1" customHeight="1">
      <c r="A173" s="141"/>
      <c r="B173" s="141"/>
      <c r="C173" s="143"/>
      <c r="D173" s="141"/>
      <c r="E173" s="143"/>
      <c r="F173" s="150"/>
      <c r="G173" s="150"/>
      <c r="H173" s="145"/>
      <c r="I173" s="145"/>
    </row>
    <row r="174" spans="1:9" ht="24.95" hidden="1" customHeight="1">
      <c r="A174" s="141"/>
      <c r="B174" s="141"/>
      <c r="C174" s="143"/>
      <c r="D174" s="141"/>
      <c r="E174" s="143"/>
      <c r="F174" s="150"/>
      <c r="G174" s="150"/>
      <c r="H174" s="145"/>
      <c r="I174" s="145"/>
    </row>
    <row r="175" spans="1:9" ht="24.95" hidden="1" customHeight="1">
      <c r="A175" s="141"/>
      <c r="B175" s="141"/>
      <c r="C175" s="143"/>
      <c r="D175" s="141"/>
      <c r="E175" s="143"/>
      <c r="F175" s="150"/>
      <c r="G175" s="150"/>
      <c r="H175" s="145"/>
      <c r="I175" s="145"/>
    </row>
    <row r="176" spans="1:9" ht="24.95" hidden="1" customHeight="1">
      <c r="A176" s="141"/>
      <c r="B176" s="141"/>
      <c r="C176" s="143"/>
      <c r="D176" s="141"/>
      <c r="E176" s="143"/>
      <c r="F176" s="150"/>
      <c r="G176" s="150"/>
      <c r="H176" s="145"/>
      <c r="I176" s="145"/>
    </row>
    <row r="177" spans="1:9" ht="24.95" hidden="1" customHeight="1">
      <c r="A177" s="141"/>
      <c r="B177" s="141"/>
      <c r="C177" s="143"/>
      <c r="D177" s="141"/>
      <c r="E177" s="143"/>
      <c r="F177" s="150"/>
      <c r="G177" s="150"/>
      <c r="H177" s="145"/>
      <c r="I177" s="145"/>
    </row>
    <row r="178" spans="1:9" ht="24.95" hidden="1" customHeight="1">
      <c r="A178" s="141"/>
      <c r="B178" s="141"/>
      <c r="C178" s="143"/>
      <c r="D178" s="141"/>
      <c r="E178" s="143"/>
      <c r="F178" s="150"/>
      <c r="G178" s="150"/>
      <c r="H178" s="145"/>
      <c r="I178" s="145"/>
    </row>
    <row r="179" spans="1:9" ht="24.95" hidden="1" customHeight="1">
      <c r="A179" s="141"/>
      <c r="B179" s="141"/>
      <c r="C179" s="143"/>
      <c r="D179" s="141"/>
      <c r="E179" s="143"/>
      <c r="F179" s="150"/>
      <c r="G179" s="150"/>
      <c r="H179" s="145"/>
      <c r="I179" s="145"/>
    </row>
    <row r="180" spans="1:9" ht="24.95" hidden="1" customHeight="1">
      <c r="A180" s="141"/>
      <c r="B180" s="141"/>
      <c r="C180" s="143"/>
      <c r="D180" s="141"/>
      <c r="E180" s="143"/>
      <c r="F180" s="150"/>
      <c r="G180" s="150"/>
      <c r="H180" s="145"/>
      <c r="I180" s="145"/>
    </row>
    <row r="181" spans="1:9" ht="24.95" hidden="1" customHeight="1">
      <c r="A181" s="141"/>
      <c r="B181" s="141"/>
      <c r="C181" s="143"/>
      <c r="D181" s="141"/>
      <c r="E181" s="143"/>
      <c r="F181" s="150"/>
      <c r="G181" s="150"/>
      <c r="H181" s="145"/>
      <c r="I181" s="145"/>
    </row>
    <row r="182" spans="1:9" ht="24.95" hidden="1" customHeight="1">
      <c r="A182" s="141"/>
      <c r="B182" s="141"/>
      <c r="C182" s="143"/>
      <c r="D182" s="141"/>
      <c r="E182" s="143"/>
      <c r="F182" s="150"/>
      <c r="G182" s="150"/>
      <c r="H182" s="145"/>
      <c r="I182" s="145"/>
    </row>
    <row r="183" spans="1:9" ht="24.95" hidden="1" customHeight="1">
      <c r="A183" s="141"/>
      <c r="B183" s="141"/>
      <c r="C183" s="143"/>
      <c r="D183" s="141"/>
      <c r="E183" s="143"/>
      <c r="F183" s="150"/>
      <c r="G183" s="150"/>
      <c r="H183" s="145"/>
      <c r="I183" s="145"/>
    </row>
    <row r="184" spans="1:9" ht="24.95" hidden="1" customHeight="1">
      <c r="A184" s="141"/>
      <c r="B184" s="141"/>
      <c r="C184" s="143"/>
      <c r="D184" s="141"/>
      <c r="E184" s="143"/>
      <c r="F184" s="150"/>
      <c r="G184" s="150"/>
      <c r="H184" s="145"/>
      <c r="I184" s="145"/>
    </row>
    <row r="185" spans="1:9" ht="24.95" hidden="1" customHeight="1">
      <c r="A185" s="141"/>
      <c r="B185" s="141"/>
      <c r="C185" s="143"/>
      <c r="D185" s="141"/>
      <c r="E185" s="143"/>
      <c r="F185" s="150"/>
      <c r="G185" s="150"/>
      <c r="H185" s="145"/>
      <c r="I185" s="145"/>
    </row>
    <row r="186" spans="1:9" ht="24.95" hidden="1" customHeight="1">
      <c r="A186" s="141"/>
      <c r="B186" s="141"/>
      <c r="C186" s="143"/>
      <c r="D186" s="141"/>
      <c r="E186" s="143"/>
      <c r="F186" s="150"/>
      <c r="G186" s="150"/>
      <c r="H186" s="145"/>
      <c r="I186" s="145"/>
    </row>
    <row r="187" spans="1:9" ht="24.95" hidden="1" customHeight="1">
      <c r="A187" s="141"/>
      <c r="B187" s="141"/>
      <c r="C187" s="143"/>
      <c r="D187" s="141"/>
      <c r="E187" s="143"/>
      <c r="F187" s="150"/>
      <c r="G187" s="150"/>
      <c r="H187" s="145"/>
      <c r="I187" s="145"/>
    </row>
    <row r="188" spans="1:9" ht="24.95" hidden="1" customHeight="1">
      <c r="A188" s="141"/>
      <c r="B188" s="141"/>
      <c r="C188" s="143"/>
      <c r="D188" s="141"/>
      <c r="E188" s="143"/>
      <c r="F188" s="150"/>
      <c r="G188" s="150"/>
      <c r="H188" s="145"/>
      <c r="I188" s="145"/>
    </row>
    <row r="189" spans="1:9" ht="24.95" hidden="1" customHeight="1">
      <c r="A189" s="141"/>
      <c r="B189" s="141"/>
      <c r="C189" s="143"/>
      <c r="D189" s="141"/>
      <c r="E189" s="143"/>
      <c r="F189" s="150"/>
      <c r="G189" s="150"/>
      <c r="H189" s="145"/>
      <c r="I189" s="145"/>
    </row>
    <row r="190" spans="1:9" ht="24.95" hidden="1" customHeight="1">
      <c r="A190" s="141"/>
      <c r="B190" s="141"/>
      <c r="C190" s="143"/>
      <c r="D190" s="141"/>
      <c r="E190" s="143"/>
      <c r="F190" s="150"/>
      <c r="G190" s="150"/>
      <c r="H190" s="145"/>
      <c r="I190" s="145"/>
    </row>
    <row r="191" spans="1:9" ht="24.95" hidden="1" customHeight="1">
      <c r="A191" s="141"/>
      <c r="B191" s="141"/>
      <c r="C191" s="143"/>
      <c r="D191" s="141"/>
      <c r="E191" s="143"/>
      <c r="F191" s="150"/>
      <c r="G191" s="150"/>
      <c r="H191" s="145"/>
      <c r="I191" s="145"/>
    </row>
    <row r="192" spans="1:9" ht="24.95" hidden="1" customHeight="1">
      <c r="A192" s="141"/>
      <c r="B192" s="141"/>
      <c r="C192" s="143"/>
      <c r="D192" s="141"/>
      <c r="E192" s="143"/>
      <c r="F192" s="150"/>
      <c r="G192" s="150"/>
      <c r="H192" s="145"/>
      <c r="I192" s="145"/>
    </row>
    <row r="193" spans="1:9" ht="24.95" hidden="1" customHeight="1">
      <c r="A193" s="141"/>
      <c r="B193" s="141"/>
      <c r="C193" s="143"/>
      <c r="D193" s="141"/>
      <c r="E193" s="143"/>
      <c r="F193" s="150"/>
      <c r="G193" s="150"/>
      <c r="H193" s="145"/>
      <c r="I193" s="145"/>
    </row>
    <row r="194" spans="1:9" ht="24.95" hidden="1" customHeight="1">
      <c r="A194" s="141"/>
      <c r="B194" s="141"/>
      <c r="C194" s="143"/>
      <c r="D194" s="141"/>
      <c r="E194" s="143"/>
      <c r="F194" s="150"/>
      <c r="G194" s="150"/>
      <c r="H194" s="145"/>
      <c r="I194" s="145"/>
    </row>
    <row r="195" spans="1:9" ht="24.95" hidden="1" customHeight="1">
      <c r="A195" s="141"/>
      <c r="B195" s="141"/>
      <c r="C195" s="143"/>
      <c r="D195" s="141"/>
      <c r="E195" s="143"/>
      <c r="F195" s="150"/>
      <c r="G195" s="150"/>
      <c r="H195" s="145"/>
      <c r="I195" s="145"/>
    </row>
    <row r="196" spans="1:9" ht="24.95" hidden="1" customHeight="1">
      <c r="A196" s="141"/>
      <c r="B196" s="141"/>
      <c r="C196" s="143"/>
      <c r="D196" s="141"/>
      <c r="E196" s="143"/>
      <c r="F196" s="150"/>
      <c r="G196" s="150"/>
      <c r="H196" s="145"/>
      <c r="I196" s="145"/>
    </row>
    <row r="197" spans="1:9" ht="24.95" hidden="1" customHeight="1">
      <c r="A197" s="141"/>
      <c r="B197" s="141"/>
      <c r="C197" s="143"/>
      <c r="D197" s="141"/>
      <c r="E197" s="143"/>
      <c r="F197" s="150"/>
      <c r="G197" s="150"/>
      <c r="H197" s="145"/>
      <c r="I197" s="145"/>
    </row>
    <row r="198" spans="1:9" ht="24.95" hidden="1" customHeight="1">
      <c r="A198" s="141"/>
      <c r="B198" s="141"/>
      <c r="C198" s="143"/>
      <c r="D198" s="141"/>
      <c r="E198" s="143"/>
      <c r="F198" s="150"/>
      <c r="G198" s="150"/>
      <c r="H198" s="145"/>
      <c r="I198" s="145"/>
    </row>
    <row r="199" spans="1:9" ht="24.95" hidden="1" customHeight="1">
      <c r="A199" s="141"/>
      <c r="B199" s="141"/>
      <c r="C199" s="143"/>
      <c r="D199" s="141"/>
      <c r="E199" s="143"/>
      <c r="F199" s="150"/>
      <c r="G199" s="150"/>
      <c r="H199" s="145"/>
      <c r="I199" s="145"/>
    </row>
    <row r="200" spans="1:9" ht="24.95" hidden="1" customHeight="1">
      <c r="A200" s="141"/>
      <c r="B200" s="141"/>
      <c r="C200" s="143"/>
      <c r="D200" s="141"/>
      <c r="E200" s="143"/>
      <c r="F200" s="150"/>
      <c r="G200" s="150"/>
      <c r="H200" s="145"/>
      <c r="I200" s="145"/>
    </row>
    <row r="201" spans="1:9" ht="24.95" hidden="1" customHeight="1">
      <c r="A201" s="141"/>
      <c r="B201" s="141"/>
      <c r="C201" s="143"/>
      <c r="D201" s="141"/>
      <c r="E201" s="143"/>
      <c r="F201" s="150"/>
      <c r="G201" s="150"/>
      <c r="H201" s="145"/>
      <c r="I201" s="145"/>
    </row>
    <row r="202" spans="1:9" ht="24.95" hidden="1" customHeight="1">
      <c r="A202" s="141"/>
      <c r="B202" s="141"/>
      <c r="C202" s="143"/>
      <c r="D202" s="141"/>
      <c r="E202" s="143"/>
      <c r="F202" s="150"/>
      <c r="G202" s="150"/>
      <c r="H202" s="145"/>
      <c r="I202" s="145"/>
    </row>
    <row r="203" spans="1:9" ht="24.95" hidden="1" customHeight="1">
      <c r="A203" s="141"/>
      <c r="B203" s="141"/>
      <c r="C203" s="143"/>
      <c r="D203" s="141"/>
      <c r="E203" s="143"/>
      <c r="F203" s="150"/>
      <c r="G203" s="150"/>
      <c r="H203" s="145"/>
      <c r="I203" s="145"/>
    </row>
    <row r="204" spans="1:9" ht="24.95" hidden="1" customHeight="1">
      <c r="A204" s="141"/>
      <c r="B204" s="141"/>
      <c r="C204" s="143"/>
      <c r="D204" s="141"/>
      <c r="E204" s="143"/>
      <c r="F204" s="150"/>
      <c r="G204" s="150"/>
      <c r="H204" s="145"/>
      <c r="I204" s="145"/>
    </row>
    <row r="205" spans="1:9" ht="24.95" hidden="1" customHeight="1">
      <c r="A205" s="141"/>
      <c r="B205" s="141"/>
      <c r="C205" s="143"/>
      <c r="D205" s="141"/>
      <c r="E205" s="143"/>
      <c r="F205" s="150"/>
      <c r="G205" s="150"/>
      <c r="H205" s="145"/>
      <c r="I205" s="145"/>
    </row>
    <row r="206" spans="1:9" ht="24.95" hidden="1" customHeight="1">
      <c r="A206" s="141"/>
      <c r="B206" s="141"/>
      <c r="C206" s="143"/>
      <c r="D206" s="141"/>
      <c r="E206" s="143"/>
      <c r="F206" s="150"/>
      <c r="G206" s="150"/>
      <c r="H206" s="145"/>
      <c r="I206" s="145"/>
    </row>
    <row r="207" spans="1:9" ht="24.95" hidden="1" customHeight="1">
      <c r="A207" s="141"/>
      <c r="B207" s="141"/>
      <c r="C207" s="143"/>
      <c r="D207" s="141"/>
      <c r="E207" s="143"/>
      <c r="F207" s="150"/>
      <c r="G207" s="150"/>
      <c r="H207" s="145"/>
      <c r="I207" s="145"/>
    </row>
    <row r="208" spans="1:9" ht="24.95" hidden="1" customHeight="1">
      <c r="A208" s="141"/>
      <c r="B208" s="141"/>
      <c r="C208" s="143"/>
      <c r="D208" s="141"/>
      <c r="E208" s="143"/>
      <c r="F208" s="150"/>
      <c r="G208" s="150"/>
      <c r="H208" s="145"/>
      <c r="I208" s="145"/>
    </row>
    <row r="209" spans="1:9" ht="24.95" hidden="1" customHeight="1">
      <c r="A209" s="141"/>
      <c r="B209" s="141"/>
      <c r="C209" s="143"/>
      <c r="D209" s="141"/>
      <c r="E209" s="143"/>
      <c r="F209" s="150"/>
      <c r="G209" s="150"/>
      <c r="H209" s="145"/>
      <c r="I209" s="145"/>
    </row>
    <row r="210" spans="1:9" ht="24.95" hidden="1" customHeight="1">
      <c r="A210" s="141"/>
      <c r="B210" s="141"/>
      <c r="C210" s="143"/>
      <c r="D210" s="141"/>
      <c r="E210" s="143"/>
      <c r="F210" s="150"/>
      <c r="G210" s="150"/>
      <c r="H210" s="145"/>
      <c r="I210" s="145"/>
    </row>
    <row r="211" spans="1:9" ht="24.95" hidden="1" customHeight="1">
      <c r="A211" s="141"/>
      <c r="B211" s="141"/>
      <c r="C211" s="143"/>
      <c r="D211" s="141"/>
      <c r="E211" s="143"/>
      <c r="F211" s="150"/>
      <c r="G211" s="150"/>
      <c r="H211" s="145"/>
      <c r="I211" s="145"/>
    </row>
    <row r="212" spans="1:9" ht="24.95" hidden="1" customHeight="1">
      <c r="A212" s="141"/>
      <c r="B212" s="141"/>
      <c r="C212" s="143"/>
      <c r="D212" s="141"/>
      <c r="E212" s="143"/>
      <c r="F212" s="150"/>
      <c r="G212" s="150"/>
      <c r="H212" s="145"/>
      <c r="I212" s="145"/>
    </row>
    <row r="213" spans="1:9" ht="24.95" hidden="1" customHeight="1">
      <c r="A213" s="141"/>
      <c r="B213" s="141"/>
      <c r="C213" s="143"/>
      <c r="D213" s="141"/>
      <c r="E213" s="143"/>
      <c r="F213" s="150"/>
      <c r="G213" s="150"/>
      <c r="H213" s="145"/>
      <c r="I213" s="145"/>
    </row>
    <row r="214" spans="1:9" ht="24.95" hidden="1" customHeight="1">
      <c r="A214" s="141"/>
      <c r="B214" s="141"/>
      <c r="C214" s="143"/>
      <c r="D214" s="141"/>
      <c r="E214" s="143"/>
      <c r="F214" s="150"/>
      <c r="G214" s="150"/>
      <c r="H214" s="145"/>
      <c r="I214" s="145"/>
    </row>
    <row r="215" spans="1:9" ht="24.95" hidden="1" customHeight="1">
      <c r="A215" s="141"/>
      <c r="B215" s="141"/>
      <c r="C215" s="143"/>
      <c r="D215" s="141"/>
      <c r="E215" s="143"/>
      <c r="F215" s="150"/>
      <c r="G215" s="150"/>
      <c r="H215" s="145"/>
      <c r="I215" s="145"/>
    </row>
    <row r="216" spans="1:9" ht="24.95" hidden="1" customHeight="1">
      <c r="A216" s="141"/>
      <c r="B216" s="141"/>
      <c r="C216" s="143"/>
      <c r="D216" s="141"/>
      <c r="E216" s="143"/>
      <c r="F216" s="150"/>
      <c r="G216" s="150"/>
      <c r="H216" s="145"/>
      <c r="I216" s="145"/>
    </row>
    <row r="217" spans="1:9" ht="24.95" hidden="1" customHeight="1">
      <c r="A217" s="141"/>
      <c r="B217" s="141"/>
      <c r="C217" s="143"/>
      <c r="D217" s="141"/>
      <c r="E217" s="143"/>
      <c r="F217" s="150"/>
      <c r="G217" s="150"/>
      <c r="H217" s="145"/>
      <c r="I217" s="145"/>
    </row>
    <row r="218" spans="1:9" ht="24.95" hidden="1" customHeight="1">
      <c r="A218" s="141"/>
      <c r="B218" s="141"/>
      <c r="C218" s="143"/>
      <c r="D218" s="141"/>
      <c r="E218" s="143"/>
      <c r="F218" s="150"/>
      <c r="G218" s="150"/>
      <c r="H218" s="145"/>
      <c r="I218" s="145"/>
    </row>
    <row r="219" spans="1:9" ht="24.95" hidden="1" customHeight="1">
      <c r="A219" s="141"/>
      <c r="B219" s="141"/>
      <c r="C219" s="143"/>
      <c r="D219" s="141"/>
      <c r="E219" s="143"/>
      <c r="F219" s="150"/>
      <c r="G219" s="150"/>
      <c r="H219" s="145"/>
      <c r="I219" s="145"/>
    </row>
    <row r="220" spans="1:9" ht="24.95" hidden="1" customHeight="1">
      <c r="A220" s="141"/>
      <c r="B220" s="141"/>
      <c r="C220" s="143"/>
      <c r="D220" s="141"/>
      <c r="E220" s="143"/>
      <c r="F220" s="150"/>
      <c r="G220" s="150"/>
      <c r="H220" s="145"/>
      <c r="I220" s="145"/>
    </row>
    <row r="221" spans="1:9" ht="24.95" hidden="1" customHeight="1">
      <c r="A221" s="141"/>
      <c r="B221" s="141"/>
      <c r="C221" s="143"/>
      <c r="D221" s="141"/>
      <c r="E221" s="143"/>
      <c r="F221" s="150"/>
      <c r="G221" s="150"/>
      <c r="H221" s="145"/>
      <c r="I221" s="145"/>
    </row>
    <row r="222" spans="1:9" ht="24.95" hidden="1" customHeight="1">
      <c r="A222" s="141"/>
      <c r="B222" s="141"/>
      <c r="C222" s="143"/>
      <c r="D222" s="141"/>
      <c r="E222" s="143"/>
      <c r="F222" s="150"/>
      <c r="G222" s="150"/>
      <c r="H222" s="145"/>
      <c r="I222" s="145"/>
    </row>
    <row r="223" spans="1:9" ht="24.95" hidden="1" customHeight="1">
      <c r="A223" s="141"/>
      <c r="B223" s="141"/>
      <c r="C223" s="143"/>
      <c r="D223" s="141"/>
      <c r="E223" s="143"/>
      <c r="F223" s="150"/>
      <c r="G223" s="150"/>
      <c r="H223" s="145"/>
      <c r="I223" s="145"/>
    </row>
    <row r="224" spans="1:9" ht="24.95" hidden="1" customHeight="1">
      <c r="A224" s="141"/>
      <c r="B224" s="141"/>
      <c r="C224" s="143"/>
      <c r="D224" s="141"/>
      <c r="E224" s="143"/>
      <c r="F224" s="150"/>
      <c r="G224" s="150"/>
      <c r="H224" s="145"/>
      <c r="I224" s="145"/>
    </row>
    <row r="225" spans="1:9" ht="24.95" hidden="1" customHeight="1">
      <c r="A225" s="141"/>
      <c r="B225" s="141"/>
      <c r="C225" s="143"/>
      <c r="D225" s="141"/>
      <c r="E225" s="143"/>
      <c r="F225" s="150"/>
      <c r="G225" s="150"/>
      <c r="H225" s="145"/>
      <c r="I225" s="145"/>
    </row>
    <row r="226" spans="1:9" ht="24.95" hidden="1" customHeight="1">
      <c r="A226" s="141"/>
      <c r="B226" s="141"/>
      <c r="C226" s="143"/>
      <c r="D226" s="141"/>
      <c r="E226" s="143"/>
      <c r="F226" s="150"/>
      <c r="G226" s="150"/>
      <c r="H226" s="145"/>
      <c r="I226" s="145"/>
    </row>
    <row r="227" spans="1:9" ht="24.95" hidden="1" customHeight="1">
      <c r="A227" s="141"/>
      <c r="B227" s="141"/>
      <c r="C227" s="143"/>
      <c r="D227" s="141"/>
      <c r="E227" s="143"/>
      <c r="F227" s="150"/>
      <c r="G227" s="150"/>
      <c r="H227" s="145"/>
      <c r="I227" s="145"/>
    </row>
    <row r="228" spans="1:9" ht="24.95" hidden="1" customHeight="1">
      <c r="A228" s="141"/>
      <c r="B228" s="141"/>
      <c r="C228" s="143"/>
      <c r="D228" s="141"/>
      <c r="E228" s="143"/>
      <c r="F228" s="150"/>
      <c r="G228" s="150"/>
      <c r="H228" s="145"/>
      <c r="I228" s="145"/>
    </row>
    <row r="229" spans="1:9" ht="24.95" hidden="1" customHeight="1">
      <c r="A229" s="141"/>
      <c r="B229" s="141"/>
      <c r="C229" s="143"/>
      <c r="D229" s="141"/>
      <c r="E229" s="143"/>
      <c r="F229" s="150"/>
      <c r="G229" s="150"/>
      <c r="H229" s="145"/>
      <c r="I229" s="145"/>
    </row>
    <row r="230" spans="1:9" ht="24.95" hidden="1" customHeight="1">
      <c r="A230" s="141"/>
      <c r="B230" s="141"/>
      <c r="C230" s="143"/>
      <c r="D230" s="141"/>
      <c r="E230" s="143"/>
      <c r="F230" s="150"/>
      <c r="G230" s="150"/>
      <c r="H230" s="145"/>
      <c r="I230" s="145"/>
    </row>
    <row r="231" spans="1:9" ht="24.95" hidden="1" customHeight="1">
      <c r="A231" s="141"/>
      <c r="B231" s="141"/>
      <c r="C231" s="143"/>
      <c r="D231" s="141"/>
      <c r="E231" s="143"/>
      <c r="F231" s="150"/>
      <c r="G231" s="150"/>
      <c r="H231" s="145"/>
      <c r="I231" s="145"/>
    </row>
    <row r="232" spans="1:9" ht="24.95" hidden="1" customHeight="1">
      <c r="A232" s="141"/>
      <c r="B232" s="141"/>
      <c r="C232" s="143"/>
      <c r="D232" s="141"/>
      <c r="E232" s="143"/>
      <c r="F232" s="150"/>
      <c r="G232" s="150"/>
      <c r="H232" s="145"/>
      <c r="I232" s="145"/>
    </row>
    <row r="233" spans="1:9" ht="24.95" hidden="1" customHeight="1">
      <c r="A233" s="141"/>
      <c r="B233" s="141"/>
      <c r="C233" s="143"/>
      <c r="D233" s="141"/>
      <c r="E233" s="143"/>
      <c r="F233" s="150"/>
      <c r="G233" s="150"/>
      <c r="H233" s="145"/>
      <c r="I233" s="145"/>
    </row>
    <row r="234" spans="1:9" ht="24.95" hidden="1" customHeight="1">
      <c r="A234" s="141"/>
      <c r="B234" s="141"/>
      <c r="C234" s="143"/>
      <c r="D234" s="141"/>
      <c r="E234" s="143"/>
      <c r="F234" s="150"/>
      <c r="G234" s="150"/>
      <c r="H234" s="145"/>
      <c r="I234" s="145"/>
    </row>
    <row r="235" spans="1:9" ht="24.95" hidden="1" customHeight="1">
      <c r="A235" s="141"/>
      <c r="B235" s="141"/>
      <c r="C235" s="143"/>
      <c r="D235" s="141"/>
      <c r="E235" s="143"/>
      <c r="F235" s="150"/>
      <c r="G235" s="150"/>
      <c r="H235" s="145"/>
      <c r="I235" s="145"/>
    </row>
    <row r="236" spans="1:9" ht="24.95" hidden="1" customHeight="1">
      <c r="A236" s="141"/>
      <c r="B236" s="141"/>
      <c r="C236" s="143"/>
      <c r="D236" s="141"/>
      <c r="E236" s="143"/>
      <c r="F236" s="150"/>
      <c r="G236" s="150"/>
      <c r="H236" s="145"/>
      <c r="I236" s="145"/>
    </row>
    <row r="237" spans="1:9" ht="24.95" hidden="1" customHeight="1">
      <c r="A237" s="141"/>
      <c r="B237" s="141"/>
      <c r="C237" s="143"/>
      <c r="D237" s="141"/>
      <c r="E237" s="143"/>
      <c r="F237" s="150"/>
      <c r="G237" s="150"/>
      <c r="H237" s="145"/>
      <c r="I237" s="145"/>
    </row>
    <row r="238" spans="1:9" ht="24.95" hidden="1" customHeight="1">
      <c r="A238" s="141"/>
      <c r="B238" s="141"/>
      <c r="C238" s="143"/>
      <c r="D238" s="141"/>
      <c r="E238" s="143"/>
      <c r="F238" s="150"/>
      <c r="G238" s="150"/>
      <c r="H238" s="145"/>
      <c r="I238" s="145"/>
    </row>
    <row r="239" spans="1:9" ht="24.95" hidden="1" customHeight="1">
      <c r="A239" s="141"/>
      <c r="B239" s="141"/>
      <c r="C239" s="143"/>
      <c r="D239" s="141"/>
      <c r="E239" s="143"/>
      <c r="F239" s="150"/>
      <c r="G239" s="150"/>
      <c r="H239" s="145"/>
      <c r="I239" s="145"/>
    </row>
    <row r="240" spans="1:9" ht="24.95" hidden="1" customHeight="1">
      <c r="A240" s="141"/>
      <c r="B240" s="141"/>
      <c r="C240" s="143"/>
      <c r="D240" s="141"/>
      <c r="E240" s="143"/>
      <c r="F240" s="150"/>
      <c r="G240" s="150"/>
      <c r="H240" s="145"/>
      <c r="I240" s="145"/>
    </row>
    <row r="241" spans="1:9" ht="24.95" hidden="1" customHeight="1">
      <c r="A241" s="141"/>
      <c r="B241" s="141"/>
      <c r="C241" s="143"/>
      <c r="D241" s="141"/>
      <c r="E241" s="143"/>
      <c r="F241" s="150"/>
      <c r="G241" s="150"/>
      <c r="H241" s="145"/>
      <c r="I241" s="145"/>
    </row>
    <row r="242" spans="1:9" ht="24.95" hidden="1" customHeight="1">
      <c r="A242" s="141"/>
      <c r="B242" s="141"/>
      <c r="C242" s="143"/>
      <c r="D242" s="141"/>
      <c r="E242" s="143"/>
      <c r="F242" s="150"/>
      <c r="G242" s="150"/>
      <c r="H242" s="145"/>
      <c r="I242" s="145"/>
    </row>
    <row r="243" spans="1:9" ht="24.95" hidden="1" customHeight="1">
      <c r="A243" s="141"/>
      <c r="B243" s="141"/>
      <c r="C243" s="143"/>
      <c r="D243" s="141"/>
      <c r="E243" s="143"/>
      <c r="F243" s="150"/>
      <c r="G243" s="150"/>
      <c r="H243" s="145"/>
      <c r="I243" s="145"/>
    </row>
    <row r="244" spans="1:9" ht="24.95" hidden="1" customHeight="1">
      <c r="A244" s="141"/>
      <c r="B244" s="141"/>
      <c r="C244" s="143"/>
      <c r="D244" s="141"/>
      <c r="E244" s="143"/>
      <c r="F244" s="150"/>
      <c r="G244" s="150"/>
      <c r="H244" s="145"/>
      <c r="I244" s="145"/>
    </row>
    <row r="245" spans="1:9" ht="24.95" hidden="1" customHeight="1">
      <c r="A245" s="141"/>
      <c r="B245" s="141"/>
      <c r="C245" s="143"/>
      <c r="D245" s="141"/>
      <c r="E245" s="143"/>
      <c r="F245" s="150"/>
      <c r="G245" s="150"/>
      <c r="H245" s="145"/>
      <c r="I245" s="145"/>
    </row>
    <row r="246" spans="1:9" ht="24.95" hidden="1" customHeight="1">
      <c r="A246" s="141"/>
      <c r="B246" s="141"/>
      <c r="C246" s="143"/>
      <c r="D246" s="141"/>
      <c r="E246" s="143"/>
      <c r="F246" s="150"/>
      <c r="G246" s="150"/>
      <c r="H246" s="145"/>
      <c r="I246" s="145"/>
    </row>
    <row r="247" spans="1:9" ht="24.95" hidden="1" customHeight="1">
      <c r="A247" s="141"/>
      <c r="B247" s="141"/>
      <c r="C247" s="143"/>
      <c r="D247" s="141"/>
      <c r="E247" s="143"/>
      <c r="F247" s="150"/>
      <c r="G247" s="150"/>
      <c r="H247" s="145"/>
      <c r="I247" s="145"/>
    </row>
    <row r="248" spans="1:9" ht="24.95" hidden="1" customHeight="1">
      <c r="A248" s="141"/>
      <c r="B248" s="141"/>
      <c r="C248" s="143"/>
      <c r="D248" s="141"/>
      <c r="E248" s="143"/>
      <c r="F248" s="150"/>
      <c r="G248" s="150"/>
      <c r="H248" s="145"/>
      <c r="I248" s="145"/>
    </row>
    <row r="249" spans="1:9" ht="24.95" hidden="1" customHeight="1">
      <c r="A249" s="141"/>
      <c r="B249" s="141"/>
      <c r="C249" s="143"/>
      <c r="D249" s="141"/>
      <c r="E249" s="143"/>
      <c r="F249" s="150"/>
      <c r="G249" s="150"/>
      <c r="H249" s="145"/>
      <c r="I249" s="145"/>
    </row>
    <row r="250" spans="1:9" ht="24.95" hidden="1" customHeight="1">
      <c r="A250" s="141"/>
      <c r="B250" s="141"/>
      <c r="C250" s="143"/>
      <c r="D250" s="141"/>
      <c r="E250" s="143"/>
      <c r="F250" s="150"/>
      <c r="G250" s="150"/>
      <c r="H250" s="145"/>
      <c r="I250" s="145"/>
    </row>
    <row r="251" spans="1:9" ht="24.95" hidden="1" customHeight="1">
      <c r="A251" s="141"/>
      <c r="B251" s="141"/>
      <c r="C251" s="143"/>
      <c r="D251" s="141"/>
      <c r="E251" s="143"/>
      <c r="F251" s="150"/>
      <c r="G251" s="150"/>
      <c r="H251" s="145"/>
      <c r="I251" s="145"/>
    </row>
    <row r="252" spans="1:9" ht="24.95" hidden="1" customHeight="1">
      <c r="A252" s="141"/>
      <c r="B252" s="141"/>
      <c r="C252" s="143"/>
      <c r="D252" s="141"/>
      <c r="E252" s="143"/>
      <c r="F252" s="150"/>
      <c r="G252" s="150"/>
      <c r="H252" s="145"/>
      <c r="I252" s="145"/>
    </row>
    <row r="253" spans="1:9" ht="24.95" hidden="1" customHeight="1">
      <c r="A253" s="141"/>
      <c r="B253" s="141"/>
      <c r="C253" s="143"/>
      <c r="D253" s="141"/>
      <c r="E253" s="143"/>
      <c r="F253" s="150"/>
      <c r="G253" s="150"/>
      <c r="H253" s="145"/>
      <c r="I253" s="145"/>
    </row>
    <row r="254" spans="1:9" ht="24.95" hidden="1" customHeight="1">
      <c r="A254" s="141"/>
      <c r="B254" s="141"/>
      <c r="C254" s="143"/>
      <c r="D254" s="141"/>
      <c r="E254" s="143"/>
      <c r="F254" s="150"/>
      <c r="G254" s="150"/>
      <c r="H254" s="145"/>
      <c r="I254" s="145"/>
    </row>
    <row r="255" spans="1:9" ht="24.95" hidden="1" customHeight="1">
      <c r="A255" s="141"/>
      <c r="B255" s="141"/>
      <c r="C255" s="143"/>
      <c r="D255" s="141"/>
      <c r="E255" s="143"/>
      <c r="F255" s="150"/>
      <c r="G255" s="150"/>
      <c r="H255" s="145"/>
      <c r="I255" s="145"/>
    </row>
    <row r="256" spans="1:9" ht="24.95" hidden="1" customHeight="1">
      <c r="A256" s="141"/>
      <c r="B256" s="141"/>
      <c r="C256" s="143"/>
      <c r="D256" s="141"/>
      <c r="E256" s="143"/>
      <c r="F256" s="150"/>
      <c r="G256" s="150"/>
      <c r="H256" s="145"/>
      <c r="I256" s="145"/>
    </row>
    <row r="257" spans="1:9" ht="24.95" hidden="1" customHeight="1">
      <c r="A257" s="141"/>
      <c r="B257" s="141"/>
      <c r="C257" s="143"/>
      <c r="D257" s="141"/>
      <c r="E257" s="143"/>
      <c r="F257" s="150"/>
      <c r="G257" s="150"/>
      <c r="H257" s="145"/>
      <c r="I257" s="145"/>
    </row>
    <row r="258" spans="1:9" ht="24.95" hidden="1" customHeight="1">
      <c r="A258" s="141"/>
      <c r="B258" s="141"/>
      <c r="C258" s="143"/>
      <c r="D258" s="141"/>
      <c r="E258" s="143"/>
      <c r="F258" s="150"/>
      <c r="G258" s="150"/>
      <c r="H258" s="145"/>
      <c r="I258" s="145"/>
    </row>
    <row r="259" spans="1:9" ht="24.95" hidden="1" customHeight="1">
      <c r="A259" s="141"/>
      <c r="B259" s="141"/>
      <c r="C259" s="143"/>
      <c r="D259" s="141"/>
      <c r="E259" s="143"/>
      <c r="F259" s="150"/>
      <c r="G259" s="150"/>
      <c r="H259" s="145"/>
      <c r="I259" s="145"/>
    </row>
    <row r="260" spans="1:9" ht="24.95" hidden="1" customHeight="1">
      <c r="A260" s="141"/>
      <c r="B260" s="141"/>
      <c r="C260" s="143"/>
      <c r="D260" s="141"/>
      <c r="E260" s="143"/>
      <c r="F260" s="150"/>
      <c r="G260" s="150"/>
      <c r="H260" s="145"/>
      <c r="I260" s="145"/>
    </row>
    <row r="261" spans="1:9" ht="24.95" hidden="1" customHeight="1">
      <c r="A261" s="141"/>
      <c r="B261" s="141"/>
      <c r="C261" s="143"/>
      <c r="D261" s="141"/>
      <c r="E261" s="143"/>
      <c r="F261" s="150"/>
      <c r="G261" s="150"/>
      <c r="H261" s="145"/>
      <c r="I261" s="145"/>
    </row>
    <row r="262" spans="1:9" ht="24.95" hidden="1" customHeight="1">
      <c r="A262" s="141"/>
      <c r="B262" s="141"/>
      <c r="C262" s="143"/>
      <c r="D262" s="141"/>
      <c r="E262" s="143"/>
      <c r="F262" s="150"/>
      <c r="G262" s="150"/>
      <c r="H262" s="145"/>
      <c r="I262" s="145"/>
    </row>
    <row r="263" spans="1:9" ht="24.95" hidden="1" customHeight="1">
      <c r="A263" s="141"/>
      <c r="B263" s="141"/>
      <c r="C263" s="143"/>
      <c r="D263" s="141"/>
      <c r="E263" s="143"/>
      <c r="F263" s="150"/>
      <c r="G263" s="150"/>
      <c r="H263" s="145"/>
      <c r="I263" s="145"/>
    </row>
    <row r="264" spans="1:9" ht="24.95" hidden="1" customHeight="1">
      <c r="A264" s="141"/>
      <c r="B264" s="141"/>
      <c r="C264" s="143"/>
      <c r="D264" s="141"/>
      <c r="E264" s="143"/>
      <c r="F264" s="150"/>
      <c r="G264" s="150"/>
      <c r="H264" s="145"/>
      <c r="I264" s="145"/>
    </row>
    <row r="265" spans="1:9" ht="24.95" hidden="1" customHeight="1">
      <c r="A265" s="141"/>
      <c r="B265" s="141"/>
      <c r="C265" s="143"/>
      <c r="D265" s="141"/>
      <c r="E265" s="143"/>
      <c r="F265" s="150"/>
      <c r="G265" s="150"/>
      <c r="H265" s="145"/>
      <c r="I265" s="145"/>
    </row>
    <row r="266" spans="1:9" ht="24.95" hidden="1" customHeight="1">
      <c r="A266" s="141"/>
      <c r="B266" s="141"/>
      <c r="C266" s="143"/>
      <c r="D266" s="141"/>
      <c r="E266" s="143"/>
      <c r="F266" s="150"/>
      <c r="G266" s="150"/>
      <c r="H266" s="145"/>
      <c r="I266" s="145"/>
    </row>
    <row r="267" spans="1:9" ht="24.95" hidden="1" customHeight="1">
      <c r="A267" s="141"/>
      <c r="B267" s="141"/>
      <c r="C267" s="143"/>
      <c r="D267" s="141"/>
      <c r="E267" s="143"/>
      <c r="F267" s="150"/>
      <c r="G267" s="150"/>
      <c r="H267" s="145"/>
      <c r="I267" s="145"/>
    </row>
    <row r="268" spans="1:9" ht="24.95" hidden="1" customHeight="1">
      <c r="A268" s="141"/>
      <c r="B268" s="141"/>
      <c r="C268" s="143"/>
      <c r="D268" s="141"/>
      <c r="E268" s="143"/>
      <c r="F268" s="150"/>
      <c r="G268" s="150"/>
      <c r="H268" s="145"/>
      <c r="I268" s="145"/>
    </row>
    <row r="269" spans="1:9" ht="24.95" hidden="1" customHeight="1">
      <c r="A269" s="141"/>
      <c r="B269" s="141"/>
      <c r="C269" s="143"/>
      <c r="D269" s="141"/>
      <c r="E269" s="143"/>
      <c r="F269" s="150"/>
      <c r="G269" s="150"/>
      <c r="H269" s="145"/>
      <c r="I269" s="145"/>
    </row>
    <row r="270" spans="1:9" ht="24.95" hidden="1" customHeight="1">
      <c r="A270" s="141"/>
      <c r="B270" s="141"/>
      <c r="C270" s="143"/>
      <c r="D270" s="141"/>
      <c r="E270" s="143"/>
      <c r="F270" s="150"/>
      <c r="G270" s="150"/>
      <c r="H270" s="145"/>
      <c r="I270" s="145"/>
    </row>
    <row r="271" spans="1:9" ht="24.95" hidden="1" customHeight="1">
      <c r="A271" s="141"/>
      <c r="B271" s="141"/>
      <c r="C271" s="143"/>
      <c r="D271" s="141"/>
      <c r="E271" s="143"/>
      <c r="F271" s="150"/>
      <c r="G271" s="150"/>
      <c r="H271" s="145"/>
      <c r="I271" s="145"/>
    </row>
    <row r="272" spans="1:9" ht="24.95" hidden="1" customHeight="1">
      <c r="A272" s="141"/>
      <c r="B272" s="141"/>
      <c r="C272" s="143"/>
      <c r="D272" s="141"/>
      <c r="E272" s="143"/>
      <c r="F272" s="150"/>
      <c r="G272" s="150"/>
      <c r="H272" s="145"/>
      <c r="I272" s="145"/>
    </row>
    <row r="273" spans="1:9" ht="24.95" hidden="1" customHeight="1">
      <c r="A273" s="141"/>
      <c r="B273" s="141"/>
      <c r="C273" s="143"/>
      <c r="D273" s="141"/>
      <c r="E273" s="143"/>
      <c r="F273" s="150"/>
      <c r="G273" s="150"/>
      <c r="H273" s="145"/>
      <c r="I273" s="145"/>
    </row>
    <row r="274" spans="1:9" ht="24.95" hidden="1" customHeight="1">
      <c r="A274" s="141"/>
      <c r="B274" s="141"/>
      <c r="C274" s="143"/>
      <c r="D274" s="141"/>
      <c r="E274" s="143"/>
      <c r="F274" s="150"/>
      <c r="G274" s="150"/>
      <c r="H274" s="145"/>
      <c r="I274" s="145"/>
    </row>
    <row r="275" spans="1:9" ht="24.95" hidden="1" customHeight="1">
      <c r="A275" s="141"/>
      <c r="B275" s="141"/>
      <c r="C275" s="143"/>
      <c r="D275" s="141"/>
      <c r="E275" s="143"/>
      <c r="F275" s="150"/>
      <c r="G275" s="150"/>
      <c r="H275" s="145"/>
      <c r="I275" s="145"/>
    </row>
    <row r="276" spans="1:9" ht="24.95" hidden="1" customHeight="1">
      <c r="A276" s="141"/>
      <c r="B276" s="141"/>
      <c r="C276" s="143"/>
      <c r="D276" s="141"/>
      <c r="E276" s="143"/>
      <c r="F276" s="150"/>
      <c r="G276" s="150"/>
      <c r="H276" s="145"/>
      <c r="I276" s="145"/>
    </row>
    <row r="277" spans="1:9" ht="24.95" hidden="1" customHeight="1">
      <c r="A277" s="141"/>
      <c r="B277" s="141"/>
      <c r="C277" s="143"/>
      <c r="D277" s="141"/>
      <c r="E277" s="143"/>
      <c r="F277" s="150"/>
      <c r="G277" s="150"/>
      <c r="H277" s="145"/>
      <c r="I277" s="145"/>
    </row>
    <row r="278" spans="1:9" ht="24.95" hidden="1" customHeight="1">
      <c r="A278" s="141"/>
      <c r="B278" s="141"/>
      <c r="C278" s="143"/>
      <c r="D278" s="141"/>
      <c r="E278" s="143"/>
      <c r="F278" s="150"/>
      <c r="G278" s="150"/>
      <c r="H278" s="145"/>
      <c r="I278" s="145"/>
    </row>
    <row r="279" spans="1:9" ht="24.95" hidden="1" customHeight="1">
      <c r="A279" s="141"/>
      <c r="B279" s="141"/>
      <c r="C279" s="143"/>
      <c r="D279" s="141"/>
      <c r="E279" s="143"/>
      <c r="F279" s="150"/>
      <c r="G279" s="150"/>
      <c r="H279" s="145"/>
      <c r="I279" s="145"/>
    </row>
    <row r="280" spans="1:9" ht="24.95" hidden="1" customHeight="1">
      <c r="A280" s="141"/>
      <c r="B280" s="141"/>
      <c r="C280" s="143"/>
      <c r="D280" s="141"/>
      <c r="E280" s="143"/>
      <c r="F280" s="150"/>
      <c r="G280" s="150"/>
      <c r="H280" s="145"/>
      <c r="I280" s="145"/>
    </row>
    <row r="281" spans="1:9" ht="24.95" hidden="1" customHeight="1">
      <c r="A281" s="141"/>
      <c r="B281" s="141"/>
      <c r="C281" s="143"/>
      <c r="D281" s="141"/>
      <c r="E281" s="143"/>
      <c r="F281" s="150"/>
      <c r="G281" s="150"/>
      <c r="H281" s="145"/>
      <c r="I281" s="145"/>
    </row>
    <row r="282" spans="1:9" ht="24.95" hidden="1" customHeight="1">
      <c r="A282" s="141"/>
      <c r="B282" s="141"/>
      <c r="C282" s="143"/>
      <c r="D282" s="141"/>
      <c r="E282" s="143"/>
      <c r="F282" s="150"/>
      <c r="G282" s="150"/>
      <c r="H282" s="145"/>
      <c r="I282" s="145"/>
    </row>
    <row r="283" spans="1:9" ht="24.95" hidden="1" customHeight="1">
      <c r="A283" s="141"/>
      <c r="B283" s="141"/>
      <c r="C283" s="143"/>
      <c r="D283" s="141"/>
      <c r="E283" s="143"/>
      <c r="F283" s="150"/>
      <c r="G283" s="150"/>
      <c r="H283" s="145"/>
      <c r="I283" s="145"/>
    </row>
    <row r="284" spans="1:9" ht="24.95" hidden="1" customHeight="1">
      <c r="A284" s="141"/>
      <c r="B284" s="141"/>
      <c r="C284" s="143"/>
      <c r="D284" s="141"/>
      <c r="E284" s="143"/>
      <c r="F284" s="150"/>
      <c r="G284" s="150"/>
      <c r="H284" s="145"/>
      <c r="I284" s="145"/>
    </row>
    <row r="285" spans="1:9" ht="24.95" hidden="1" customHeight="1">
      <c r="A285" s="141"/>
      <c r="B285" s="141"/>
      <c r="C285" s="143"/>
      <c r="D285" s="141"/>
      <c r="E285" s="143"/>
      <c r="F285" s="150"/>
      <c r="G285" s="150"/>
      <c r="H285" s="145"/>
      <c r="I285" s="145"/>
    </row>
    <row r="286" spans="1:9" ht="24.95" hidden="1" customHeight="1">
      <c r="A286" s="141"/>
      <c r="B286" s="141"/>
      <c r="C286" s="143"/>
      <c r="D286" s="141"/>
      <c r="E286" s="143"/>
      <c r="F286" s="150"/>
      <c r="G286" s="150"/>
      <c r="H286" s="145"/>
      <c r="I286" s="145"/>
    </row>
    <row r="287" spans="1:9" ht="24.95" hidden="1" customHeight="1">
      <c r="A287" s="141"/>
      <c r="B287" s="141"/>
      <c r="C287" s="143"/>
      <c r="D287" s="141"/>
      <c r="E287" s="143"/>
      <c r="F287" s="150"/>
      <c r="G287" s="150"/>
      <c r="H287" s="145"/>
      <c r="I287" s="145"/>
    </row>
    <row r="288" spans="1:9" ht="24.95" hidden="1" customHeight="1">
      <c r="A288" s="141"/>
      <c r="B288" s="141"/>
      <c r="C288" s="143"/>
      <c r="D288" s="141"/>
      <c r="E288" s="143"/>
      <c r="F288" s="150"/>
      <c r="G288" s="150"/>
      <c r="H288" s="145"/>
      <c r="I288" s="145"/>
    </row>
    <row r="289" spans="1:9" ht="24.95" hidden="1" customHeight="1">
      <c r="A289" s="141"/>
      <c r="B289" s="141"/>
      <c r="C289" s="143"/>
      <c r="D289" s="141"/>
      <c r="E289" s="143"/>
      <c r="F289" s="150"/>
      <c r="G289" s="150"/>
      <c r="H289" s="145"/>
      <c r="I289" s="145"/>
    </row>
    <row r="290" spans="1:9" ht="24.95" hidden="1" customHeight="1">
      <c r="A290" s="141"/>
      <c r="B290" s="141"/>
      <c r="C290" s="143"/>
      <c r="D290" s="141"/>
      <c r="E290" s="143"/>
      <c r="F290" s="150"/>
      <c r="G290" s="150"/>
      <c r="H290" s="145"/>
      <c r="I290" s="145"/>
    </row>
    <row r="291" spans="1:9" ht="24.95" hidden="1" customHeight="1">
      <c r="A291" s="141"/>
      <c r="B291" s="141"/>
      <c r="C291" s="143"/>
      <c r="D291" s="141"/>
      <c r="E291" s="143"/>
      <c r="F291" s="150"/>
      <c r="G291" s="150"/>
      <c r="H291" s="145"/>
      <c r="I291" s="145"/>
    </row>
    <row r="292" spans="1:9" ht="24.95" hidden="1" customHeight="1">
      <c r="A292" s="141"/>
      <c r="B292" s="141"/>
      <c r="C292" s="143"/>
      <c r="D292" s="141"/>
      <c r="E292" s="143"/>
      <c r="F292" s="150"/>
      <c r="G292" s="150"/>
      <c r="H292" s="145"/>
      <c r="I292" s="145"/>
    </row>
    <row r="293" spans="1:9" ht="24.95" hidden="1" customHeight="1">
      <c r="A293" s="141"/>
      <c r="B293" s="141"/>
      <c r="C293" s="143"/>
      <c r="D293" s="141"/>
      <c r="E293" s="143"/>
      <c r="F293" s="150"/>
      <c r="G293" s="150"/>
      <c r="H293" s="145"/>
      <c r="I293" s="145"/>
    </row>
    <row r="294" spans="1:9" ht="24.95" hidden="1" customHeight="1">
      <c r="A294" s="141"/>
      <c r="B294" s="141"/>
      <c r="C294" s="143"/>
      <c r="D294" s="141"/>
      <c r="E294" s="143"/>
      <c r="F294" s="150"/>
      <c r="G294" s="150"/>
      <c r="H294" s="145"/>
      <c r="I294" s="145"/>
    </row>
    <row r="295" spans="1:9" ht="24.95" hidden="1" customHeight="1">
      <c r="A295" s="141"/>
      <c r="B295" s="141"/>
      <c r="C295" s="143"/>
      <c r="D295" s="141"/>
      <c r="E295" s="143"/>
      <c r="F295" s="150"/>
      <c r="G295" s="150"/>
      <c r="H295" s="145"/>
      <c r="I295" s="145"/>
    </row>
    <row r="296" spans="1:9" ht="24.95" hidden="1" customHeight="1">
      <c r="A296" s="141"/>
      <c r="B296" s="141"/>
      <c r="C296" s="143"/>
      <c r="D296" s="141"/>
      <c r="E296" s="143"/>
      <c r="F296" s="150"/>
      <c r="G296" s="150"/>
      <c r="H296" s="145"/>
      <c r="I296" s="145"/>
    </row>
    <row r="297" spans="1:9" ht="24.95" hidden="1" customHeight="1">
      <c r="A297" s="141"/>
      <c r="B297" s="141"/>
      <c r="C297" s="143"/>
      <c r="D297" s="141"/>
      <c r="E297" s="143"/>
      <c r="F297" s="150"/>
      <c r="G297" s="150"/>
      <c r="H297" s="145"/>
      <c r="I297" s="145"/>
    </row>
    <row r="298" spans="1:9" ht="24.95" hidden="1" customHeight="1">
      <c r="A298" s="141"/>
      <c r="B298" s="141"/>
      <c r="C298" s="143"/>
      <c r="D298" s="141"/>
      <c r="E298" s="143"/>
      <c r="F298" s="150"/>
      <c r="G298" s="150"/>
      <c r="H298" s="145"/>
      <c r="I298" s="145"/>
    </row>
    <row r="299" spans="1:9" ht="24.95" hidden="1" customHeight="1">
      <c r="A299" s="141"/>
      <c r="B299" s="141"/>
      <c r="C299" s="143"/>
      <c r="D299" s="141"/>
      <c r="E299" s="143"/>
      <c r="F299" s="150"/>
      <c r="G299" s="150"/>
      <c r="H299" s="145"/>
      <c r="I299" s="145"/>
    </row>
    <row r="300" spans="1:9" ht="24.95" hidden="1" customHeight="1">
      <c r="A300" s="141"/>
      <c r="B300" s="141"/>
      <c r="C300" s="143"/>
      <c r="D300" s="141"/>
      <c r="E300" s="143"/>
      <c r="F300" s="150"/>
      <c r="G300" s="150"/>
      <c r="H300" s="145"/>
      <c r="I300" s="145"/>
    </row>
    <row r="301" spans="1:9" ht="24.95" hidden="1" customHeight="1">
      <c r="A301" s="141"/>
      <c r="B301" s="141"/>
      <c r="C301" s="143"/>
      <c r="D301" s="141"/>
      <c r="E301" s="143"/>
      <c r="F301" s="150"/>
      <c r="G301" s="150"/>
      <c r="H301" s="145"/>
      <c r="I301" s="145"/>
    </row>
    <row r="302" spans="1:9" ht="24.95" hidden="1" customHeight="1">
      <c r="A302" s="141"/>
      <c r="B302" s="141"/>
      <c r="C302" s="143"/>
      <c r="D302" s="141"/>
      <c r="E302" s="143"/>
      <c r="F302" s="150"/>
      <c r="G302" s="150"/>
      <c r="H302" s="145"/>
      <c r="I302" s="145"/>
    </row>
    <row r="303" spans="1:9" ht="24.95" hidden="1" customHeight="1">
      <c r="A303" s="141"/>
      <c r="B303" s="141"/>
      <c r="C303" s="143"/>
      <c r="D303" s="141"/>
      <c r="E303" s="143"/>
      <c r="F303" s="150"/>
      <c r="G303" s="150"/>
      <c r="H303" s="145"/>
      <c r="I303" s="145"/>
    </row>
    <row r="304" spans="1:9" ht="24.95" hidden="1" customHeight="1">
      <c r="A304" s="141"/>
      <c r="B304" s="141"/>
      <c r="C304" s="143"/>
      <c r="D304" s="141"/>
      <c r="E304" s="143"/>
      <c r="F304" s="150"/>
      <c r="G304" s="150"/>
      <c r="H304" s="145"/>
      <c r="I304" s="145"/>
    </row>
    <row r="305" spans="1:9" ht="24.95" hidden="1" customHeight="1">
      <c r="A305" s="141"/>
      <c r="B305" s="141"/>
      <c r="C305" s="143"/>
      <c r="D305" s="141"/>
      <c r="E305" s="143"/>
      <c r="F305" s="150"/>
      <c r="G305" s="150"/>
      <c r="H305" s="145"/>
      <c r="I305" s="145"/>
    </row>
    <row r="306" spans="1:9" ht="24.95" hidden="1" customHeight="1">
      <c r="A306" s="141"/>
      <c r="B306" s="141"/>
      <c r="C306" s="143"/>
      <c r="D306" s="141"/>
      <c r="E306" s="143"/>
      <c r="F306" s="150"/>
      <c r="G306" s="150"/>
      <c r="H306" s="145"/>
      <c r="I306" s="145"/>
    </row>
    <row r="307" spans="1:9" ht="24.95" hidden="1" customHeight="1">
      <c r="A307" s="141"/>
      <c r="B307" s="141"/>
      <c r="C307" s="143"/>
      <c r="D307" s="141"/>
      <c r="E307" s="143"/>
      <c r="F307" s="150"/>
      <c r="G307" s="150"/>
      <c r="H307" s="145"/>
      <c r="I307" s="145"/>
    </row>
    <row r="308" spans="1:9" ht="24.95" hidden="1" customHeight="1">
      <c r="A308" s="141"/>
      <c r="B308" s="141"/>
      <c r="C308" s="143"/>
      <c r="D308" s="141"/>
      <c r="E308" s="143"/>
      <c r="F308" s="150"/>
      <c r="G308" s="150"/>
      <c r="H308" s="145"/>
      <c r="I308" s="145"/>
    </row>
    <row r="309" spans="1:9" ht="24.95" hidden="1" customHeight="1">
      <c r="A309" s="141"/>
      <c r="B309" s="141"/>
      <c r="C309" s="143"/>
      <c r="D309" s="141"/>
      <c r="E309" s="143"/>
      <c r="F309" s="150"/>
      <c r="G309" s="150"/>
      <c r="H309" s="145"/>
      <c r="I309" s="145"/>
    </row>
    <row r="310" spans="1:9" ht="24.95" hidden="1" customHeight="1">
      <c r="A310" s="141"/>
      <c r="B310" s="141"/>
      <c r="C310" s="143"/>
      <c r="D310" s="141"/>
      <c r="E310" s="143"/>
      <c r="F310" s="150"/>
      <c r="G310" s="150"/>
      <c r="H310" s="145"/>
      <c r="I310" s="145"/>
    </row>
    <row r="311" spans="1:9" ht="24.95" hidden="1" customHeight="1">
      <c r="A311" s="141"/>
      <c r="B311" s="141"/>
      <c r="C311" s="143"/>
      <c r="D311" s="141"/>
      <c r="E311" s="143"/>
      <c r="F311" s="150"/>
      <c r="G311" s="150"/>
      <c r="H311" s="145"/>
      <c r="I311" s="145"/>
    </row>
    <row r="312" spans="1:9" ht="24.95" hidden="1" customHeight="1">
      <c r="A312" s="141"/>
      <c r="B312" s="141"/>
      <c r="C312" s="143"/>
      <c r="D312" s="141"/>
      <c r="E312" s="143"/>
      <c r="F312" s="150"/>
      <c r="G312" s="150"/>
      <c r="H312" s="145"/>
      <c r="I312" s="145"/>
    </row>
    <row r="313" spans="1:9" ht="24.95" hidden="1" customHeight="1">
      <c r="A313" s="141"/>
      <c r="B313" s="141"/>
      <c r="C313" s="143"/>
      <c r="D313" s="141"/>
      <c r="E313" s="143"/>
      <c r="F313" s="150"/>
      <c r="G313" s="150"/>
      <c r="H313" s="145"/>
      <c r="I313" s="145"/>
    </row>
    <row r="314" spans="1:9" ht="24.95" hidden="1" customHeight="1">
      <c r="A314" s="141"/>
      <c r="B314" s="141"/>
      <c r="C314" s="143"/>
      <c r="D314" s="141"/>
      <c r="E314" s="143"/>
      <c r="F314" s="150"/>
      <c r="G314" s="150"/>
      <c r="H314" s="145"/>
      <c r="I314" s="145"/>
    </row>
    <row r="315" spans="1:9" ht="24.95" hidden="1" customHeight="1">
      <c r="A315" s="141"/>
      <c r="B315" s="141"/>
      <c r="C315" s="143"/>
      <c r="D315" s="141"/>
      <c r="E315" s="143"/>
      <c r="F315" s="150"/>
      <c r="G315" s="150"/>
      <c r="H315" s="145"/>
      <c r="I315" s="145"/>
    </row>
    <row r="316" spans="1:9" ht="24.95" hidden="1" customHeight="1">
      <c r="A316" s="141"/>
      <c r="B316" s="141"/>
      <c r="C316" s="143"/>
      <c r="D316" s="141"/>
      <c r="E316" s="143"/>
      <c r="F316" s="150"/>
      <c r="G316" s="150"/>
      <c r="H316" s="145"/>
      <c r="I316" s="145"/>
    </row>
    <row r="317" spans="1:9" ht="24.95" hidden="1" customHeight="1">
      <c r="A317" s="141"/>
      <c r="B317" s="141"/>
      <c r="C317" s="143"/>
      <c r="D317" s="141"/>
      <c r="E317" s="143"/>
      <c r="F317" s="150"/>
      <c r="G317" s="150"/>
      <c r="H317" s="145"/>
      <c r="I317" s="145"/>
    </row>
    <row r="318" spans="1:9" ht="24.95" hidden="1" customHeight="1">
      <c r="A318" s="141"/>
      <c r="B318" s="141"/>
      <c r="C318" s="143"/>
      <c r="D318" s="141"/>
      <c r="E318" s="143"/>
      <c r="F318" s="150"/>
      <c r="G318" s="150"/>
      <c r="H318" s="145"/>
      <c r="I318" s="145"/>
    </row>
    <row r="319" spans="1:9" ht="24.95" hidden="1" customHeight="1">
      <c r="A319" s="141"/>
      <c r="B319" s="141"/>
      <c r="C319" s="143"/>
      <c r="D319" s="141"/>
      <c r="E319" s="143"/>
      <c r="F319" s="150"/>
      <c r="G319" s="150"/>
      <c r="H319" s="145"/>
      <c r="I319" s="145"/>
    </row>
    <row r="320" spans="1:9" ht="24.95" hidden="1" customHeight="1">
      <c r="A320" s="141"/>
      <c r="B320" s="141"/>
      <c r="C320" s="143"/>
      <c r="D320" s="141"/>
      <c r="E320" s="143"/>
      <c r="F320" s="150"/>
      <c r="G320" s="150"/>
      <c r="H320" s="145"/>
      <c r="I320" s="145"/>
    </row>
    <row r="321" spans="1:9" ht="24.95" hidden="1" customHeight="1">
      <c r="A321" s="141"/>
      <c r="B321" s="141"/>
      <c r="C321" s="143"/>
      <c r="D321" s="141"/>
      <c r="E321" s="143"/>
      <c r="F321" s="150"/>
      <c r="G321" s="150"/>
      <c r="H321" s="145"/>
      <c r="I321" s="145"/>
    </row>
    <row r="322" spans="1:9" ht="24.95" hidden="1" customHeight="1">
      <c r="A322" s="141"/>
      <c r="B322" s="141"/>
      <c r="C322" s="143"/>
      <c r="D322" s="141"/>
      <c r="E322" s="143"/>
      <c r="F322" s="150"/>
      <c r="G322" s="150"/>
      <c r="H322" s="145"/>
      <c r="I322" s="145"/>
    </row>
    <row r="323" spans="1:9" ht="24.95" hidden="1" customHeight="1">
      <c r="A323" s="141"/>
      <c r="B323" s="141"/>
      <c r="C323" s="143"/>
      <c r="D323" s="141"/>
      <c r="E323" s="143"/>
      <c r="F323" s="150"/>
      <c r="G323" s="150"/>
      <c r="H323" s="145"/>
      <c r="I323" s="145"/>
    </row>
    <row r="324" spans="1:9" ht="24.95" hidden="1" customHeight="1">
      <c r="A324" s="141"/>
      <c r="B324" s="141"/>
      <c r="C324" s="143"/>
      <c r="D324" s="141"/>
      <c r="E324" s="143"/>
      <c r="F324" s="150"/>
      <c r="G324" s="150"/>
      <c r="H324" s="145"/>
      <c r="I324" s="145"/>
    </row>
    <row r="325" spans="1:9" ht="24.95" hidden="1" customHeight="1">
      <c r="A325" s="141"/>
      <c r="B325" s="141"/>
      <c r="C325" s="143"/>
      <c r="D325" s="141"/>
      <c r="E325" s="143"/>
      <c r="F325" s="150"/>
      <c r="G325" s="150"/>
      <c r="H325" s="145"/>
      <c r="I325" s="145"/>
    </row>
    <row r="326" spans="1:9" ht="24.95" hidden="1" customHeight="1">
      <c r="A326" s="141"/>
      <c r="B326" s="141"/>
      <c r="C326" s="143"/>
      <c r="D326" s="141"/>
      <c r="E326" s="143"/>
      <c r="F326" s="150"/>
      <c r="G326" s="150"/>
      <c r="H326" s="145"/>
      <c r="I326" s="145"/>
    </row>
    <row r="327" spans="1:9" ht="24.95" hidden="1" customHeight="1">
      <c r="A327" s="141"/>
      <c r="B327" s="141"/>
      <c r="C327" s="143"/>
      <c r="D327" s="141"/>
      <c r="E327" s="143"/>
      <c r="F327" s="150"/>
      <c r="G327" s="150"/>
      <c r="H327" s="145"/>
      <c r="I327" s="145"/>
    </row>
    <row r="328" spans="1:9" ht="24.95" hidden="1" customHeight="1">
      <c r="A328" s="141"/>
      <c r="B328" s="141"/>
      <c r="C328" s="143"/>
      <c r="D328" s="141"/>
      <c r="E328" s="143"/>
      <c r="F328" s="150"/>
      <c r="G328" s="150"/>
      <c r="H328" s="145"/>
      <c r="I328" s="145"/>
    </row>
    <row r="329" spans="1:9" ht="24.95" hidden="1" customHeight="1">
      <c r="A329" s="141"/>
      <c r="B329" s="141"/>
      <c r="C329" s="143"/>
      <c r="D329" s="141"/>
      <c r="E329" s="143"/>
      <c r="F329" s="150"/>
      <c r="G329" s="150"/>
      <c r="H329" s="145"/>
      <c r="I329" s="145"/>
    </row>
    <row r="330" spans="1:9" ht="24.95" hidden="1" customHeight="1">
      <c r="A330" s="141"/>
      <c r="B330" s="141"/>
      <c r="C330" s="143"/>
      <c r="D330" s="141"/>
      <c r="E330" s="143"/>
      <c r="F330" s="150"/>
      <c r="G330" s="150"/>
      <c r="H330" s="145"/>
      <c r="I330" s="145"/>
    </row>
    <row r="331" spans="1:9" ht="24.95" hidden="1" customHeight="1">
      <c r="A331" s="141"/>
      <c r="B331" s="141"/>
      <c r="C331" s="143"/>
      <c r="D331" s="141"/>
      <c r="E331" s="143"/>
      <c r="F331" s="150"/>
      <c r="G331" s="150"/>
      <c r="H331" s="145"/>
      <c r="I331" s="145"/>
    </row>
    <row r="332" spans="1:9" ht="24.95" hidden="1" customHeight="1">
      <c r="A332" s="141"/>
      <c r="B332" s="141"/>
      <c r="C332" s="143"/>
      <c r="D332" s="141"/>
      <c r="E332" s="143"/>
      <c r="F332" s="150"/>
      <c r="G332" s="150"/>
      <c r="H332" s="145"/>
      <c r="I332" s="145"/>
    </row>
    <row r="333" spans="1:9" ht="24.95" hidden="1" customHeight="1">
      <c r="A333" s="141"/>
      <c r="B333" s="141"/>
      <c r="C333" s="143"/>
      <c r="D333" s="141"/>
      <c r="E333" s="143"/>
      <c r="F333" s="150"/>
      <c r="G333" s="150"/>
      <c r="H333" s="145"/>
      <c r="I333" s="145"/>
    </row>
    <row r="334" spans="1:9" ht="24.95" hidden="1" customHeight="1">
      <c r="A334" s="141"/>
      <c r="B334" s="141"/>
      <c r="C334" s="143"/>
      <c r="D334" s="141"/>
      <c r="E334" s="143"/>
      <c r="F334" s="150"/>
      <c r="G334" s="150"/>
      <c r="H334" s="145"/>
      <c r="I334" s="145"/>
    </row>
    <row r="335" spans="1:9" ht="24.95" hidden="1" customHeight="1">
      <c r="A335" s="141"/>
      <c r="B335" s="141"/>
      <c r="C335" s="143"/>
      <c r="D335" s="141"/>
      <c r="E335" s="143"/>
      <c r="F335" s="150"/>
      <c r="G335" s="150"/>
      <c r="H335" s="145"/>
      <c r="I335" s="145"/>
    </row>
    <row r="336" spans="1:9" ht="24.95" hidden="1" customHeight="1">
      <c r="A336" s="141"/>
      <c r="B336" s="141"/>
      <c r="C336" s="143"/>
      <c r="D336" s="141"/>
      <c r="E336" s="143"/>
      <c r="F336" s="150"/>
      <c r="G336" s="150"/>
      <c r="H336" s="145"/>
      <c r="I336" s="145"/>
    </row>
    <row r="337" spans="1:9" ht="24.95" hidden="1" customHeight="1">
      <c r="A337" s="141"/>
      <c r="B337" s="141"/>
      <c r="C337" s="143"/>
      <c r="D337" s="141"/>
      <c r="E337" s="143"/>
      <c r="F337" s="150"/>
      <c r="G337" s="150"/>
      <c r="H337" s="145"/>
      <c r="I337" s="145"/>
    </row>
    <row r="338" spans="1:9" ht="24.95" hidden="1" customHeight="1">
      <c r="A338" s="141"/>
      <c r="B338" s="141"/>
      <c r="C338" s="143"/>
      <c r="D338" s="141"/>
      <c r="E338" s="143"/>
      <c r="F338" s="150"/>
      <c r="G338" s="150"/>
      <c r="H338" s="145"/>
      <c r="I338" s="145"/>
    </row>
    <row r="339" spans="1:9" ht="24.95" hidden="1" customHeight="1">
      <c r="A339" s="141"/>
      <c r="B339" s="141"/>
      <c r="C339" s="143"/>
      <c r="D339" s="141"/>
      <c r="E339" s="143"/>
      <c r="F339" s="150"/>
      <c r="G339" s="150"/>
      <c r="H339" s="145"/>
      <c r="I339" s="145"/>
    </row>
    <row r="340" spans="1:9" ht="24.95" hidden="1" customHeight="1">
      <c r="A340" s="141"/>
      <c r="B340" s="141"/>
      <c r="C340" s="143"/>
      <c r="D340" s="141"/>
      <c r="E340" s="143"/>
      <c r="F340" s="150"/>
      <c r="G340" s="150"/>
      <c r="H340" s="145"/>
      <c r="I340" s="145"/>
    </row>
    <row r="341" spans="1:9" ht="24.95" hidden="1" customHeight="1">
      <c r="A341" s="141"/>
      <c r="B341" s="141"/>
      <c r="C341" s="143"/>
      <c r="D341" s="141"/>
      <c r="E341" s="143"/>
      <c r="F341" s="150"/>
      <c r="G341" s="150"/>
      <c r="H341" s="145"/>
      <c r="I341" s="145"/>
    </row>
    <row r="342" spans="1:9" ht="24.95" hidden="1" customHeight="1">
      <c r="A342" s="141"/>
      <c r="B342" s="141"/>
      <c r="C342" s="143"/>
      <c r="D342" s="141"/>
      <c r="E342" s="143"/>
      <c r="F342" s="150"/>
      <c r="G342" s="150"/>
      <c r="H342" s="145"/>
      <c r="I342" s="145"/>
    </row>
    <row r="343" spans="1:9" ht="24.95" hidden="1" customHeight="1">
      <c r="A343" s="141"/>
      <c r="B343" s="141"/>
      <c r="C343" s="143"/>
      <c r="D343" s="141"/>
      <c r="E343" s="143"/>
      <c r="F343" s="150"/>
      <c r="G343" s="150"/>
      <c r="H343" s="145"/>
      <c r="I343" s="145"/>
    </row>
    <row r="344" spans="1:9" ht="24.95" hidden="1" customHeight="1">
      <c r="A344" s="141"/>
      <c r="B344" s="141"/>
      <c r="C344" s="143"/>
      <c r="D344" s="141"/>
      <c r="E344" s="143"/>
      <c r="F344" s="150"/>
      <c r="G344" s="150"/>
      <c r="H344" s="145"/>
      <c r="I344" s="145"/>
    </row>
    <row r="345" spans="1:9" ht="24.95" hidden="1" customHeight="1">
      <c r="A345" s="141"/>
      <c r="B345" s="141"/>
      <c r="C345" s="143"/>
      <c r="D345" s="141"/>
      <c r="E345" s="143"/>
      <c r="F345" s="150"/>
      <c r="G345" s="150"/>
      <c r="H345" s="145"/>
      <c r="I345" s="145"/>
    </row>
    <row r="346" spans="1:9" ht="24.95" hidden="1" customHeight="1">
      <c r="A346" s="141"/>
      <c r="B346" s="141"/>
      <c r="C346" s="143"/>
      <c r="D346" s="141"/>
      <c r="E346" s="143"/>
      <c r="F346" s="150"/>
      <c r="G346" s="150"/>
      <c r="H346" s="145"/>
      <c r="I346" s="145"/>
    </row>
    <row r="347" spans="1:9" ht="24.95" hidden="1" customHeight="1">
      <c r="A347" s="141"/>
      <c r="B347" s="141"/>
      <c r="C347" s="143"/>
      <c r="D347" s="141"/>
      <c r="E347" s="143"/>
      <c r="F347" s="150"/>
      <c r="G347" s="150"/>
      <c r="H347" s="145"/>
      <c r="I347" s="145"/>
    </row>
    <row r="348" spans="1:9" ht="24.95" hidden="1" customHeight="1">
      <c r="A348" s="141"/>
      <c r="B348" s="141"/>
      <c r="C348" s="143"/>
      <c r="D348" s="141"/>
      <c r="E348" s="143"/>
      <c r="F348" s="150"/>
      <c r="G348" s="150"/>
      <c r="H348" s="145"/>
      <c r="I348" s="145"/>
    </row>
    <row r="349" spans="1:9" ht="24.95" hidden="1" customHeight="1">
      <c r="A349" s="141"/>
      <c r="B349" s="141"/>
      <c r="C349" s="143"/>
      <c r="D349" s="141"/>
      <c r="E349" s="143"/>
      <c r="F349" s="150"/>
      <c r="G349" s="150"/>
      <c r="H349" s="145"/>
      <c r="I349" s="145"/>
    </row>
    <row r="350" spans="1:9" ht="24.95" hidden="1" customHeight="1">
      <c r="A350" s="141"/>
      <c r="B350" s="141"/>
      <c r="C350" s="143"/>
      <c r="D350" s="141"/>
      <c r="E350" s="143"/>
      <c r="F350" s="150"/>
      <c r="G350" s="150"/>
      <c r="H350" s="145"/>
      <c r="I350" s="145"/>
    </row>
    <row r="351" spans="1:9" ht="24.95" hidden="1" customHeight="1">
      <c r="A351" s="141"/>
      <c r="B351" s="141"/>
      <c r="C351" s="143"/>
      <c r="D351" s="141"/>
      <c r="E351" s="143"/>
      <c r="F351" s="150"/>
      <c r="G351" s="150"/>
      <c r="H351" s="145"/>
      <c r="I351" s="145"/>
    </row>
    <row r="352" spans="1:9" ht="24.95" hidden="1" customHeight="1">
      <c r="A352" s="141"/>
      <c r="B352" s="141"/>
      <c r="C352" s="143"/>
      <c r="D352" s="141"/>
      <c r="E352" s="143"/>
      <c r="F352" s="150"/>
      <c r="G352" s="150"/>
      <c r="H352" s="145"/>
      <c r="I352" s="145"/>
    </row>
    <row r="353" spans="1:9" ht="24.95" hidden="1" customHeight="1">
      <c r="A353" s="141"/>
      <c r="B353" s="141"/>
      <c r="C353" s="143"/>
      <c r="D353" s="141"/>
      <c r="E353" s="143"/>
      <c r="F353" s="150"/>
      <c r="G353" s="150"/>
      <c r="H353" s="145"/>
      <c r="I353" s="145"/>
    </row>
    <row r="354" spans="1:9" ht="24.95" hidden="1" customHeight="1">
      <c r="A354" s="141"/>
      <c r="B354" s="141"/>
      <c r="C354" s="143"/>
      <c r="D354" s="141"/>
      <c r="E354" s="143"/>
      <c r="F354" s="150"/>
      <c r="G354" s="150"/>
      <c r="H354" s="145"/>
      <c r="I354" s="145"/>
    </row>
    <row r="355" spans="1:9" ht="24.95" hidden="1" customHeight="1">
      <c r="A355" s="141"/>
      <c r="B355" s="141"/>
      <c r="C355" s="143"/>
      <c r="D355" s="141"/>
      <c r="E355" s="143"/>
      <c r="F355" s="150"/>
      <c r="G355" s="150"/>
      <c r="H355" s="145"/>
      <c r="I355" s="145"/>
    </row>
    <row r="356" spans="1:9" ht="24.95" hidden="1" customHeight="1">
      <c r="A356" s="141"/>
      <c r="B356" s="141"/>
      <c r="C356" s="143"/>
      <c r="D356" s="141"/>
      <c r="E356" s="143"/>
      <c r="F356" s="150"/>
      <c r="G356" s="150"/>
      <c r="H356" s="145"/>
      <c r="I356" s="145"/>
    </row>
    <row r="357" spans="1:9" ht="24.95" hidden="1" customHeight="1">
      <c r="A357" s="141"/>
      <c r="B357" s="141"/>
      <c r="C357" s="143"/>
      <c r="D357" s="141"/>
      <c r="E357" s="143"/>
      <c r="F357" s="150"/>
      <c r="G357" s="150"/>
      <c r="H357" s="145"/>
      <c r="I357" s="145"/>
    </row>
    <row r="358" spans="1:9" ht="24.95" hidden="1" customHeight="1">
      <c r="A358" s="141"/>
      <c r="B358" s="141"/>
      <c r="C358" s="143"/>
      <c r="D358" s="141"/>
      <c r="E358" s="143"/>
      <c r="F358" s="150"/>
      <c r="G358" s="150"/>
      <c r="H358" s="145"/>
      <c r="I358" s="145"/>
    </row>
    <row r="359" spans="1:9" ht="24.95" hidden="1" customHeight="1">
      <c r="A359" s="141"/>
      <c r="B359" s="141"/>
      <c r="C359" s="143"/>
      <c r="D359" s="141"/>
      <c r="E359" s="143"/>
      <c r="F359" s="150"/>
      <c r="G359" s="150"/>
      <c r="H359" s="145"/>
      <c r="I359" s="145"/>
    </row>
    <row r="360" spans="1:9" ht="24.95" hidden="1" customHeight="1">
      <c r="A360" s="141"/>
      <c r="B360" s="141"/>
      <c r="C360" s="143"/>
      <c r="D360" s="141"/>
      <c r="E360" s="143"/>
      <c r="F360" s="150"/>
      <c r="G360" s="150"/>
      <c r="H360" s="145"/>
      <c r="I360" s="145"/>
    </row>
    <row r="361" spans="1:9" ht="24.95" hidden="1" customHeight="1">
      <c r="A361" s="141"/>
      <c r="B361" s="141"/>
      <c r="C361" s="143"/>
      <c r="D361" s="141"/>
      <c r="E361" s="143"/>
      <c r="F361" s="150"/>
      <c r="G361" s="150"/>
      <c r="H361" s="145"/>
      <c r="I361" s="145"/>
    </row>
    <row r="362" spans="1:9" ht="24.95" hidden="1" customHeight="1">
      <c r="A362" s="141"/>
      <c r="B362" s="141"/>
      <c r="C362" s="143"/>
      <c r="D362" s="141"/>
      <c r="E362" s="143"/>
      <c r="F362" s="150"/>
      <c r="G362" s="150"/>
      <c r="H362" s="145"/>
      <c r="I362" s="145"/>
    </row>
    <row r="363" spans="1:9" ht="24.95" hidden="1" customHeight="1">
      <c r="A363" s="141"/>
      <c r="B363" s="141"/>
      <c r="C363" s="143"/>
      <c r="D363" s="141"/>
      <c r="E363" s="143"/>
      <c r="F363" s="150"/>
      <c r="G363" s="150"/>
      <c r="H363" s="145"/>
      <c r="I363" s="145"/>
    </row>
    <row r="364" spans="1:9" ht="24.95" hidden="1" customHeight="1">
      <c r="A364" s="141"/>
      <c r="B364" s="141"/>
      <c r="C364" s="143"/>
      <c r="D364" s="141"/>
      <c r="E364" s="143"/>
      <c r="F364" s="150"/>
      <c r="G364" s="150"/>
      <c r="H364" s="145"/>
      <c r="I364" s="145"/>
    </row>
    <row r="365" spans="1:9" ht="24.95" hidden="1" customHeight="1">
      <c r="A365" s="141"/>
      <c r="B365" s="141"/>
      <c r="C365" s="143"/>
      <c r="D365" s="141"/>
      <c r="E365" s="143"/>
      <c r="F365" s="150"/>
      <c r="G365" s="150"/>
      <c r="H365" s="145"/>
      <c r="I365" s="145"/>
    </row>
    <row r="366" spans="1:9" ht="24.95" hidden="1" customHeight="1">
      <c r="A366" s="141"/>
      <c r="B366" s="141"/>
      <c r="C366" s="143"/>
      <c r="D366" s="141"/>
      <c r="E366" s="143"/>
      <c r="F366" s="150"/>
      <c r="G366" s="150"/>
      <c r="H366" s="145"/>
      <c r="I366" s="145"/>
    </row>
    <row r="367" spans="1:9" ht="24.95" hidden="1" customHeight="1">
      <c r="A367" s="141"/>
      <c r="B367" s="141"/>
      <c r="C367" s="143"/>
      <c r="D367" s="141"/>
      <c r="E367" s="143"/>
      <c r="F367" s="150"/>
      <c r="G367" s="150"/>
      <c r="H367" s="145"/>
      <c r="I367" s="145"/>
    </row>
    <row r="368" spans="1:9" ht="24.95" hidden="1" customHeight="1">
      <c r="A368" s="141"/>
      <c r="B368" s="141"/>
      <c r="C368" s="143"/>
      <c r="D368" s="141"/>
      <c r="E368" s="143"/>
      <c r="F368" s="150"/>
      <c r="G368" s="150"/>
      <c r="H368" s="145"/>
      <c r="I368" s="145"/>
    </row>
    <row r="369" spans="1:9" ht="24.95" hidden="1" customHeight="1">
      <c r="A369" s="141"/>
      <c r="B369" s="141"/>
      <c r="C369" s="143"/>
      <c r="D369" s="141"/>
      <c r="E369" s="143"/>
      <c r="F369" s="150"/>
      <c r="G369" s="150"/>
      <c r="H369" s="145"/>
      <c r="I369" s="145"/>
    </row>
    <row r="370" spans="1:9" ht="24.95" hidden="1" customHeight="1">
      <c r="A370" s="141"/>
      <c r="B370" s="141"/>
      <c r="C370" s="143"/>
      <c r="D370" s="141"/>
      <c r="E370" s="143"/>
      <c r="F370" s="150"/>
      <c r="G370" s="150"/>
      <c r="H370" s="145"/>
      <c r="I370" s="145"/>
    </row>
    <row r="371" spans="1:9" ht="24.95" hidden="1" customHeight="1">
      <c r="A371" s="141"/>
      <c r="B371" s="141"/>
      <c r="C371" s="143"/>
      <c r="D371" s="141"/>
      <c r="E371" s="143"/>
      <c r="F371" s="150"/>
      <c r="G371" s="150"/>
      <c r="H371" s="145"/>
      <c r="I371" s="145"/>
    </row>
    <row r="372" spans="1:9" ht="24.95" hidden="1" customHeight="1">
      <c r="A372" s="141"/>
      <c r="B372" s="141"/>
      <c r="C372" s="143"/>
      <c r="D372" s="141"/>
      <c r="E372" s="143"/>
      <c r="F372" s="150"/>
      <c r="G372" s="150"/>
      <c r="H372" s="145"/>
      <c r="I372" s="145"/>
    </row>
    <row r="373" spans="1:9" ht="24.95" hidden="1" customHeight="1">
      <c r="A373" s="141"/>
      <c r="B373" s="141"/>
      <c r="C373" s="143"/>
      <c r="D373" s="141"/>
      <c r="E373" s="143"/>
      <c r="F373" s="150"/>
      <c r="G373" s="150"/>
      <c r="H373" s="145"/>
      <c r="I373" s="145"/>
    </row>
    <row r="374" spans="1:9" ht="24.95" hidden="1" customHeight="1">
      <c r="A374" s="141"/>
      <c r="B374" s="141"/>
      <c r="C374" s="143"/>
      <c r="D374" s="141"/>
      <c r="E374" s="143"/>
      <c r="F374" s="150"/>
      <c r="G374" s="150"/>
      <c r="H374" s="145"/>
      <c r="I374" s="145"/>
    </row>
    <row r="375" spans="1:9" ht="24.95" hidden="1" customHeight="1">
      <c r="A375" s="141"/>
      <c r="B375" s="141"/>
      <c r="C375" s="143"/>
      <c r="D375" s="141"/>
      <c r="E375" s="143"/>
      <c r="F375" s="150"/>
      <c r="G375" s="150"/>
      <c r="H375" s="145"/>
      <c r="I375" s="145"/>
    </row>
    <row r="376" spans="1:9" ht="24.95" hidden="1" customHeight="1">
      <c r="A376" s="141"/>
      <c r="B376" s="141"/>
      <c r="C376" s="143"/>
      <c r="D376" s="141"/>
      <c r="E376" s="143"/>
      <c r="F376" s="150"/>
      <c r="G376" s="150"/>
      <c r="H376" s="145"/>
      <c r="I376" s="145"/>
    </row>
    <row r="377" spans="1:9" ht="24.95" hidden="1" customHeight="1">
      <c r="A377" s="141"/>
      <c r="B377" s="141"/>
      <c r="C377" s="143"/>
      <c r="D377" s="141"/>
      <c r="E377" s="143"/>
      <c r="F377" s="150"/>
      <c r="G377" s="150"/>
      <c r="H377" s="145"/>
      <c r="I377" s="145"/>
    </row>
    <row r="378" spans="1:9" ht="24.95" hidden="1" customHeight="1">
      <c r="A378" s="141"/>
      <c r="B378" s="141"/>
      <c r="C378" s="143"/>
      <c r="D378" s="141"/>
      <c r="E378" s="143"/>
      <c r="F378" s="150"/>
      <c r="G378" s="150"/>
      <c r="H378" s="145"/>
      <c r="I378" s="145"/>
    </row>
    <row r="379" spans="1:9" ht="24.95" hidden="1" customHeight="1">
      <c r="A379" s="141"/>
      <c r="B379" s="141"/>
      <c r="C379" s="143"/>
      <c r="D379" s="141"/>
      <c r="E379" s="143"/>
      <c r="F379" s="150"/>
      <c r="G379" s="150"/>
      <c r="H379" s="145"/>
      <c r="I379" s="145"/>
    </row>
    <row r="380" spans="1:9" ht="24.95" hidden="1" customHeight="1">
      <c r="A380" s="141"/>
      <c r="B380" s="141"/>
      <c r="C380" s="143"/>
      <c r="D380" s="141"/>
      <c r="E380" s="143"/>
      <c r="F380" s="150"/>
      <c r="G380" s="150"/>
      <c r="H380" s="145"/>
      <c r="I380" s="145"/>
    </row>
    <row r="381" spans="1:9" ht="24.95" hidden="1" customHeight="1">
      <c r="A381" s="141"/>
      <c r="B381" s="141"/>
      <c r="C381" s="143"/>
      <c r="D381" s="141"/>
      <c r="E381" s="143"/>
      <c r="F381" s="150"/>
      <c r="G381" s="150"/>
      <c r="H381" s="145"/>
      <c r="I381" s="145"/>
    </row>
    <row r="382" spans="1:9" ht="24.95" hidden="1" customHeight="1">
      <c r="A382" s="141"/>
      <c r="B382" s="141"/>
      <c r="C382" s="143"/>
      <c r="D382" s="141"/>
      <c r="E382" s="143"/>
      <c r="F382" s="150"/>
      <c r="G382" s="150"/>
      <c r="H382" s="145"/>
      <c r="I382" s="145"/>
    </row>
    <row r="383" spans="1:9" ht="24.95" hidden="1" customHeight="1">
      <c r="A383" s="141"/>
      <c r="B383" s="141"/>
      <c r="C383" s="143"/>
      <c r="D383" s="141"/>
      <c r="E383" s="143"/>
      <c r="F383" s="150"/>
      <c r="G383" s="150"/>
      <c r="H383" s="145"/>
      <c r="I383" s="145"/>
    </row>
    <row r="384" spans="1:9" ht="24.95" hidden="1" customHeight="1">
      <c r="A384" s="141"/>
      <c r="B384" s="141"/>
      <c r="C384" s="143"/>
      <c r="D384" s="141"/>
      <c r="E384" s="143"/>
      <c r="F384" s="150"/>
      <c r="G384" s="150"/>
      <c r="H384" s="145"/>
      <c r="I384" s="145"/>
    </row>
    <row r="385" spans="1:9" ht="24.95" hidden="1" customHeight="1">
      <c r="A385" s="141"/>
      <c r="B385" s="141"/>
      <c r="C385" s="143"/>
      <c r="D385" s="141"/>
      <c r="E385" s="143"/>
      <c r="F385" s="150"/>
      <c r="G385" s="150"/>
      <c r="H385" s="145"/>
      <c r="I385" s="145"/>
    </row>
    <row r="386" spans="1:9" ht="24.95" hidden="1" customHeight="1">
      <c r="A386" s="141"/>
      <c r="B386" s="141"/>
      <c r="C386" s="143"/>
      <c r="D386" s="141"/>
      <c r="E386" s="143"/>
      <c r="F386" s="150"/>
      <c r="G386" s="150"/>
      <c r="H386" s="145"/>
      <c r="I386" s="145"/>
    </row>
    <row r="387" spans="1:9" ht="24.95" hidden="1" customHeight="1">
      <c r="A387" s="141"/>
      <c r="B387" s="141"/>
      <c r="C387" s="143"/>
      <c r="D387" s="141"/>
      <c r="E387" s="143"/>
      <c r="F387" s="150"/>
      <c r="G387" s="150"/>
      <c r="H387" s="145"/>
      <c r="I387" s="145"/>
    </row>
    <row r="388" spans="1:9" ht="24.95" hidden="1" customHeight="1">
      <c r="A388" s="141"/>
      <c r="B388" s="141"/>
      <c r="C388" s="143"/>
      <c r="D388" s="141"/>
      <c r="E388" s="143"/>
      <c r="F388" s="150"/>
      <c r="G388" s="150"/>
      <c r="H388" s="145"/>
      <c r="I388" s="145"/>
    </row>
    <row r="389" spans="1:9" ht="24.95" hidden="1" customHeight="1">
      <c r="A389" s="141"/>
      <c r="B389" s="141"/>
      <c r="C389" s="143"/>
      <c r="D389" s="141"/>
      <c r="E389" s="143"/>
      <c r="F389" s="150"/>
      <c r="G389" s="150"/>
      <c r="H389" s="145"/>
      <c r="I389" s="145"/>
    </row>
    <row r="390" spans="1:9" ht="24.95" hidden="1" customHeight="1">
      <c r="A390" s="141"/>
      <c r="B390" s="141"/>
      <c r="C390" s="143"/>
      <c r="D390" s="141"/>
      <c r="E390" s="143"/>
      <c r="F390" s="150"/>
      <c r="G390" s="150"/>
      <c r="H390" s="145"/>
      <c r="I390" s="145"/>
    </row>
    <row r="391" spans="1:9" ht="24.95" hidden="1" customHeight="1">
      <c r="A391" s="141"/>
      <c r="B391" s="141"/>
      <c r="C391" s="143"/>
      <c r="D391" s="141"/>
      <c r="E391" s="143"/>
      <c r="F391" s="150"/>
      <c r="G391" s="150"/>
      <c r="H391" s="145"/>
      <c r="I391" s="145"/>
    </row>
    <row r="392" spans="1:9" ht="24.95" hidden="1" customHeight="1">
      <c r="A392" s="141"/>
      <c r="B392" s="141"/>
      <c r="C392" s="143"/>
      <c r="D392" s="141"/>
      <c r="E392" s="143"/>
      <c r="F392" s="150"/>
      <c r="G392" s="150"/>
      <c r="H392" s="145"/>
      <c r="I392" s="145"/>
    </row>
    <row r="393" spans="1:9" ht="24.95" hidden="1" customHeight="1">
      <c r="A393" s="141"/>
      <c r="B393" s="141"/>
      <c r="C393" s="143"/>
      <c r="D393" s="141"/>
      <c r="E393" s="143"/>
      <c r="F393" s="150"/>
      <c r="G393" s="150"/>
      <c r="H393" s="145"/>
      <c r="I393" s="145"/>
    </row>
    <row r="394" spans="1:9" ht="24.95" hidden="1" customHeight="1">
      <c r="A394" s="141"/>
      <c r="B394" s="141"/>
      <c r="C394" s="143"/>
      <c r="D394" s="141"/>
      <c r="E394" s="143"/>
      <c r="F394" s="150"/>
      <c r="G394" s="150"/>
      <c r="H394" s="145"/>
      <c r="I394" s="145"/>
    </row>
    <row r="395" spans="1:9" ht="24.95" hidden="1" customHeight="1">
      <c r="A395" s="141"/>
      <c r="B395" s="141"/>
      <c r="C395" s="143"/>
      <c r="D395" s="141"/>
      <c r="E395" s="143"/>
      <c r="F395" s="150"/>
      <c r="G395" s="150"/>
      <c r="H395" s="145"/>
      <c r="I395" s="145"/>
    </row>
    <row r="396" spans="1:9" ht="24.95" hidden="1" customHeight="1">
      <c r="A396" s="141"/>
      <c r="B396" s="141"/>
      <c r="C396" s="143"/>
      <c r="D396" s="141"/>
      <c r="E396" s="143"/>
      <c r="F396" s="150"/>
      <c r="G396" s="150"/>
      <c r="H396" s="145"/>
      <c r="I396" s="145"/>
    </row>
    <row r="397" spans="1:9" ht="24.95" hidden="1" customHeight="1">
      <c r="A397" s="141"/>
      <c r="B397" s="141"/>
      <c r="C397" s="143"/>
      <c r="D397" s="141"/>
      <c r="E397" s="143"/>
      <c r="F397" s="150"/>
      <c r="G397" s="150"/>
      <c r="H397" s="145"/>
      <c r="I397" s="145"/>
    </row>
    <row r="398" spans="1:9" ht="24.95" hidden="1" customHeight="1">
      <c r="A398" s="141"/>
      <c r="B398" s="141"/>
      <c r="C398" s="143"/>
      <c r="D398" s="141"/>
      <c r="E398" s="143"/>
      <c r="F398" s="150"/>
      <c r="G398" s="150"/>
      <c r="H398" s="145"/>
      <c r="I398" s="145"/>
    </row>
    <row r="399" spans="1:9" ht="24.95" hidden="1" customHeight="1">
      <c r="A399" s="141"/>
      <c r="B399" s="141"/>
      <c r="C399" s="143"/>
      <c r="D399" s="141"/>
      <c r="E399" s="143"/>
      <c r="F399" s="150"/>
      <c r="G399" s="150"/>
      <c r="H399" s="145"/>
      <c r="I399" s="145"/>
    </row>
    <row r="400" spans="1:9" ht="24.95" hidden="1" customHeight="1">
      <c r="A400" s="141"/>
      <c r="B400" s="141"/>
      <c r="C400" s="143"/>
      <c r="D400" s="141"/>
      <c r="E400" s="143"/>
      <c r="F400" s="150"/>
      <c r="G400" s="150"/>
      <c r="H400" s="145"/>
      <c r="I400" s="145"/>
    </row>
    <row r="401" spans="1:9" ht="24.95" hidden="1" customHeight="1">
      <c r="A401" s="141"/>
      <c r="B401" s="141"/>
      <c r="C401" s="143"/>
      <c r="D401" s="141"/>
      <c r="E401" s="143"/>
      <c r="F401" s="150"/>
      <c r="G401" s="150"/>
      <c r="H401" s="145"/>
      <c r="I401" s="145"/>
    </row>
    <row r="402" spans="1:9" ht="24.95" hidden="1" customHeight="1">
      <c r="A402" s="141"/>
      <c r="B402" s="141"/>
      <c r="C402" s="143"/>
      <c r="D402" s="141"/>
      <c r="E402" s="143"/>
      <c r="F402" s="150"/>
      <c r="G402" s="150"/>
      <c r="H402" s="145"/>
      <c r="I402" s="145"/>
    </row>
    <row r="403" spans="1:9" ht="24.95" hidden="1" customHeight="1">
      <c r="A403" s="141"/>
      <c r="B403" s="141"/>
      <c r="C403" s="143"/>
      <c r="D403" s="141"/>
      <c r="E403" s="143"/>
      <c r="F403" s="150"/>
      <c r="G403" s="150"/>
      <c r="H403" s="145"/>
      <c r="I403" s="145"/>
    </row>
    <row r="404" spans="1:9" ht="24.95" hidden="1" customHeight="1">
      <c r="A404" s="141"/>
      <c r="B404" s="141"/>
      <c r="C404" s="143"/>
      <c r="D404" s="141"/>
      <c r="E404" s="143"/>
      <c r="F404" s="150"/>
      <c r="G404" s="150"/>
      <c r="H404" s="145"/>
      <c r="I404" s="145"/>
    </row>
    <row r="405" spans="1:9" ht="24.95" hidden="1" customHeight="1">
      <c r="A405" s="141"/>
      <c r="B405" s="141"/>
      <c r="C405" s="143"/>
      <c r="D405" s="141"/>
      <c r="E405" s="143"/>
      <c r="F405" s="150"/>
      <c r="G405" s="150"/>
      <c r="H405" s="145"/>
      <c r="I405" s="145"/>
    </row>
    <row r="406" spans="1:9" ht="24.95" hidden="1" customHeight="1">
      <c r="A406" s="141"/>
      <c r="B406" s="141"/>
      <c r="C406" s="143"/>
      <c r="D406" s="141"/>
      <c r="E406" s="143"/>
      <c r="F406" s="150"/>
      <c r="G406" s="150"/>
      <c r="H406" s="145"/>
      <c r="I406" s="145"/>
    </row>
    <row r="407" spans="1:9" ht="24.95" hidden="1" customHeight="1">
      <c r="A407" s="141"/>
      <c r="B407" s="141"/>
      <c r="C407" s="143"/>
      <c r="D407" s="141"/>
      <c r="E407" s="143"/>
      <c r="F407" s="150"/>
      <c r="G407" s="150"/>
      <c r="H407" s="145"/>
      <c r="I407" s="145"/>
    </row>
    <row r="408" spans="1:9" ht="24.95" hidden="1" customHeight="1">
      <c r="A408" s="141"/>
      <c r="B408" s="141"/>
      <c r="C408" s="143"/>
      <c r="D408" s="141"/>
      <c r="E408" s="143"/>
      <c r="F408" s="150"/>
      <c r="G408" s="150"/>
      <c r="H408" s="145"/>
      <c r="I408" s="145"/>
    </row>
    <row r="409" spans="1:9" ht="24.95" hidden="1" customHeight="1">
      <c r="A409" s="141"/>
      <c r="B409" s="141"/>
      <c r="C409" s="143"/>
      <c r="D409" s="141"/>
      <c r="E409" s="143"/>
      <c r="F409" s="150"/>
      <c r="G409" s="150"/>
      <c r="H409" s="145"/>
      <c r="I409" s="145"/>
    </row>
    <row r="410" spans="1:9" ht="24.95" hidden="1" customHeight="1">
      <c r="A410" s="141"/>
      <c r="B410" s="141"/>
      <c r="C410" s="143"/>
      <c r="D410" s="141"/>
      <c r="E410" s="143"/>
      <c r="F410" s="150"/>
      <c r="G410" s="150"/>
      <c r="H410" s="145"/>
      <c r="I410" s="145"/>
    </row>
    <row r="411" spans="1:9" ht="24.95" hidden="1" customHeight="1">
      <c r="A411" s="141"/>
      <c r="B411" s="141"/>
      <c r="C411" s="143"/>
      <c r="D411" s="141"/>
      <c r="E411" s="143"/>
      <c r="F411" s="150"/>
      <c r="G411" s="150"/>
      <c r="H411" s="145"/>
      <c r="I411" s="145"/>
    </row>
    <row r="412" spans="1:9" ht="24.95" hidden="1" customHeight="1">
      <c r="A412" s="141"/>
      <c r="B412" s="141"/>
      <c r="C412" s="143"/>
      <c r="D412" s="141"/>
      <c r="E412" s="143"/>
      <c r="F412" s="150"/>
      <c r="G412" s="150"/>
      <c r="H412" s="145"/>
      <c r="I412" s="145"/>
    </row>
    <row r="413" spans="1:9" ht="24.95" hidden="1" customHeight="1">
      <c r="A413" s="141"/>
      <c r="B413" s="141"/>
      <c r="C413" s="143"/>
      <c r="D413" s="141"/>
      <c r="E413" s="143"/>
      <c r="F413" s="150"/>
      <c r="G413" s="150"/>
      <c r="H413" s="145"/>
      <c r="I413" s="145"/>
    </row>
    <row r="414" spans="1:9" ht="24.95" hidden="1" customHeight="1">
      <c r="A414" s="141"/>
      <c r="B414" s="141"/>
      <c r="C414" s="143"/>
      <c r="D414" s="141"/>
      <c r="E414" s="143"/>
      <c r="F414" s="150"/>
      <c r="G414" s="150"/>
      <c r="H414" s="145"/>
      <c r="I414" s="145"/>
    </row>
    <row r="415" spans="1:9" ht="24.95" hidden="1" customHeight="1">
      <c r="A415" s="141"/>
      <c r="B415" s="141"/>
      <c r="C415" s="143"/>
      <c r="D415" s="141"/>
      <c r="E415" s="143"/>
      <c r="F415" s="150"/>
      <c r="G415" s="150"/>
      <c r="H415" s="145"/>
      <c r="I415" s="145"/>
    </row>
    <row r="416" spans="1:9" ht="24.95" hidden="1" customHeight="1">
      <c r="A416" s="141"/>
      <c r="B416" s="141"/>
      <c r="C416" s="143"/>
      <c r="D416" s="143"/>
      <c r="E416" s="143"/>
      <c r="F416" s="150"/>
      <c r="G416" s="150"/>
      <c r="H416" s="145"/>
      <c r="I416" s="145"/>
    </row>
    <row r="417" spans="1:9" ht="24.95" hidden="1" customHeight="1">
      <c r="A417" s="141"/>
      <c r="B417" s="141"/>
      <c r="C417" s="143"/>
      <c r="D417" s="141"/>
      <c r="E417" s="143"/>
      <c r="F417" s="150"/>
      <c r="G417" s="150"/>
      <c r="H417" s="145"/>
      <c r="I417" s="145"/>
    </row>
    <row r="418" spans="1:9" ht="24.95" hidden="1" customHeight="1">
      <c r="A418" s="141"/>
      <c r="B418" s="141"/>
      <c r="C418" s="143"/>
      <c r="D418" s="141"/>
      <c r="E418" s="143"/>
      <c r="F418" s="150"/>
      <c r="G418" s="150"/>
      <c r="H418" s="145"/>
      <c r="I418" s="145"/>
    </row>
    <row r="419" spans="1:9" ht="24.95" hidden="1" customHeight="1">
      <c r="A419" s="141"/>
      <c r="B419" s="141"/>
      <c r="C419" s="143"/>
      <c r="D419" s="141"/>
      <c r="E419" s="143"/>
      <c r="F419" s="150"/>
      <c r="G419" s="150"/>
      <c r="H419" s="145"/>
      <c r="I419" s="145"/>
    </row>
    <row r="420" spans="1:9" ht="24.95" hidden="1" customHeight="1">
      <c r="A420" s="141"/>
      <c r="B420" s="141"/>
      <c r="C420" s="143"/>
      <c r="D420" s="141"/>
      <c r="E420" s="143"/>
      <c r="F420" s="150"/>
      <c r="G420" s="150"/>
      <c r="H420" s="145"/>
      <c r="I420" s="145"/>
    </row>
    <row r="421" spans="1:9" ht="24.95" hidden="1" customHeight="1">
      <c r="A421" s="141"/>
      <c r="B421" s="141"/>
      <c r="C421" s="143"/>
      <c r="D421" s="143"/>
      <c r="E421" s="143"/>
      <c r="F421" s="150"/>
      <c r="G421" s="150"/>
      <c r="H421" s="145"/>
      <c r="I421" s="145"/>
    </row>
    <row r="422" spans="1:9" ht="24.95" hidden="1" customHeight="1">
      <c r="A422" s="141"/>
      <c r="B422" s="141"/>
      <c r="C422" s="143"/>
      <c r="D422" s="141"/>
      <c r="E422" s="143"/>
      <c r="F422" s="150"/>
      <c r="G422" s="150"/>
      <c r="H422" s="145"/>
      <c r="I422" s="145"/>
    </row>
    <row r="423" spans="1:9" ht="24.95" hidden="1" customHeight="1">
      <c r="A423" s="141"/>
      <c r="B423" s="141"/>
      <c r="C423" s="143"/>
      <c r="D423" s="141"/>
      <c r="E423" s="143"/>
      <c r="F423" s="150"/>
      <c r="G423" s="150"/>
      <c r="H423" s="145"/>
      <c r="I423" s="145"/>
    </row>
    <row r="424" spans="1:9" ht="24.95" hidden="1" customHeight="1">
      <c r="A424" s="141"/>
      <c r="B424" s="141"/>
      <c r="C424" s="143"/>
      <c r="D424" s="141"/>
      <c r="E424" s="143"/>
      <c r="F424" s="150"/>
      <c r="G424" s="150"/>
      <c r="H424" s="145"/>
      <c r="I424" s="145"/>
    </row>
    <row r="425" spans="1:9" ht="24.95" hidden="1" customHeight="1">
      <c r="A425" s="141"/>
      <c r="B425" s="141"/>
      <c r="C425" s="143"/>
      <c r="D425" s="141"/>
      <c r="E425" s="143"/>
      <c r="F425" s="150"/>
      <c r="G425" s="150"/>
      <c r="H425" s="145"/>
      <c r="I425" s="145"/>
    </row>
    <row r="426" spans="1:9" ht="24.95" hidden="1" customHeight="1">
      <c r="A426" s="141"/>
      <c r="B426" s="141"/>
      <c r="C426" s="143"/>
      <c r="D426" s="141"/>
      <c r="E426" s="143"/>
      <c r="F426" s="150"/>
      <c r="G426" s="150"/>
      <c r="H426" s="145"/>
      <c r="I426" s="145"/>
    </row>
    <row r="427" spans="1:9" ht="24.95" hidden="1" customHeight="1">
      <c r="A427" s="141"/>
      <c r="B427" s="141"/>
      <c r="C427" s="143"/>
      <c r="D427" s="141"/>
      <c r="E427" s="143"/>
      <c r="F427" s="150"/>
      <c r="G427" s="150"/>
      <c r="H427" s="145"/>
      <c r="I427" s="145"/>
    </row>
    <row r="428" spans="1:9" ht="24.95" hidden="1" customHeight="1">
      <c r="A428" s="141"/>
      <c r="B428" s="141"/>
      <c r="C428" s="143"/>
      <c r="D428" s="141"/>
      <c r="E428" s="143"/>
      <c r="F428" s="150"/>
      <c r="G428" s="150"/>
      <c r="H428" s="145"/>
      <c r="I428" s="145"/>
    </row>
    <row r="429" spans="1:9" ht="24.95" hidden="1" customHeight="1">
      <c r="A429" s="141"/>
      <c r="B429" s="141"/>
      <c r="C429" s="143"/>
      <c r="D429" s="141"/>
      <c r="E429" s="143"/>
      <c r="F429" s="150"/>
      <c r="G429" s="150"/>
      <c r="H429" s="145"/>
      <c r="I429" s="145"/>
    </row>
    <row r="430" spans="1:9" ht="24.95" hidden="1" customHeight="1">
      <c r="A430" s="141"/>
      <c r="B430" s="141"/>
      <c r="C430" s="143"/>
      <c r="D430" s="141"/>
      <c r="E430" s="143"/>
      <c r="F430" s="150"/>
      <c r="G430" s="150"/>
      <c r="H430" s="145"/>
      <c r="I430" s="145"/>
    </row>
    <row r="431" spans="1:9" ht="24.95" hidden="1" customHeight="1">
      <c r="A431" s="141"/>
      <c r="B431" s="141"/>
      <c r="C431" s="143"/>
      <c r="D431" s="141"/>
      <c r="E431" s="143"/>
      <c r="F431" s="150"/>
      <c r="G431" s="150"/>
      <c r="H431" s="145"/>
      <c r="I431" s="145"/>
    </row>
    <row r="432" spans="1:9" ht="24.95" hidden="1" customHeight="1">
      <c r="A432" s="141"/>
      <c r="B432" s="141"/>
      <c r="C432" s="143"/>
      <c r="D432" s="141"/>
      <c r="E432" s="143"/>
      <c r="F432" s="150"/>
      <c r="G432" s="150"/>
      <c r="H432" s="145"/>
      <c r="I432" s="145"/>
    </row>
    <row r="433" spans="1:9" ht="24.95" hidden="1" customHeight="1">
      <c r="A433" s="141"/>
      <c r="B433" s="141"/>
      <c r="C433" s="143"/>
      <c r="D433" s="141"/>
      <c r="E433" s="143"/>
      <c r="F433" s="150"/>
      <c r="G433" s="150"/>
      <c r="H433" s="145"/>
      <c r="I433" s="145"/>
    </row>
    <row r="434" spans="1:9" ht="24.95" hidden="1" customHeight="1">
      <c r="A434" s="141"/>
      <c r="B434" s="141"/>
      <c r="C434" s="143"/>
      <c r="D434" s="141"/>
      <c r="E434" s="143"/>
      <c r="F434" s="150"/>
      <c r="G434" s="150"/>
      <c r="H434" s="145"/>
      <c r="I434" s="145"/>
    </row>
    <row r="435" spans="1:9" ht="24.95" hidden="1" customHeight="1">
      <c r="A435" s="141"/>
      <c r="B435" s="141"/>
      <c r="C435" s="143"/>
      <c r="D435" s="141"/>
      <c r="E435" s="143"/>
      <c r="F435" s="150"/>
      <c r="G435" s="150"/>
      <c r="H435" s="145"/>
      <c r="I435" s="145"/>
    </row>
    <row r="436" spans="1:9" ht="24.95" hidden="1" customHeight="1">
      <c r="A436" s="141"/>
      <c r="B436" s="141"/>
      <c r="C436" s="143"/>
      <c r="D436" s="141"/>
      <c r="E436" s="143"/>
      <c r="F436" s="150"/>
      <c r="G436" s="150"/>
      <c r="H436" s="145"/>
      <c r="I436" s="145"/>
    </row>
    <row r="437" spans="1:9" ht="24.95" hidden="1" customHeight="1">
      <c r="A437" s="141"/>
      <c r="B437" s="141"/>
      <c r="C437" s="143"/>
      <c r="D437" s="141"/>
      <c r="E437" s="143"/>
      <c r="F437" s="150"/>
      <c r="G437" s="150"/>
      <c r="H437" s="145"/>
      <c r="I437" s="145"/>
    </row>
    <row r="438" spans="1:9" ht="24.95" hidden="1" customHeight="1">
      <c r="A438" s="141"/>
      <c r="B438" s="141"/>
      <c r="C438" s="143"/>
      <c r="D438" s="141"/>
      <c r="E438" s="143"/>
      <c r="F438" s="150"/>
      <c r="G438" s="150"/>
      <c r="H438" s="145"/>
      <c r="I438" s="145"/>
    </row>
    <row r="439" spans="1:9" ht="24.95" hidden="1" customHeight="1">
      <c r="A439" s="141"/>
      <c r="B439" s="141"/>
      <c r="C439" s="143"/>
      <c r="D439" s="141"/>
      <c r="E439" s="143"/>
      <c r="F439" s="150"/>
      <c r="G439" s="150"/>
      <c r="H439" s="145"/>
      <c r="I439" s="145"/>
    </row>
    <row r="440" spans="1:9" ht="24.95" hidden="1" customHeight="1">
      <c r="A440" s="141"/>
      <c r="B440" s="141"/>
      <c r="C440" s="143"/>
      <c r="D440" s="141"/>
      <c r="E440" s="143"/>
      <c r="F440" s="150"/>
      <c r="G440" s="150"/>
      <c r="H440" s="145"/>
      <c r="I440" s="145"/>
    </row>
    <row r="441" spans="1:9" ht="24.95" hidden="1" customHeight="1">
      <c r="A441" s="141"/>
      <c r="B441" s="141"/>
      <c r="C441" s="143"/>
      <c r="D441" s="141"/>
      <c r="E441" s="143"/>
      <c r="F441" s="150"/>
      <c r="G441" s="150"/>
      <c r="H441" s="145"/>
      <c r="I441" s="145"/>
    </row>
    <row r="442" spans="1:9" ht="24.95" hidden="1" customHeight="1">
      <c r="A442" s="141"/>
      <c r="B442" s="141"/>
      <c r="C442" s="143"/>
      <c r="D442" s="141"/>
      <c r="E442" s="143"/>
      <c r="F442" s="150"/>
      <c r="G442" s="150"/>
      <c r="H442" s="145"/>
      <c r="I442" s="145"/>
    </row>
    <row r="443" spans="1:9" ht="24.95" hidden="1" customHeight="1">
      <c r="A443" s="141"/>
      <c r="B443" s="141"/>
      <c r="C443" s="143"/>
      <c r="D443" s="141"/>
      <c r="E443" s="143"/>
      <c r="F443" s="150"/>
      <c r="G443" s="150"/>
      <c r="H443" s="145"/>
      <c r="I443" s="145"/>
    </row>
    <row r="444" spans="1:9" ht="24.95" hidden="1" customHeight="1">
      <c r="A444" s="141"/>
      <c r="B444" s="141"/>
      <c r="C444" s="143"/>
      <c r="D444" s="141"/>
      <c r="E444" s="143"/>
      <c r="F444" s="150"/>
      <c r="G444" s="150"/>
      <c r="H444" s="145"/>
      <c r="I444" s="145"/>
    </row>
    <row r="445" spans="1:9" ht="24.95" hidden="1" customHeight="1">
      <c r="A445" s="141"/>
      <c r="B445" s="141"/>
      <c r="C445" s="143"/>
      <c r="D445" s="141"/>
      <c r="E445" s="143"/>
      <c r="F445" s="150"/>
      <c r="G445" s="150"/>
      <c r="H445" s="145"/>
      <c r="I445" s="145"/>
    </row>
    <row r="446" spans="1:9" ht="24.95" hidden="1" customHeight="1">
      <c r="A446" s="141"/>
      <c r="B446" s="141"/>
      <c r="C446" s="143"/>
      <c r="D446" s="141"/>
      <c r="E446" s="143"/>
      <c r="F446" s="150"/>
      <c r="G446" s="150"/>
      <c r="H446" s="145"/>
      <c r="I446" s="145"/>
    </row>
    <row r="447" spans="1:9" ht="24.95" hidden="1" customHeight="1">
      <c r="A447" s="141"/>
      <c r="B447" s="141"/>
      <c r="C447" s="143"/>
      <c r="D447" s="141"/>
      <c r="E447" s="143"/>
      <c r="F447" s="150"/>
      <c r="G447" s="150"/>
      <c r="H447" s="145"/>
      <c r="I447" s="145"/>
    </row>
    <row r="448" spans="1:9" ht="24.95" hidden="1" customHeight="1">
      <c r="A448" s="141"/>
      <c r="B448" s="141"/>
      <c r="C448" s="143"/>
      <c r="D448" s="141"/>
      <c r="E448" s="143"/>
      <c r="F448" s="150"/>
      <c r="G448" s="150"/>
      <c r="H448" s="145"/>
      <c r="I448" s="145"/>
    </row>
    <row r="449" spans="1:9" ht="24.95" hidden="1" customHeight="1">
      <c r="A449" s="141"/>
      <c r="B449" s="141"/>
      <c r="C449" s="143"/>
      <c r="D449" s="141"/>
      <c r="E449" s="143"/>
      <c r="F449" s="150"/>
      <c r="G449" s="150"/>
      <c r="H449" s="145"/>
      <c r="I449" s="145"/>
    </row>
    <row r="450" spans="1:9" ht="24.95" hidden="1" customHeight="1">
      <c r="A450" s="141"/>
      <c r="B450" s="141"/>
      <c r="C450" s="143"/>
      <c r="D450" s="141"/>
      <c r="E450" s="143"/>
      <c r="F450" s="150"/>
      <c r="G450" s="150"/>
      <c r="H450" s="145"/>
      <c r="I450" s="145"/>
    </row>
    <row r="451" spans="1:9" ht="24.95" hidden="1" customHeight="1">
      <c r="A451" s="141"/>
      <c r="B451" s="141"/>
      <c r="C451" s="143"/>
      <c r="D451" s="141"/>
      <c r="E451" s="143"/>
      <c r="F451" s="150"/>
      <c r="G451" s="150"/>
      <c r="H451" s="145"/>
      <c r="I451" s="145"/>
    </row>
    <row r="452" spans="1:9" ht="24.95" hidden="1" customHeight="1">
      <c r="A452" s="141"/>
      <c r="B452" s="141"/>
      <c r="C452" s="143"/>
      <c r="D452" s="141"/>
      <c r="E452" s="143"/>
      <c r="F452" s="150"/>
      <c r="G452" s="150"/>
      <c r="H452" s="145"/>
      <c r="I452" s="145"/>
    </row>
    <row r="453" spans="1:9" ht="24.95" hidden="1" customHeight="1">
      <c r="A453" s="141"/>
      <c r="B453" s="141"/>
      <c r="C453" s="143"/>
      <c r="D453" s="141"/>
      <c r="E453" s="143"/>
      <c r="F453" s="150"/>
      <c r="G453" s="150"/>
      <c r="H453" s="145"/>
      <c r="I453" s="145"/>
    </row>
    <row r="454" spans="1:9" ht="24.95" hidden="1" customHeight="1">
      <c r="A454" s="141"/>
      <c r="B454" s="141"/>
      <c r="C454" s="143"/>
      <c r="D454" s="141"/>
      <c r="E454" s="143"/>
      <c r="F454" s="150"/>
      <c r="G454" s="150"/>
      <c r="H454" s="145"/>
      <c r="I454" s="145"/>
    </row>
    <row r="455" spans="1:9" ht="24.95" hidden="1" customHeight="1">
      <c r="A455" s="141"/>
      <c r="B455" s="141"/>
      <c r="C455" s="143"/>
      <c r="D455" s="141"/>
      <c r="E455" s="143"/>
      <c r="F455" s="150"/>
      <c r="G455" s="150"/>
      <c r="H455" s="145"/>
      <c r="I455" s="145"/>
    </row>
    <row r="456" spans="1:9" ht="24.95" hidden="1" customHeight="1">
      <c r="A456" s="141"/>
      <c r="B456" s="141"/>
      <c r="C456" s="143"/>
      <c r="D456" s="141"/>
      <c r="E456" s="143"/>
      <c r="F456" s="150"/>
      <c r="G456" s="150"/>
      <c r="H456" s="145"/>
      <c r="I456" s="145"/>
    </row>
    <row r="457" spans="1:9" ht="24.95" hidden="1" customHeight="1">
      <c r="A457" s="141"/>
      <c r="B457" s="141"/>
      <c r="C457" s="143"/>
      <c r="D457" s="141"/>
      <c r="E457" s="143"/>
      <c r="F457" s="150"/>
      <c r="G457" s="150"/>
      <c r="H457" s="145"/>
      <c r="I457" s="145"/>
    </row>
    <row r="458" spans="1:9" ht="24.95" hidden="1" customHeight="1">
      <c r="A458" s="141"/>
      <c r="B458" s="141"/>
      <c r="C458" s="143"/>
      <c r="D458" s="141"/>
      <c r="E458" s="143"/>
      <c r="F458" s="150"/>
      <c r="G458" s="150"/>
      <c r="H458" s="145"/>
      <c r="I458" s="145"/>
    </row>
    <row r="459" spans="1:9" ht="24.95" hidden="1" customHeight="1">
      <c r="A459" s="141"/>
      <c r="B459" s="141"/>
      <c r="C459" s="143"/>
      <c r="D459" s="141"/>
      <c r="E459" s="143"/>
      <c r="F459" s="150"/>
      <c r="G459" s="150"/>
      <c r="H459" s="145"/>
      <c r="I459" s="145"/>
    </row>
    <row r="460" spans="1:9" ht="24.95" hidden="1" customHeight="1">
      <c r="A460" s="141"/>
      <c r="B460" s="141"/>
      <c r="C460" s="143"/>
      <c r="D460" s="141"/>
      <c r="E460" s="143"/>
      <c r="F460" s="150"/>
      <c r="G460" s="150"/>
      <c r="H460" s="145"/>
      <c r="I460" s="145"/>
    </row>
    <row r="461" spans="1:9" ht="24.95" hidden="1" customHeight="1">
      <c r="A461" s="141"/>
      <c r="B461" s="141"/>
      <c r="C461" s="143"/>
      <c r="D461" s="141"/>
      <c r="E461" s="143"/>
      <c r="F461" s="150"/>
      <c r="G461" s="150"/>
      <c r="H461" s="145"/>
      <c r="I461" s="145"/>
    </row>
    <row r="462" spans="1:9" ht="24.95" hidden="1" customHeight="1">
      <c r="A462" s="141"/>
      <c r="B462" s="141"/>
      <c r="C462" s="143"/>
      <c r="D462" s="141"/>
      <c r="E462" s="143"/>
      <c r="F462" s="150"/>
      <c r="G462" s="150"/>
      <c r="H462" s="145"/>
      <c r="I462" s="145"/>
    </row>
    <row r="463" spans="1:9" ht="24.95" hidden="1" customHeight="1">
      <c r="A463" s="141"/>
      <c r="B463" s="141"/>
      <c r="C463" s="143"/>
      <c r="D463" s="141"/>
      <c r="E463" s="143"/>
      <c r="F463" s="150"/>
      <c r="G463" s="150"/>
      <c r="H463" s="145"/>
      <c r="I463" s="145"/>
    </row>
    <row r="464" spans="1:9" ht="24.95" hidden="1" customHeight="1">
      <c r="A464" s="141"/>
      <c r="B464" s="141"/>
      <c r="C464" s="143"/>
      <c r="D464" s="141"/>
      <c r="E464" s="143"/>
      <c r="F464" s="150"/>
      <c r="G464" s="150"/>
      <c r="H464" s="145"/>
      <c r="I464" s="145"/>
    </row>
    <row r="465" spans="1:9" ht="24.95" hidden="1" customHeight="1">
      <c r="A465" s="141"/>
      <c r="B465" s="141"/>
      <c r="C465" s="143"/>
      <c r="D465" s="141"/>
      <c r="E465" s="143"/>
      <c r="F465" s="150"/>
      <c r="G465" s="150"/>
      <c r="H465" s="145"/>
      <c r="I465" s="145"/>
    </row>
    <row r="466" spans="1:9" ht="24.95" hidden="1" customHeight="1">
      <c r="A466" s="141"/>
      <c r="B466" s="141"/>
      <c r="C466" s="143"/>
      <c r="D466" s="141"/>
      <c r="E466" s="143"/>
      <c r="F466" s="150"/>
      <c r="G466" s="150"/>
      <c r="H466" s="145"/>
      <c r="I466" s="145"/>
    </row>
    <row r="467" spans="1:9" ht="24.95" hidden="1" customHeight="1">
      <c r="A467" s="141"/>
      <c r="B467" s="141"/>
      <c r="C467" s="143"/>
      <c r="D467" s="141"/>
      <c r="E467" s="143"/>
      <c r="F467" s="150"/>
      <c r="G467" s="150"/>
      <c r="H467" s="145"/>
      <c r="I467" s="145"/>
    </row>
    <row r="468" spans="1:9" ht="24.95" hidden="1" customHeight="1">
      <c r="A468" s="141"/>
      <c r="B468" s="141"/>
      <c r="C468" s="143"/>
      <c r="D468" s="143"/>
      <c r="E468" s="143"/>
      <c r="F468" s="150"/>
      <c r="G468" s="150"/>
      <c r="H468" s="145"/>
      <c r="I468" s="145"/>
    </row>
    <row r="469" spans="1:9" ht="24.95" hidden="1" customHeight="1">
      <c r="A469" s="141"/>
      <c r="B469" s="141"/>
      <c r="C469" s="143"/>
      <c r="D469" s="141"/>
      <c r="E469" s="143"/>
      <c r="F469" s="150"/>
      <c r="G469" s="150"/>
      <c r="H469" s="145"/>
      <c r="I469" s="145"/>
    </row>
    <row r="470" spans="1:9" ht="24.95" hidden="1" customHeight="1">
      <c r="A470" s="141"/>
      <c r="B470" s="141"/>
      <c r="C470" s="143"/>
      <c r="D470" s="141"/>
      <c r="E470" s="143"/>
      <c r="F470" s="150"/>
      <c r="G470" s="150"/>
      <c r="H470" s="145"/>
      <c r="I470" s="145"/>
    </row>
    <row r="471" spans="1:9" ht="24.95" hidden="1" customHeight="1">
      <c r="A471" s="141"/>
      <c r="B471" s="141"/>
      <c r="C471" s="143"/>
      <c r="D471" s="141"/>
      <c r="E471" s="143"/>
      <c r="F471" s="150"/>
      <c r="G471" s="150"/>
      <c r="H471" s="145"/>
      <c r="I471" s="145"/>
    </row>
    <row r="472" spans="1:9" ht="24.95" hidden="1" customHeight="1">
      <c r="A472" s="141"/>
      <c r="B472" s="141"/>
      <c r="C472" s="143"/>
      <c r="D472" s="141"/>
      <c r="E472" s="143"/>
      <c r="F472" s="150"/>
      <c r="G472" s="150"/>
      <c r="H472" s="145"/>
      <c r="I472" s="145"/>
    </row>
    <row r="473" spans="1:9" ht="24.95" hidden="1" customHeight="1">
      <c r="A473" s="141"/>
      <c r="B473" s="141"/>
      <c r="C473" s="143"/>
      <c r="D473" s="141"/>
      <c r="E473" s="143"/>
      <c r="F473" s="150"/>
      <c r="G473" s="150"/>
      <c r="H473" s="145"/>
      <c r="I473" s="145"/>
    </row>
    <row r="474" spans="1:9" ht="24.95" hidden="1" customHeight="1">
      <c r="A474" s="141"/>
      <c r="B474" s="141"/>
      <c r="C474" s="143"/>
      <c r="D474" s="141"/>
      <c r="E474" s="143"/>
      <c r="F474" s="150"/>
      <c r="G474" s="150"/>
      <c r="H474" s="145"/>
      <c r="I474" s="145"/>
    </row>
    <row r="475" spans="1:9" ht="24.95" hidden="1" customHeight="1">
      <c r="A475" s="141"/>
      <c r="B475" s="141"/>
      <c r="C475" s="143"/>
      <c r="D475" s="141"/>
      <c r="E475" s="143"/>
      <c r="F475" s="150"/>
      <c r="G475" s="150"/>
      <c r="H475" s="145"/>
      <c r="I475" s="145"/>
    </row>
    <row r="476" spans="1:9" ht="24.95" hidden="1" customHeight="1">
      <c r="A476" s="141"/>
      <c r="B476" s="141"/>
      <c r="C476" s="143"/>
      <c r="D476" s="141"/>
      <c r="E476" s="143"/>
      <c r="F476" s="150"/>
      <c r="G476" s="150"/>
      <c r="H476" s="145"/>
      <c r="I476" s="145"/>
    </row>
    <row r="477" spans="1:9" ht="24.95" hidden="1" customHeight="1">
      <c r="A477" s="141"/>
      <c r="B477" s="141"/>
      <c r="C477" s="143"/>
      <c r="D477" s="141"/>
      <c r="E477" s="143"/>
      <c r="F477" s="150"/>
      <c r="G477" s="150"/>
      <c r="H477" s="145"/>
      <c r="I477" s="145"/>
    </row>
    <row r="478" spans="1:9" ht="24.95" hidden="1" customHeight="1">
      <c r="A478" s="141"/>
      <c r="B478" s="141"/>
      <c r="C478" s="143"/>
      <c r="D478" s="141"/>
      <c r="E478" s="143"/>
      <c r="F478" s="150"/>
      <c r="G478" s="150"/>
      <c r="H478" s="145"/>
      <c r="I478" s="145"/>
    </row>
    <row r="479" spans="1:9" ht="24.95" hidden="1" customHeight="1">
      <c r="A479" s="141"/>
      <c r="B479" s="141"/>
      <c r="C479" s="143"/>
      <c r="D479" s="141"/>
      <c r="E479" s="143"/>
      <c r="F479" s="150"/>
      <c r="G479" s="150"/>
      <c r="H479" s="145"/>
      <c r="I479" s="145"/>
    </row>
    <row r="480" spans="1:9" ht="24.95" hidden="1" customHeight="1">
      <c r="A480" s="141"/>
      <c r="B480" s="141"/>
      <c r="C480" s="143"/>
      <c r="D480" s="141"/>
      <c r="E480" s="143"/>
      <c r="F480" s="150"/>
      <c r="G480" s="150"/>
      <c r="H480" s="145"/>
      <c r="I480" s="145"/>
    </row>
    <row r="481" spans="1:9" ht="24.95" hidden="1" customHeight="1">
      <c r="A481" s="141"/>
      <c r="B481" s="141"/>
      <c r="C481" s="143"/>
      <c r="D481" s="141"/>
      <c r="E481" s="143"/>
      <c r="F481" s="150"/>
      <c r="G481" s="150"/>
      <c r="H481" s="145"/>
      <c r="I481" s="145"/>
    </row>
    <row r="482" spans="1:9" ht="24.95" hidden="1" customHeight="1">
      <c r="A482" s="141"/>
      <c r="B482" s="141"/>
      <c r="C482" s="143"/>
      <c r="D482" s="141"/>
      <c r="E482" s="143"/>
      <c r="F482" s="150"/>
      <c r="G482" s="150"/>
      <c r="H482" s="145"/>
      <c r="I482" s="145"/>
    </row>
    <row r="483" spans="1:9" ht="24.95" hidden="1" customHeight="1">
      <c r="A483" s="141"/>
      <c r="B483" s="141"/>
      <c r="C483" s="143"/>
      <c r="D483" s="141"/>
      <c r="E483" s="143"/>
      <c r="F483" s="150"/>
      <c r="G483" s="150"/>
      <c r="H483" s="145"/>
      <c r="I483" s="145"/>
    </row>
    <row r="484" spans="1:9" ht="24.95" hidden="1" customHeight="1">
      <c r="A484" s="141"/>
      <c r="B484" s="141"/>
      <c r="C484" s="143"/>
      <c r="D484" s="141"/>
      <c r="E484" s="143"/>
      <c r="F484" s="150"/>
      <c r="G484" s="150"/>
      <c r="H484" s="145"/>
      <c r="I484" s="145"/>
    </row>
    <row r="485" spans="1:9" ht="24.95" hidden="1" customHeight="1">
      <c r="A485" s="141"/>
      <c r="B485" s="141"/>
      <c r="C485" s="143"/>
      <c r="D485" s="141"/>
      <c r="E485" s="143"/>
      <c r="F485" s="150"/>
      <c r="G485" s="150"/>
      <c r="H485" s="145"/>
      <c r="I485" s="145"/>
    </row>
    <row r="486" spans="1:9" ht="24.95" hidden="1" customHeight="1">
      <c r="A486" s="141"/>
      <c r="B486" s="141"/>
      <c r="C486" s="143"/>
      <c r="D486" s="141"/>
      <c r="E486" s="143"/>
      <c r="F486" s="150"/>
      <c r="G486" s="150"/>
      <c r="H486" s="145"/>
      <c r="I486" s="145"/>
    </row>
    <row r="487" spans="1:9" ht="24.95" hidden="1" customHeight="1">
      <c r="A487" s="141"/>
      <c r="B487" s="141"/>
      <c r="C487" s="143"/>
      <c r="D487" s="141"/>
      <c r="E487" s="143"/>
      <c r="F487" s="150"/>
      <c r="G487" s="150"/>
      <c r="H487" s="145"/>
      <c r="I487" s="145"/>
    </row>
    <row r="488" spans="1:9" ht="24.95" hidden="1" customHeight="1">
      <c r="A488" s="141"/>
      <c r="B488" s="141"/>
      <c r="C488" s="143"/>
      <c r="D488" s="141"/>
      <c r="E488" s="143"/>
      <c r="F488" s="150"/>
      <c r="G488" s="150"/>
      <c r="H488" s="145"/>
      <c r="I488" s="145"/>
    </row>
    <row r="489" spans="1:9" ht="24.95" hidden="1" customHeight="1">
      <c r="A489" s="141"/>
      <c r="B489" s="141"/>
      <c r="C489" s="143"/>
      <c r="D489" s="141"/>
      <c r="E489" s="143"/>
      <c r="F489" s="150"/>
      <c r="G489" s="150"/>
      <c r="H489" s="145"/>
      <c r="I489" s="145"/>
    </row>
    <row r="490" spans="1:9" ht="24.95" hidden="1" customHeight="1">
      <c r="A490" s="141"/>
      <c r="B490" s="141"/>
      <c r="C490" s="143"/>
      <c r="D490" s="141"/>
      <c r="E490" s="143"/>
      <c r="F490" s="150"/>
      <c r="G490" s="150"/>
      <c r="H490" s="145"/>
      <c r="I490" s="145"/>
    </row>
    <row r="491" spans="1:9" ht="24.95" hidden="1" customHeight="1">
      <c r="A491" s="141"/>
      <c r="B491" s="141"/>
      <c r="C491" s="143"/>
      <c r="D491" s="141"/>
      <c r="E491" s="143"/>
      <c r="F491" s="150"/>
      <c r="G491" s="150"/>
      <c r="H491" s="145"/>
      <c r="I491" s="145"/>
    </row>
    <row r="492" spans="1:9" ht="24.95" hidden="1" customHeight="1">
      <c r="A492" s="141"/>
      <c r="B492" s="141"/>
      <c r="C492" s="143"/>
      <c r="D492" s="141"/>
      <c r="E492" s="143"/>
      <c r="F492" s="150"/>
      <c r="G492" s="150"/>
      <c r="H492" s="145"/>
      <c r="I492" s="145"/>
    </row>
    <row r="493" spans="1:9" ht="24.95" hidden="1" customHeight="1">
      <c r="A493" s="141"/>
      <c r="B493" s="141"/>
      <c r="C493" s="143"/>
      <c r="D493" s="141"/>
      <c r="E493" s="143"/>
      <c r="F493" s="150"/>
      <c r="G493" s="150"/>
      <c r="H493" s="145"/>
      <c r="I493" s="145"/>
    </row>
    <row r="494" spans="1:9" ht="24.95" hidden="1" customHeight="1">
      <c r="A494" s="141"/>
      <c r="B494" s="141"/>
      <c r="C494" s="143"/>
      <c r="D494" s="141"/>
      <c r="E494" s="143"/>
      <c r="F494" s="150"/>
      <c r="G494" s="150"/>
      <c r="H494" s="145"/>
      <c r="I494" s="145"/>
    </row>
    <row r="495" spans="1:9" ht="24.95" hidden="1" customHeight="1">
      <c r="A495" s="141"/>
      <c r="B495" s="141"/>
      <c r="C495" s="143"/>
      <c r="D495" s="141"/>
      <c r="E495" s="143"/>
      <c r="F495" s="150"/>
      <c r="G495" s="150"/>
      <c r="H495" s="145"/>
      <c r="I495" s="145"/>
    </row>
    <row r="496" spans="1:9" ht="24.95" hidden="1" customHeight="1">
      <c r="A496" s="141"/>
      <c r="B496" s="141"/>
      <c r="C496" s="143"/>
      <c r="D496" s="141"/>
      <c r="E496" s="143"/>
      <c r="F496" s="150"/>
      <c r="G496" s="150"/>
      <c r="H496" s="145"/>
      <c r="I496" s="145"/>
    </row>
    <row r="497" spans="1:9" ht="24.95" hidden="1" customHeight="1">
      <c r="A497" s="141"/>
      <c r="B497" s="141"/>
      <c r="C497" s="143"/>
      <c r="D497" s="141"/>
      <c r="E497" s="143"/>
      <c r="F497" s="150"/>
      <c r="G497" s="150"/>
      <c r="H497" s="145"/>
      <c r="I497" s="145"/>
    </row>
    <row r="498" spans="1:9" ht="24.95" hidden="1" customHeight="1">
      <c r="A498" s="141"/>
      <c r="B498" s="141"/>
      <c r="C498" s="143"/>
      <c r="D498" s="141"/>
      <c r="E498" s="143"/>
      <c r="F498" s="150"/>
      <c r="G498" s="150"/>
      <c r="H498" s="145"/>
      <c r="I498" s="145"/>
    </row>
    <row r="499" spans="1:9" ht="24.95" hidden="1" customHeight="1">
      <c r="A499" s="141"/>
      <c r="B499" s="141"/>
      <c r="C499" s="143"/>
      <c r="D499" s="141"/>
      <c r="E499" s="143"/>
      <c r="F499" s="150"/>
      <c r="G499" s="150"/>
      <c r="H499" s="145"/>
      <c r="I499" s="145"/>
    </row>
    <row r="500" spans="1:9" ht="24.95" hidden="1" customHeight="1">
      <c r="A500" s="141"/>
      <c r="B500" s="141"/>
      <c r="C500" s="143"/>
      <c r="D500" s="141"/>
      <c r="E500" s="143"/>
      <c r="F500" s="150"/>
      <c r="G500" s="150"/>
      <c r="H500" s="145"/>
      <c r="I500" s="145"/>
    </row>
    <row r="501" spans="1:9" ht="24.95" hidden="1" customHeight="1">
      <c r="A501" s="141"/>
      <c r="B501" s="141"/>
      <c r="C501" s="143"/>
      <c r="D501" s="141"/>
      <c r="E501" s="143"/>
      <c r="F501" s="150"/>
      <c r="G501" s="150"/>
      <c r="H501" s="145"/>
      <c r="I501" s="145"/>
    </row>
    <row r="502" spans="1:9" ht="24.95" hidden="1" customHeight="1">
      <c r="A502" s="141"/>
      <c r="B502" s="141"/>
      <c r="C502" s="143"/>
      <c r="D502" s="141"/>
      <c r="E502" s="143"/>
      <c r="F502" s="150"/>
      <c r="G502" s="150"/>
      <c r="H502" s="145"/>
      <c r="I502" s="145"/>
    </row>
    <row r="503" spans="1:9" ht="24.95" hidden="1" customHeight="1">
      <c r="A503" s="141"/>
      <c r="B503" s="141"/>
      <c r="C503" s="143"/>
      <c r="D503" s="141"/>
      <c r="E503" s="143"/>
      <c r="F503" s="150"/>
      <c r="G503" s="150"/>
      <c r="H503" s="145"/>
      <c r="I503" s="145"/>
    </row>
    <row r="504" spans="1:9" ht="24.95" hidden="1" customHeight="1">
      <c r="A504" s="141"/>
      <c r="B504" s="141"/>
      <c r="C504" s="143"/>
      <c r="D504" s="141"/>
      <c r="E504" s="143"/>
      <c r="F504" s="150"/>
      <c r="G504" s="150"/>
      <c r="H504" s="145"/>
      <c r="I504" s="145"/>
    </row>
    <row r="505" spans="1:9" ht="24.95" hidden="1" customHeight="1">
      <c r="A505" s="141"/>
      <c r="B505" s="141"/>
      <c r="C505" s="143"/>
      <c r="D505" s="141"/>
      <c r="E505" s="143"/>
      <c r="F505" s="150"/>
      <c r="G505" s="150"/>
      <c r="H505" s="145"/>
      <c r="I505" s="145"/>
    </row>
    <row r="506" spans="1:9" ht="24.95" hidden="1" customHeight="1">
      <c r="A506" s="141"/>
      <c r="B506" s="141"/>
      <c r="C506" s="143"/>
      <c r="D506" s="141"/>
      <c r="E506" s="143"/>
      <c r="F506" s="150"/>
      <c r="G506" s="150"/>
      <c r="H506" s="145"/>
      <c r="I506" s="145"/>
    </row>
    <row r="507" spans="1:9" ht="24.95" hidden="1" customHeight="1">
      <c r="A507" s="141"/>
      <c r="B507" s="141"/>
      <c r="C507" s="143"/>
      <c r="D507" s="141"/>
      <c r="E507" s="143"/>
      <c r="F507" s="150"/>
      <c r="G507" s="150"/>
      <c r="H507" s="145"/>
      <c r="I507" s="145"/>
    </row>
    <row r="508" spans="1:9" ht="24.95" hidden="1" customHeight="1">
      <c r="A508" s="141"/>
      <c r="B508" s="141"/>
      <c r="C508" s="143"/>
      <c r="D508" s="141"/>
      <c r="E508" s="143"/>
      <c r="F508" s="150"/>
      <c r="G508" s="150"/>
      <c r="H508" s="145"/>
      <c r="I508" s="145"/>
    </row>
    <row r="509" spans="1:9" ht="24.95" hidden="1" customHeight="1">
      <c r="A509" s="141"/>
      <c r="B509" s="141"/>
      <c r="C509" s="143"/>
      <c r="D509" s="141"/>
      <c r="E509" s="143"/>
      <c r="F509" s="150"/>
      <c r="G509" s="150"/>
      <c r="H509" s="145"/>
      <c r="I509" s="145"/>
    </row>
    <row r="510" spans="1:9" ht="24.95" hidden="1" customHeight="1">
      <c r="A510" s="141"/>
      <c r="B510" s="141"/>
      <c r="C510" s="143"/>
      <c r="D510" s="141"/>
      <c r="E510" s="143"/>
      <c r="F510" s="150"/>
      <c r="G510" s="150"/>
      <c r="H510" s="145"/>
      <c r="I510" s="145"/>
    </row>
    <row r="511" spans="1:9" ht="24.95" hidden="1" customHeight="1">
      <c r="A511" s="141"/>
      <c r="B511" s="141"/>
      <c r="C511" s="143"/>
      <c r="D511" s="141"/>
      <c r="E511" s="143"/>
      <c r="F511" s="150"/>
      <c r="G511" s="150"/>
      <c r="H511" s="145"/>
      <c r="I511" s="145"/>
    </row>
    <row r="512" spans="1:9" ht="24.95" hidden="1" customHeight="1">
      <c r="A512" s="141"/>
      <c r="B512" s="141"/>
      <c r="C512" s="143"/>
      <c r="D512" s="141"/>
      <c r="E512" s="143"/>
      <c r="F512" s="150"/>
      <c r="G512" s="150"/>
      <c r="H512" s="145"/>
      <c r="I512" s="145"/>
    </row>
    <row r="513" spans="1:9" ht="24.95" hidden="1" customHeight="1">
      <c r="A513" s="141"/>
      <c r="B513" s="141"/>
      <c r="C513" s="143"/>
      <c r="D513" s="141"/>
      <c r="E513" s="143"/>
      <c r="F513" s="150"/>
      <c r="G513" s="150"/>
      <c r="H513" s="145"/>
      <c r="I513" s="145"/>
    </row>
    <row r="514" spans="1:9" ht="24.95" hidden="1" customHeight="1">
      <c r="A514" s="141"/>
      <c r="B514" s="141"/>
      <c r="C514" s="143"/>
      <c r="D514" s="141"/>
      <c r="E514" s="143"/>
      <c r="F514" s="150"/>
      <c r="G514" s="150"/>
      <c r="H514" s="145"/>
      <c r="I514" s="145"/>
    </row>
    <row r="515" spans="1:9" ht="24.95" hidden="1" customHeight="1">
      <c r="A515" s="141"/>
      <c r="B515" s="141"/>
      <c r="C515" s="143"/>
      <c r="D515" s="141"/>
      <c r="E515" s="143"/>
      <c r="F515" s="150"/>
      <c r="G515" s="150"/>
      <c r="H515" s="145"/>
      <c r="I515" s="145"/>
    </row>
    <row r="516" spans="1:9" ht="24.95" hidden="1" customHeight="1">
      <c r="A516" s="141"/>
      <c r="B516" s="141"/>
      <c r="C516" s="143"/>
      <c r="D516" s="141"/>
      <c r="E516" s="143"/>
      <c r="F516" s="150"/>
      <c r="G516" s="150"/>
      <c r="H516" s="145"/>
      <c r="I516" s="145"/>
    </row>
    <row r="517" spans="1:9" ht="24.95" hidden="1" customHeight="1">
      <c r="A517" s="141"/>
      <c r="B517" s="141"/>
      <c r="C517" s="143"/>
      <c r="D517" s="141"/>
      <c r="E517" s="143"/>
      <c r="F517" s="150"/>
      <c r="G517" s="150"/>
      <c r="H517" s="145"/>
      <c r="I517" s="145"/>
    </row>
    <row r="518" spans="1:9" ht="24.95" hidden="1" customHeight="1">
      <c r="A518" s="141"/>
      <c r="B518" s="141"/>
      <c r="C518" s="143"/>
      <c r="D518" s="141"/>
      <c r="E518" s="143"/>
      <c r="F518" s="150"/>
      <c r="G518" s="150"/>
      <c r="H518" s="145"/>
      <c r="I518" s="145"/>
    </row>
    <row r="519" spans="1:9" ht="24.95" hidden="1" customHeight="1">
      <c r="A519" s="141"/>
      <c r="B519" s="141"/>
      <c r="C519" s="143"/>
      <c r="D519" s="141"/>
      <c r="E519" s="143"/>
      <c r="F519" s="150"/>
      <c r="G519" s="150"/>
      <c r="H519" s="145"/>
      <c r="I519" s="145"/>
    </row>
    <row r="520" spans="1:9" ht="24.95" hidden="1" customHeight="1">
      <c r="A520" s="141"/>
      <c r="B520" s="141"/>
      <c r="C520" s="143"/>
      <c r="D520" s="141"/>
      <c r="E520" s="143"/>
      <c r="F520" s="150"/>
      <c r="G520" s="150"/>
      <c r="H520" s="145"/>
      <c r="I520" s="145"/>
    </row>
    <row r="521" spans="1:9" ht="24.95" hidden="1" customHeight="1">
      <c r="A521" s="141"/>
      <c r="B521" s="141"/>
      <c r="C521" s="143"/>
      <c r="D521" s="141"/>
      <c r="E521" s="143"/>
      <c r="F521" s="150"/>
      <c r="G521" s="150"/>
      <c r="H521" s="145"/>
      <c r="I521" s="145"/>
    </row>
    <row r="522" spans="1:9" ht="24.95" hidden="1" customHeight="1">
      <c r="A522" s="141"/>
      <c r="B522" s="141"/>
      <c r="C522" s="143"/>
      <c r="D522" s="141"/>
      <c r="E522" s="143"/>
      <c r="F522" s="150"/>
      <c r="G522" s="150"/>
      <c r="H522" s="145"/>
      <c r="I522" s="145"/>
    </row>
    <row r="523" spans="1:9" ht="24.95" hidden="1" customHeight="1">
      <c r="A523" s="141"/>
      <c r="B523" s="141"/>
      <c r="C523" s="143"/>
      <c r="D523" s="141"/>
      <c r="E523" s="143"/>
      <c r="F523" s="150"/>
      <c r="G523" s="150"/>
      <c r="H523" s="145"/>
      <c r="I523" s="145"/>
    </row>
    <row r="524" spans="1:9" ht="24.95" hidden="1" customHeight="1">
      <c r="A524" s="141"/>
      <c r="B524" s="141"/>
      <c r="C524" s="143"/>
      <c r="D524" s="141"/>
      <c r="E524" s="143"/>
      <c r="F524" s="150"/>
      <c r="G524" s="150"/>
      <c r="H524" s="145"/>
      <c r="I524" s="145"/>
    </row>
    <row r="525" spans="1:9" ht="24.95" hidden="1" customHeight="1">
      <c r="A525" s="141"/>
      <c r="B525" s="141"/>
      <c r="C525" s="143"/>
      <c r="D525" s="141"/>
      <c r="E525" s="143"/>
      <c r="F525" s="150"/>
      <c r="G525" s="150"/>
      <c r="H525" s="145"/>
      <c r="I525" s="145"/>
    </row>
    <row r="526" spans="1:9" ht="24.95" hidden="1" customHeight="1">
      <c r="A526" s="141"/>
      <c r="B526" s="141"/>
      <c r="C526" s="143"/>
      <c r="D526" s="141"/>
      <c r="E526" s="143"/>
      <c r="F526" s="150"/>
      <c r="G526" s="150"/>
      <c r="H526" s="145"/>
      <c r="I526" s="145"/>
    </row>
    <row r="527" spans="1:9" ht="24.95" hidden="1" customHeight="1">
      <c r="A527" s="141"/>
      <c r="B527" s="141"/>
      <c r="C527" s="143"/>
      <c r="D527" s="141"/>
      <c r="E527" s="143"/>
      <c r="F527" s="150"/>
      <c r="G527" s="150"/>
      <c r="H527" s="145"/>
      <c r="I527" s="145"/>
    </row>
    <row r="528" spans="1:9" ht="24.95" hidden="1" customHeight="1">
      <c r="A528" s="141"/>
      <c r="B528" s="141"/>
      <c r="C528" s="143"/>
      <c r="D528" s="141"/>
      <c r="E528" s="143"/>
      <c r="F528" s="150"/>
      <c r="G528" s="150"/>
      <c r="H528" s="145"/>
      <c r="I528" s="145"/>
    </row>
    <row r="529" spans="1:9" ht="24.95" hidden="1" customHeight="1">
      <c r="A529" s="141"/>
      <c r="B529" s="141"/>
      <c r="C529" s="143"/>
      <c r="D529" s="141"/>
      <c r="E529" s="143"/>
      <c r="F529" s="150"/>
      <c r="G529" s="150"/>
      <c r="H529" s="145"/>
      <c r="I529" s="145"/>
    </row>
    <row r="530" spans="1:9" ht="24.95" hidden="1" customHeight="1">
      <c r="A530" s="141"/>
      <c r="B530" s="141"/>
      <c r="C530" s="143"/>
      <c r="D530" s="141"/>
      <c r="E530" s="143"/>
      <c r="F530" s="150"/>
      <c r="G530" s="150"/>
      <c r="H530" s="145"/>
      <c r="I530" s="145"/>
    </row>
    <row r="531" spans="1:9" ht="24.95" hidden="1" customHeight="1">
      <c r="A531" s="141"/>
      <c r="B531" s="141"/>
      <c r="C531" s="143"/>
      <c r="D531" s="141"/>
      <c r="E531" s="143"/>
      <c r="F531" s="150"/>
      <c r="G531" s="150"/>
      <c r="H531" s="145"/>
      <c r="I531" s="145"/>
    </row>
    <row r="532" spans="1:9" ht="24.95" hidden="1" customHeight="1">
      <c r="A532" s="141"/>
      <c r="B532" s="141"/>
      <c r="C532" s="143"/>
      <c r="D532" s="141"/>
      <c r="E532" s="143"/>
      <c r="F532" s="150"/>
      <c r="G532" s="150"/>
      <c r="H532" s="145"/>
      <c r="I532" s="145"/>
    </row>
    <row r="533" spans="1:9" ht="24.95" hidden="1" customHeight="1">
      <c r="A533" s="141"/>
      <c r="B533" s="141"/>
      <c r="C533" s="143"/>
      <c r="D533" s="141"/>
      <c r="E533" s="143"/>
      <c r="F533" s="150"/>
      <c r="G533" s="150"/>
      <c r="H533" s="145"/>
      <c r="I533" s="145"/>
    </row>
    <row r="534" spans="1:9" ht="24.95" hidden="1" customHeight="1">
      <c r="A534" s="141"/>
      <c r="B534" s="141"/>
      <c r="C534" s="143"/>
      <c r="D534" s="141"/>
      <c r="E534" s="143"/>
      <c r="F534" s="150"/>
      <c r="G534" s="150"/>
      <c r="H534" s="145"/>
      <c r="I534" s="145"/>
    </row>
    <row r="535" spans="1:9" ht="24.95" hidden="1" customHeight="1">
      <c r="A535" s="141"/>
      <c r="B535" s="141"/>
      <c r="C535" s="143"/>
      <c r="D535" s="141"/>
      <c r="E535" s="143"/>
      <c r="F535" s="150"/>
      <c r="G535" s="150"/>
      <c r="H535" s="145"/>
      <c r="I535" s="145"/>
    </row>
    <row r="536" spans="1:9" ht="24.95" hidden="1" customHeight="1">
      <c r="A536" s="141"/>
      <c r="B536" s="141"/>
      <c r="C536" s="143"/>
      <c r="D536" s="141"/>
      <c r="E536" s="143"/>
      <c r="F536" s="150"/>
      <c r="G536" s="150"/>
      <c r="H536" s="145"/>
      <c r="I536" s="145"/>
    </row>
    <row r="537" spans="1:9" ht="24.95" hidden="1" customHeight="1">
      <c r="A537" s="141"/>
      <c r="B537" s="141"/>
      <c r="C537" s="143"/>
      <c r="D537" s="141"/>
      <c r="E537" s="143"/>
      <c r="F537" s="150"/>
      <c r="G537" s="150"/>
      <c r="H537" s="145"/>
      <c r="I537" s="145"/>
    </row>
    <row r="538" spans="1:9" ht="24.95" hidden="1" customHeight="1">
      <c r="A538" s="141"/>
      <c r="B538" s="141"/>
      <c r="C538" s="143"/>
      <c r="D538" s="141"/>
      <c r="E538" s="143"/>
      <c r="F538" s="150"/>
      <c r="G538" s="150"/>
      <c r="H538" s="145"/>
      <c r="I538" s="145"/>
    </row>
    <row r="539" spans="1:9" ht="24.95" hidden="1" customHeight="1">
      <c r="A539" s="141"/>
      <c r="B539" s="141"/>
      <c r="C539" s="143"/>
      <c r="D539" s="141"/>
      <c r="E539" s="143"/>
      <c r="F539" s="150"/>
      <c r="G539" s="150"/>
      <c r="H539" s="145"/>
      <c r="I539" s="145"/>
    </row>
    <row r="540" spans="1:9" ht="24.95" hidden="1" customHeight="1">
      <c r="A540" s="141"/>
      <c r="B540" s="141"/>
      <c r="C540" s="143"/>
      <c r="D540" s="141"/>
      <c r="E540" s="143"/>
      <c r="F540" s="150"/>
      <c r="G540" s="150"/>
      <c r="H540" s="145"/>
      <c r="I540" s="145"/>
    </row>
    <row r="541" spans="1:9" ht="24.95" hidden="1" customHeight="1">
      <c r="A541" s="141"/>
      <c r="B541" s="141"/>
      <c r="C541" s="143"/>
      <c r="D541" s="141"/>
      <c r="E541" s="143"/>
      <c r="F541" s="150"/>
      <c r="G541" s="150"/>
      <c r="H541" s="145"/>
      <c r="I541" s="145"/>
    </row>
    <row r="542" spans="1:9" ht="24.95" hidden="1" customHeight="1">
      <c r="A542" s="141"/>
      <c r="B542" s="141"/>
      <c r="C542" s="143"/>
      <c r="D542" s="141"/>
      <c r="E542" s="143"/>
      <c r="F542" s="150"/>
      <c r="G542" s="150"/>
      <c r="H542" s="145"/>
      <c r="I542" s="145"/>
    </row>
    <row r="543" spans="1:9" ht="24.95" hidden="1" customHeight="1">
      <c r="A543" s="141"/>
      <c r="B543" s="141"/>
      <c r="C543" s="143"/>
      <c r="D543" s="141"/>
      <c r="E543" s="143"/>
      <c r="F543" s="150"/>
      <c r="G543" s="150"/>
      <c r="H543" s="145"/>
      <c r="I543" s="145"/>
    </row>
    <row r="544" spans="1:9" ht="24.95" hidden="1" customHeight="1">
      <c r="A544" s="141"/>
      <c r="B544" s="141"/>
      <c r="C544" s="143"/>
      <c r="D544" s="141"/>
      <c r="E544" s="143"/>
      <c r="F544" s="150"/>
      <c r="G544" s="150"/>
      <c r="H544" s="145"/>
      <c r="I544" s="145"/>
    </row>
    <row r="545" spans="1:9" ht="24.95" hidden="1" customHeight="1">
      <c r="A545" s="141"/>
      <c r="B545" s="141"/>
      <c r="C545" s="143"/>
      <c r="D545" s="141"/>
      <c r="E545" s="143"/>
      <c r="F545" s="150"/>
      <c r="G545" s="150"/>
      <c r="H545" s="145"/>
      <c r="I545" s="145"/>
    </row>
    <row r="546" spans="1:9" ht="24.95" hidden="1" customHeight="1">
      <c r="A546" s="141"/>
      <c r="B546" s="141"/>
      <c r="C546" s="143"/>
      <c r="D546" s="141"/>
      <c r="E546" s="143"/>
      <c r="F546" s="150"/>
      <c r="G546" s="150"/>
      <c r="H546" s="145"/>
      <c r="I546" s="145"/>
    </row>
    <row r="547" spans="1:9" ht="24.95" hidden="1" customHeight="1">
      <c r="A547" s="141"/>
      <c r="B547" s="141"/>
      <c r="C547" s="143"/>
      <c r="D547" s="141"/>
      <c r="E547" s="143"/>
      <c r="F547" s="150"/>
      <c r="G547" s="150"/>
      <c r="H547" s="145"/>
      <c r="I547" s="145"/>
    </row>
    <row r="548" spans="1:9" ht="24.95" hidden="1" customHeight="1">
      <c r="A548" s="141"/>
      <c r="B548" s="141"/>
      <c r="C548" s="143"/>
      <c r="D548" s="141"/>
      <c r="E548" s="143"/>
      <c r="F548" s="150"/>
      <c r="G548" s="150"/>
      <c r="H548" s="145"/>
      <c r="I548" s="145"/>
    </row>
    <row r="549" spans="1:9" ht="24.95" hidden="1" customHeight="1">
      <c r="A549" s="141"/>
      <c r="B549" s="141"/>
      <c r="C549" s="143"/>
      <c r="D549" s="141"/>
      <c r="E549" s="143"/>
      <c r="F549" s="150"/>
      <c r="G549" s="150"/>
      <c r="H549" s="145"/>
      <c r="I549" s="145"/>
    </row>
    <row r="550" spans="1:9" ht="24.95" hidden="1" customHeight="1">
      <c r="A550" s="141"/>
      <c r="B550" s="141"/>
      <c r="C550" s="143"/>
      <c r="D550" s="141"/>
      <c r="E550" s="143"/>
      <c r="F550" s="150"/>
      <c r="G550" s="150"/>
      <c r="H550" s="145"/>
      <c r="I550" s="145"/>
    </row>
    <row r="551" spans="1:9" ht="24.95" hidden="1" customHeight="1">
      <c r="A551" s="141"/>
      <c r="B551" s="141"/>
      <c r="C551" s="143"/>
      <c r="D551" s="141"/>
      <c r="E551" s="143"/>
      <c r="F551" s="150"/>
      <c r="G551" s="150"/>
      <c r="H551" s="145"/>
      <c r="I551" s="145"/>
    </row>
    <row r="552" spans="1:9" ht="24.95" hidden="1" customHeight="1">
      <c r="A552" s="141"/>
      <c r="B552" s="141"/>
      <c r="C552" s="143"/>
      <c r="D552" s="141"/>
      <c r="E552" s="143"/>
      <c r="F552" s="150"/>
      <c r="G552" s="150"/>
      <c r="H552" s="145"/>
      <c r="I552" s="145"/>
    </row>
    <row r="553" spans="1:9" ht="24.95" hidden="1" customHeight="1">
      <c r="A553" s="141"/>
      <c r="B553" s="141"/>
      <c r="C553" s="143"/>
      <c r="D553" s="141"/>
      <c r="E553" s="143"/>
      <c r="F553" s="150"/>
      <c r="G553" s="150"/>
      <c r="H553" s="145"/>
      <c r="I553" s="145"/>
    </row>
    <row r="554" spans="1:9" ht="24.95" hidden="1" customHeight="1">
      <c r="A554" s="141"/>
      <c r="B554" s="141"/>
      <c r="C554" s="143"/>
      <c r="D554" s="141"/>
      <c r="E554" s="143"/>
      <c r="F554" s="150"/>
      <c r="G554" s="150"/>
      <c r="H554" s="145"/>
      <c r="I554" s="145"/>
    </row>
    <row r="555" spans="1:9" ht="24.95" hidden="1" customHeight="1">
      <c r="A555" s="141"/>
      <c r="B555" s="141"/>
      <c r="C555" s="143"/>
      <c r="D555" s="141"/>
      <c r="E555" s="143"/>
      <c r="F555" s="150"/>
      <c r="G555" s="150"/>
      <c r="H555" s="145"/>
      <c r="I555" s="145"/>
    </row>
    <row r="556" spans="1:9" ht="24.95" hidden="1" customHeight="1">
      <c r="A556" s="141"/>
      <c r="B556" s="141"/>
      <c r="C556" s="143"/>
      <c r="D556" s="141"/>
      <c r="E556" s="143"/>
      <c r="F556" s="150"/>
      <c r="G556" s="150"/>
      <c r="H556" s="145"/>
      <c r="I556" s="145"/>
    </row>
    <row r="557" spans="1:9" ht="24.95" hidden="1" customHeight="1">
      <c r="A557" s="141"/>
      <c r="B557" s="141"/>
      <c r="C557" s="143"/>
      <c r="D557" s="141"/>
      <c r="E557" s="143"/>
      <c r="F557" s="150"/>
      <c r="G557" s="150"/>
      <c r="H557" s="145"/>
      <c r="I557" s="145"/>
    </row>
    <row r="558" spans="1:9" ht="24.95" hidden="1" customHeight="1">
      <c r="A558" s="141"/>
      <c r="B558" s="141"/>
      <c r="C558" s="143"/>
      <c r="D558" s="141"/>
      <c r="E558" s="143"/>
      <c r="F558" s="150"/>
      <c r="G558" s="150"/>
      <c r="H558" s="145"/>
      <c r="I558" s="145"/>
    </row>
    <row r="559" spans="1:9" ht="24.95" hidden="1" customHeight="1">
      <c r="A559" s="141"/>
      <c r="B559" s="141"/>
      <c r="C559" s="143"/>
      <c r="D559" s="141"/>
      <c r="E559" s="143"/>
      <c r="F559" s="150"/>
      <c r="G559" s="150"/>
      <c r="H559" s="145"/>
      <c r="I559" s="145"/>
    </row>
    <row r="560" spans="1:9" ht="24.95" hidden="1" customHeight="1">
      <c r="A560" s="141"/>
      <c r="B560" s="141"/>
      <c r="C560" s="143"/>
      <c r="D560" s="141"/>
      <c r="E560" s="143"/>
      <c r="F560" s="150"/>
      <c r="G560" s="150"/>
      <c r="H560" s="145"/>
      <c r="I560" s="145"/>
    </row>
    <row r="561" spans="1:9" ht="24.95" hidden="1" customHeight="1">
      <c r="A561" s="141"/>
      <c r="B561" s="141"/>
      <c r="C561" s="143"/>
      <c r="D561" s="141"/>
      <c r="E561" s="143"/>
      <c r="F561" s="150"/>
      <c r="G561" s="150"/>
      <c r="H561" s="145"/>
      <c r="I561" s="145"/>
    </row>
    <row r="562" spans="1:9" ht="24.95" hidden="1" customHeight="1">
      <c r="A562" s="141"/>
      <c r="B562" s="141"/>
      <c r="C562" s="143"/>
      <c r="D562" s="141"/>
      <c r="E562" s="143"/>
      <c r="F562" s="150"/>
      <c r="G562" s="150"/>
      <c r="H562" s="145"/>
      <c r="I562" s="145"/>
    </row>
    <row r="563" spans="1:9" ht="24.95" hidden="1" customHeight="1">
      <c r="A563" s="141"/>
      <c r="B563" s="141"/>
      <c r="C563" s="143"/>
      <c r="D563" s="141"/>
      <c r="E563" s="143"/>
      <c r="F563" s="150"/>
      <c r="G563" s="150"/>
      <c r="H563" s="145"/>
      <c r="I563" s="145"/>
    </row>
    <row r="564" spans="1:9" ht="24.95" hidden="1" customHeight="1">
      <c r="A564" s="141"/>
      <c r="B564" s="141"/>
      <c r="C564" s="143"/>
      <c r="D564" s="141"/>
      <c r="E564" s="143"/>
      <c r="F564" s="150"/>
      <c r="G564" s="150"/>
      <c r="H564" s="145"/>
      <c r="I564" s="145"/>
    </row>
    <row r="565" spans="1:9" ht="24.95" hidden="1" customHeight="1">
      <c r="A565" s="141"/>
      <c r="B565" s="141"/>
      <c r="C565" s="143"/>
      <c r="D565" s="141"/>
      <c r="E565" s="143"/>
      <c r="F565" s="150"/>
      <c r="G565" s="150"/>
      <c r="H565" s="145"/>
      <c r="I565" s="145"/>
    </row>
    <row r="566" spans="1:9" ht="24.95" hidden="1" customHeight="1">
      <c r="A566" s="141"/>
      <c r="B566" s="141"/>
      <c r="C566" s="143"/>
      <c r="D566" s="141"/>
      <c r="E566" s="143"/>
      <c r="F566" s="150"/>
      <c r="G566" s="150"/>
      <c r="H566" s="145"/>
      <c r="I566" s="145"/>
    </row>
    <row r="567" spans="1:9" ht="24.95" hidden="1" customHeight="1">
      <c r="A567" s="141"/>
      <c r="B567" s="141"/>
      <c r="C567" s="143"/>
      <c r="D567" s="141"/>
      <c r="E567" s="143"/>
      <c r="F567" s="150"/>
      <c r="G567" s="150"/>
      <c r="H567" s="145"/>
      <c r="I567" s="145"/>
    </row>
    <row r="568" spans="1:9" ht="24.95" hidden="1" customHeight="1">
      <c r="A568" s="141"/>
      <c r="B568" s="141"/>
      <c r="C568" s="143"/>
      <c r="D568" s="141"/>
      <c r="E568" s="143"/>
      <c r="F568" s="150"/>
      <c r="G568" s="150"/>
      <c r="H568" s="145"/>
      <c r="I568" s="145"/>
    </row>
    <row r="569" spans="1:9" ht="24.95" hidden="1" customHeight="1">
      <c r="A569" s="141"/>
      <c r="B569" s="141"/>
      <c r="C569" s="143"/>
      <c r="D569" s="141"/>
      <c r="E569" s="143"/>
      <c r="F569" s="150"/>
      <c r="G569" s="150"/>
      <c r="H569" s="145"/>
      <c r="I569" s="145"/>
    </row>
    <row r="570" spans="1:9" ht="24.95" hidden="1" customHeight="1">
      <c r="A570" s="141"/>
      <c r="B570" s="141"/>
      <c r="C570" s="143"/>
      <c r="D570" s="141"/>
      <c r="E570" s="143"/>
      <c r="F570" s="150"/>
      <c r="G570" s="150"/>
      <c r="H570" s="145"/>
      <c r="I570" s="145"/>
    </row>
    <row r="571" spans="1:9" ht="24.95" hidden="1" customHeight="1">
      <c r="A571" s="141"/>
      <c r="B571" s="141"/>
      <c r="C571" s="143"/>
      <c r="D571" s="141"/>
      <c r="E571" s="143"/>
      <c r="F571" s="150"/>
      <c r="G571" s="150"/>
      <c r="H571" s="145"/>
      <c r="I571" s="145"/>
    </row>
    <row r="572" spans="1:9" ht="24.95" hidden="1" customHeight="1">
      <c r="A572" s="141"/>
      <c r="B572" s="141"/>
      <c r="C572" s="143"/>
      <c r="D572" s="141"/>
      <c r="E572" s="143"/>
      <c r="F572" s="150"/>
      <c r="G572" s="150"/>
      <c r="H572" s="145"/>
      <c r="I572" s="145"/>
    </row>
    <row r="573" spans="1:9" ht="24.95" hidden="1" customHeight="1">
      <c r="A573" s="141"/>
      <c r="B573" s="141"/>
      <c r="C573" s="143"/>
      <c r="D573" s="141"/>
      <c r="E573" s="143"/>
      <c r="F573" s="150"/>
      <c r="G573" s="150"/>
      <c r="H573" s="145"/>
      <c r="I573" s="145"/>
    </row>
    <row r="574" spans="1:9" ht="24.95" hidden="1" customHeight="1">
      <c r="A574" s="141"/>
      <c r="B574" s="141"/>
      <c r="C574" s="143"/>
      <c r="D574" s="141"/>
      <c r="E574" s="143"/>
      <c r="F574" s="150"/>
      <c r="G574" s="150"/>
      <c r="H574" s="145"/>
      <c r="I574" s="145"/>
    </row>
    <row r="575" spans="1:9" ht="24.95" hidden="1" customHeight="1">
      <c r="A575" s="141"/>
      <c r="B575" s="141"/>
      <c r="C575" s="143"/>
      <c r="D575" s="141"/>
      <c r="E575" s="143"/>
      <c r="F575" s="150"/>
      <c r="G575" s="150"/>
      <c r="H575" s="145"/>
      <c r="I575" s="145"/>
    </row>
    <row r="576" spans="1:9" ht="24.95" hidden="1" customHeight="1">
      <c r="A576" s="141"/>
      <c r="B576" s="141"/>
      <c r="C576" s="143"/>
      <c r="D576" s="141"/>
      <c r="E576" s="143"/>
      <c r="F576" s="150"/>
      <c r="G576" s="150"/>
      <c r="H576" s="145"/>
      <c r="I576" s="145"/>
    </row>
    <row r="577" spans="1:9" ht="24.95" hidden="1" customHeight="1">
      <c r="A577" s="141"/>
      <c r="B577" s="141"/>
      <c r="C577" s="143"/>
      <c r="D577" s="141"/>
      <c r="E577" s="143"/>
      <c r="F577" s="150"/>
      <c r="G577" s="150"/>
      <c r="H577" s="145"/>
      <c r="I577" s="145"/>
    </row>
    <row r="578" spans="1:9" ht="24.95" hidden="1" customHeight="1">
      <c r="A578" s="141"/>
      <c r="B578" s="141"/>
      <c r="C578" s="143"/>
      <c r="D578" s="141"/>
      <c r="E578" s="143"/>
      <c r="F578" s="150"/>
      <c r="G578" s="150"/>
      <c r="H578" s="145"/>
      <c r="I578" s="145"/>
    </row>
    <row r="579" spans="1:9" ht="24.95" hidden="1" customHeight="1">
      <c r="A579" s="141"/>
      <c r="B579" s="141"/>
      <c r="C579" s="143"/>
      <c r="D579" s="141"/>
      <c r="E579" s="143"/>
      <c r="F579" s="150"/>
      <c r="G579" s="150"/>
      <c r="H579" s="145"/>
      <c r="I579" s="145"/>
    </row>
    <row r="580" spans="1:9" ht="24.95" hidden="1" customHeight="1">
      <c r="A580" s="141"/>
      <c r="B580" s="141"/>
      <c r="C580" s="143"/>
      <c r="D580" s="141"/>
      <c r="E580" s="143"/>
      <c r="F580" s="150"/>
      <c r="G580" s="150"/>
      <c r="H580" s="145"/>
      <c r="I580" s="145"/>
    </row>
    <row r="581" spans="1:9" ht="24.95" hidden="1" customHeight="1">
      <c r="A581" s="141"/>
      <c r="B581" s="141"/>
      <c r="C581" s="143"/>
      <c r="D581" s="141"/>
      <c r="E581" s="143"/>
      <c r="F581" s="150"/>
      <c r="G581" s="150"/>
      <c r="H581" s="145"/>
      <c r="I581" s="145"/>
    </row>
    <row r="582" spans="1:9" ht="24.95" hidden="1" customHeight="1">
      <c r="A582" s="141"/>
      <c r="B582" s="141"/>
      <c r="C582" s="143"/>
      <c r="D582" s="141"/>
      <c r="E582" s="143"/>
      <c r="F582" s="150"/>
      <c r="G582" s="150"/>
      <c r="H582" s="145"/>
      <c r="I582" s="145"/>
    </row>
    <row r="583" spans="1:9" ht="24.95" hidden="1" customHeight="1">
      <c r="A583" s="141"/>
      <c r="B583" s="141"/>
      <c r="C583" s="143"/>
      <c r="D583" s="141"/>
      <c r="E583" s="143"/>
      <c r="F583" s="150"/>
      <c r="G583" s="150"/>
      <c r="H583" s="145"/>
      <c r="I583" s="145"/>
    </row>
    <row r="584" spans="1:9" ht="24.95" hidden="1" customHeight="1">
      <c r="A584" s="141"/>
      <c r="B584" s="141"/>
      <c r="C584" s="143"/>
      <c r="D584" s="141"/>
      <c r="E584" s="143"/>
      <c r="F584" s="150"/>
      <c r="G584" s="150"/>
      <c r="H584" s="145"/>
      <c r="I584" s="145"/>
    </row>
    <row r="585" spans="1:9" ht="24.95" hidden="1" customHeight="1">
      <c r="A585" s="141"/>
      <c r="B585" s="141"/>
      <c r="C585" s="143"/>
      <c r="D585" s="141"/>
      <c r="E585" s="143"/>
      <c r="F585" s="150"/>
      <c r="G585" s="150"/>
      <c r="H585" s="145"/>
      <c r="I585" s="145"/>
    </row>
    <row r="586" spans="1:9" ht="24.95" hidden="1" customHeight="1">
      <c r="A586" s="141"/>
      <c r="B586" s="141"/>
      <c r="C586" s="143"/>
      <c r="D586" s="141"/>
      <c r="E586" s="143"/>
      <c r="F586" s="150"/>
      <c r="G586" s="150"/>
      <c r="H586" s="145"/>
      <c r="I586" s="145"/>
    </row>
    <row r="587" spans="1:9" ht="24.95" hidden="1" customHeight="1">
      <c r="A587" s="141"/>
      <c r="B587" s="141"/>
      <c r="C587" s="143"/>
      <c r="D587" s="141"/>
      <c r="E587" s="143"/>
      <c r="F587" s="150"/>
      <c r="G587" s="150"/>
      <c r="H587" s="145"/>
      <c r="I587" s="145"/>
    </row>
    <row r="588" spans="1:9" ht="24.95" hidden="1" customHeight="1">
      <c r="A588" s="141"/>
      <c r="B588" s="141"/>
      <c r="C588" s="143"/>
      <c r="D588" s="141"/>
      <c r="E588" s="143"/>
      <c r="F588" s="150"/>
      <c r="G588" s="150"/>
      <c r="H588" s="145"/>
      <c r="I588" s="145"/>
    </row>
    <row r="589" spans="1:9" ht="24.95" hidden="1" customHeight="1">
      <c r="A589" s="141"/>
      <c r="B589" s="141"/>
      <c r="C589" s="143"/>
      <c r="D589" s="141"/>
      <c r="E589" s="143"/>
      <c r="F589" s="150"/>
      <c r="G589" s="150"/>
      <c r="H589" s="145"/>
      <c r="I589" s="145"/>
    </row>
    <row r="590" spans="1:9" ht="24.95" hidden="1" customHeight="1">
      <c r="A590" s="141"/>
      <c r="B590" s="141"/>
      <c r="C590" s="143"/>
      <c r="D590" s="141"/>
      <c r="E590" s="143"/>
      <c r="F590" s="150"/>
      <c r="G590" s="150"/>
      <c r="H590" s="145"/>
      <c r="I590" s="145"/>
    </row>
    <row r="591" spans="1:9" ht="24.95" hidden="1" customHeight="1">
      <c r="A591" s="141"/>
      <c r="B591" s="141"/>
      <c r="C591" s="143"/>
      <c r="D591" s="141"/>
      <c r="E591" s="143"/>
      <c r="F591" s="150"/>
      <c r="G591" s="150"/>
      <c r="H591" s="145"/>
      <c r="I591" s="145"/>
    </row>
    <row r="592" spans="1:9" ht="24.95" hidden="1" customHeight="1">
      <c r="A592" s="141"/>
      <c r="B592" s="141"/>
      <c r="C592" s="143"/>
      <c r="D592" s="141"/>
      <c r="E592" s="143"/>
      <c r="F592" s="150"/>
      <c r="G592" s="150"/>
      <c r="H592" s="145"/>
      <c r="I592" s="145"/>
    </row>
    <row r="593" spans="1:9" ht="24.95" hidden="1" customHeight="1">
      <c r="A593" s="141"/>
      <c r="B593" s="141"/>
      <c r="C593" s="143"/>
      <c r="D593" s="141"/>
      <c r="E593" s="143"/>
      <c r="F593" s="150"/>
      <c r="G593" s="150"/>
      <c r="H593" s="145"/>
      <c r="I593" s="145"/>
    </row>
    <row r="594" spans="1:9" ht="24.95" hidden="1" customHeight="1">
      <c r="A594" s="141"/>
      <c r="B594" s="141"/>
      <c r="C594" s="143"/>
      <c r="D594" s="141"/>
      <c r="E594" s="143"/>
      <c r="F594" s="150"/>
      <c r="G594" s="150"/>
      <c r="H594" s="145"/>
      <c r="I594" s="145"/>
    </row>
    <row r="595" spans="1:9" ht="24.95" hidden="1" customHeight="1">
      <c r="A595" s="141"/>
      <c r="B595" s="141"/>
      <c r="C595" s="143"/>
      <c r="D595" s="141"/>
      <c r="E595" s="143"/>
      <c r="F595" s="150"/>
      <c r="G595" s="150"/>
      <c r="H595" s="145"/>
      <c r="I595" s="145"/>
    </row>
    <row r="596" spans="1:9" ht="24.95" hidden="1" customHeight="1">
      <c r="A596" s="141"/>
      <c r="B596" s="141"/>
      <c r="C596" s="143"/>
      <c r="D596" s="141"/>
      <c r="E596" s="143"/>
      <c r="F596" s="150"/>
      <c r="G596" s="150"/>
      <c r="H596" s="145"/>
      <c r="I596" s="145"/>
    </row>
    <row r="597" spans="1:9" ht="24.95" hidden="1" customHeight="1">
      <c r="A597" s="141"/>
      <c r="B597" s="141"/>
      <c r="C597" s="143"/>
      <c r="D597" s="141"/>
      <c r="E597" s="143"/>
      <c r="F597" s="150"/>
      <c r="G597" s="150"/>
      <c r="H597" s="145"/>
      <c r="I597" s="145"/>
    </row>
    <row r="598" spans="1:9" ht="24.95" hidden="1" customHeight="1">
      <c r="A598" s="141"/>
      <c r="B598" s="141"/>
      <c r="C598" s="143"/>
      <c r="D598" s="141"/>
      <c r="E598" s="143"/>
      <c r="F598" s="150"/>
      <c r="G598" s="150"/>
      <c r="H598" s="145"/>
      <c r="I598" s="145"/>
    </row>
    <row r="599" spans="1:9" ht="24.95" hidden="1" customHeight="1">
      <c r="A599" s="141"/>
      <c r="B599" s="141"/>
      <c r="C599" s="143"/>
      <c r="D599" s="141"/>
      <c r="E599" s="143"/>
      <c r="F599" s="150"/>
      <c r="G599" s="150"/>
      <c r="H599" s="145"/>
      <c r="I599" s="145"/>
    </row>
    <row r="600" spans="1:9" ht="24.95" hidden="1" customHeight="1">
      <c r="A600" s="141"/>
      <c r="B600" s="141"/>
      <c r="C600" s="143"/>
      <c r="D600" s="141"/>
      <c r="E600" s="143"/>
      <c r="F600" s="150"/>
      <c r="G600" s="150"/>
      <c r="H600" s="145"/>
      <c r="I600" s="145"/>
    </row>
    <row r="601" spans="1:9" ht="24.95" hidden="1" customHeight="1">
      <c r="A601" s="141"/>
      <c r="B601" s="141"/>
      <c r="C601" s="143"/>
      <c r="D601" s="141"/>
      <c r="E601" s="143"/>
      <c r="F601" s="150"/>
      <c r="G601" s="150"/>
      <c r="H601" s="145"/>
      <c r="I601" s="145"/>
    </row>
    <row r="602" spans="1:9" ht="24.95" hidden="1" customHeight="1">
      <c r="A602" s="141"/>
      <c r="B602" s="141"/>
      <c r="C602" s="143"/>
      <c r="D602" s="141"/>
      <c r="E602" s="143"/>
      <c r="F602" s="150"/>
      <c r="G602" s="150"/>
      <c r="H602" s="145"/>
      <c r="I602" s="145"/>
    </row>
    <row r="603" spans="1:9" ht="24.95" hidden="1" customHeight="1">
      <c r="A603" s="141"/>
      <c r="B603" s="141"/>
      <c r="C603" s="143"/>
      <c r="D603" s="141"/>
      <c r="E603" s="143"/>
      <c r="F603" s="150"/>
      <c r="G603" s="150"/>
      <c r="H603" s="145"/>
      <c r="I603" s="145"/>
    </row>
    <row r="604" spans="1:9" ht="24.95" hidden="1" customHeight="1">
      <c r="A604" s="141"/>
      <c r="B604" s="141"/>
      <c r="C604" s="143"/>
      <c r="D604" s="141"/>
      <c r="E604" s="143"/>
      <c r="F604" s="150"/>
      <c r="G604" s="150"/>
      <c r="H604" s="145"/>
      <c r="I604" s="145"/>
    </row>
    <row r="605" spans="1:9" ht="24.95" hidden="1" customHeight="1">
      <c r="A605" s="141"/>
      <c r="B605" s="141"/>
      <c r="C605" s="143"/>
      <c r="D605" s="141"/>
      <c r="E605" s="143"/>
      <c r="F605" s="150"/>
      <c r="G605" s="150"/>
      <c r="H605" s="145"/>
      <c r="I605" s="145"/>
    </row>
    <row r="606" spans="1:9" ht="24.95" hidden="1" customHeight="1">
      <c r="A606" s="141"/>
      <c r="B606" s="141"/>
      <c r="C606" s="143"/>
      <c r="D606" s="141"/>
      <c r="E606" s="143"/>
      <c r="F606" s="150"/>
      <c r="G606" s="150"/>
      <c r="H606" s="145"/>
      <c r="I606" s="145"/>
    </row>
    <row r="607" spans="1:9" ht="24.95" hidden="1" customHeight="1">
      <c r="A607" s="141"/>
      <c r="B607" s="141"/>
      <c r="C607" s="143"/>
      <c r="D607" s="141"/>
      <c r="E607" s="143"/>
      <c r="F607" s="150"/>
      <c r="G607" s="150"/>
      <c r="H607" s="145"/>
      <c r="I607" s="145"/>
    </row>
    <row r="608" spans="1:9" ht="24.95" hidden="1" customHeight="1">
      <c r="A608" s="141"/>
      <c r="B608" s="141"/>
      <c r="C608" s="143"/>
      <c r="D608" s="141"/>
      <c r="E608" s="143"/>
      <c r="F608" s="150"/>
      <c r="G608" s="150"/>
      <c r="H608" s="145"/>
      <c r="I608" s="145"/>
    </row>
    <row r="609" spans="1:9" ht="24.95" hidden="1" customHeight="1">
      <c r="A609" s="141"/>
      <c r="B609" s="141"/>
      <c r="C609" s="143"/>
      <c r="D609" s="141"/>
      <c r="E609" s="143"/>
      <c r="F609" s="150"/>
      <c r="G609" s="150"/>
      <c r="H609" s="145"/>
      <c r="I609" s="145"/>
    </row>
    <row r="610" spans="1:9" ht="24.95" hidden="1" customHeight="1">
      <c r="A610" s="141"/>
      <c r="B610" s="141"/>
      <c r="C610" s="143"/>
      <c r="D610" s="141"/>
      <c r="E610" s="143"/>
      <c r="F610" s="150"/>
      <c r="G610" s="150"/>
      <c r="H610" s="145"/>
      <c r="I610" s="145"/>
    </row>
    <row r="611" spans="1:9" ht="24.95" hidden="1" customHeight="1">
      <c r="A611" s="141"/>
      <c r="B611" s="141"/>
      <c r="C611" s="143"/>
      <c r="D611" s="141"/>
      <c r="E611" s="143"/>
      <c r="F611" s="150"/>
      <c r="G611" s="150"/>
      <c r="H611" s="145"/>
      <c r="I611" s="145"/>
    </row>
    <row r="612" spans="1:9" ht="24.95" hidden="1" customHeight="1">
      <c r="A612" s="141"/>
      <c r="B612" s="141"/>
      <c r="C612" s="143"/>
      <c r="D612" s="141"/>
      <c r="E612" s="143"/>
      <c r="F612" s="150"/>
      <c r="G612" s="150"/>
      <c r="H612" s="145"/>
      <c r="I612" s="145"/>
    </row>
    <row r="613" spans="1:9" ht="24.95" hidden="1" customHeight="1">
      <c r="A613" s="141"/>
      <c r="B613" s="141"/>
      <c r="C613" s="143"/>
      <c r="D613" s="141"/>
      <c r="E613" s="143"/>
      <c r="F613" s="150"/>
      <c r="G613" s="150"/>
      <c r="H613" s="145"/>
      <c r="I613" s="145"/>
    </row>
    <row r="614" spans="1:9" ht="24.95" hidden="1" customHeight="1">
      <c r="A614" s="141"/>
      <c r="B614" s="141"/>
      <c r="C614" s="143"/>
      <c r="D614" s="141"/>
      <c r="E614" s="143"/>
      <c r="F614" s="150"/>
      <c r="G614" s="150"/>
      <c r="H614" s="145"/>
      <c r="I614" s="145"/>
    </row>
    <row r="615" spans="1:9" ht="24.95" hidden="1" customHeight="1">
      <c r="A615" s="141"/>
      <c r="B615" s="141"/>
      <c r="C615" s="143"/>
      <c r="D615" s="141"/>
      <c r="E615" s="143"/>
      <c r="F615" s="150"/>
      <c r="G615" s="150"/>
      <c r="H615" s="145"/>
      <c r="I615" s="145"/>
    </row>
    <row r="616" spans="1:9" ht="24.95" hidden="1" customHeight="1">
      <c r="A616" s="141"/>
      <c r="B616" s="141"/>
      <c r="C616" s="143"/>
      <c r="D616" s="141"/>
      <c r="E616" s="143"/>
      <c r="F616" s="150"/>
      <c r="G616" s="150"/>
      <c r="H616" s="145"/>
      <c r="I616" s="145"/>
    </row>
    <row r="617" spans="1:9" ht="24.95" hidden="1" customHeight="1">
      <c r="A617" s="141"/>
      <c r="B617" s="141"/>
      <c r="C617" s="143"/>
      <c r="D617" s="141"/>
      <c r="E617" s="143"/>
      <c r="F617" s="150"/>
      <c r="G617" s="150"/>
      <c r="H617" s="145"/>
      <c r="I617" s="145"/>
    </row>
    <row r="618" spans="1:9" ht="24.95" hidden="1" customHeight="1">
      <c r="A618" s="141"/>
      <c r="B618" s="141"/>
      <c r="C618" s="143"/>
      <c r="D618" s="141"/>
      <c r="E618" s="143"/>
      <c r="F618" s="150"/>
      <c r="G618" s="150"/>
      <c r="H618" s="145"/>
      <c r="I618" s="145"/>
    </row>
    <row r="619" spans="1:9" ht="24.95" hidden="1" customHeight="1">
      <c r="A619" s="141"/>
      <c r="B619" s="141"/>
      <c r="C619" s="143"/>
      <c r="D619" s="141"/>
      <c r="E619" s="143"/>
      <c r="F619" s="150"/>
      <c r="G619" s="150"/>
      <c r="H619" s="145"/>
      <c r="I619" s="145"/>
    </row>
    <row r="620" spans="1:9" ht="24.95" hidden="1" customHeight="1">
      <c r="A620" s="141"/>
      <c r="B620" s="141"/>
      <c r="C620" s="143"/>
      <c r="D620" s="141"/>
      <c r="E620" s="143"/>
      <c r="F620" s="150"/>
      <c r="G620" s="150"/>
      <c r="H620" s="145"/>
      <c r="I620" s="145"/>
    </row>
    <row r="621" spans="1:9" ht="24.95" hidden="1" customHeight="1">
      <c r="A621" s="141"/>
      <c r="B621" s="141"/>
      <c r="C621" s="143"/>
      <c r="D621" s="141"/>
      <c r="E621" s="143"/>
      <c r="F621" s="150"/>
      <c r="G621" s="150"/>
      <c r="H621" s="145"/>
      <c r="I621" s="145"/>
    </row>
    <row r="622" spans="1:9" ht="24.95" hidden="1" customHeight="1">
      <c r="A622" s="141"/>
      <c r="B622" s="141"/>
      <c r="C622" s="143"/>
      <c r="D622" s="141"/>
      <c r="E622" s="143"/>
      <c r="F622" s="150"/>
      <c r="G622" s="150"/>
      <c r="H622" s="145"/>
      <c r="I622" s="145"/>
    </row>
    <row r="623" spans="1:9" ht="24.95" hidden="1" customHeight="1">
      <c r="A623" s="141"/>
      <c r="B623" s="141"/>
      <c r="C623" s="143"/>
      <c r="D623" s="141"/>
      <c r="E623" s="143"/>
      <c r="F623" s="150"/>
      <c r="G623" s="150"/>
      <c r="H623" s="145"/>
      <c r="I623" s="145"/>
    </row>
    <row r="624" spans="1:9" ht="24.95" hidden="1" customHeight="1">
      <c r="A624" s="141"/>
      <c r="B624" s="141"/>
      <c r="C624" s="143"/>
      <c r="D624" s="141"/>
      <c r="E624" s="143"/>
      <c r="F624" s="150"/>
      <c r="G624" s="150"/>
      <c r="H624" s="145"/>
      <c r="I624" s="145"/>
    </row>
    <row r="625" spans="1:9" ht="24.95" hidden="1" customHeight="1">
      <c r="A625" s="141"/>
      <c r="B625" s="141"/>
      <c r="C625" s="143"/>
      <c r="D625" s="141"/>
      <c r="E625" s="143"/>
      <c r="F625" s="150"/>
      <c r="G625" s="150"/>
      <c r="H625" s="145"/>
      <c r="I625" s="145"/>
    </row>
    <row r="626" spans="1:9" ht="24.95" hidden="1" customHeight="1">
      <c r="A626" s="141"/>
      <c r="B626" s="141"/>
      <c r="C626" s="143"/>
      <c r="D626" s="141"/>
      <c r="E626" s="143"/>
      <c r="F626" s="150"/>
      <c r="G626" s="150"/>
      <c r="H626" s="145"/>
      <c r="I626" s="145"/>
    </row>
    <row r="627" spans="1:9" ht="24.95" hidden="1" customHeight="1">
      <c r="A627" s="141"/>
      <c r="B627" s="141"/>
      <c r="C627" s="143"/>
      <c r="D627" s="141"/>
      <c r="E627" s="143"/>
      <c r="F627" s="150"/>
      <c r="G627" s="150"/>
      <c r="H627" s="145"/>
      <c r="I627" s="145"/>
    </row>
    <row r="628" spans="1:9" ht="24.95" hidden="1" customHeight="1">
      <c r="A628" s="141"/>
      <c r="B628" s="141"/>
      <c r="C628" s="143"/>
      <c r="D628" s="141"/>
      <c r="E628" s="143"/>
      <c r="F628" s="150"/>
      <c r="G628" s="150"/>
      <c r="H628" s="145"/>
      <c r="I628" s="145"/>
    </row>
    <row r="629" spans="1:9" ht="24.95" hidden="1" customHeight="1">
      <c r="A629" s="141"/>
      <c r="B629" s="141"/>
      <c r="C629" s="143"/>
      <c r="D629" s="141"/>
      <c r="E629" s="143"/>
      <c r="F629" s="150"/>
      <c r="G629" s="150"/>
      <c r="H629" s="145"/>
      <c r="I629" s="145"/>
    </row>
    <row r="630" spans="1:9" ht="24.95" hidden="1" customHeight="1">
      <c r="A630" s="141"/>
      <c r="B630" s="141"/>
      <c r="C630" s="143"/>
      <c r="D630" s="141"/>
      <c r="E630" s="143"/>
      <c r="F630" s="150"/>
      <c r="G630" s="150"/>
      <c r="H630" s="145"/>
      <c r="I630" s="145"/>
    </row>
    <row r="631" spans="1:9" ht="24.95" hidden="1" customHeight="1">
      <c r="A631" s="141"/>
      <c r="B631" s="141"/>
      <c r="C631" s="143"/>
      <c r="D631" s="141"/>
      <c r="E631" s="143"/>
      <c r="F631" s="150"/>
      <c r="G631" s="150"/>
      <c r="H631" s="145"/>
      <c r="I631" s="145"/>
    </row>
    <row r="632" spans="1:9" ht="24.95" hidden="1" customHeight="1">
      <c r="A632" s="141"/>
      <c r="B632" s="141"/>
      <c r="C632" s="143"/>
      <c r="D632" s="141"/>
      <c r="E632" s="143"/>
      <c r="F632" s="150"/>
      <c r="G632" s="150"/>
      <c r="H632" s="145"/>
      <c r="I632" s="145"/>
    </row>
    <row r="633" spans="1:9" ht="24.95" hidden="1" customHeight="1">
      <c r="A633" s="141"/>
      <c r="B633" s="141"/>
      <c r="C633" s="143"/>
      <c r="D633" s="141"/>
      <c r="E633" s="143"/>
      <c r="F633" s="150"/>
      <c r="G633" s="150"/>
      <c r="H633" s="145"/>
      <c r="I633" s="145"/>
    </row>
    <row r="634" spans="1:9" ht="24.95" hidden="1" customHeight="1">
      <c r="A634" s="141"/>
      <c r="B634" s="141"/>
      <c r="C634" s="143"/>
      <c r="D634" s="141"/>
      <c r="E634" s="143"/>
      <c r="F634" s="150"/>
      <c r="G634" s="150"/>
      <c r="H634" s="145"/>
      <c r="I634" s="145"/>
    </row>
    <row r="635" spans="1:9" ht="24.95" hidden="1" customHeight="1">
      <c r="A635" s="141"/>
      <c r="B635" s="141"/>
      <c r="C635" s="143"/>
      <c r="D635" s="141"/>
      <c r="E635" s="143"/>
      <c r="F635" s="150"/>
      <c r="G635" s="150"/>
      <c r="H635" s="145"/>
      <c r="I635" s="145"/>
    </row>
    <row r="636" spans="1:9" ht="24.95" hidden="1" customHeight="1">
      <c r="A636" s="141"/>
      <c r="B636" s="141"/>
      <c r="C636" s="143"/>
      <c r="D636" s="141"/>
      <c r="E636" s="143"/>
      <c r="F636" s="150"/>
      <c r="G636" s="150"/>
      <c r="H636" s="145"/>
      <c r="I636" s="145"/>
    </row>
    <row r="637" spans="1:9" ht="24.95" hidden="1" customHeight="1">
      <c r="A637" s="141"/>
      <c r="B637" s="141"/>
      <c r="C637" s="143"/>
      <c r="D637" s="141"/>
      <c r="E637" s="143"/>
      <c r="F637" s="150"/>
      <c r="G637" s="150"/>
      <c r="H637" s="145"/>
      <c r="I637" s="145"/>
    </row>
    <row r="638" spans="1:9" ht="24.95" hidden="1" customHeight="1">
      <c r="A638" s="141"/>
      <c r="B638" s="141"/>
      <c r="C638" s="143"/>
      <c r="D638" s="141"/>
      <c r="E638" s="143"/>
      <c r="F638" s="150"/>
      <c r="G638" s="150"/>
      <c r="H638" s="145"/>
      <c r="I638" s="145"/>
    </row>
    <row r="639" spans="1:9" ht="24.95" hidden="1" customHeight="1">
      <c r="A639" s="141"/>
      <c r="B639" s="141"/>
      <c r="C639" s="143"/>
      <c r="D639" s="141"/>
      <c r="E639" s="143"/>
      <c r="F639" s="150"/>
      <c r="G639" s="150"/>
      <c r="H639" s="145"/>
      <c r="I639" s="145"/>
    </row>
    <row r="640" spans="1:9" ht="24.95" hidden="1" customHeight="1">
      <c r="A640" s="141"/>
      <c r="B640" s="141"/>
      <c r="C640" s="143"/>
      <c r="D640" s="141"/>
      <c r="E640" s="143"/>
      <c r="F640" s="150"/>
      <c r="G640" s="150"/>
      <c r="H640" s="145"/>
      <c r="I640" s="145"/>
    </row>
    <row r="641" spans="1:9" ht="24.95" hidden="1" customHeight="1">
      <c r="A641" s="141"/>
      <c r="B641" s="141"/>
      <c r="C641" s="143"/>
      <c r="D641" s="141"/>
      <c r="E641" s="143"/>
      <c r="F641" s="150"/>
      <c r="G641" s="150"/>
      <c r="H641" s="145"/>
      <c r="I641" s="145"/>
    </row>
    <row r="642" spans="1:9" ht="24.95" hidden="1" customHeight="1">
      <c r="A642" s="141"/>
      <c r="B642" s="141"/>
      <c r="C642" s="143"/>
      <c r="D642" s="141"/>
      <c r="E642" s="143"/>
      <c r="F642" s="150"/>
      <c r="G642" s="150"/>
      <c r="H642" s="145"/>
      <c r="I642" s="145"/>
    </row>
    <row r="643" spans="1:9" ht="24.95" hidden="1" customHeight="1">
      <c r="A643" s="141"/>
      <c r="B643" s="141"/>
      <c r="C643" s="143"/>
      <c r="D643" s="141"/>
      <c r="E643" s="143"/>
      <c r="F643" s="150"/>
      <c r="G643" s="150"/>
      <c r="H643" s="145"/>
      <c r="I643" s="145"/>
    </row>
    <row r="644" spans="1:9" ht="24.95" hidden="1" customHeight="1">
      <c r="A644" s="141"/>
      <c r="B644" s="141"/>
      <c r="C644" s="143"/>
      <c r="D644" s="141"/>
      <c r="E644" s="143"/>
      <c r="F644" s="150"/>
      <c r="G644" s="150"/>
      <c r="H644" s="145"/>
      <c r="I644" s="145"/>
    </row>
    <row r="645" spans="1:9" ht="24.95" hidden="1" customHeight="1">
      <c r="A645" s="141"/>
      <c r="B645" s="141"/>
      <c r="C645" s="143"/>
      <c r="D645" s="141"/>
      <c r="E645" s="143"/>
      <c r="F645" s="150"/>
      <c r="G645" s="150"/>
      <c r="H645" s="145"/>
      <c r="I645" s="145"/>
    </row>
    <row r="646" spans="1:9" ht="24.95" hidden="1" customHeight="1">
      <c r="A646" s="141"/>
      <c r="B646" s="141"/>
      <c r="C646" s="143"/>
      <c r="D646" s="141"/>
      <c r="E646" s="143"/>
      <c r="F646" s="150"/>
      <c r="G646" s="150"/>
      <c r="H646" s="145"/>
      <c r="I646" s="145"/>
    </row>
    <row r="647" spans="1:9" ht="24.95" hidden="1" customHeight="1">
      <c r="A647" s="141"/>
      <c r="B647" s="141"/>
      <c r="C647" s="143"/>
      <c r="D647" s="141"/>
      <c r="E647" s="143"/>
      <c r="F647" s="150"/>
      <c r="G647" s="150"/>
      <c r="H647" s="145"/>
      <c r="I647" s="145"/>
    </row>
    <row r="648" spans="1:9" ht="24.95" hidden="1" customHeight="1">
      <c r="A648" s="141"/>
      <c r="B648" s="141"/>
      <c r="C648" s="143"/>
      <c r="D648" s="141"/>
      <c r="E648" s="143"/>
      <c r="F648" s="150"/>
      <c r="G648" s="150"/>
      <c r="H648" s="145"/>
      <c r="I648" s="145"/>
    </row>
    <row r="649" spans="1:9" ht="24.95" hidden="1" customHeight="1">
      <c r="A649" s="141"/>
      <c r="B649" s="141"/>
      <c r="C649" s="143"/>
      <c r="D649" s="141"/>
      <c r="E649" s="143"/>
      <c r="F649" s="150"/>
      <c r="G649" s="150"/>
      <c r="H649" s="145"/>
      <c r="I649" s="145"/>
    </row>
    <row r="650" spans="1:9" ht="24.95" hidden="1" customHeight="1">
      <c r="A650" s="141"/>
      <c r="B650" s="141"/>
      <c r="C650" s="143"/>
      <c r="D650" s="141"/>
      <c r="E650" s="143"/>
      <c r="F650" s="150"/>
      <c r="G650" s="150"/>
      <c r="H650" s="145"/>
      <c r="I650" s="145"/>
    </row>
    <row r="651" spans="1:9" ht="24.95" hidden="1" customHeight="1">
      <c r="A651" s="141"/>
      <c r="B651" s="141"/>
      <c r="C651" s="143"/>
      <c r="D651" s="141"/>
      <c r="E651" s="143"/>
      <c r="F651" s="150"/>
      <c r="G651" s="150"/>
      <c r="H651" s="145"/>
      <c r="I651" s="145"/>
    </row>
    <row r="652" spans="1:9" ht="24.95" hidden="1" customHeight="1">
      <c r="A652" s="141"/>
      <c r="B652" s="141"/>
      <c r="C652" s="143"/>
      <c r="D652" s="141"/>
      <c r="E652" s="143"/>
      <c r="F652" s="150"/>
      <c r="G652" s="150"/>
      <c r="H652" s="145"/>
      <c r="I652" s="145"/>
    </row>
    <row r="653" spans="1:9" ht="24.95" hidden="1" customHeight="1">
      <c r="A653" s="141"/>
      <c r="B653" s="141"/>
      <c r="C653" s="143"/>
      <c r="D653" s="141"/>
      <c r="E653" s="143"/>
      <c r="F653" s="150"/>
      <c r="G653" s="150"/>
      <c r="H653" s="145"/>
      <c r="I653" s="145"/>
    </row>
    <row r="654" spans="1:9" ht="24.95" hidden="1" customHeight="1">
      <c r="A654" s="141"/>
      <c r="B654" s="141"/>
      <c r="C654" s="143"/>
      <c r="D654" s="141"/>
      <c r="E654" s="143"/>
      <c r="F654" s="150"/>
      <c r="G654" s="150"/>
      <c r="H654" s="145"/>
      <c r="I654" s="145"/>
    </row>
    <row r="655" spans="1:9" ht="24.95" hidden="1" customHeight="1">
      <c r="A655" s="141"/>
      <c r="B655" s="141"/>
      <c r="C655" s="143"/>
      <c r="D655" s="141"/>
      <c r="E655" s="143"/>
      <c r="F655" s="150"/>
      <c r="G655" s="150"/>
      <c r="H655" s="145"/>
      <c r="I655" s="145"/>
    </row>
    <row r="656" spans="1:9" ht="24.95" hidden="1" customHeight="1">
      <c r="A656" s="141"/>
      <c r="B656" s="141"/>
      <c r="C656" s="143"/>
      <c r="D656" s="141"/>
      <c r="E656" s="143"/>
      <c r="F656" s="150"/>
      <c r="G656" s="150"/>
      <c r="H656" s="145"/>
      <c r="I656" s="145"/>
    </row>
    <row r="657" spans="1:9" ht="24.95" hidden="1" customHeight="1">
      <c r="A657" s="141"/>
      <c r="B657" s="141"/>
      <c r="C657" s="143"/>
      <c r="D657" s="141"/>
      <c r="E657" s="143"/>
      <c r="F657" s="150"/>
      <c r="G657" s="150"/>
      <c r="H657" s="145"/>
      <c r="I657" s="145"/>
    </row>
    <row r="658" spans="1:9" ht="24.95" hidden="1" customHeight="1">
      <c r="A658" s="141"/>
      <c r="B658" s="141"/>
      <c r="C658" s="143"/>
      <c r="D658" s="141"/>
      <c r="E658" s="143"/>
      <c r="F658" s="150"/>
      <c r="G658" s="150"/>
      <c r="H658" s="145"/>
      <c r="I658" s="145"/>
    </row>
    <row r="659" spans="1:9" ht="24.95" hidden="1" customHeight="1">
      <c r="A659" s="141"/>
      <c r="B659" s="141"/>
      <c r="C659" s="143"/>
      <c r="D659" s="141"/>
      <c r="E659" s="143"/>
      <c r="F659" s="150"/>
      <c r="G659" s="150"/>
      <c r="H659" s="145"/>
      <c r="I659" s="145"/>
    </row>
    <row r="660" spans="1:9" ht="24.95" hidden="1" customHeight="1">
      <c r="A660" s="141"/>
      <c r="B660" s="141"/>
      <c r="C660" s="143"/>
      <c r="D660" s="141"/>
      <c r="E660" s="143"/>
      <c r="F660" s="150"/>
      <c r="G660" s="150"/>
      <c r="H660" s="145"/>
      <c r="I660" s="145"/>
    </row>
    <row r="661" spans="1:9" ht="24.95" hidden="1" customHeight="1">
      <c r="A661" s="141"/>
      <c r="B661" s="141"/>
      <c r="C661" s="143"/>
      <c r="D661" s="141"/>
      <c r="E661" s="143"/>
      <c r="F661" s="150"/>
      <c r="G661" s="150"/>
      <c r="H661" s="145"/>
      <c r="I661" s="145"/>
    </row>
    <row r="662" spans="1:9" ht="24.95" hidden="1" customHeight="1">
      <c r="A662" s="141"/>
      <c r="B662" s="141"/>
      <c r="C662" s="143"/>
      <c r="D662" s="141"/>
      <c r="E662" s="143"/>
      <c r="F662" s="150"/>
      <c r="G662" s="150"/>
      <c r="H662" s="145"/>
      <c r="I662" s="145"/>
    </row>
    <row r="663" spans="1:9" ht="24.95" hidden="1" customHeight="1">
      <c r="A663" s="141"/>
      <c r="B663" s="141"/>
      <c r="C663" s="143"/>
      <c r="D663" s="141"/>
      <c r="E663" s="143"/>
      <c r="F663" s="150"/>
      <c r="G663" s="150"/>
      <c r="H663" s="145"/>
      <c r="I663" s="145"/>
    </row>
    <row r="664" spans="1:9" ht="24.95" hidden="1" customHeight="1">
      <c r="A664" s="141"/>
      <c r="B664" s="141"/>
      <c r="C664" s="143"/>
      <c r="D664" s="141"/>
      <c r="E664" s="143"/>
      <c r="F664" s="150"/>
      <c r="G664" s="150"/>
      <c r="H664" s="145"/>
      <c r="I664" s="145"/>
    </row>
    <row r="665" spans="1:9" ht="24.95" hidden="1" customHeight="1">
      <c r="A665" s="141"/>
      <c r="B665" s="141"/>
      <c r="C665" s="143"/>
      <c r="D665" s="141"/>
      <c r="E665" s="143"/>
      <c r="F665" s="150"/>
      <c r="G665" s="150"/>
      <c r="H665" s="145"/>
      <c r="I665" s="145"/>
    </row>
    <row r="666" spans="1:9" ht="24.95" hidden="1" customHeight="1">
      <c r="A666" s="141"/>
      <c r="B666" s="141"/>
      <c r="C666" s="143"/>
      <c r="D666" s="141"/>
      <c r="E666" s="143"/>
      <c r="F666" s="150"/>
      <c r="G666" s="150"/>
      <c r="H666" s="145"/>
      <c r="I666" s="145"/>
    </row>
    <row r="667" spans="1:9" ht="24.95" hidden="1" customHeight="1">
      <c r="A667" s="141"/>
      <c r="B667" s="141"/>
      <c r="C667" s="143"/>
      <c r="D667" s="141"/>
      <c r="E667" s="143"/>
      <c r="F667" s="150"/>
      <c r="G667" s="150"/>
      <c r="H667" s="145"/>
      <c r="I667" s="145"/>
    </row>
    <row r="668" spans="1:9" ht="24.95" hidden="1" customHeight="1">
      <c r="A668" s="141"/>
      <c r="B668" s="141"/>
      <c r="C668" s="143"/>
      <c r="D668" s="141"/>
      <c r="E668" s="143"/>
      <c r="F668" s="150"/>
      <c r="G668" s="150"/>
      <c r="H668" s="145"/>
      <c r="I668" s="145"/>
    </row>
    <row r="669" spans="1:9" ht="24.95" hidden="1" customHeight="1">
      <c r="A669" s="141"/>
      <c r="B669" s="141"/>
      <c r="C669" s="143"/>
      <c r="D669" s="141"/>
      <c r="E669" s="143"/>
      <c r="F669" s="150"/>
      <c r="G669" s="150"/>
      <c r="H669" s="145"/>
      <c r="I669" s="145"/>
    </row>
    <row r="670" spans="1:9" ht="24.95" hidden="1" customHeight="1">
      <c r="A670" s="141"/>
      <c r="B670" s="141"/>
      <c r="C670" s="143"/>
      <c r="D670" s="141"/>
      <c r="E670" s="143"/>
      <c r="F670" s="150"/>
      <c r="G670" s="150"/>
      <c r="H670" s="145"/>
      <c r="I670" s="145"/>
    </row>
    <row r="671" spans="1:9" ht="24.95" hidden="1" customHeight="1">
      <c r="A671" s="141"/>
      <c r="B671" s="141"/>
      <c r="C671" s="143"/>
      <c r="D671" s="141"/>
      <c r="E671" s="143"/>
      <c r="F671" s="150"/>
      <c r="G671" s="150"/>
      <c r="H671" s="145"/>
      <c r="I671" s="145"/>
    </row>
    <row r="672" spans="1:9" ht="24.95" hidden="1" customHeight="1">
      <c r="A672" s="141"/>
      <c r="B672" s="141"/>
      <c r="C672" s="143"/>
      <c r="D672" s="141"/>
      <c r="E672" s="143"/>
      <c r="F672" s="150"/>
      <c r="G672" s="150"/>
      <c r="H672" s="145"/>
      <c r="I672" s="145"/>
    </row>
    <row r="673" spans="1:9" ht="24.95" hidden="1" customHeight="1">
      <c r="A673" s="141"/>
      <c r="B673" s="141"/>
      <c r="C673" s="143"/>
      <c r="D673" s="141"/>
      <c r="E673" s="143"/>
      <c r="F673" s="150"/>
      <c r="G673" s="150"/>
      <c r="H673" s="145"/>
      <c r="I673" s="145"/>
    </row>
    <row r="674" spans="1:9" ht="24.95" hidden="1" customHeight="1">
      <c r="A674" s="141"/>
      <c r="B674" s="141"/>
      <c r="C674" s="143"/>
      <c r="D674" s="141"/>
      <c r="E674" s="143"/>
      <c r="F674" s="150"/>
      <c r="G674" s="150"/>
      <c r="H674" s="145"/>
      <c r="I674" s="145"/>
    </row>
    <row r="675" spans="1:9" ht="24.95" hidden="1" customHeight="1">
      <c r="A675" s="141"/>
      <c r="B675" s="141"/>
      <c r="C675" s="143"/>
      <c r="D675" s="141"/>
      <c r="E675" s="143"/>
      <c r="F675" s="150"/>
      <c r="G675" s="150"/>
      <c r="H675" s="145"/>
      <c r="I675" s="145"/>
    </row>
    <row r="676" spans="1:9" ht="24.95" hidden="1" customHeight="1">
      <c r="A676" s="141"/>
      <c r="B676" s="141"/>
      <c r="C676" s="143"/>
      <c r="D676" s="141"/>
      <c r="E676" s="143"/>
      <c r="F676" s="150"/>
      <c r="G676" s="150"/>
      <c r="H676" s="145"/>
      <c r="I676" s="145"/>
    </row>
    <row r="677" spans="1:9" ht="24.95" hidden="1" customHeight="1">
      <c r="A677" s="141"/>
      <c r="B677" s="141"/>
      <c r="C677" s="143"/>
      <c r="D677" s="141"/>
      <c r="E677" s="143"/>
      <c r="F677" s="150"/>
      <c r="G677" s="150"/>
      <c r="H677" s="145"/>
      <c r="I677" s="145"/>
    </row>
    <row r="678" spans="1:9" ht="24.95" hidden="1" customHeight="1">
      <c r="A678" s="141"/>
      <c r="B678" s="141"/>
      <c r="C678" s="143"/>
      <c r="D678" s="141"/>
      <c r="E678" s="143"/>
      <c r="F678" s="150"/>
      <c r="G678" s="150"/>
      <c r="H678" s="145"/>
      <c r="I678" s="145"/>
    </row>
    <row r="679" spans="1:9" ht="24.95" hidden="1" customHeight="1">
      <c r="A679" s="141"/>
      <c r="B679" s="141"/>
      <c r="C679" s="143"/>
      <c r="D679" s="141"/>
      <c r="E679" s="143"/>
      <c r="F679" s="150"/>
      <c r="G679" s="150"/>
      <c r="H679" s="145"/>
      <c r="I679" s="145"/>
    </row>
    <row r="680" spans="1:9" ht="24.95" hidden="1" customHeight="1">
      <c r="A680" s="141"/>
      <c r="B680" s="141"/>
      <c r="C680" s="143"/>
      <c r="D680" s="141"/>
      <c r="E680" s="143"/>
      <c r="F680" s="150"/>
      <c r="G680" s="150"/>
      <c r="H680" s="145"/>
      <c r="I680" s="145"/>
    </row>
    <row r="681" spans="1:9" ht="24.95" hidden="1" customHeight="1">
      <c r="A681" s="141"/>
      <c r="B681" s="141"/>
      <c r="C681" s="143"/>
      <c r="D681" s="141"/>
      <c r="E681" s="143"/>
      <c r="F681" s="150"/>
      <c r="G681" s="150"/>
      <c r="H681" s="145"/>
      <c r="I681" s="145"/>
    </row>
    <row r="682" spans="1:9" ht="24.95" hidden="1" customHeight="1">
      <c r="A682" s="141"/>
      <c r="B682" s="141"/>
      <c r="C682" s="143"/>
      <c r="D682" s="141"/>
      <c r="E682" s="143"/>
      <c r="F682" s="150"/>
      <c r="G682" s="150"/>
      <c r="H682" s="145"/>
      <c r="I682" s="145"/>
    </row>
    <row r="683" spans="1:9" ht="24.95" hidden="1" customHeight="1">
      <c r="A683" s="141"/>
      <c r="B683" s="141"/>
      <c r="C683" s="143"/>
      <c r="D683" s="141"/>
      <c r="E683" s="143"/>
      <c r="F683" s="150"/>
      <c r="G683" s="150"/>
      <c r="H683" s="145"/>
      <c r="I683" s="145"/>
    </row>
    <row r="684" spans="1:9" ht="24.95" hidden="1" customHeight="1">
      <c r="A684" s="141"/>
      <c r="B684" s="141"/>
      <c r="C684" s="143"/>
      <c r="D684" s="141"/>
      <c r="E684" s="143"/>
      <c r="F684" s="150"/>
      <c r="G684" s="150"/>
      <c r="H684" s="145"/>
      <c r="I684" s="145"/>
    </row>
    <row r="685" spans="1:9" ht="24.95" hidden="1" customHeight="1">
      <c r="A685" s="141"/>
      <c r="B685" s="141"/>
      <c r="C685" s="143"/>
      <c r="D685" s="141"/>
      <c r="E685" s="143"/>
      <c r="F685" s="150"/>
      <c r="G685" s="150"/>
      <c r="H685" s="145"/>
      <c r="I685" s="145"/>
    </row>
    <row r="686" spans="1:9" ht="24.95" hidden="1" customHeight="1">
      <c r="A686" s="141"/>
      <c r="B686" s="141"/>
      <c r="C686" s="143"/>
      <c r="D686" s="141"/>
      <c r="E686" s="143"/>
      <c r="F686" s="150"/>
      <c r="G686" s="150"/>
      <c r="H686" s="145"/>
      <c r="I686" s="145"/>
    </row>
    <row r="687" spans="1:9" ht="24.95" hidden="1" customHeight="1">
      <c r="A687" s="141"/>
      <c r="B687" s="141"/>
      <c r="C687" s="143"/>
      <c r="D687" s="141"/>
      <c r="E687" s="143"/>
      <c r="F687" s="150"/>
      <c r="G687" s="150"/>
      <c r="H687" s="145"/>
      <c r="I687" s="145"/>
    </row>
    <row r="688" spans="1:9" ht="24.95" hidden="1" customHeight="1">
      <c r="A688" s="141"/>
      <c r="B688" s="141"/>
      <c r="C688" s="143"/>
      <c r="D688" s="141"/>
      <c r="E688" s="143"/>
      <c r="F688" s="150"/>
      <c r="G688" s="150"/>
      <c r="H688" s="145"/>
      <c r="I688" s="145"/>
    </row>
    <row r="689" spans="1:9" ht="24.95" hidden="1" customHeight="1">
      <c r="A689" s="141"/>
      <c r="B689" s="141"/>
      <c r="C689" s="143"/>
      <c r="D689" s="141"/>
      <c r="E689" s="143"/>
      <c r="F689" s="150"/>
      <c r="G689" s="150"/>
      <c r="H689" s="145"/>
      <c r="I689" s="145"/>
    </row>
    <row r="690" spans="1:9" ht="24.95" hidden="1" customHeight="1">
      <c r="A690" s="141"/>
      <c r="B690" s="141"/>
      <c r="C690" s="143"/>
      <c r="D690" s="141"/>
      <c r="E690" s="143"/>
      <c r="F690" s="150"/>
      <c r="G690" s="150"/>
      <c r="H690" s="145"/>
      <c r="I690" s="145"/>
    </row>
    <row r="691" spans="1:9" ht="24.95" hidden="1" customHeight="1">
      <c r="A691" s="141"/>
      <c r="B691" s="141"/>
      <c r="C691" s="143"/>
      <c r="D691" s="141"/>
      <c r="E691" s="143"/>
      <c r="F691" s="150"/>
      <c r="G691" s="150"/>
      <c r="H691" s="145"/>
      <c r="I691" s="145"/>
    </row>
    <row r="692" spans="1:9" ht="24.95" hidden="1" customHeight="1">
      <c r="A692" s="141"/>
      <c r="B692" s="141"/>
      <c r="C692" s="143"/>
      <c r="D692" s="141"/>
      <c r="E692" s="143"/>
      <c r="F692" s="150"/>
      <c r="G692" s="150"/>
      <c r="H692" s="145"/>
      <c r="I692" s="145"/>
    </row>
    <row r="693" spans="1:9" ht="24.95" hidden="1" customHeight="1">
      <c r="A693" s="141"/>
      <c r="B693" s="141"/>
      <c r="C693" s="143"/>
      <c r="D693" s="141"/>
      <c r="E693" s="143"/>
      <c r="F693" s="150"/>
      <c r="G693" s="150"/>
      <c r="H693" s="145"/>
      <c r="I693" s="145"/>
    </row>
    <row r="694" spans="1:9" ht="24.95" hidden="1" customHeight="1">
      <c r="A694" s="141"/>
      <c r="B694" s="141"/>
      <c r="C694" s="143"/>
      <c r="D694" s="141"/>
      <c r="E694" s="143"/>
      <c r="F694" s="150"/>
      <c r="G694" s="150"/>
      <c r="H694" s="145"/>
      <c r="I694" s="145"/>
    </row>
    <row r="695" spans="1:9" ht="24.95" hidden="1" customHeight="1">
      <c r="A695" s="141"/>
      <c r="B695" s="141"/>
      <c r="C695" s="143"/>
      <c r="D695" s="141"/>
      <c r="E695" s="143"/>
      <c r="F695" s="150"/>
      <c r="G695" s="150"/>
      <c r="H695" s="145"/>
      <c r="I695" s="145"/>
    </row>
    <row r="696" spans="1:9" ht="24.95" hidden="1" customHeight="1">
      <c r="A696" s="141"/>
      <c r="B696" s="141"/>
      <c r="C696" s="143"/>
      <c r="D696" s="141"/>
      <c r="E696" s="143"/>
      <c r="F696" s="150"/>
      <c r="G696" s="150"/>
      <c r="H696" s="145"/>
      <c r="I696" s="145"/>
    </row>
    <row r="697" spans="1:9" ht="24.95" hidden="1" customHeight="1">
      <c r="A697" s="141"/>
      <c r="B697" s="141"/>
      <c r="C697" s="143"/>
      <c r="D697" s="141"/>
      <c r="E697" s="143"/>
      <c r="F697" s="150"/>
      <c r="G697" s="150"/>
      <c r="H697" s="145"/>
      <c r="I697" s="145"/>
    </row>
    <row r="698" spans="1:9" ht="24.95" hidden="1" customHeight="1">
      <c r="A698" s="141"/>
      <c r="B698" s="141"/>
      <c r="C698" s="143"/>
      <c r="D698" s="141"/>
      <c r="E698" s="143"/>
      <c r="F698" s="150"/>
      <c r="G698" s="150"/>
      <c r="H698" s="145"/>
      <c r="I698" s="145"/>
    </row>
    <row r="699" spans="1:9" ht="24.95" hidden="1" customHeight="1">
      <c r="A699" s="141"/>
      <c r="B699" s="141"/>
      <c r="C699" s="143"/>
      <c r="D699" s="141"/>
      <c r="E699" s="143"/>
      <c r="F699" s="150"/>
      <c r="G699" s="150"/>
      <c r="H699" s="145"/>
      <c r="I699" s="145"/>
    </row>
    <row r="700" spans="1:9" ht="24.95" hidden="1" customHeight="1">
      <c r="A700" s="141"/>
      <c r="B700" s="141"/>
      <c r="C700" s="143"/>
      <c r="D700" s="141"/>
      <c r="E700" s="143"/>
      <c r="F700" s="150"/>
      <c r="G700" s="150"/>
      <c r="H700" s="145"/>
      <c r="I700" s="145"/>
    </row>
    <row r="701" spans="1:9" ht="24.95" hidden="1" customHeight="1">
      <c r="A701" s="141"/>
      <c r="B701" s="141"/>
      <c r="C701" s="143"/>
      <c r="D701" s="141"/>
      <c r="E701" s="143"/>
      <c r="F701" s="150"/>
      <c r="G701" s="150"/>
      <c r="H701" s="145"/>
      <c r="I701" s="145"/>
    </row>
    <row r="702" spans="1:9" ht="24.95" hidden="1" customHeight="1">
      <c r="A702" s="141"/>
      <c r="B702" s="141"/>
      <c r="C702" s="143"/>
      <c r="D702" s="141"/>
      <c r="E702" s="143"/>
      <c r="F702" s="150"/>
      <c r="G702" s="150"/>
      <c r="H702" s="145"/>
      <c r="I702" s="145"/>
    </row>
    <row r="703" spans="1:9" ht="24.95" hidden="1" customHeight="1">
      <c r="A703" s="141"/>
      <c r="B703" s="141"/>
      <c r="C703" s="143"/>
      <c r="D703" s="141"/>
      <c r="E703" s="143"/>
      <c r="F703" s="150"/>
      <c r="G703" s="150"/>
      <c r="H703" s="145"/>
      <c r="I703" s="145"/>
    </row>
    <row r="704" spans="1:9" ht="24.95" hidden="1" customHeight="1">
      <c r="A704" s="141"/>
      <c r="B704" s="141"/>
      <c r="C704" s="143"/>
      <c r="D704" s="141"/>
      <c r="E704" s="143"/>
      <c r="F704" s="150"/>
      <c r="G704" s="150"/>
      <c r="H704" s="145"/>
      <c r="I704" s="145"/>
    </row>
    <row r="705" spans="1:9" ht="24.95" hidden="1" customHeight="1">
      <c r="A705" s="141"/>
      <c r="B705" s="141"/>
      <c r="C705" s="143"/>
      <c r="D705" s="141"/>
      <c r="E705" s="143"/>
      <c r="F705" s="150"/>
      <c r="G705" s="150"/>
      <c r="H705" s="145"/>
      <c r="I705" s="145"/>
    </row>
    <row r="706" spans="1:9" ht="24.95" hidden="1" customHeight="1">
      <c r="A706" s="141"/>
      <c r="B706" s="141"/>
      <c r="C706" s="143"/>
      <c r="D706" s="141"/>
      <c r="E706" s="143"/>
      <c r="F706" s="150"/>
      <c r="G706" s="150"/>
      <c r="H706" s="145"/>
      <c r="I706" s="145"/>
    </row>
    <row r="707" spans="1:9" ht="24.95" hidden="1" customHeight="1">
      <c r="A707" s="141"/>
      <c r="B707" s="141"/>
      <c r="C707" s="143"/>
      <c r="D707" s="141"/>
      <c r="E707" s="143"/>
      <c r="F707" s="150"/>
      <c r="G707" s="150"/>
      <c r="H707" s="145"/>
      <c r="I707" s="145"/>
    </row>
    <row r="708" spans="1:9" ht="24.95" hidden="1" customHeight="1">
      <c r="A708" s="141"/>
      <c r="B708" s="141"/>
      <c r="C708" s="143"/>
      <c r="D708" s="141"/>
      <c r="E708" s="143"/>
      <c r="F708" s="150"/>
      <c r="G708" s="150"/>
      <c r="H708" s="145"/>
      <c r="I708" s="145"/>
    </row>
    <row r="709" spans="1:9" ht="24.95" hidden="1" customHeight="1">
      <c r="A709" s="141"/>
      <c r="B709" s="141"/>
      <c r="C709" s="143"/>
      <c r="D709" s="141"/>
      <c r="E709" s="143"/>
      <c r="F709" s="150"/>
      <c r="G709" s="150"/>
      <c r="H709" s="145"/>
      <c r="I709" s="145"/>
    </row>
    <row r="710" spans="1:9" ht="24.95" hidden="1" customHeight="1">
      <c r="A710" s="141"/>
      <c r="B710" s="141"/>
      <c r="C710" s="143"/>
      <c r="D710" s="141"/>
      <c r="E710" s="143"/>
      <c r="F710" s="150"/>
      <c r="G710" s="150"/>
      <c r="H710" s="145"/>
      <c r="I710" s="145"/>
    </row>
    <row r="711" spans="1:9" ht="24.95" hidden="1" customHeight="1">
      <c r="A711" s="141"/>
      <c r="B711" s="141"/>
      <c r="C711" s="143"/>
      <c r="D711" s="141"/>
      <c r="E711" s="143"/>
      <c r="F711" s="150"/>
      <c r="G711" s="150"/>
      <c r="H711" s="145"/>
      <c r="I711" s="145"/>
    </row>
    <row r="712" spans="1:9" ht="24.95" hidden="1" customHeight="1">
      <c r="A712" s="141"/>
      <c r="B712" s="141"/>
      <c r="C712" s="143"/>
      <c r="D712" s="141"/>
      <c r="E712" s="143"/>
      <c r="F712" s="150"/>
      <c r="G712" s="150"/>
      <c r="H712" s="145"/>
      <c r="I712" s="145"/>
    </row>
    <row r="713" spans="1:9" ht="24.95" hidden="1" customHeight="1">
      <c r="A713" s="141"/>
      <c r="B713" s="141"/>
      <c r="C713" s="143"/>
      <c r="D713" s="141"/>
      <c r="E713" s="143"/>
      <c r="F713" s="150"/>
      <c r="G713" s="150"/>
      <c r="H713" s="145"/>
      <c r="I713" s="145"/>
    </row>
    <row r="714" spans="1:9" ht="24.95" hidden="1" customHeight="1">
      <c r="A714" s="141"/>
      <c r="B714" s="141"/>
      <c r="C714" s="143"/>
      <c r="D714" s="141"/>
      <c r="E714" s="143"/>
      <c r="F714" s="150"/>
      <c r="G714" s="150"/>
      <c r="H714" s="145"/>
      <c r="I714" s="145"/>
    </row>
    <row r="715" spans="1:9" ht="24.95" hidden="1" customHeight="1">
      <c r="A715" s="141"/>
      <c r="B715" s="141"/>
      <c r="C715" s="143"/>
      <c r="D715" s="141"/>
      <c r="E715" s="143"/>
      <c r="F715" s="150"/>
      <c r="G715" s="150"/>
      <c r="H715" s="145"/>
      <c r="I715" s="145"/>
    </row>
    <row r="716" spans="1:9" ht="24.95" hidden="1" customHeight="1">
      <c r="A716" s="141"/>
      <c r="B716" s="141"/>
      <c r="C716" s="143"/>
      <c r="D716" s="141"/>
      <c r="E716" s="143"/>
      <c r="F716" s="150"/>
      <c r="G716" s="150"/>
      <c r="H716" s="145"/>
      <c r="I716" s="145"/>
    </row>
    <row r="717" spans="1:9" ht="24.95" hidden="1" customHeight="1">
      <c r="A717" s="141"/>
      <c r="B717" s="141"/>
      <c r="C717" s="143"/>
      <c r="D717" s="141"/>
      <c r="E717" s="143"/>
      <c r="F717" s="150"/>
      <c r="G717" s="150"/>
      <c r="H717" s="145"/>
      <c r="I717" s="145"/>
    </row>
    <row r="718" spans="1:9" ht="24.95" hidden="1" customHeight="1">
      <c r="A718" s="141"/>
      <c r="B718" s="141"/>
      <c r="C718" s="143"/>
      <c r="D718" s="141"/>
      <c r="E718" s="143"/>
      <c r="F718" s="150"/>
      <c r="G718" s="150"/>
      <c r="H718" s="145"/>
      <c r="I718" s="145"/>
    </row>
    <row r="719" spans="1:9" ht="24.95" hidden="1" customHeight="1">
      <c r="A719" s="141"/>
      <c r="B719" s="141"/>
      <c r="C719" s="143"/>
      <c r="D719" s="141"/>
      <c r="E719" s="143"/>
      <c r="F719" s="150"/>
      <c r="G719" s="150"/>
      <c r="H719" s="145"/>
      <c r="I719" s="145"/>
    </row>
    <row r="720" spans="1:9" ht="24.95" hidden="1" customHeight="1">
      <c r="A720" s="141"/>
      <c r="B720" s="141"/>
      <c r="C720" s="143"/>
      <c r="D720" s="141"/>
      <c r="E720" s="143"/>
      <c r="F720" s="150"/>
      <c r="G720" s="150"/>
      <c r="H720" s="145"/>
      <c r="I720" s="145"/>
    </row>
    <row r="721" spans="1:9" ht="24.95" hidden="1" customHeight="1">
      <c r="A721" s="141"/>
      <c r="B721" s="141"/>
      <c r="C721" s="143"/>
      <c r="D721" s="141"/>
      <c r="E721" s="143"/>
      <c r="F721" s="150"/>
      <c r="G721" s="150"/>
      <c r="H721" s="145"/>
      <c r="I721" s="145"/>
    </row>
    <row r="722" spans="1:9" ht="24.95" hidden="1" customHeight="1">
      <c r="A722" s="141"/>
      <c r="B722" s="141"/>
      <c r="C722" s="143"/>
      <c r="D722" s="141"/>
      <c r="E722" s="143"/>
      <c r="F722" s="150"/>
      <c r="G722" s="150"/>
      <c r="H722" s="145"/>
      <c r="I722" s="145"/>
    </row>
    <row r="723" spans="1:9" ht="24.95" hidden="1" customHeight="1">
      <c r="A723" s="141"/>
      <c r="B723" s="141"/>
      <c r="C723" s="143"/>
      <c r="D723" s="141"/>
      <c r="E723" s="143"/>
      <c r="F723" s="150"/>
      <c r="G723" s="150"/>
      <c r="H723" s="145"/>
      <c r="I723" s="145"/>
    </row>
    <row r="724" spans="1:9" ht="24.95" hidden="1" customHeight="1">
      <c r="A724" s="141"/>
      <c r="B724" s="141"/>
      <c r="C724" s="143"/>
      <c r="D724" s="141"/>
      <c r="E724" s="143"/>
      <c r="F724" s="150"/>
      <c r="G724" s="150"/>
      <c r="H724" s="145"/>
      <c r="I724" s="145"/>
    </row>
    <row r="725" spans="1:9" ht="24.95" hidden="1" customHeight="1">
      <c r="A725" s="141"/>
      <c r="B725" s="141"/>
      <c r="C725" s="143"/>
      <c r="D725" s="141"/>
      <c r="E725" s="143"/>
      <c r="F725" s="150"/>
      <c r="G725" s="150"/>
      <c r="H725" s="145"/>
      <c r="I725" s="145"/>
    </row>
    <row r="726" spans="1:9" ht="24.95" hidden="1" customHeight="1">
      <c r="A726" s="141"/>
      <c r="B726" s="141"/>
      <c r="C726" s="143"/>
      <c r="D726" s="141"/>
      <c r="E726" s="143"/>
      <c r="F726" s="150"/>
      <c r="G726" s="150"/>
      <c r="H726" s="145"/>
      <c r="I726" s="145"/>
    </row>
    <row r="727" spans="1:9" ht="24.95" hidden="1" customHeight="1">
      <c r="A727" s="141"/>
      <c r="B727" s="141"/>
      <c r="C727" s="143"/>
      <c r="D727" s="141"/>
      <c r="E727" s="143"/>
      <c r="F727" s="150"/>
      <c r="G727" s="150"/>
      <c r="H727" s="145"/>
      <c r="I727" s="145"/>
    </row>
    <row r="728" spans="1:9" ht="24.95" hidden="1" customHeight="1">
      <c r="A728" s="141"/>
      <c r="B728" s="141"/>
      <c r="C728" s="143"/>
      <c r="D728" s="141"/>
      <c r="E728" s="143"/>
      <c r="F728" s="150"/>
      <c r="G728" s="150"/>
      <c r="H728" s="145"/>
      <c r="I728" s="145"/>
    </row>
    <row r="729" spans="1:9" ht="24.95" hidden="1" customHeight="1">
      <c r="A729" s="141"/>
      <c r="B729" s="141"/>
      <c r="C729" s="143"/>
      <c r="D729" s="141"/>
      <c r="E729" s="143"/>
      <c r="F729" s="150"/>
      <c r="G729" s="150"/>
      <c r="H729" s="145"/>
      <c r="I729" s="145"/>
    </row>
    <row r="730" spans="1:9" ht="24.95" hidden="1" customHeight="1">
      <c r="A730" s="141"/>
      <c r="B730" s="141"/>
      <c r="C730" s="143"/>
      <c r="D730" s="141"/>
      <c r="E730" s="143"/>
      <c r="F730" s="150"/>
      <c r="G730" s="150"/>
      <c r="H730" s="145"/>
      <c r="I730" s="145"/>
    </row>
    <row r="731" spans="1:9" ht="24.95" hidden="1" customHeight="1">
      <c r="A731" s="141"/>
      <c r="B731" s="141"/>
      <c r="C731" s="143"/>
      <c r="D731" s="141"/>
      <c r="E731" s="143"/>
      <c r="F731" s="150"/>
      <c r="G731" s="150"/>
      <c r="H731" s="145"/>
      <c r="I731" s="145"/>
    </row>
    <row r="732" spans="1:9" ht="24.95" hidden="1" customHeight="1">
      <c r="A732" s="141"/>
      <c r="B732" s="141"/>
      <c r="C732" s="143"/>
      <c r="D732" s="141"/>
      <c r="E732" s="143"/>
      <c r="F732" s="150"/>
      <c r="G732" s="150"/>
      <c r="H732" s="145"/>
      <c r="I732" s="145"/>
    </row>
    <row r="733" spans="1:9" ht="24.95" hidden="1" customHeight="1">
      <c r="A733" s="141"/>
      <c r="B733" s="141"/>
      <c r="C733" s="143"/>
      <c r="D733" s="141"/>
      <c r="E733" s="143"/>
      <c r="F733" s="150"/>
      <c r="G733" s="150"/>
      <c r="H733" s="145"/>
      <c r="I733" s="145"/>
    </row>
    <row r="734" spans="1:9" ht="24.95" hidden="1" customHeight="1">
      <c r="A734" s="141"/>
      <c r="B734" s="141"/>
      <c r="C734" s="143"/>
      <c r="D734" s="141"/>
      <c r="E734" s="143"/>
      <c r="F734" s="150"/>
      <c r="G734" s="150"/>
      <c r="H734" s="145"/>
      <c r="I734" s="145"/>
    </row>
    <row r="735" spans="1:9" ht="24.95" hidden="1" customHeight="1">
      <c r="A735" s="141"/>
      <c r="B735" s="141"/>
      <c r="C735" s="143"/>
      <c r="D735" s="141"/>
      <c r="E735" s="143"/>
      <c r="F735" s="150"/>
      <c r="G735" s="150"/>
      <c r="H735" s="145"/>
      <c r="I735" s="145"/>
    </row>
    <row r="736" spans="1:9" ht="24.95" hidden="1" customHeight="1">
      <c r="A736" s="141"/>
      <c r="B736" s="141"/>
      <c r="C736" s="143"/>
      <c r="D736" s="141"/>
      <c r="E736" s="143"/>
      <c r="F736" s="150"/>
      <c r="G736" s="150"/>
      <c r="H736" s="145"/>
      <c r="I736" s="145"/>
    </row>
    <row r="737" spans="1:9" ht="24.95" hidden="1" customHeight="1">
      <c r="A737" s="141"/>
      <c r="B737" s="141"/>
      <c r="C737" s="143"/>
      <c r="D737" s="141"/>
      <c r="E737" s="143"/>
      <c r="F737" s="150"/>
      <c r="G737" s="150"/>
      <c r="H737" s="145"/>
      <c r="I737" s="145"/>
    </row>
    <row r="738" spans="1:9" ht="24.95" hidden="1" customHeight="1">
      <c r="A738" s="141"/>
      <c r="B738" s="141"/>
      <c r="C738" s="143"/>
      <c r="D738" s="141"/>
      <c r="E738" s="143"/>
      <c r="F738" s="150"/>
      <c r="G738" s="150"/>
      <c r="H738" s="145"/>
      <c r="I738" s="145"/>
    </row>
    <row r="739" spans="1:9" ht="24.95" hidden="1" customHeight="1">
      <c r="A739" s="141"/>
      <c r="B739" s="141"/>
      <c r="C739" s="143"/>
      <c r="D739" s="141"/>
      <c r="E739" s="143"/>
      <c r="F739" s="150"/>
      <c r="G739" s="150"/>
      <c r="H739" s="145"/>
      <c r="I739" s="145"/>
    </row>
    <row r="740" spans="1:9" ht="24.95" hidden="1" customHeight="1">
      <c r="A740" s="141"/>
      <c r="B740" s="141"/>
      <c r="C740" s="143"/>
      <c r="D740" s="141"/>
      <c r="E740" s="143"/>
      <c r="F740" s="150"/>
      <c r="G740" s="150"/>
      <c r="H740" s="145"/>
      <c r="I740" s="145"/>
    </row>
    <row r="741" spans="1:9" ht="24.95" hidden="1" customHeight="1">
      <c r="A741" s="141"/>
      <c r="B741" s="141"/>
      <c r="C741" s="143"/>
      <c r="D741" s="141"/>
      <c r="E741" s="143"/>
      <c r="F741" s="150"/>
      <c r="G741" s="150"/>
      <c r="H741" s="145"/>
      <c r="I741" s="145"/>
    </row>
    <row r="742" spans="1:9" ht="24.95" hidden="1" customHeight="1">
      <c r="A742" s="141"/>
      <c r="B742" s="141"/>
      <c r="C742" s="143"/>
      <c r="D742" s="141"/>
      <c r="E742" s="143"/>
      <c r="F742" s="150"/>
      <c r="G742" s="150"/>
      <c r="H742" s="145"/>
      <c r="I742" s="145"/>
    </row>
    <row r="743" spans="1:9" ht="24.95" hidden="1" customHeight="1">
      <c r="A743" s="141"/>
      <c r="B743" s="141"/>
      <c r="C743" s="143"/>
      <c r="D743" s="141"/>
      <c r="E743" s="143"/>
      <c r="F743" s="150"/>
      <c r="G743" s="150"/>
      <c r="H743" s="145"/>
      <c r="I743" s="145"/>
    </row>
    <row r="744" spans="1:9" ht="24.95" hidden="1" customHeight="1">
      <c r="A744" s="141"/>
      <c r="B744" s="141"/>
      <c r="C744" s="143"/>
      <c r="D744" s="141"/>
      <c r="E744" s="143"/>
      <c r="F744" s="150"/>
      <c r="G744" s="150"/>
      <c r="H744" s="145"/>
      <c r="I744" s="145"/>
    </row>
    <row r="745" spans="1:9" ht="24.95" hidden="1" customHeight="1">
      <c r="A745" s="141"/>
      <c r="B745" s="141"/>
      <c r="C745" s="143"/>
      <c r="D745" s="141"/>
      <c r="E745" s="143"/>
      <c r="F745" s="150"/>
      <c r="G745" s="150"/>
      <c r="H745" s="145"/>
      <c r="I745" s="145"/>
    </row>
    <row r="746" spans="1:9" ht="24.95" hidden="1" customHeight="1">
      <c r="A746" s="141"/>
      <c r="B746" s="141"/>
      <c r="C746" s="143"/>
      <c r="D746" s="141"/>
      <c r="E746" s="143"/>
      <c r="F746" s="150"/>
      <c r="G746" s="150"/>
      <c r="H746" s="145"/>
      <c r="I746" s="145"/>
    </row>
    <row r="747" spans="1:9" ht="24.95" hidden="1" customHeight="1">
      <c r="A747" s="141"/>
      <c r="B747" s="141"/>
      <c r="C747" s="143"/>
      <c r="D747" s="141"/>
      <c r="E747" s="143"/>
      <c r="F747" s="150"/>
      <c r="G747" s="150"/>
      <c r="H747" s="145"/>
      <c r="I747" s="145"/>
    </row>
    <row r="748" spans="1:9" ht="24.95" hidden="1" customHeight="1">
      <c r="A748" s="141"/>
      <c r="B748" s="141"/>
      <c r="C748" s="143"/>
      <c r="D748" s="141"/>
      <c r="E748" s="143"/>
      <c r="F748" s="150"/>
      <c r="G748" s="150"/>
      <c r="H748" s="145"/>
      <c r="I748" s="145"/>
    </row>
    <row r="749" spans="1:9" ht="24.95" hidden="1" customHeight="1">
      <c r="A749" s="141"/>
      <c r="B749" s="141"/>
      <c r="C749" s="143"/>
      <c r="D749" s="141"/>
      <c r="E749" s="143"/>
      <c r="F749" s="150"/>
      <c r="G749" s="150"/>
      <c r="H749" s="145"/>
      <c r="I749" s="145"/>
    </row>
    <row r="750" spans="1:9" ht="24.95" hidden="1" customHeight="1">
      <c r="A750" s="141"/>
      <c r="B750" s="141"/>
      <c r="C750" s="143"/>
      <c r="D750" s="141"/>
      <c r="E750" s="143"/>
      <c r="F750" s="150"/>
      <c r="G750" s="150"/>
      <c r="H750" s="145"/>
      <c r="I750" s="145"/>
    </row>
    <row r="751" spans="1:9" ht="24.95" hidden="1" customHeight="1">
      <c r="A751" s="141"/>
      <c r="B751" s="141"/>
      <c r="C751" s="143"/>
      <c r="D751" s="141"/>
      <c r="E751" s="143"/>
      <c r="F751" s="150"/>
      <c r="G751" s="150"/>
      <c r="H751" s="145"/>
      <c r="I751" s="145"/>
    </row>
    <row r="752" spans="1:9" ht="24.95" hidden="1" customHeight="1">
      <c r="A752" s="141"/>
      <c r="B752" s="141"/>
      <c r="C752" s="143"/>
      <c r="D752" s="141"/>
      <c r="E752" s="143"/>
      <c r="F752" s="150"/>
      <c r="G752" s="150"/>
      <c r="H752" s="145"/>
      <c r="I752" s="145"/>
    </row>
    <row r="753" spans="1:9" ht="24.95" hidden="1" customHeight="1">
      <c r="A753" s="141"/>
      <c r="B753" s="141"/>
      <c r="C753" s="143"/>
      <c r="D753" s="141"/>
      <c r="E753" s="143"/>
      <c r="F753" s="150"/>
      <c r="G753" s="150"/>
      <c r="H753" s="145"/>
      <c r="I753" s="145"/>
    </row>
    <row r="754" spans="1:9" ht="24.95" hidden="1" customHeight="1">
      <c r="A754" s="141"/>
      <c r="B754" s="141"/>
      <c r="C754" s="143"/>
      <c r="D754" s="141"/>
      <c r="E754" s="143"/>
      <c r="F754" s="150"/>
      <c r="G754" s="150"/>
      <c r="H754" s="145"/>
      <c r="I754" s="145"/>
    </row>
    <row r="755" spans="1:9" ht="24.95" hidden="1" customHeight="1">
      <c r="A755" s="141"/>
      <c r="B755" s="141"/>
      <c r="C755" s="143"/>
      <c r="D755" s="141"/>
      <c r="E755" s="143"/>
      <c r="F755" s="150"/>
      <c r="G755" s="150"/>
      <c r="H755" s="145"/>
      <c r="I755" s="145"/>
    </row>
    <row r="756" spans="1:9" ht="24.95" hidden="1" customHeight="1">
      <c r="A756" s="141"/>
      <c r="B756" s="141"/>
      <c r="C756" s="143"/>
      <c r="D756" s="141"/>
      <c r="E756" s="143"/>
      <c r="F756" s="150"/>
      <c r="G756" s="150"/>
      <c r="H756" s="145"/>
      <c r="I756" s="145"/>
    </row>
    <row r="757" spans="1:9" ht="24.95" hidden="1" customHeight="1">
      <c r="A757" s="141"/>
      <c r="B757" s="141"/>
      <c r="C757" s="143"/>
      <c r="D757" s="141"/>
      <c r="E757" s="143"/>
      <c r="F757" s="150"/>
      <c r="G757" s="150"/>
      <c r="H757" s="145"/>
      <c r="I757" s="145"/>
    </row>
    <row r="758" spans="1:9" ht="24.95" hidden="1" customHeight="1">
      <c r="A758" s="141"/>
      <c r="B758" s="141"/>
      <c r="C758" s="143"/>
      <c r="D758" s="141"/>
      <c r="E758" s="143"/>
      <c r="F758" s="150"/>
      <c r="G758" s="150"/>
      <c r="H758" s="145"/>
      <c r="I758" s="145"/>
    </row>
    <row r="759" spans="1:9" ht="24.95" hidden="1" customHeight="1">
      <c r="A759" s="141"/>
      <c r="B759" s="141"/>
      <c r="C759" s="143"/>
      <c r="D759" s="141"/>
      <c r="E759" s="143"/>
      <c r="F759" s="150"/>
      <c r="G759" s="150"/>
      <c r="H759" s="145"/>
      <c r="I759" s="145"/>
    </row>
    <row r="760" spans="1:9" ht="24.95" hidden="1" customHeight="1">
      <c r="A760" s="141"/>
      <c r="B760" s="141"/>
      <c r="C760" s="143"/>
      <c r="D760" s="141"/>
      <c r="E760" s="143"/>
      <c r="F760" s="150"/>
      <c r="G760" s="150"/>
      <c r="H760" s="145"/>
      <c r="I760" s="145"/>
    </row>
    <row r="761" spans="1:9" ht="24.95" hidden="1" customHeight="1">
      <c r="A761" s="141"/>
      <c r="B761" s="141"/>
      <c r="C761" s="143"/>
      <c r="D761" s="141"/>
      <c r="E761" s="143"/>
      <c r="F761" s="150"/>
      <c r="G761" s="150"/>
      <c r="H761" s="145"/>
      <c r="I761" s="145"/>
    </row>
    <row r="762" spans="1:9" ht="24.95" hidden="1" customHeight="1">
      <c r="A762" s="141"/>
      <c r="B762" s="141"/>
      <c r="C762" s="143"/>
      <c r="D762" s="141"/>
      <c r="E762" s="143"/>
      <c r="F762" s="150"/>
      <c r="G762" s="150"/>
      <c r="H762" s="145"/>
      <c r="I762" s="145"/>
    </row>
    <row r="763" spans="1:9" ht="24.95" hidden="1" customHeight="1">
      <c r="A763" s="141"/>
      <c r="B763" s="141"/>
      <c r="C763" s="143"/>
      <c r="D763" s="141"/>
      <c r="E763" s="143"/>
      <c r="F763" s="150"/>
      <c r="G763" s="150"/>
      <c r="H763" s="145"/>
      <c r="I763" s="145"/>
    </row>
    <row r="764" spans="1:9" ht="24.95" hidden="1" customHeight="1">
      <c r="A764" s="141"/>
      <c r="B764" s="141"/>
      <c r="C764" s="143"/>
      <c r="D764" s="141"/>
      <c r="E764" s="143"/>
      <c r="F764" s="150"/>
      <c r="G764" s="150"/>
      <c r="H764" s="145"/>
      <c r="I764" s="145"/>
    </row>
    <row r="765" spans="1:9" ht="24.95" hidden="1" customHeight="1">
      <c r="A765" s="141"/>
      <c r="B765" s="141"/>
      <c r="C765" s="143"/>
      <c r="D765" s="141"/>
      <c r="E765" s="143"/>
      <c r="F765" s="150"/>
      <c r="G765" s="150"/>
      <c r="H765" s="145"/>
      <c r="I765" s="145"/>
    </row>
    <row r="766" spans="1:9" ht="24.95" hidden="1" customHeight="1">
      <c r="A766" s="141"/>
      <c r="B766" s="141"/>
      <c r="C766" s="143"/>
      <c r="D766" s="141"/>
      <c r="E766" s="143"/>
      <c r="F766" s="150"/>
      <c r="G766" s="150"/>
      <c r="H766" s="145"/>
      <c r="I766" s="145"/>
    </row>
    <row r="767" spans="1:9" ht="24.95" hidden="1" customHeight="1">
      <c r="A767" s="141"/>
      <c r="B767" s="141"/>
      <c r="C767" s="143"/>
      <c r="D767" s="141"/>
      <c r="E767" s="143"/>
      <c r="F767" s="150"/>
      <c r="G767" s="150"/>
      <c r="H767" s="145"/>
      <c r="I767" s="145"/>
    </row>
    <row r="768" spans="1:9" ht="24.95" hidden="1" customHeight="1">
      <c r="A768" s="141"/>
      <c r="B768" s="141"/>
      <c r="C768" s="143"/>
      <c r="D768" s="141"/>
      <c r="E768" s="143"/>
      <c r="F768" s="150"/>
      <c r="G768" s="150"/>
      <c r="H768" s="145"/>
      <c r="I768" s="145"/>
    </row>
    <row r="769" spans="1:9" ht="24.95" hidden="1" customHeight="1">
      <c r="A769" s="141"/>
      <c r="B769" s="141"/>
      <c r="C769" s="143"/>
      <c r="D769" s="141"/>
      <c r="E769" s="143"/>
      <c r="F769" s="150"/>
      <c r="G769" s="150"/>
      <c r="H769" s="145"/>
      <c r="I769" s="145"/>
    </row>
    <row r="770" spans="1:9" ht="24.95" hidden="1" customHeight="1">
      <c r="A770" s="141"/>
      <c r="B770" s="141"/>
      <c r="C770" s="143"/>
      <c r="D770" s="141"/>
      <c r="E770" s="143"/>
      <c r="F770" s="150"/>
      <c r="G770" s="150"/>
      <c r="H770" s="145"/>
      <c r="I770" s="145"/>
    </row>
    <row r="771" spans="1:9" ht="24.95" hidden="1" customHeight="1">
      <c r="A771" s="141"/>
      <c r="B771" s="141"/>
      <c r="C771" s="143"/>
      <c r="D771" s="141"/>
      <c r="E771" s="143"/>
      <c r="F771" s="150"/>
      <c r="G771" s="150"/>
      <c r="H771" s="145"/>
      <c r="I771" s="145"/>
    </row>
    <row r="772" spans="1:9" ht="24.95" hidden="1" customHeight="1">
      <c r="A772" s="141"/>
      <c r="B772" s="141"/>
      <c r="C772" s="143"/>
      <c r="D772" s="141"/>
      <c r="E772" s="143"/>
      <c r="F772" s="150"/>
      <c r="G772" s="150"/>
      <c r="H772" s="145"/>
      <c r="I772" s="145"/>
    </row>
    <row r="773" spans="1:9" ht="24.95" hidden="1" customHeight="1">
      <c r="A773" s="141"/>
      <c r="B773" s="141"/>
      <c r="C773" s="143"/>
      <c r="D773" s="141"/>
      <c r="E773" s="143"/>
      <c r="F773" s="150"/>
      <c r="G773" s="150"/>
      <c r="H773" s="145"/>
      <c r="I773" s="145"/>
    </row>
    <row r="774" spans="1:9" ht="24.95" hidden="1" customHeight="1">
      <c r="A774" s="141"/>
      <c r="B774" s="141"/>
      <c r="C774" s="143"/>
      <c r="D774" s="141"/>
      <c r="E774" s="143"/>
      <c r="F774" s="150"/>
      <c r="G774" s="150"/>
      <c r="H774" s="145"/>
      <c r="I774" s="145"/>
    </row>
    <row r="775" spans="1:9" ht="24.95" hidden="1" customHeight="1">
      <c r="A775" s="141"/>
      <c r="B775" s="141"/>
      <c r="C775" s="143"/>
      <c r="D775" s="141"/>
      <c r="E775" s="143"/>
      <c r="F775" s="150"/>
      <c r="G775" s="150"/>
      <c r="H775" s="145"/>
      <c r="I775" s="145"/>
    </row>
    <row r="776" spans="1:9" ht="24.95" hidden="1" customHeight="1">
      <c r="A776" s="141"/>
      <c r="B776" s="141"/>
      <c r="C776" s="143"/>
      <c r="D776" s="141"/>
      <c r="E776" s="143"/>
      <c r="F776" s="150"/>
      <c r="G776" s="150"/>
      <c r="H776" s="145"/>
      <c r="I776" s="145"/>
    </row>
    <row r="777" spans="1:9" ht="24.95" hidden="1" customHeight="1">
      <c r="A777" s="141"/>
      <c r="B777" s="141"/>
      <c r="C777" s="143"/>
      <c r="D777" s="141"/>
      <c r="E777" s="143"/>
      <c r="F777" s="150"/>
      <c r="G777" s="150"/>
      <c r="H777" s="145"/>
      <c r="I777" s="145"/>
    </row>
    <row r="778" spans="1:9" ht="24.95" hidden="1" customHeight="1">
      <c r="A778" s="141"/>
      <c r="B778" s="141"/>
      <c r="C778" s="143"/>
      <c r="D778" s="141"/>
      <c r="E778" s="143"/>
      <c r="F778" s="150"/>
      <c r="G778" s="150"/>
      <c r="H778" s="145"/>
      <c r="I778" s="145"/>
    </row>
    <row r="779" spans="1:9" ht="24.95" hidden="1" customHeight="1">
      <c r="A779" s="141"/>
      <c r="B779" s="141"/>
      <c r="C779" s="143"/>
      <c r="D779" s="141"/>
      <c r="E779" s="143"/>
      <c r="F779" s="150"/>
      <c r="G779" s="150"/>
      <c r="H779" s="145"/>
      <c r="I779" s="145"/>
    </row>
    <row r="780" spans="1:9" ht="24.95" hidden="1" customHeight="1">
      <c r="A780" s="141"/>
      <c r="B780" s="141"/>
      <c r="C780" s="143"/>
      <c r="D780" s="141"/>
      <c r="E780" s="143"/>
      <c r="F780" s="150"/>
      <c r="G780" s="150"/>
      <c r="H780" s="145"/>
      <c r="I780" s="145"/>
    </row>
    <row r="781" spans="1:9" ht="24.95" hidden="1" customHeight="1">
      <c r="A781" s="141"/>
      <c r="B781" s="141"/>
      <c r="C781" s="143"/>
      <c r="D781" s="141"/>
      <c r="E781" s="143"/>
      <c r="F781" s="150"/>
      <c r="G781" s="150"/>
      <c r="H781" s="145"/>
      <c r="I781" s="145"/>
    </row>
    <row r="782" spans="1:9" ht="24.95" hidden="1" customHeight="1">
      <c r="A782" s="141"/>
      <c r="B782" s="141"/>
      <c r="C782" s="143"/>
      <c r="D782" s="141"/>
      <c r="E782" s="143"/>
      <c r="F782" s="150"/>
      <c r="G782" s="150"/>
      <c r="H782" s="145"/>
      <c r="I782" s="145"/>
    </row>
    <row r="783" spans="1:9" ht="24.95" hidden="1" customHeight="1">
      <c r="A783" s="141"/>
      <c r="B783" s="141"/>
      <c r="C783" s="143"/>
      <c r="D783" s="141"/>
      <c r="E783" s="143"/>
      <c r="F783" s="150"/>
      <c r="G783" s="150"/>
      <c r="H783" s="145"/>
      <c r="I783" s="145"/>
    </row>
    <row r="784" spans="1:9" ht="24.95" hidden="1" customHeight="1">
      <c r="A784" s="141"/>
      <c r="B784" s="141"/>
      <c r="C784" s="143"/>
      <c r="D784" s="141"/>
      <c r="E784" s="143"/>
      <c r="F784" s="150"/>
      <c r="G784" s="150"/>
      <c r="H784" s="145"/>
      <c r="I784" s="145"/>
    </row>
    <row r="785" spans="1:9" ht="24.95" hidden="1" customHeight="1">
      <c r="A785" s="141"/>
      <c r="B785" s="141"/>
      <c r="C785" s="143"/>
      <c r="D785" s="141"/>
      <c r="E785" s="143"/>
      <c r="F785" s="150"/>
      <c r="G785" s="150"/>
      <c r="H785" s="145"/>
      <c r="I785" s="145"/>
    </row>
    <row r="786" spans="1:9" ht="24.95" hidden="1" customHeight="1">
      <c r="A786" s="141"/>
      <c r="B786" s="141"/>
      <c r="C786" s="143"/>
      <c r="D786" s="141"/>
      <c r="E786" s="143"/>
      <c r="F786" s="150"/>
      <c r="G786" s="150"/>
      <c r="H786" s="145"/>
      <c r="I786" s="145"/>
    </row>
    <row r="787" spans="1:9" ht="24.95" hidden="1" customHeight="1">
      <c r="A787" s="141"/>
      <c r="B787" s="141"/>
      <c r="C787" s="143"/>
      <c r="D787" s="141"/>
      <c r="E787" s="143"/>
      <c r="F787" s="150"/>
      <c r="G787" s="150"/>
      <c r="H787" s="145"/>
      <c r="I787" s="145"/>
    </row>
    <row r="788" spans="1:9" ht="24.95" hidden="1" customHeight="1">
      <c r="A788" s="141"/>
      <c r="B788" s="141"/>
      <c r="C788" s="143"/>
      <c r="D788" s="141"/>
      <c r="E788" s="143"/>
      <c r="F788" s="150"/>
      <c r="G788" s="150"/>
      <c r="H788" s="145"/>
      <c r="I788" s="145"/>
    </row>
    <row r="789" spans="1:9" ht="24.95" hidden="1" customHeight="1">
      <c r="A789" s="141"/>
      <c r="B789" s="141"/>
      <c r="C789" s="143"/>
      <c r="D789" s="141"/>
      <c r="E789" s="143"/>
      <c r="F789" s="150"/>
      <c r="G789" s="150"/>
      <c r="H789" s="145"/>
      <c r="I789" s="145"/>
    </row>
    <row r="790" spans="1:9" ht="24.95" hidden="1" customHeight="1">
      <c r="A790" s="141"/>
      <c r="B790" s="141"/>
      <c r="C790" s="143"/>
      <c r="D790" s="141"/>
      <c r="E790" s="143"/>
      <c r="F790" s="150"/>
      <c r="G790" s="150"/>
      <c r="H790" s="145"/>
      <c r="I790" s="145"/>
    </row>
    <row r="791" spans="1:9" ht="24.95" hidden="1" customHeight="1">
      <c r="A791" s="141"/>
      <c r="B791" s="141"/>
      <c r="C791" s="143"/>
      <c r="D791" s="141"/>
      <c r="E791" s="143"/>
      <c r="F791" s="150"/>
      <c r="G791" s="150"/>
      <c r="H791" s="145"/>
      <c r="I791" s="145"/>
    </row>
    <row r="792" spans="1:9" ht="24.95" hidden="1" customHeight="1">
      <c r="A792" s="141"/>
      <c r="B792" s="141"/>
      <c r="C792" s="143"/>
      <c r="D792" s="141"/>
      <c r="E792" s="143"/>
      <c r="F792" s="150"/>
      <c r="G792" s="150"/>
      <c r="H792" s="145"/>
      <c r="I792" s="145"/>
    </row>
    <row r="793" spans="1:9" ht="24.95" hidden="1" customHeight="1">
      <c r="A793" s="141"/>
      <c r="B793" s="141"/>
      <c r="C793" s="143"/>
      <c r="D793" s="141"/>
      <c r="E793" s="143"/>
      <c r="F793" s="150"/>
      <c r="G793" s="150"/>
      <c r="H793" s="145"/>
      <c r="I793" s="145"/>
    </row>
    <row r="794" spans="1:9" ht="24.95" hidden="1" customHeight="1">
      <c r="A794" s="141"/>
      <c r="B794" s="141"/>
      <c r="C794" s="143"/>
      <c r="D794" s="141"/>
      <c r="E794" s="143"/>
      <c r="F794" s="150"/>
      <c r="G794" s="150"/>
      <c r="H794" s="145"/>
      <c r="I794" s="145"/>
    </row>
    <row r="795" spans="1:9" ht="24.95" hidden="1" customHeight="1">
      <c r="A795" s="141"/>
      <c r="B795" s="141"/>
      <c r="C795" s="143"/>
      <c r="D795" s="141"/>
      <c r="E795" s="143"/>
      <c r="F795" s="150"/>
      <c r="G795" s="150"/>
      <c r="H795" s="145"/>
      <c r="I795" s="145"/>
    </row>
    <row r="796" spans="1:9" ht="24.95" hidden="1" customHeight="1">
      <c r="A796" s="141"/>
      <c r="B796" s="141"/>
      <c r="C796" s="143"/>
      <c r="D796" s="141"/>
      <c r="E796" s="143"/>
      <c r="F796" s="150"/>
      <c r="G796" s="150"/>
      <c r="H796" s="145"/>
      <c r="I796" s="145"/>
    </row>
    <row r="797" spans="1:9" ht="24.95" hidden="1" customHeight="1">
      <c r="A797" s="141"/>
      <c r="B797" s="141"/>
      <c r="C797" s="143"/>
      <c r="D797" s="141"/>
      <c r="E797" s="143"/>
      <c r="F797" s="150"/>
      <c r="G797" s="150"/>
      <c r="H797" s="145"/>
      <c r="I797" s="145"/>
    </row>
    <row r="798" spans="1:9" ht="24.95" hidden="1" customHeight="1">
      <c r="A798" s="141"/>
      <c r="B798" s="141"/>
      <c r="C798" s="143"/>
      <c r="D798" s="141"/>
      <c r="E798" s="143"/>
      <c r="F798" s="150"/>
      <c r="G798" s="150"/>
      <c r="H798" s="145"/>
      <c r="I798" s="145"/>
    </row>
    <row r="799" spans="1:9" ht="24.95" hidden="1" customHeight="1">
      <c r="A799" s="141"/>
      <c r="B799" s="141"/>
      <c r="C799" s="143"/>
      <c r="D799" s="141"/>
      <c r="E799" s="143"/>
      <c r="F799" s="150"/>
      <c r="G799" s="150"/>
      <c r="H799" s="145"/>
      <c r="I799" s="145"/>
    </row>
    <row r="800" spans="1:9" ht="24.95" hidden="1" customHeight="1">
      <c r="A800" s="141"/>
      <c r="B800" s="141"/>
      <c r="C800" s="143"/>
      <c r="D800" s="141"/>
      <c r="E800" s="143"/>
      <c r="F800" s="150"/>
      <c r="G800" s="150"/>
      <c r="H800" s="145"/>
      <c r="I800" s="145"/>
    </row>
    <row r="801" spans="1:9" ht="24.95" hidden="1" customHeight="1">
      <c r="A801" s="141"/>
      <c r="B801" s="141"/>
      <c r="C801" s="143"/>
      <c r="D801" s="141"/>
      <c r="E801" s="143"/>
      <c r="F801" s="150"/>
      <c r="G801" s="150"/>
      <c r="H801" s="145"/>
      <c r="I801" s="145"/>
    </row>
    <row r="802" spans="1:9" ht="24.95" hidden="1" customHeight="1">
      <c r="A802" s="141"/>
      <c r="B802" s="141"/>
      <c r="C802" s="143"/>
      <c r="D802" s="141"/>
      <c r="E802" s="143"/>
      <c r="F802" s="150"/>
      <c r="G802" s="150"/>
      <c r="H802" s="145"/>
      <c r="I802" s="145"/>
    </row>
    <row r="803" spans="1:9" ht="24.95" hidden="1" customHeight="1">
      <c r="A803" s="141"/>
      <c r="B803" s="141"/>
      <c r="C803" s="143"/>
      <c r="D803" s="141"/>
      <c r="E803" s="143"/>
      <c r="F803" s="150"/>
      <c r="G803" s="150"/>
      <c r="H803" s="145"/>
      <c r="I803" s="145"/>
    </row>
    <row r="804" spans="1:9" ht="24.95" hidden="1" customHeight="1">
      <c r="A804" s="141"/>
      <c r="B804" s="141"/>
      <c r="C804" s="143"/>
      <c r="D804" s="141"/>
      <c r="E804" s="143"/>
      <c r="F804" s="150"/>
      <c r="G804" s="150"/>
      <c r="H804" s="145"/>
      <c r="I804" s="145"/>
    </row>
    <row r="805" spans="1:9" ht="24.95" hidden="1" customHeight="1">
      <c r="A805" s="141"/>
      <c r="B805" s="141"/>
      <c r="C805" s="143"/>
      <c r="D805" s="141"/>
      <c r="E805" s="143"/>
      <c r="F805" s="150"/>
      <c r="G805" s="150"/>
      <c r="H805" s="145"/>
      <c r="I805" s="145"/>
    </row>
    <row r="806" spans="1:9" ht="24.95" hidden="1" customHeight="1">
      <c r="A806" s="141"/>
      <c r="B806" s="141"/>
      <c r="C806" s="143"/>
      <c r="D806" s="141"/>
      <c r="E806" s="143"/>
      <c r="F806" s="150"/>
      <c r="G806" s="150"/>
      <c r="H806" s="145"/>
      <c r="I806" s="145"/>
    </row>
    <row r="807" spans="1:9" ht="24.95" hidden="1" customHeight="1">
      <c r="A807" s="141"/>
      <c r="B807" s="141"/>
      <c r="C807" s="143"/>
      <c r="D807" s="141"/>
      <c r="E807" s="143"/>
      <c r="F807" s="150"/>
      <c r="G807" s="150"/>
      <c r="H807" s="145"/>
      <c r="I807" s="145"/>
    </row>
    <row r="808" spans="1:9" ht="24.95" hidden="1" customHeight="1">
      <c r="A808" s="141"/>
      <c r="B808" s="141"/>
      <c r="C808" s="143"/>
      <c r="D808" s="141"/>
      <c r="E808" s="143"/>
      <c r="F808" s="150"/>
      <c r="G808" s="150"/>
      <c r="H808" s="145"/>
      <c r="I808" s="145"/>
    </row>
    <row r="809" spans="1:9" ht="24.95" hidden="1" customHeight="1">
      <c r="A809" s="141"/>
      <c r="B809" s="141"/>
      <c r="C809" s="143"/>
      <c r="D809" s="141"/>
      <c r="E809" s="143"/>
      <c r="F809" s="150"/>
      <c r="G809" s="150"/>
      <c r="H809" s="145"/>
      <c r="I809" s="145"/>
    </row>
    <row r="810" spans="1:9" ht="24.95" hidden="1" customHeight="1">
      <c r="A810" s="141"/>
      <c r="B810" s="141"/>
      <c r="C810" s="143"/>
      <c r="D810" s="141"/>
      <c r="E810" s="143"/>
      <c r="F810" s="150"/>
      <c r="G810" s="150"/>
      <c r="H810" s="145"/>
      <c r="I810" s="145"/>
    </row>
    <row r="811" spans="1:9" ht="24.95" hidden="1" customHeight="1">
      <c r="A811" s="141"/>
      <c r="B811" s="141"/>
      <c r="C811" s="143"/>
      <c r="D811" s="141"/>
      <c r="E811" s="143"/>
      <c r="F811" s="150"/>
      <c r="G811" s="150"/>
      <c r="H811" s="145"/>
      <c r="I811" s="145"/>
    </row>
    <row r="812" spans="1:9" ht="24.95" hidden="1" customHeight="1">
      <c r="A812" s="141"/>
      <c r="B812" s="141"/>
      <c r="C812" s="143"/>
      <c r="D812" s="141"/>
      <c r="E812" s="143"/>
      <c r="F812" s="150"/>
      <c r="G812" s="150"/>
      <c r="H812" s="145"/>
      <c r="I812" s="145"/>
    </row>
    <row r="813" spans="1:9" ht="24.95" hidden="1" customHeight="1">
      <c r="A813" s="141"/>
      <c r="B813" s="141"/>
      <c r="C813" s="143"/>
      <c r="D813" s="141"/>
      <c r="E813" s="143"/>
      <c r="F813" s="150"/>
      <c r="G813" s="150"/>
      <c r="H813" s="145"/>
      <c r="I813" s="145"/>
    </row>
    <row r="814" spans="1:9" ht="24.95" hidden="1" customHeight="1">
      <c r="A814" s="141"/>
      <c r="B814" s="141"/>
      <c r="C814" s="143"/>
      <c r="D814" s="141"/>
      <c r="E814" s="143"/>
      <c r="F814" s="150"/>
      <c r="G814" s="150"/>
      <c r="H814" s="145"/>
      <c r="I814" s="145"/>
    </row>
    <row r="815" spans="1:9" ht="24.95" hidden="1" customHeight="1">
      <c r="A815" s="141"/>
      <c r="B815" s="141"/>
      <c r="C815" s="143"/>
      <c r="D815" s="141"/>
      <c r="E815" s="143"/>
      <c r="F815" s="150"/>
      <c r="G815" s="150"/>
      <c r="H815" s="145"/>
      <c r="I815" s="145"/>
    </row>
    <row r="816" spans="1:9" ht="24.95" hidden="1" customHeight="1">
      <c r="A816" s="141"/>
      <c r="B816" s="141"/>
      <c r="C816" s="143"/>
      <c r="D816" s="141"/>
      <c r="E816" s="143"/>
      <c r="F816" s="150"/>
      <c r="G816" s="150"/>
      <c r="H816" s="145"/>
      <c r="I816" s="145"/>
    </row>
    <row r="817" spans="1:9" ht="24.95" hidden="1" customHeight="1">
      <c r="A817" s="141"/>
      <c r="B817" s="141"/>
      <c r="C817" s="143"/>
      <c r="D817" s="141"/>
      <c r="E817" s="143"/>
      <c r="F817" s="150"/>
      <c r="G817" s="150"/>
      <c r="H817" s="145"/>
      <c r="I817" s="145"/>
    </row>
    <row r="818" spans="1:9" ht="24.95" hidden="1" customHeight="1">
      <c r="A818" s="141"/>
      <c r="B818" s="141"/>
      <c r="C818" s="143"/>
      <c r="D818" s="141"/>
      <c r="E818" s="143"/>
      <c r="F818" s="150"/>
      <c r="G818" s="150"/>
      <c r="H818" s="145"/>
      <c r="I818" s="145"/>
    </row>
    <row r="819" spans="1:9" ht="24.95" hidden="1" customHeight="1">
      <c r="A819" s="141"/>
      <c r="B819" s="141"/>
      <c r="C819" s="143"/>
      <c r="D819" s="141"/>
      <c r="E819" s="143"/>
      <c r="F819" s="150"/>
      <c r="G819" s="150"/>
      <c r="H819" s="145"/>
      <c r="I819" s="145"/>
    </row>
    <row r="820" spans="1:9" ht="24.95" hidden="1" customHeight="1">
      <c r="A820" s="141"/>
      <c r="B820" s="141"/>
      <c r="C820" s="143"/>
      <c r="D820" s="141"/>
      <c r="E820" s="143"/>
      <c r="F820" s="150"/>
      <c r="G820" s="150"/>
      <c r="H820" s="145"/>
      <c r="I820" s="145"/>
    </row>
    <row r="821" spans="1:9" ht="24.95" hidden="1" customHeight="1">
      <c r="A821" s="141"/>
      <c r="B821" s="141"/>
      <c r="C821" s="143"/>
      <c r="D821" s="141"/>
      <c r="E821" s="143"/>
      <c r="F821" s="150"/>
      <c r="G821" s="150"/>
      <c r="H821" s="145"/>
      <c r="I821" s="145"/>
    </row>
    <row r="822" spans="1:9" ht="24.95" hidden="1" customHeight="1">
      <c r="A822" s="141"/>
      <c r="B822" s="141"/>
      <c r="C822" s="143"/>
      <c r="D822" s="141"/>
      <c r="E822" s="143"/>
      <c r="F822" s="150"/>
      <c r="G822" s="150"/>
      <c r="H822" s="145"/>
      <c r="I822" s="145"/>
    </row>
    <row r="823" spans="1:9" ht="24.95" hidden="1" customHeight="1">
      <c r="A823" s="141"/>
      <c r="B823" s="141"/>
      <c r="C823" s="143"/>
      <c r="D823" s="141"/>
      <c r="E823" s="143"/>
      <c r="F823" s="150"/>
      <c r="G823" s="150"/>
      <c r="H823" s="145"/>
      <c r="I823" s="145"/>
    </row>
    <row r="824" spans="1:9" ht="24.95" hidden="1" customHeight="1">
      <c r="A824" s="141"/>
      <c r="B824" s="141"/>
      <c r="C824" s="143"/>
      <c r="D824" s="141"/>
      <c r="E824" s="143"/>
      <c r="F824" s="150"/>
      <c r="G824" s="150"/>
      <c r="H824" s="145"/>
      <c r="I824" s="145"/>
    </row>
    <row r="825" spans="1:9" ht="24.95" hidden="1" customHeight="1">
      <c r="A825" s="141"/>
      <c r="B825" s="141"/>
      <c r="C825" s="143"/>
      <c r="D825" s="141"/>
      <c r="E825" s="143"/>
      <c r="F825" s="150"/>
      <c r="G825" s="150"/>
      <c r="H825" s="145"/>
      <c r="I825" s="145"/>
    </row>
    <row r="826" spans="1:9" ht="24.95" hidden="1" customHeight="1">
      <c r="A826" s="141"/>
      <c r="B826" s="141"/>
      <c r="C826" s="143"/>
      <c r="D826" s="141"/>
      <c r="E826" s="143"/>
      <c r="F826" s="150"/>
      <c r="G826" s="150"/>
      <c r="H826" s="145"/>
      <c r="I826" s="145"/>
    </row>
    <row r="827" spans="1:9" ht="24.95" hidden="1" customHeight="1">
      <c r="A827" s="141"/>
      <c r="B827" s="141"/>
      <c r="C827" s="143"/>
      <c r="D827" s="141"/>
      <c r="E827" s="143"/>
      <c r="F827" s="150"/>
      <c r="G827" s="150"/>
      <c r="H827" s="145"/>
      <c r="I827" s="145"/>
    </row>
    <row r="828" spans="1:9" ht="24.95" hidden="1" customHeight="1">
      <c r="A828" s="141"/>
      <c r="B828" s="141"/>
      <c r="C828" s="143"/>
      <c r="D828" s="141"/>
      <c r="E828" s="143"/>
      <c r="F828" s="150"/>
      <c r="G828" s="150"/>
      <c r="H828" s="145"/>
      <c r="I828" s="145"/>
    </row>
    <row r="829" spans="1:9" ht="24.95" hidden="1" customHeight="1">
      <c r="A829" s="141"/>
      <c r="B829" s="141"/>
      <c r="C829" s="143"/>
      <c r="D829" s="141"/>
      <c r="E829" s="143"/>
      <c r="F829" s="150"/>
      <c r="G829" s="150"/>
      <c r="H829" s="145"/>
      <c r="I829" s="145"/>
    </row>
    <row r="830" spans="1:9" ht="24.95" hidden="1" customHeight="1">
      <c r="A830" s="141"/>
      <c r="B830" s="141"/>
      <c r="C830" s="143"/>
      <c r="D830" s="141"/>
      <c r="E830" s="143"/>
      <c r="F830" s="150"/>
      <c r="G830" s="150"/>
      <c r="H830" s="145"/>
      <c r="I830" s="145"/>
    </row>
    <row r="831" spans="1:9" ht="24.95" hidden="1" customHeight="1">
      <c r="A831" s="141"/>
      <c r="B831" s="141"/>
      <c r="C831" s="143"/>
      <c r="D831" s="141"/>
      <c r="E831" s="143"/>
      <c r="F831" s="150"/>
      <c r="G831" s="150"/>
      <c r="H831" s="145"/>
      <c r="I831" s="145"/>
    </row>
    <row r="832" spans="1:9" ht="24.95" hidden="1" customHeight="1">
      <c r="A832" s="141"/>
      <c r="B832" s="141"/>
      <c r="C832" s="143"/>
      <c r="D832" s="141"/>
      <c r="E832" s="143"/>
      <c r="F832" s="150"/>
      <c r="G832" s="150"/>
      <c r="H832" s="145"/>
      <c r="I832" s="145"/>
    </row>
    <row r="833" spans="1:9" ht="24.95" hidden="1" customHeight="1">
      <c r="A833" s="141"/>
      <c r="B833" s="141"/>
      <c r="C833" s="143"/>
      <c r="D833" s="141"/>
      <c r="E833" s="143"/>
      <c r="F833" s="150"/>
      <c r="G833" s="150"/>
      <c r="H833" s="145"/>
      <c r="I833" s="145"/>
    </row>
    <row r="834" spans="1:9" ht="24.95" hidden="1" customHeight="1">
      <c r="A834" s="141"/>
      <c r="B834" s="141"/>
      <c r="C834" s="143"/>
      <c r="D834" s="141"/>
      <c r="E834" s="143"/>
      <c r="F834" s="150"/>
      <c r="G834" s="150"/>
      <c r="H834" s="145"/>
      <c r="I834" s="145"/>
    </row>
    <row r="835" spans="1:9" ht="24.95" hidden="1" customHeight="1">
      <c r="A835" s="141"/>
      <c r="B835" s="141"/>
      <c r="C835" s="143"/>
      <c r="D835" s="141"/>
      <c r="E835" s="143"/>
      <c r="F835" s="150"/>
      <c r="G835" s="150"/>
      <c r="H835" s="145"/>
      <c r="I835" s="145"/>
    </row>
    <row r="836" spans="1:9" ht="24.95" hidden="1" customHeight="1">
      <c r="A836" s="141"/>
      <c r="B836" s="141"/>
      <c r="C836" s="143"/>
      <c r="D836" s="141"/>
      <c r="E836" s="143"/>
      <c r="F836" s="150"/>
      <c r="G836" s="150"/>
      <c r="H836" s="145"/>
      <c r="I836" s="145"/>
    </row>
    <row r="837" spans="1:9" ht="24.95" hidden="1" customHeight="1">
      <c r="A837" s="141"/>
      <c r="B837" s="141"/>
      <c r="C837" s="143"/>
      <c r="D837" s="141"/>
      <c r="E837" s="143"/>
      <c r="F837" s="150"/>
      <c r="G837" s="150"/>
      <c r="H837" s="145"/>
      <c r="I837" s="145"/>
    </row>
    <row r="838" spans="1:9" ht="24.95" hidden="1" customHeight="1">
      <c r="A838" s="141"/>
      <c r="B838" s="141"/>
      <c r="C838" s="143"/>
      <c r="D838" s="141"/>
      <c r="E838" s="143"/>
      <c r="F838" s="150"/>
      <c r="G838" s="150"/>
      <c r="H838" s="145"/>
      <c r="I838" s="145"/>
    </row>
    <row r="839" spans="1:9" ht="24.95" hidden="1" customHeight="1">
      <c r="A839" s="141"/>
      <c r="B839" s="141"/>
      <c r="C839" s="143"/>
      <c r="D839" s="141"/>
      <c r="E839" s="143"/>
      <c r="F839" s="150"/>
      <c r="G839" s="150"/>
      <c r="H839" s="145"/>
      <c r="I839" s="145"/>
    </row>
    <row r="840" spans="1:9" ht="24.95" hidden="1" customHeight="1">
      <c r="A840" s="141"/>
      <c r="B840" s="141"/>
      <c r="C840" s="143"/>
      <c r="D840" s="141"/>
      <c r="E840" s="143"/>
      <c r="F840" s="150"/>
      <c r="G840" s="150"/>
      <c r="H840" s="145"/>
      <c r="I840" s="145"/>
    </row>
    <row r="841" spans="1:9" ht="24.95" hidden="1" customHeight="1">
      <c r="A841" s="141"/>
      <c r="B841" s="141"/>
      <c r="C841" s="143"/>
      <c r="D841" s="141"/>
      <c r="E841" s="143"/>
      <c r="F841" s="150"/>
      <c r="G841" s="150"/>
      <c r="H841" s="145"/>
      <c r="I841" s="145"/>
    </row>
    <row r="842" spans="1:9" ht="24.95" hidden="1" customHeight="1">
      <c r="A842" s="141"/>
      <c r="B842" s="141"/>
      <c r="C842" s="143"/>
      <c r="D842" s="141"/>
      <c r="E842" s="143"/>
      <c r="F842" s="150"/>
      <c r="G842" s="150"/>
      <c r="H842" s="145"/>
      <c r="I842" s="145"/>
    </row>
    <row r="843" spans="1:9" ht="24.95" hidden="1" customHeight="1">
      <c r="A843" s="141"/>
      <c r="B843" s="141"/>
      <c r="C843" s="143"/>
      <c r="D843" s="141"/>
      <c r="E843" s="143"/>
      <c r="F843" s="150"/>
      <c r="G843" s="150"/>
      <c r="H843" s="145"/>
      <c r="I843" s="145"/>
    </row>
    <row r="844" spans="1:9" ht="24.95" hidden="1" customHeight="1">
      <c r="A844" s="141"/>
      <c r="B844" s="141"/>
      <c r="C844" s="143"/>
      <c r="D844" s="141"/>
      <c r="E844" s="143"/>
      <c r="F844" s="150"/>
      <c r="G844" s="150"/>
      <c r="H844" s="145"/>
      <c r="I844" s="145"/>
    </row>
    <row r="845" spans="1:9" ht="24.95" hidden="1" customHeight="1">
      <c r="A845" s="141"/>
      <c r="B845" s="141"/>
      <c r="C845" s="143"/>
      <c r="D845" s="141"/>
      <c r="E845" s="143"/>
      <c r="F845" s="150"/>
      <c r="G845" s="150"/>
      <c r="H845" s="145"/>
      <c r="I845" s="145"/>
    </row>
    <row r="846" spans="1:9" ht="24.95" hidden="1" customHeight="1">
      <c r="A846" s="141"/>
      <c r="B846" s="141"/>
      <c r="C846" s="143"/>
      <c r="D846" s="141"/>
      <c r="E846" s="143"/>
      <c r="F846" s="150"/>
      <c r="G846" s="150"/>
      <c r="H846" s="145"/>
      <c r="I846" s="145"/>
    </row>
    <row r="847" spans="1:9" ht="24.95" hidden="1" customHeight="1">
      <c r="A847" s="141"/>
      <c r="B847" s="141"/>
      <c r="C847" s="143"/>
      <c r="D847" s="141"/>
      <c r="E847" s="143"/>
      <c r="F847" s="150"/>
      <c r="G847" s="150"/>
      <c r="H847" s="145"/>
      <c r="I847" s="145"/>
    </row>
    <row r="848" spans="1:9" ht="24.95" hidden="1" customHeight="1">
      <c r="A848" s="141"/>
      <c r="B848" s="141"/>
      <c r="C848" s="143"/>
      <c r="D848" s="141"/>
      <c r="E848" s="143"/>
      <c r="F848" s="150"/>
      <c r="G848" s="150"/>
      <c r="H848" s="145"/>
      <c r="I848" s="145"/>
    </row>
    <row r="849" spans="1:9" ht="24.95" hidden="1" customHeight="1">
      <c r="A849" s="141"/>
      <c r="B849" s="141"/>
      <c r="C849" s="143"/>
      <c r="D849" s="141"/>
      <c r="E849" s="143"/>
      <c r="F849" s="150"/>
      <c r="G849" s="150"/>
      <c r="H849" s="145"/>
      <c r="I849" s="145"/>
    </row>
    <row r="850" spans="1:9" ht="24.95" hidden="1" customHeight="1">
      <c r="A850" s="141"/>
      <c r="B850" s="141"/>
      <c r="C850" s="143"/>
      <c r="D850" s="141"/>
      <c r="E850" s="143"/>
      <c r="F850" s="150"/>
      <c r="G850" s="150"/>
      <c r="H850" s="145"/>
      <c r="I850" s="145"/>
    </row>
    <row r="851" spans="1:9" ht="24.95" hidden="1" customHeight="1">
      <c r="A851" s="141"/>
      <c r="B851" s="141"/>
      <c r="C851" s="143"/>
      <c r="D851" s="141"/>
      <c r="E851" s="143"/>
      <c r="F851" s="150"/>
      <c r="G851" s="150"/>
      <c r="H851" s="145"/>
      <c r="I851" s="145"/>
    </row>
    <row r="852" spans="1:9" ht="24.95" hidden="1" customHeight="1">
      <c r="A852" s="141"/>
      <c r="B852" s="141"/>
      <c r="C852" s="143"/>
      <c r="D852" s="141"/>
      <c r="E852" s="143"/>
      <c r="F852" s="150"/>
      <c r="G852" s="150"/>
      <c r="H852" s="145"/>
      <c r="I852" s="145"/>
    </row>
    <row r="853" spans="1:9" ht="24.95" hidden="1" customHeight="1">
      <c r="A853" s="141"/>
      <c r="B853" s="141"/>
      <c r="C853" s="143"/>
      <c r="D853" s="141"/>
      <c r="E853" s="143"/>
      <c r="F853" s="150"/>
      <c r="G853" s="150"/>
      <c r="H853" s="145"/>
      <c r="I853" s="145"/>
    </row>
    <row r="854" spans="1:9" ht="24.95" hidden="1" customHeight="1">
      <c r="A854" s="141"/>
      <c r="B854" s="141"/>
      <c r="C854" s="143"/>
      <c r="D854" s="141"/>
      <c r="E854" s="143"/>
      <c r="F854" s="150"/>
      <c r="G854" s="150"/>
      <c r="H854" s="145"/>
      <c r="I854" s="145"/>
    </row>
    <row r="855" spans="1:9" ht="24.95" hidden="1" customHeight="1">
      <c r="A855" s="141"/>
      <c r="B855" s="141"/>
      <c r="C855" s="143"/>
      <c r="D855" s="141"/>
      <c r="E855" s="143"/>
      <c r="F855" s="150"/>
      <c r="G855" s="150"/>
      <c r="H855" s="145"/>
      <c r="I855" s="145"/>
    </row>
    <row r="856" spans="1:9" ht="24.95" hidden="1" customHeight="1">
      <c r="A856" s="141"/>
      <c r="B856" s="141"/>
      <c r="C856" s="143"/>
      <c r="D856" s="141"/>
      <c r="E856" s="143"/>
      <c r="F856" s="150"/>
      <c r="G856" s="150"/>
      <c r="H856" s="145"/>
      <c r="I856" s="145"/>
    </row>
    <row r="857" spans="1:9" ht="24.95" hidden="1" customHeight="1">
      <c r="A857" s="141"/>
      <c r="B857" s="141"/>
      <c r="C857" s="143"/>
      <c r="D857" s="141"/>
      <c r="E857" s="143"/>
      <c r="F857" s="150"/>
      <c r="G857" s="150"/>
      <c r="H857" s="145"/>
      <c r="I857" s="145"/>
    </row>
    <row r="858" spans="1:9" ht="24.95" hidden="1" customHeight="1">
      <c r="A858" s="141"/>
      <c r="B858" s="141"/>
      <c r="C858" s="143"/>
      <c r="D858" s="141"/>
      <c r="E858" s="143"/>
      <c r="F858" s="150"/>
      <c r="G858" s="150"/>
      <c r="H858" s="145"/>
      <c r="I858" s="145"/>
    </row>
    <row r="859" spans="1:9" ht="24.95" hidden="1" customHeight="1">
      <c r="A859" s="141"/>
      <c r="B859" s="141"/>
      <c r="C859" s="143"/>
      <c r="D859" s="141"/>
      <c r="E859" s="143"/>
      <c r="F859" s="150"/>
      <c r="G859" s="150"/>
      <c r="H859" s="145"/>
      <c r="I859" s="145"/>
    </row>
    <row r="860" spans="1:9" ht="24.95" hidden="1" customHeight="1">
      <c r="A860" s="141"/>
      <c r="B860" s="141"/>
      <c r="C860" s="143"/>
      <c r="D860" s="141"/>
      <c r="E860" s="143"/>
      <c r="F860" s="150"/>
      <c r="G860" s="150"/>
      <c r="H860" s="145"/>
      <c r="I860" s="145"/>
    </row>
    <row r="861" spans="1:9" ht="24.95" hidden="1" customHeight="1">
      <c r="A861" s="141"/>
      <c r="B861" s="141"/>
      <c r="C861" s="143"/>
      <c r="D861" s="141"/>
      <c r="E861" s="143"/>
      <c r="F861" s="150"/>
      <c r="G861" s="150"/>
      <c r="H861" s="145"/>
      <c r="I861" s="145"/>
    </row>
    <row r="862" spans="1:9" ht="24.95" hidden="1" customHeight="1">
      <c r="A862" s="141"/>
      <c r="B862" s="141"/>
      <c r="C862" s="143"/>
      <c r="D862" s="141"/>
      <c r="E862" s="143"/>
      <c r="F862" s="150"/>
      <c r="G862" s="150"/>
      <c r="H862" s="145"/>
      <c r="I862" s="145"/>
    </row>
    <row r="863" spans="1:9" ht="24.95" hidden="1" customHeight="1">
      <c r="A863" s="141"/>
      <c r="B863" s="141"/>
      <c r="C863" s="143"/>
      <c r="D863" s="141"/>
      <c r="E863" s="143"/>
      <c r="F863" s="150"/>
      <c r="G863" s="150"/>
      <c r="H863" s="145"/>
      <c r="I863" s="145"/>
    </row>
    <row r="864" spans="1:9" ht="24.95" hidden="1" customHeight="1">
      <c r="A864" s="141"/>
      <c r="B864" s="141"/>
      <c r="C864" s="143"/>
      <c r="D864" s="141"/>
      <c r="E864" s="143"/>
      <c r="F864" s="150"/>
      <c r="G864" s="150"/>
      <c r="H864" s="145"/>
      <c r="I864" s="145"/>
    </row>
    <row r="865" spans="1:9" ht="24.95" hidden="1" customHeight="1">
      <c r="A865" s="141"/>
      <c r="B865" s="141"/>
      <c r="C865" s="143"/>
      <c r="D865" s="141"/>
      <c r="E865" s="143"/>
      <c r="F865" s="150"/>
      <c r="G865" s="150"/>
      <c r="H865" s="145"/>
      <c r="I865" s="145"/>
    </row>
    <row r="866" spans="1:9" ht="24.95" hidden="1" customHeight="1">
      <c r="A866" s="141"/>
      <c r="B866" s="141"/>
      <c r="C866" s="143"/>
      <c r="D866" s="141"/>
      <c r="E866" s="143"/>
      <c r="F866" s="150"/>
      <c r="G866" s="150"/>
      <c r="H866" s="145"/>
      <c r="I866" s="145"/>
    </row>
    <row r="867" spans="1:9" ht="24.95" hidden="1" customHeight="1">
      <c r="A867" s="141"/>
      <c r="B867" s="141"/>
      <c r="C867" s="143"/>
      <c r="D867" s="141"/>
      <c r="E867" s="143"/>
      <c r="F867" s="150"/>
      <c r="G867" s="150"/>
      <c r="H867" s="145"/>
      <c r="I867" s="145"/>
    </row>
    <row r="868" spans="1:9" ht="24.95" hidden="1" customHeight="1">
      <c r="A868" s="141"/>
      <c r="B868" s="141"/>
      <c r="C868" s="143"/>
      <c r="D868" s="141"/>
      <c r="E868" s="143"/>
      <c r="F868" s="150"/>
      <c r="G868" s="150"/>
      <c r="H868" s="145"/>
      <c r="I868" s="145"/>
    </row>
    <row r="869" spans="1:9" ht="24.95" hidden="1" customHeight="1">
      <c r="A869" s="141"/>
      <c r="B869" s="141"/>
      <c r="C869" s="143"/>
      <c r="D869" s="141"/>
      <c r="E869" s="143"/>
      <c r="F869" s="150"/>
      <c r="G869" s="150"/>
      <c r="H869" s="145"/>
      <c r="I869" s="145"/>
    </row>
    <row r="870" spans="1:9" ht="24.95" hidden="1" customHeight="1">
      <c r="A870" s="141"/>
      <c r="B870" s="141"/>
      <c r="C870" s="143"/>
      <c r="D870" s="141"/>
      <c r="E870" s="143"/>
      <c r="F870" s="150"/>
      <c r="G870" s="150"/>
      <c r="H870" s="145"/>
      <c r="I870" s="145"/>
    </row>
    <row r="871" spans="1:9" ht="24.95" hidden="1" customHeight="1">
      <c r="A871" s="141"/>
      <c r="B871" s="141"/>
      <c r="C871" s="143"/>
      <c r="D871" s="141"/>
      <c r="E871" s="143"/>
      <c r="F871" s="150"/>
      <c r="G871" s="150"/>
      <c r="H871" s="145"/>
      <c r="I871" s="145"/>
    </row>
    <row r="872" spans="1:9" ht="24.95" hidden="1" customHeight="1">
      <c r="A872" s="141"/>
      <c r="B872" s="141"/>
      <c r="C872" s="143"/>
      <c r="D872" s="141"/>
      <c r="E872" s="143"/>
      <c r="F872" s="150"/>
      <c r="G872" s="150"/>
      <c r="H872" s="145"/>
      <c r="I872" s="145"/>
    </row>
    <row r="873" spans="1:9" ht="24.95" hidden="1" customHeight="1">
      <c r="A873" s="141"/>
      <c r="B873" s="141"/>
      <c r="C873" s="143"/>
      <c r="D873" s="141"/>
      <c r="E873" s="143"/>
      <c r="F873" s="150"/>
      <c r="G873" s="150"/>
      <c r="H873" s="145"/>
      <c r="I873" s="145"/>
    </row>
    <row r="874" spans="1:9" ht="24.95" hidden="1" customHeight="1">
      <c r="A874" s="141"/>
      <c r="B874" s="141"/>
      <c r="C874" s="143"/>
      <c r="D874" s="141"/>
      <c r="E874" s="143"/>
      <c r="F874" s="150"/>
      <c r="G874" s="150"/>
      <c r="H874" s="145"/>
      <c r="I874" s="145"/>
    </row>
    <row r="875" spans="1:9" ht="24.95" hidden="1" customHeight="1">
      <c r="A875" s="141"/>
      <c r="B875" s="141"/>
      <c r="C875" s="143"/>
      <c r="D875" s="141"/>
      <c r="E875" s="143"/>
      <c r="F875" s="150"/>
      <c r="G875" s="150"/>
      <c r="H875" s="145"/>
      <c r="I875" s="145"/>
    </row>
    <row r="876" spans="1:9" ht="24.95" hidden="1" customHeight="1">
      <c r="A876" s="141"/>
      <c r="B876" s="141"/>
      <c r="C876" s="143"/>
      <c r="D876" s="141"/>
      <c r="E876" s="143"/>
      <c r="F876" s="150"/>
      <c r="G876" s="150"/>
      <c r="H876" s="145"/>
      <c r="I876" s="145"/>
    </row>
    <row r="877" spans="1:9" ht="24.95" hidden="1" customHeight="1">
      <c r="A877" s="141"/>
      <c r="B877" s="141"/>
      <c r="C877" s="143"/>
      <c r="D877" s="141"/>
      <c r="E877" s="143"/>
      <c r="F877" s="150"/>
      <c r="G877" s="150"/>
      <c r="H877" s="145"/>
      <c r="I877" s="145"/>
    </row>
    <row r="878" spans="1:9" ht="24.95" hidden="1" customHeight="1">
      <c r="A878" s="141"/>
      <c r="B878" s="141"/>
      <c r="C878" s="143"/>
      <c r="D878" s="141"/>
      <c r="E878" s="143"/>
      <c r="F878" s="150"/>
      <c r="G878" s="150"/>
      <c r="H878" s="145"/>
      <c r="I878" s="145"/>
    </row>
    <row r="879" spans="1:9" ht="24.95" hidden="1" customHeight="1">
      <c r="A879" s="141"/>
      <c r="B879" s="141"/>
      <c r="C879" s="143"/>
      <c r="D879" s="141"/>
      <c r="E879" s="143"/>
      <c r="F879" s="150"/>
      <c r="G879" s="150"/>
      <c r="H879" s="145"/>
      <c r="I879" s="145"/>
    </row>
    <row r="880" spans="1:9" ht="24.95" hidden="1" customHeight="1">
      <c r="A880" s="141"/>
      <c r="B880" s="141"/>
      <c r="C880" s="143"/>
      <c r="D880" s="141"/>
      <c r="E880" s="143"/>
      <c r="F880" s="150"/>
      <c r="G880" s="150"/>
      <c r="H880" s="145"/>
      <c r="I880" s="145"/>
    </row>
    <row r="881" spans="1:9" ht="24.95" hidden="1" customHeight="1">
      <c r="A881" s="141"/>
      <c r="B881" s="141"/>
      <c r="C881" s="143"/>
      <c r="D881" s="141"/>
      <c r="E881" s="143"/>
      <c r="F881" s="150"/>
      <c r="G881" s="150"/>
      <c r="H881" s="145"/>
      <c r="I881" s="145"/>
    </row>
    <row r="882" spans="1:9" ht="24.95" hidden="1" customHeight="1">
      <c r="A882" s="141"/>
      <c r="B882" s="141"/>
      <c r="C882" s="143"/>
      <c r="D882" s="141"/>
      <c r="E882" s="143"/>
      <c r="F882" s="150"/>
      <c r="G882" s="150"/>
      <c r="H882" s="145"/>
      <c r="I882" s="145"/>
    </row>
    <row r="883" spans="1:9" ht="24.95" hidden="1" customHeight="1">
      <c r="A883" s="141"/>
      <c r="B883" s="141"/>
      <c r="C883" s="143"/>
      <c r="D883" s="141"/>
      <c r="E883" s="143"/>
      <c r="F883" s="150"/>
      <c r="G883" s="150"/>
      <c r="H883" s="145"/>
      <c r="I883" s="145"/>
    </row>
    <row r="884" spans="1:9" ht="24.95" hidden="1" customHeight="1">
      <c r="A884" s="141"/>
      <c r="B884" s="141"/>
      <c r="C884" s="143"/>
      <c r="D884" s="141"/>
      <c r="E884" s="143"/>
      <c r="F884" s="150"/>
      <c r="G884" s="150"/>
      <c r="H884" s="145"/>
      <c r="I884" s="145"/>
    </row>
    <row r="885" spans="1:9" ht="24.95" hidden="1" customHeight="1">
      <c r="A885" s="141"/>
      <c r="B885" s="141"/>
      <c r="C885" s="143"/>
      <c r="D885" s="141"/>
      <c r="E885" s="143"/>
      <c r="F885" s="150"/>
      <c r="G885" s="150"/>
      <c r="H885" s="145"/>
      <c r="I885" s="145"/>
    </row>
    <row r="886" spans="1:9" ht="24.95" hidden="1" customHeight="1">
      <c r="A886" s="141"/>
      <c r="B886" s="141"/>
      <c r="C886" s="143"/>
      <c r="D886" s="141"/>
      <c r="E886" s="143"/>
      <c r="F886" s="150"/>
      <c r="G886" s="150"/>
      <c r="H886" s="145"/>
      <c r="I886" s="145"/>
    </row>
    <row r="887" spans="1:9" ht="24.95" hidden="1" customHeight="1">
      <c r="A887" s="141"/>
      <c r="B887" s="141"/>
      <c r="C887" s="143"/>
      <c r="D887" s="141"/>
      <c r="E887" s="143"/>
      <c r="F887" s="150"/>
      <c r="G887" s="150"/>
      <c r="H887" s="145"/>
      <c r="I887" s="145"/>
    </row>
    <row r="888" spans="1:9" ht="24.95" hidden="1" customHeight="1">
      <c r="A888" s="141"/>
      <c r="B888" s="141"/>
      <c r="C888" s="143"/>
      <c r="D888" s="141"/>
      <c r="E888" s="143"/>
      <c r="F888" s="150"/>
      <c r="G888" s="150"/>
      <c r="H888" s="145"/>
      <c r="I888" s="145"/>
    </row>
    <row r="889" spans="1:9" ht="24.95" hidden="1" customHeight="1">
      <c r="A889" s="141"/>
      <c r="B889" s="141"/>
      <c r="C889" s="143"/>
      <c r="D889" s="141"/>
      <c r="E889" s="143"/>
      <c r="F889" s="150"/>
      <c r="G889" s="150"/>
      <c r="H889" s="145"/>
      <c r="I889" s="145"/>
    </row>
    <row r="890" spans="1:9" ht="24.95" hidden="1" customHeight="1">
      <c r="A890" s="141"/>
      <c r="B890" s="141"/>
      <c r="C890" s="143"/>
      <c r="D890" s="141"/>
      <c r="E890" s="143"/>
      <c r="F890" s="150"/>
      <c r="G890" s="150"/>
      <c r="H890" s="145"/>
      <c r="I890" s="145"/>
    </row>
    <row r="891" spans="1:9" ht="24.95" hidden="1" customHeight="1">
      <c r="A891" s="141"/>
      <c r="B891" s="141"/>
      <c r="C891" s="143"/>
      <c r="D891" s="141"/>
      <c r="E891" s="143"/>
      <c r="F891" s="150"/>
      <c r="G891" s="150"/>
      <c r="H891" s="145"/>
      <c r="I891" s="145"/>
    </row>
    <row r="892" spans="1:9" ht="24.95" hidden="1" customHeight="1">
      <c r="A892" s="141"/>
      <c r="B892" s="141"/>
      <c r="C892" s="143"/>
      <c r="D892" s="141"/>
      <c r="E892" s="143"/>
      <c r="F892" s="150"/>
      <c r="G892" s="150"/>
      <c r="H892" s="145"/>
      <c r="I892" s="145"/>
    </row>
    <row r="893" spans="1:9" ht="24.95" hidden="1" customHeight="1">
      <c r="A893" s="141"/>
      <c r="B893" s="141"/>
      <c r="C893" s="143"/>
      <c r="D893" s="141"/>
      <c r="E893" s="143"/>
      <c r="F893" s="150"/>
      <c r="G893" s="150"/>
      <c r="H893" s="145"/>
      <c r="I893" s="145"/>
    </row>
    <row r="894" spans="1:9" ht="24.95" hidden="1" customHeight="1">
      <c r="A894" s="141"/>
      <c r="B894" s="141"/>
      <c r="C894" s="143"/>
      <c r="D894" s="141"/>
      <c r="E894" s="143"/>
      <c r="F894" s="150"/>
      <c r="G894" s="150"/>
      <c r="H894" s="145"/>
      <c r="I894" s="145"/>
    </row>
    <row r="895" spans="1:9" ht="24.95" hidden="1" customHeight="1">
      <c r="A895" s="141"/>
      <c r="B895" s="141"/>
      <c r="C895" s="143"/>
      <c r="D895" s="141"/>
      <c r="E895" s="143"/>
      <c r="F895" s="150"/>
      <c r="G895" s="150"/>
      <c r="H895" s="145"/>
      <c r="I895" s="145"/>
    </row>
    <row r="896" spans="1:9" ht="24.95" hidden="1" customHeight="1">
      <c r="A896" s="141"/>
      <c r="B896" s="141"/>
      <c r="C896" s="143"/>
      <c r="D896" s="141"/>
      <c r="E896" s="143"/>
      <c r="F896" s="150"/>
      <c r="G896" s="150"/>
      <c r="H896" s="145"/>
      <c r="I896" s="145"/>
    </row>
    <row r="897" spans="1:9" ht="24.95" hidden="1" customHeight="1">
      <c r="A897" s="141"/>
      <c r="B897" s="141"/>
      <c r="C897" s="143"/>
      <c r="D897" s="141"/>
      <c r="E897" s="143"/>
      <c r="F897" s="150"/>
      <c r="G897" s="150"/>
      <c r="H897" s="145"/>
      <c r="I897" s="145"/>
    </row>
    <row r="898" spans="1:9" ht="24.95" hidden="1" customHeight="1">
      <c r="A898" s="141"/>
      <c r="B898" s="141"/>
      <c r="C898" s="143"/>
      <c r="D898" s="141"/>
      <c r="E898" s="143"/>
      <c r="F898" s="150"/>
      <c r="G898" s="150"/>
      <c r="H898" s="145"/>
      <c r="I898" s="145"/>
    </row>
    <row r="899" spans="1:9" ht="24.95" hidden="1" customHeight="1">
      <c r="A899" s="141"/>
      <c r="B899" s="141"/>
      <c r="C899" s="143"/>
      <c r="D899" s="141"/>
      <c r="E899" s="143"/>
      <c r="F899" s="150"/>
      <c r="G899" s="150"/>
      <c r="H899" s="145"/>
      <c r="I899" s="145"/>
    </row>
    <row r="900" spans="1:9" ht="24.95" hidden="1" customHeight="1">
      <c r="A900" s="141"/>
      <c r="B900" s="141"/>
      <c r="C900" s="143"/>
      <c r="D900" s="141"/>
      <c r="E900" s="143"/>
      <c r="F900" s="150"/>
      <c r="G900" s="150"/>
      <c r="H900" s="145"/>
      <c r="I900" s="145"/>
    </row>
    <row r="901" spans="1:9" ht="24.95" hidden="1" customHeight="1">
      <c r="A901" s="141"/>
      <c r="B901" s="141"/>
      <c r="C901" s="143"/>
      <c r="D901" s="141"/>
      <c r="E901" s="143"/>
      <c r="F901" s="150"/>
      <c r="G901" s="150"/>
      <c r="H901" s="145"/>
      <c r="I901" s="145"/>
    </row>
    <row r="902" spans="1:9" ht="24.95" hidden="1" customHeight="1">
      <c r="A902" s="141"/>
      <c r="B902" s="141"/>
      <c r="C902" s="143"/>
      <c r="D902" s="141"/>
      <c r="E902" s="143"/>
      <c r="F902" s="150"/>
      <c r="G902" s="150"/>
      <c r="H902" s="145"/>
      <c r="I902" s="145"/>
    </row>
    <row r="903" spans="1:9" ht="24.95" hidden="1" customHeight="1">
      <c r="A903" s="141"/>
      <c r="B903" s="141"/>
      <c r="C903" s="143"/>
      <c r="D903" s="141"/>
      <c r="E903" s="143"/>
      <c r="F903" s="150"/>
      <c r="G903" s="150"/>
      <c r="H903" s="145"/>
      <c r="I903" s="145"/>
    </row>
    <row r="904" spans="1:9" ht="24.95" hidden="1" customHeight="1">
      <c r="A904" s="141"/>
      <c r="B904" s="141"/>
      <c r="C904" s="143"/>
      <c r="D904" s="141"/>
      <c r="E904" s="143"/>
      <c r="F904" s="150"/>
      <c r="G904" s="150"/>
      <c r="H904" s="145"/>
      <c r="I904" s="145"/>
    </row>
    <row r="905" spans="1:9" ht="24.95" hidden="1" customHeight="1">
      <c r="A905" s="141"/>
      <c r="B905" s="141"/>
      <c r="C905" s="143"/>
      <c r="D905" s="141"/>
      <c r="E905" s="143"/>
      <c r="F905" s="150"/>
      <c r="G905" s="150"/>
      <c r="H905" s="145"/>
      <c r="I905" s="145"/>
    </row>
    <row r="906" spans="1:9" ht="24.95" hidden="1" customHeight="1">
      <c r="A906" s="141"/>
      <c r="B906" s="141"/>
      <c r="C906" s="143"/>
      <c r="D906" s="141"/>
      <c r="E906" s="143"/>
      <c r="F906" s="150"/>
      <c r="G906" s="150"/>
      <c r="H906" s="145"/>
      <c r="I906" s="145"/>
    </row>
    <row r="907" spans="1:9" ht="24.95" hidden="1" customHeight="1">
      <c r="A907" s="141"/>
      <c r="B907" s="141"/>
      <c r="C907" s="143"/>
      <c r="D907" s="141"/>
      <c r="E907" s="143"/>
      <c r="F907" s="150"/>
      <c r="G907" s="150"/>
      <c r="H907" s="145"/>
      <c r="I907" s="145"/>
    </row>
    <row r="908" spans="1:9" ht="24.95" hidden="1" customHeight="1">
      <c r="A908" s="141"/>
      <c r="B908" s="141"/>
      <c r="C908" s="143"/>
      <c r="D908" s="141"/>
      <c r="E908" s="143"/>
      <c r="F908" s="150"/>
      <c r="G908" s="150"/>
      <c r="H908" s="145"/>
      <c r="I908" s="145"/>
    </row>
    <row r="909" spans="1:9" ht="24.95" hidden="1" customHeight="1">
      <c r="A909" s="141"/>
      <c r="B909" s="141"/>
      <c r="C909" s="143"/>
      <c r="D909" s="141"/>
      <c r="E909" s="143"/>
      <c r="F909" s="150"/>
      <c r="G909" s="150"/>
      <c r="H909" s="145"/>
      <c r="I909" s="145"/>
    </row>
    <row r="910" spans="1:9" ht="24.95" hidden="1" customHeight="1">
      <c r="A910" s="141"/>
      <c r="B910" s="141"/>
      <c r="C910" s="143"/>
      <c r="D910" s="141"/>
      <c r="E910" s="143"/>
      <c r="F910" s="150"/>
      <c r="G910" s="150"/>
      <c r="H910" s="145"/>
      <c r="I910" s="145"/>
    </row>
    <row r="911" spans="1:9" ht="24.95" hidden="1" customHeight="1">
      <c r="A911" s="141"/>
      <c r="B911" s="141"/>
      <c r="C911" s="143"/>
      <c r="D911" s="141"/>
      <c r="E911" s="143"/>
      <c r="F911" s="150"/>
      <c r="G911" s="150"/>
      <c r="H911" s="145"/>
      <c r="I911" s="145"/>
    </row>
    <row r="912" spans="1:9" ht="24.95" hidden="1" customHeight="1">
      <c r="A912" s="141"/>
      <c r="B912" s="141"/>
      <c r="C912" s="143"/>
      <c r="D912" s="141"/>
      <c r="E912" s="143"/>
      <c r="F912" s="150"/>
      <c r="G912" s="150"/>
      <c r="H912" s="145"/>
      <c r="I912" s="145"/>
    </row>
    <row r="913" spans="1:9" ht="24.95" hidden="1" customHeight="1">
      <c r="A913" s="141"/>
      <c r="B913" s="141"/>
      <c r="C913" s="143"/>
      <c r="D913" s="141"/>
      <c r="E913" s="143"/>
      <c r="F913" s="150"/>
      <c r="G913" s="150"/>
      <c r="H913" s="145"/>
      <c r="I913" s="145"/>
    </row>
    <row r="914" spans="1:9" ht="24.95" hidden="1" customHeight="1">
      <c r="A914" s="141"/>
      <c r="B914" s="141"/>
      <c r="C914" s="143"/>
      <c r="D914" s="141"/>
      <c r="E914" s="143"/>
      <c r="F914" s="150"/>
      <c r="G914" s="150"/>
      <c r="H914" s="145"/>
      <c r="I914" s="145"/>
    </row>
    <row r="915" spans="1:9" ht="24.95" hidden="1" customHeight="1">
      <c r="A915" s="141"/>
      <c r="B915" s="141"/>
      <c r="C915" s="143"/>
      <c r="D915" s="141"/>
      <c r="E915" s="143"/>
      <c r="F915" s="150"/>
      <c r="G915" s="150"/>
      <c r="H915" s="145"/>
      <c r="I915" s="145"/>
    </row>
    <row r="916" spans="1:9" ht="24.95" hidden="1" customHeight="1">
      <c r="A916" s="141"/>
      <c r="B916" s="141"/>
      <c r="C916" s="143"/>
      <c r="D916" s="141"/>
      <c r="E916" s="143"/>
      <c r="F916" s="150"/>
      <c r="G916" s="150"/>
      <c r="H916" s="145"/>
      <c r="I916" s="145"/>
    </row>
    <row r="917" spans="1:9" ht="24.95" hidden="1" customHeight="1">
      <c r="A917" s="141"/>
      <c r="B917" s="141"/>
      <c r="C917" s="143"/>
      <c r="D917" s="141"/>
      <c r="E917" s="143"/>
      <c r="F917" s="150"/>
      <c r="G917" s="150"/>
      <c r="H917" s="145"/>
      <c r="I917" s="145"/>
    </row>
    <row r="918" spans="1:9" ht="24.95" hidden="1" customHeight="1">
      <c r="A918" s="141"/>
      <c r="B918" s="141"/>
      <c r="C918" s="143"/>
      <c r="D918" s="141"/>
      <c r="E918" s="143"/>
      <c r="F918" s="150"/>
      <c r="G918" s="150"/>
      <c r="H918" s="145"/>
      <c r="I918" s="145"/>
    </row>
    <row r="919" spans="1:9" ht="24.95" hidden="1" customHeight="1">
      <c r="A919" s="141"/>
      <c r="B919" s="141"/>
      <c r="C919" s="143"/>
      <c r="D919" s="141"/>
      <c r="E919" s="143"/>
      <c r="F919" s="150"/>
      <c r="G919" s="150"/>
      <c r="H919" s="145"/>
      <c r="I919" s="145"/>
    </row>
    <row r="920" spans="1:9" ht="24.95" hidden="1" customHeight="1">
      <c r="A920" s="141"/>
      <c r="B920" s="141"/>
      <c r="C920" s="143"/>
      <c r="D920" s="141"/>
      <c r="E920" s="143"/>
      <c r="F920" s="150"/>
      <c r="G920" s="150"/>
      <c r="H920" s="145"/>
      <c r="I920" s="145"/>
    </row>
    <row r="921" spans="1:9" ht="24.95" hidden="1" customHeight="1">
      <c r="A921" s="141"/>
      <c r="B921" s="141"/>
      <c r="C921" s="143"/>
      <c r="D921" s="141"/>
      <c r="E921" s="143"/>
      <c r="F921" s="150"/>
      <c r="G921" s="150"/>
      <c r="H921" s="145"/>
      <c r="I921" s="145"/>
    </row>
    <row r="922" spans="1:9" ht="24.95" hidden="1" customHeight="1">
      <c r="A922" s="141"/>
      <c r="B922" s="141"/>
      <c r="C922" s="143"/>
      <c r="D922" s="141"/>
      <c r="E922" s="143"/>
      <c r="F922" s="150"/>
      <c r="G922" s="150"/>
      <c r="H922" s="145"/>
      <c r="I922" s="145"/>
    </row>
    <row r="923" spans="1:9" ht="24.95" hidden="1" customHeight="1">
      <c r="A923" s="141"/>
      <c r="B923" s="141"/>
      <c r="C923" s="143"/>
      <c r="D923" s="141"/>
      <c r="E923" s="143"/>
      <c r="F923" s="150"/>
      <c r="G923" s="150"/>
      <c r="H923" s="145"/>
      <c r="I923" s="145"/>
    </row>
    <row r="924" spans="1:9" ht="24.95" hidden="1" customHeight="1">
      <c r="A924" s="141"/>
      <c r="B924" s="141"/>
      <c r="C924" s="143"/>
      <c r="D924" s="141"/>
      <c r="E924" s="143"/>
      <c r="F924" s="150"/>
      <c r="G924" s="150"/>
      <c r="H924" s="145"/>
      <c r="I924" s="145"/>
    </row>
    <row r="925" spans="1:9" ht="24.95" hidden="1" customHeight="1">
      <c r="A925" s="141"/>
      <c r="B925" s="141"/>
      <c r="C925" s="143"/>
      <c r="D925" s="141"/>
      <c r="E925" s="143"/>
      <c r="F925" s="150"/>
      <c r="G925" s="150"/>
      <c r="H925" s="145"/>
      <c r="I925" s="145"/>
    </row>
    <row r="926" spans="1:9" ht="24.95" hidden="1" customHeight="1">
      <c r="A926" s="141"/>
      <c r="B926" s="141"/>
      <c r="C926" s="143"/>
      <c r="D926" s="141"/>
      <c r="E926" s="143"/>
      <c r="F926" s="150"/>
      <c r="G926" s="150"/>
      <c r="H926" s="145"/>
      <c r="I926" s="145"/>
    </row>
    <row r="927" spans="1:9" ht="24.95" hidden="1" customHeight="1">
      <c r="A927" s="141"/>
      <c r="B927" s="141"/>
      <c r="C927" s="143"/>
      <c r="D927" s="141"/>
      <c r="E927" s="143"/>
      <c r="F927" s="150"/>
      <c r="G927" s="150"/>
      <c r="H927" s="145"/>
      <c r="I927" s="145"/>
    </row>
    <row r="928" spans="1:9" ht="24.95" hidden="1" customHeight="1">
      <c r="A928" s="141"/>
      <c r="B928" s="141"/>
      <c r="C928" s="143"/>
      <c r="D928" s="141"/>
      <c r="E928" s="143"/>
      <c r="F928" s="150"/>
      <c r="G928" s="150"/>
      <c r="H928" s="145"/>
      <c r="I928" s="145"/>
    </row>
    <row r="929" spans="1:9" ht="24.95" hidden="1" customHeight="1">
      <c r="A929" s="141"/>
      <c r="B929" s="141"/>
      <c r="C929" s="143"/>
      <c r="D929" s="141"/>
      <c r="E929" s="143"/>
      <c r="F929" s="150"/>
      <c r="G929" s="150"/>
      <c r="H929" s="145"/>
      <c r="I929" s="145"/>
    </row>
    <row r="930" spans="1:9" ht="24.95" hidden="1" customHeight="1">
      <c r="A930" s="141"/>
      <c r="B930" s="141"/>
      <c r="C930" s="143"/>
      <c r="D930" s="141"/>
      <c r="E930" s="143"/>
      <c r="F930" s="150"/>
      <c r="G930" s="150"/>
      <c r="H930" s="145"/>
      <c r="I930" s="145"/>
    </row>
    <row r="931" spans="1:9" ht="24.95" hidden="1" customHeight="1">
      <c r="A931" s="141"/>
      <c r="B931" s="141"/>
      <c r="C931" s="143"/>
      <c r="D931" s="141"/>
      <c r="E931" s="143"/>
      <c r="F931" s="150"/>
      <c r="G931" s="150"/>
      <c r="H931" s="145"/>
      <c r="I931" s="145"/>
    </row>
    <row r="932" spans="1:9" ht="24.95" hidden="1" customHeight="1">
      <c r="A932" s="141"/>
      <c r="B932" s="141"/>
      <c r="C932" s="143"/>
      <c r="D932" s="141"/>
      <c r="E932" s="143"/>
      <c r="F932" s="150"/>
      <c r="G932" s="150"/>
      <c r="H932" s="145"/>
      <c r="I932" s="145"/>
    </row>
    <row r="933" spans="1:9" ht="24.95" hidden="1" customHeight="1">
      <c r="A933" s="141"/>
      <c r="B933" s="141"/>
      <c r="C933" s="143"/>
      <c r="D933" s="141"/>
      <c r="E933" s="143"/>
      <c r="F933" s="150"/>
      <c r="G933" s="150"/>
      <c r="H933" s="145"/>
      <c r="I933" s="145"/>
    </row>
    <row r="934" spans="1:9" ht="24.95" hidden="1" customHeight="1">
      <c r="A934" s="141"/>
      <c r="B934" s="141"/>
      <c r="C934" s="143"/>
      <c r="D934" s="141"/>
      <c r="E934" s="143"/>
      <c r="F934" s="150"/>
      <c r="G934" s="150"/>
      <c r="H934" s="145"/>
      <c r="I934" s="145"/>
    </row>
    <row r="935" spans="1:9" ht="24.95" hidden="1" customHeight="1">
      <c r="A935" s="141"/>
      <c r="B935" s="141"/>
      <c r="C935" s="143"/>
      <c r="D935" s="141"/>
      <c r="E935" s="143"/>
      <c r="F935" s="150"/>
      <c r="G935" s="150"/>
      <c r="H935" s="145"/>
      <c r="I935" s="145"/>
    </row>
    <row r="936" spans="1:9" ht="24.95" hidden="1" customHeight="1">
      <c r="A936" s="141"/>
      <c r="B936" s="141"/>
      <c r="C936" s="143"/>
      <c r="D936" s="141"/>
      <c r="E936" s="143"/>
      <c r="F936" s="150"/>
      <c r="G936" s="150"/>
      <c r="H936" s="145"/>
      <c r="I936" s="145"/>
    </row>
    <row r="937" spans="1:9" ht="24.95" hidden="1" customHeight="1">
      <c r="A937" s="141"/>
      <c r="B937" s="141"/>
      <c r="C937" s="143"/>
      <c r="D937" s="141"/>
      <c r="E937" s="143"/>
      <c r="F937" s="150"/>
      <c r="G937" s="150"/>
      <c r="H937" s="145"/>
      <c r="I937" s="145"/>
    </row>
    <row r="938" spans="1:9" ht="24.95" hidden="1" customHeight="1">
      <c r="A938" s="141"/>
      <c r="B938" s="141"/>
      <c r="C938" s="143"/>
      <c r="D938" s="141"/>
      <c r="E938" s="143"/>
      <c r="F938" s="150"/>
      <c r="G938" s="150"/>
      <c r="H938" s="145"/>
      <c r="I938" s="145"/>
    </row>
    <row r="939" spans="1:9" ht="24.95" hidden="1" customHeight="1">
      <c r="A939" s="141"/>
      <c r="B939" s="141"/>
      <c r="C939" s="143"/>
      <c r="D939" s="141"/>
      <c r="E939" s="143"/>
      <c r="F939" s="150"/>
      <c r="G939" s="150"/>
      <c r="H939" s="145"/>
      <c r="I939" s="145"/>
    </row>
    <row r="940" spans="1:9" ht="24.95" hidden="1" customHeight="1">
      <c r="A940" s="141"/>
      <c r="B940" s="141"/>
      <c r="C940" s="143"/>
      <c r="D940" s="141"/>
      <c r="E940" s="143"/>
      <c r="F940" s="150"/>
      <c r="G940" s="150"/>
      <c r="H940" s="145"/>
      <c r="I940" s="145"/>
    </row>
    <row r="941" spans="1:9" ht="24.95" hidden="1" customHeight="1">
      <c r="A941" s="141"/>
      <c r="B941" s="141"/>
      <c r="C941" s="143"/>
      <c r="D941" s="141"/>
      <c r="E941" s="143"/>
      <c r="F941" s="150"/>
      <c r="G941" s="150"/>
      <c r="H941" s="145"/>
      <c r="I941" s="145"/>
    </row>
    <row r="942" spans="1:9" ht="24.95" hidden="1" customHeight="1">
      <c r="A942" s="141"/>
      <c r="B942" s="141"/>
      <c r="C942" s="143"/>
      <c r="D942" s="141"/>
      <c r="E942" s="143"/>
      <c r="F942" s="150"/>
      <c r="G942" s="150"/>
      <c r="H942" s="145"/>
      <c r="I942" s="145"/>
    </row>
    <row r="943" spans="1:9" ht="24.95" hidden="1" customHeight="1">
      <c r="A943" s="141"/>
      <c r="B943" s="141"/>
      <c r="C943" s="143"/>
      <c r="D943" s="141"/>
      <c r="E943" s="143"/>
      <c r="F943" s="150"/>
      <c r="G943" s="150"/>
      <c r="H943" s="145"/>
      <c r="I943" s="145"/>
    </row>
    <row r="944" spans="1:9" ht="24.95" hidden="1" customHeight="1">
      <c r="A944" s="141"/>
      <c r="B944" s="141"/>
      <c r="C944" s="143"/>
      <c r="D944" s="141"/>
      <c r="E944" s="143"/>
      <c r="F944" s="150"/>
      <c r="G944" s="150"/>
      <c r="H944" s="145"/>
      <c r="I944" s="145"/>
    </row>
    <row r="945" spans="1:9" ht="24.95" hidden="1" customHeight="1">
      <c r="A945" s="141"/>
      <c r="B945" s="141"/>
      <c r="C945" s="143"/>
      <c r="D945" s="141"/>
      <c r="E945" s="143"/>
      <c r="F945" s="150"/>
      <c r="G945" s="150"/>
      <c r="H945" s="145"/>
      <c r="I945" s="145"/>
    </row>
    <row r="946" spans="1:9" ht="24.95" hidden="1" customHeight="1">
      <c r="A946" s="141"/>
      <c r="B946" s="141"/>
      <c r="C946" s="143"/>
      <c r="D946" s="141"/>
      <c r="E946" s="143"/>
      <c r="F946" s="150"/>
      <c r="G946" s="150"/>
      <c r="H946" s="145"/>
      <c r="I946" s="145"/>
    </row>
    <row r="947" spans="1:9" ht="24.95" hidden="1" customHeight="1">
      <c r="A947" s="141"/>
      <c r="B947" s="141"/>
      <c r="C947" s="143"/>
      <c r="D947" s="141"/>
      <c r="E947" s="143"/>
      <c r="F947" s="150"/>
      <c r="G947" s="150"/>
      <c r="H947" s="145"/>
      <c r="I947" s="145"/>
    </row>
    <row r="948" spans="1:9" ht="24.95" hidden="1" customHeight="1">
      <c r="A948" s="141"/>
      <c r="B948" s="141"/>
      <c r="C948" s="143"/>
      <c r="D948" s="141"/>
      <c r="E948" s="143"/>
      <c r="F948" s="150"/>
      <c r="G948" s="150"/>
      <c r="H948" s="145"/>
      <c r="I948" s="145"/>
    </row>
    <row r="949" spans="1:9" ht="24.95" hidden="1" customHeight="1">
      <c r="A949" s="141"/>
      <c r="B949" s="141"/>
      <c r="C949" s="143"/>
      <c r="D949" s="141"/>
      <c r="E949" s="143"/>
      <c r="F949" s="150"/>
      <c r="G949" s="150"/>
      <c r="H949" s="145"/>
      <c r="I949" s="145"/>
    </row>
    <row r="950" spans="1:9" ht="24.95" hidden="1" customHeight="1">
      <c r="A950" s="141"/>
      <c r="B950" s="141"/>
      <c r="C950" s="143"/>
      <c r="D950" s="141"/>
      <c r="E950" s="143"/>
      <c r="F950" s="150"/>
      <c r="G950" s="150"/>
      <c r="H950" s="145"/>
      <c r="I950" s="145"/>
    </row>
    <row r="951" spans="1:9" ht="24.95" hidden="1" customHeight="1">
      <c r="A951" s="141"/>
      <c r="B951" s="141"/>
      <c r="C951" s="143"/>
      <c r="D951" s="141"/>
      <c r="E951" s="143"/>
      <c r="F951" s="150"/>
      <c r="G951" s="150"/>
      <c r="H951" s="145"/>
      <c r="I951" s="145"/>
    </row>
    <row r="952" spans="1:9" ht="24.95" hidden="1" customHeight="1">
      <c r="A952" s="141"/>
      <c r="B952" s="141"/>
      <c r="C952" s="143"/>
      <c r="D952" s="141"/>
      <c r="E952" s="143"/>
      <c r="F952" s="150"/>
      <c r="G952" s="150"/>
      <c r="H952" s="145"/>
      <c r="I952" s="145"/>
    </row>
    <row r="953" spans="1:9" ht="24.95" hidden="1" customHeight="1">
      <c r="A953" s="141"/>
      <c r="B953" s="141"/>
      <c r="C953" s="143"/>
      <c r="D953" s="141"/>
      <c r="E953" s="143"/>
      <c r="F953" s="150"/>
      <c r="G953" s="150"/>
      <c r="H953" s="145"/>
      <c r="I953" s="145"/>
    </row>
    <row r="954" spans="1:9" ht="24.95" hidden="1" customHeight="1">
      <c r="A954" s="141"/>
      <c r="B954" s="141"/>
      <c r="C954" s="143"/>
      <c r="D954" s="141"/>
      <c r="E954" s="143"/>
      <c r="F954" s="150"/>
      <c r="G954" s="150"/>
      <c r="H954" s="145"/>
      <c r="I954" s="145"/>
    </row>
    <row r="955" spans="1:9" ht="24.95" hidden="1" customHeight="1">
      <c r="A955" s="141"/>
      <c r="B955" s="141"/>
      <c r="C955" s="143"/>
      <c r="D955" s="141"/>
      <c r="E955" s="143"/>
      <c r="F955" s="150"/>
      <c r="G955" s="150"/>
      <c r="H955" s="145"/>
      <c r="I955" s="145"/>
    </row>
    <row r="956" spans="1:9" ht="24.95" hidden="1" customHeight="1">
      <c r="A956" s="141"/>
      <c r="B956" s="141"/>
      <c r="C956" s="143"/>
      <c r="D956" s="141"/>
      <c r="E956" s="143"/>
      <c r="F956" s="150"/>
      <c r="G956" s="150"/>
      <c r="H956" s="145"/>
      <c r="I956" s="145"/>
    </row>
    <row r="957" spans="1:9" ht="24.95" hidden="1" customHeight="1">
      <c r="A957" s="141"/>
      <c r="B957" s="141"/>
      <c r="C957" s="143"/>
      <c r="D957" s="141"/>
      <c r="E957" s="143"/>
      <c r="F957" s="150"/>
      <c r="G957" s="150"/>
      <c r="H957" s="145"/>
      <c r="I957" s="145"/>
    </row>
    <row r="958" spans="1:9" ht="24.95" hidden="1" customHeight="1">
      <c r="A958" s="141"/>
      <c r="B958" s="141"/>
      <c r="C958" s="143"/>
      <c r="D958" s="141"/>
      <c r="E958" s="143"/>
      <c r="F958" s="150"/>
      <c r="G958" s="150"/>
      <c r="H958" s="145"/>
      <c r="I958" s="145"/>
    </row>
    <row r="959" spans="1:9" ht="24.95" hidden="1" customHeight="1">
      <c r="A959" s="141"/>
      <c r="B959" s="141"/>
      <c r="C959" s="143"/>
      <c r="D959" s="141"/>
      <c r="E959" s="143"/>
      <c r="F959" s="150"/>
      <c r="G959" s="150"/>
      <c r="H959" s="145"/>
      <c r="I959" s="145"/>
    </row>
    <row r="960" spans="1:9" ht="24.95" hidden="1" customHeight="1">
      <c r="A960" s="141"/>
      <c r="B960" s="141"/>
      <c r="C960" s="143"/>
      <c r="D960" s="141"/>
      <c r="E960" s="143"/>
      <c r="F960" s="150"/>
      <c r="G960" s="150"/>
      <c r="H960" s="145"/>
      <c r="I960" s="145"/>
    </row>
    <row r="961" spans="1:9" ht="24.95" hidden="1" customHeight="1">
      <c r="A961" s="141"/>
      <c r="B961" s="141"/>
      <c r="C961" s="143"/>
      <c r="D961" s="141"/>
      <c r="E961" s="143"/>
      <c r="F961" s="150"/>
      <c r="G961" s="150"/>
      <c r="H961" s="145"/>
      <c r="I961" s="145"/>
    </row>
    <row r="962" spans="1:9" ht="24.95" hidden="1" customHeight="1">
      <c r="A962" s="141"/>
      <c r="B962" s="141"/>
      <c r="C962" s="143"/>
      <c r="D962" s="141"/>
      <c r="E962" s="143"/>
      <c r="F962" s="150"/>
      <c r="G962" s="150"/>
      <c r="H962" s="145"/>
      <c r="I962" s="145"/>
    </row>
    <row r="963" spans="1:9" ht="24.95" hidden="1" customHeight="1">
      <c r="A963" s="141"/>
      <c r="B963" s="141"/>
      <c r="C963" s="143"/>
      <c r="D963" s="141"/>
      <c r="E963" s="143"/>
      <c r="F963" s="150"/>
      <c r="G963" s="150"/>
      <c r="H963" s="145"/>
      <c r="I963" s="145"/>
    </row>
    <row r="964" spans="1:9" ht="24.95" hidden="1" customHeight="1">
      <c r="A964" s="141"/>
      <c r="B964" s="141"/>
      <c r="C964" s="143"/>
      <c r="D964" s="141"/>
      <c r="E964" s="143"/>
      <c r="F964" s="150"/>
      <c r="G964" s="150"/>
      <c r="H964" s="145"/>
      <c r="I964" s="145"/>
    </row>
    <row r="965" spans="1:9" ht="24.95" hidden="1" customHeight="1">
      <c r="A965" s="141"/>
      <c r="B965" s="141"/>
      <c r="C965" s="143"/>
      <c r="D965" s="141"/>
      <c r="E965" s="143"/>
      <c r="F965" s="150"/>
      <c r="G965" s="150"/>
      <c r="H965" s="145"/>
      <c r="I965" s="145"/>
    </row>
    <row r="966" spans="1:9" ht="24.95" hidden="1" customHeight="1">
      <c r="A966" s="141"/>
      <c r="B966" s="141"/>
      <c r="C966" s="143"/>
      <c r="D966" s="141"/>
      <c r="E966" s="143"/>
      <c r="F966" s="150"/>
      <c r="G966" s="150"/>
      <c r="H966" s="145"/>
      <c r="I966" s="145"/>
    </row>
    <row r="967" spans="1:9" ht="24.95" hidden="1" customHeight="1">
      <c r="A967" s="141"/>
      <c r="B967" s="141"/>
      <c r="C967" s="143"/>
      <c r="D967" s="141"/>
      <c r="E967" s="143"/>
      <c r="F967" s="150"/>
      <c r="G967" s="150"/>
      <c r="H967" s="145"/>
      <c r="I967" s="145"/>
    </row>
    <row r="968" spans="1:9" ht="24.95" hidden="1" customHeight="1">
      <c r="A968" s="141"/>
      <c r="B968" s="141"/>
      <c r="C968" s="143"/>
      <c r="D968" s="141"/>
      <c r="E968" s="143"/>
      <c r="F968" s="150"/>
      <c r="G968" s="150"/>
      <c r="H968" s="145"/>
      <c r="I968" s="145"/>
    </row>
    <row r="969" spans="1:9" ht="24.95" hidden="1" customHeight="1">
      <c r="A969" s="141"/>
      <c r="B969" s="141"/>
      <c r="C969" s="143"/>
      <c r="D969" s="141"/>
      <c r="E969" s="143"/>
      <c r="F969" s="150"/>
      <c r="G969" s="150"/>
      <c r="H969" s="145"/>
      <c r="I969" s="145"/>
    </row>
    <row r="970" spans="1:9" ht="24.95" hidden="1" customHeight="1">
      <c r="A970" s="141"/>
      <c r="B970" s="141"/>
      <c r="C970" s="143"/>
      <c r="D970" s="141"/>
      <c r="E970" s="143"/>
      <c r="F970" s="150"/>
      <c r="G970" s="150"/>
      <c r="H970" s="145"/>
      <c r="I970" s="145"/>
    </row>
    <row r="971" spans="1:9" ht="24.95" hidden="1" customHeight="1">
      <c r="A971" s="141"/>
      <c r="B971" s="141"/>
      <c r="C971" s="143"/>
      <c r="D971" s="141"/>
      <c r="E971" s="143"/>
      <c r="F971" s="150"/>
      <c r="G971" s="150"/>
      <c r="H971" s="145"/>
      <c r="I971" s="145"/>
    </row>
    <row r="972" spans="1:9" ht="24.95" hidden="1" customHeight="1">
      <c r="A972" s="141"/>
      <c r="B972" s="141"/>
      <c r="C972" s="143"/>
      <c r="D972" s="141"/>
      <c r="E972" s="143"/>
      <c r="F972" s="150"/>
      <c r="G972" s="150"/>
      <c r="H972" s="145"/>
      <c r="I972" s="145"/>
    </row>
    <row r="973" spans="1:9" ht="24.95" hidden="1" customHeight="1">
      <c r="A973" s="141"/>
      <c r="B973" s="141"/>
      <c r="C973" s="143"/>
      <c r="D973" s="141"/>
      <c r="E973" s="143"/>
      <c r="F973" s="150"/>
      <c r="G973" s="150"/>
      <c r="H973" s="145"/>
      <c r="I973" s="145"/>
    </row>
    <row r="974" spans="1:9" ht="24.95" hidden="1" customHeight="1">
      <c r="A974" s="141"/>
      <c r="B974" s="141"/>
      <c r="C974" s="143"/>
      <c r="D974" s="141"/>
      <c r="E974" s="143"/>
      <c r="F974" s="150"/>
      <c r="G974" s="150"/>
      <c r="H974" s="145"/>
      <c r="I974" s="145"/>
    </row>
    <row r="975" spans="1:9" ht="24.95" hidden="1" customHeight="1">
      <c r="A975" s="141"/>
      <c r="B975" s="141"/>
      <c r="C975" s="143"/>
      <c r="D975" s="141"/>
      <c r="E975" s="143"/>
      <c r="F975" s="150"/>
      <c r="G975" s="150"/>
      <c r="H975" s="145"/>
      <c r="I975" s="145"/>
    </row>
    <row r="976" spans="1:9" ht="24.95" hidden="1" customHeight="1">
      <c r="A976" s="141"/>
      <c r="B976" s="141"/>
      <c r="C976" s="143"/>
      <c r="D976" s="141"/>
      <c r="E976" s="143"/>
      <c r="F976" s="150"/>
      <c r="G976" s="150"/>
      <c r="H976" s="145"/>
      <c r="I976" s="145"/>
    </row>
    <row r="977" spans="1:9" ht="24.95" hidden="1" customHeight="1">
      <c r="A977" s="141"/>
      <c r="B977" s="141"/>
      <c r="C977" s="143"/>
      <c r="D977" s="141"/>
      <c r="E977" s="143"/>
      <c r="F977" s="150"/>
      <c r="G977" s="150"/>
      <c r="H977" s="145"/>
      <c r="I977" s="145"/>
    </row>
    <row r="978" spans="1:9" ht="24.95" hidden="1" customHeight="1">
      <c r="A978" s="141"/>
      <c r="B978" s="141"/>
      <c r="C978" s="143"/>
      <c r="D978" s="141"/>
      <c r="E978" s="143"/>
      <c r="F978" s="150"/>
      <c r="G978" s="150"/>
      <c r="H978" s="145"/>
      <c r="I978" s="145"/>
    </row>
    <row r="979" spans="1:9" ht="24.95" hidden="1" customHeight="1">
      <c r="A979" s="141"/>
      <c r="B979" s="141"/>
      <c r="C979" s="143"/>
      <c r="D979" s="141"/>
      <c r="E979" s="143"/>
      <c r="F979" s="150"/>
      <c r="G979" s="150"/>
      <c r="H979" s="145"/>
      <c r="I979" s="145"/>
    </row>
    <row r="980" spans="1:9" ht="24.95" hidden="1" customHeight="1">
      <c r="A980" s="141"/>
      <c r="B980" s="141"/>
      <c r="C980" s="143"/>
      <c r="D980" s="141"/>
      <c r="E980" s="143"/>
      <c r="F980" s="150"/>
      <c r="G980" s="150"/>
      <c r="H980" s="145"/>
      <c r="I980" s="145"/>
    </row>
    <row r="981" spans="1:9" ht="24.95" hidden="1" customHeight="1">
      <c r="A981" s="141"/>
      <c r="B981" s="141"/>
      <c r="C981" s="143"/>
      <c r="D981" s="141"/>
      <c r="E981" s="143"/>
      <c r="F981" s="150"/>
      <c r="G981" s="150"/>
      <c r="H981" s="145"/>
      <c r="I981" s="145"/>
    </row>
    <row r="982" spans="1:9" ht="24.95" hidden="1" customHeight="1">
      <c r="A982" s="141"/>
      <c r="B982" s="141"/>
      <c r="C982" s="143"/>
      <c r="D982" s="141"/>
      <c r="E982" s="143"/>
      <c r="F982" s="150"/>
      <c r="G982" s="150"/>
      <c r="H982" s="145"/>
      <c r="I982" s="145"/>
    </row>
    <row r="983" spans="1:9" ht="24.95" hidden="1" customHeight="1">
      <c r="A983" s="141"/>
      <c r="B983" s="141"/>
      <c r="C983" s="143"/>
      <c r="D983" s="141"/>
      <c r="E983" s="143"/>
      <c r="F983" s="150"/>
      <c r="G983" s="150"/>
      <c r="H983" s="145"/>
      <c r="I983" s="145"/>
    </row>
    <row r="984" spans="1:9" ht="24.95" hidden="1" customHeight="1">
      <c r="A984" s="141"/>
      <c r="B984" s="141"/>
      <c r="C984" s="143"/>
      <c r="D984" s="141"/>
      <c r="E984" s="143"/>
      <c r="F984" s="150"/>
      <c r="G984" s="150"/>
      <c r="H984" s="145"/>
      <c r="I984" s="145"/>
    </row>
    <row r="985" spans="1:9" ht="24.95" hidden="1" customHeight="1">
      <c r="A985" s="141"/>
      <c r="B985" s="141"/>
      <c r="C985" s="143"/>
      <c r="D985" s="141"/>
      <c r="E985" s="143"/>
      <c r="F985" s="150"/>
      <c r="G985" s="150"/>
      <c r="H985" s="145"/>
      <c r="I985" s="145"/>
    </row>
    <row r="986" spans="1:9" ht="24.95" hidden="1" customHeight="1">
      <c r="A986" s="141"/>
      <c r="B986" s="141"/>
      <c r="C986" s="143"/>
      <c r="D986" s="141"/>
      <c r="E986" s="143"/>
      <c r="F986" s="150"/>
      <c r="G986" s="150"/>
      <c r="H986" s="145"/>
      <c r="I986" s="145"/>
    </row>
    <row r="987" spans="1:9" ht="24.95" hidden="1" customHeight="1">
      <c r="A987" s="141"/>
      <c r="B987" s="141"/>
      <c r="C987" s="143"/>
      <c r="D987" s="141"/>
      <c r="E987" s="143"/>
      <c r="F987" s="150"/>
      <c r="G987" s="150"/>
      <c r="H987" s="145"/>
      <c r="I987" s="145"/>
    </row>
    <row r="988" spans="1:9" ht="24.95" hidden="1" customHeight="1">
      <c r="A988" s="141"/>
      <c r="B988" s="141"/>
      <c r="C988" s="143"/>
      <c r="D988" s="141"/>
      <c r="E988" s="143"/>
      <c r="F988" s="150"/>
      <c r="G988" s="150"/>
      <c r="H988" s="145"/>
      <c r="I988" s="145"/>
    </row>
    <row r="989" spans="1:9" ht="24.95" hidden="1" customHeight="1">
      <c r="A989" s="141"/>
      <c r="B989" s="141"/>
      <c r="C989" s="143"/>
      <c r="D989" s="141"/>
      <c r="E989" s="143"/>
      <c r="F989" s="150"/>
      <c r="G989" s="150"/>
      <c r="H989" s="145"/>
      <c r="I989" s="145"/>
    </row>
    <row r="990" spans="1:9" ht="24.95" hidden="1" customHeight="1">
      <c r="A990" s="141"/>
      <c r="B990" s="141"/>
      <c r="C990" s="143"/>
      <c r="D990" s="141"/>
      <c r="E990" s="143"/>
      <c r="F990" s="150"/>
      <c r="G990" s="150"/>
      <c r="H990" s="145"/>
      <c r="I990" s="145"/>
    </row>
    <row r="991" spans="1:9" ht="24.95" hidden="1" customHeight="1">
      <c r="A991" s="141"/>
      <c r="B991" s="141"/>
      <c r="C991" s="143"/>
      <c r="D991" s="141"/>
      <c r="E991" s="143"/>
      <c r="F991" s="150"/>
      <c r="G991" s="150"/>
      <c r="H991" s="145"/>
      <c r="I991" s="145"/>
    </row>
    <row r="992" spans="1:9" ht="24.95" hidden="1" customHeight="1">
      <c r="A992" s="141"/>
      <c r="B992" s="141"/>
      <c r="C992" s="143"/>
      <c r="D992" s="141"/>
      <c r="E992" s="143"/>
      <c r="F992" s="150"/>
      <c r="G992" s="150"/>
      <c r="H992" s="145"/>
      <c r="I992" s="145"/>
    </row>
    <row r="993" spans="1:9" ht="24.95" hidden="1" customHeight="1">
      <c r="A993" s="141"/>
      <c r="B993" s="141"/>
      <c r="C993" s="143"/>
      <c r="D993" s="141"/>
      <c r="E993" s="143"/>
      <c r="F993" s="150"/>
      <c r="G993" s="150"/>
      <c r="H993" s="145"/>
      <c r="I993" s="145"/>
    </row>
    <row r="994" spans="1:9" ht="24.95" hidden="1" customHeight="1">
      <c r="A994" s="141"/>
      <c r="B994" s="141"/>
      <c r="C994" s="143"/>
      <c r="D994" s="141"/>
      <c r="E994" s="143"/>
      <c r="F994" s="150"/>
      <c r="G994" s="150"/>
      <c r="H994" s="145"/>
      <c r="I994" s="145"/>
    </row>
    <row r="995" spans="1:9" ht="24.95" hidden="1" customHeight="1">
      <c r="A995" s="141"/>
      <c r="B995" s="141"/>
      <c r="C995" s="143"/>
      <c r="D995" s="141"/>
      <c r="E995" s="143"/>
      <c r="F995" s="150"/>
      <c r="G995" s="150"/>
      <c r="H995" s="145"/>
      <c r="I995" s="145"/>
    </row>
    <row r="996" spans="1:9" ht="24.95" hidden="1" customHeight="1">
      <c r="A996" s="141"/>
      <c r="B996" s="141"/>
      <c r="C996" s="143"/>
      <c r="D996" s="141"/>
      <c r="E996" s="143"/>
      <c r="F996" s="150"/>
      <c r="G996" s="150"/>
      <c r="H996" s="145"/>
      <c r="I996" s="145"/>
    </row>
    <row r="997" spans="1:9" ht="24.95" hidden="1" customHeight="1">
      <c r="A997" s="141"/>
      <c r="B997" s="141"/>
      <c r="C997" s="143"/>
      <c r="D997" s="141"/>
      <c r="E997" s="143"/>
      <c r="F997" s="150"/>
      <c r="G997" s="150"/>
      <c r="H997" s="145"/>
      <c r="I997" s="145"/>
    </row>
    <row r="998" spans="1:9" ht="24.95" hidden="1" customHeight="1">
      <c r="A998" s="141"/>
      <c r="B998" s="141"/>
      <c r="C998" s="143"/>
      <c r="D998" s="141"/>
      <c r="E998" s="143"/>
      <c r="F998" s="150"/>
      <c r="G998" s="150"/>
      <c r="H998" s="145"/>
      <c r="I998" s="145"/>
    </row>
    <row r="999" spans="1:9" ht="24.95" hidden="1" customHeight="1">
      <c r="A999" s="141"/>
      <c r="B999" s="141"/>
      <c r="C999" s="143"/>
      <c r="D999" s="141"/>
      <c r="E999" s="143"/>
      <c r="F999" s="150"/>
      <c r="G999" s="150"/>
      <c r="H999" s="145"/>
      <c r="I999" s="145"/>
    </row>
    <row r="1000" spans="1:9" ht="24.95" hidden="1" customHeight="1">
      <c r="A1000" s="141"/>
      <c r="B1000" s="141"/>
      <c r="C1000" s="143"/>
      <c r="D1000" s="141"/>
      <c r="E1000" s="143"/>
      <c r="F1000" s="150"/>
      <c r="G1000" s="150"/>
      <c r="H1000" s="145"/>
      <c r="I1000" s="145"/>
    </row>
    <row r="1001" spans="1:9" ht="24.95" hidden="1" customHeight="1">
      <c r="A1001" s="141"/>
      <c r="B1001" s="141"/>
      <c r="C1001" s="143"/>
      <c r="D1001" s="141"/>
      <c r="E1001" s="143"/>
      <c r="F1001" s="150"/>
      <c r="G1001" s="150"/>
      <c r="H1001" s="145"/>
      <c r="I1001" s="145"/>
    </row>
    <row r="1002" spans="1:9" ht="24.95" hidden="1" customHeight="1">
      <c r="A1002" s="141"/>
      <c r="B1002" s="141"/>
      <c r="C1002" s="143"/>
      <c r="D1002" s="141"/>
      <c r="E1002" s="143"/>
      <c r="F1002" s="150"/>
      <c r="G1002" s="150"/>
      <c r="H1002" s="145"/>
      <c r="I1002" s="145"/>
    </row>
    <row r="1003" spans="1:9" ht="24.95" hidden="1" customHeight="1">
      <c r="A1003" s="141"/>
      <c r="B1003" s="141"/>
      <c r="C1003" s="143"/>
      <c r="D1003" s="141"/>
      <c r="E1003" s="143"/>
      <c r="F1003" s="150"/>
      <c r="G1003" s="150"/>
      <c r="H1003" s="145"/>
      <c r="I1003" s="145"/>
    </row>
    <row r="1004" spans="1:9" ht="24.95" hidden="1" customHeight="1">
      <c r="A1004" s="141"/>
      <c r="B1004" s="141"/>
      <c r="C1004" s="143"/>
      <c r="D1004" s="141"/>
      <c r="E1004" s="143"/>
      <c r="F1004" s="150"/>
      <c r="G1004" s="150"/>
      <c r="H1004" s="145"/>
      <c r="I1004" s="145"/>
    </row>
    <row r="1005" spans="1:9" ht="24.95" hidden="1" customHeight="1">
      <c r="A1005" s="141"/>
      <c r="B1005" s="141"/>
      <c r="C1005" s="143"/>
      <c r="D1005" s="141"/>
      <c r="E1005" s="143"/>
      <c r="F1005" s="150"/>
      <c r="G1005" s="150"/>
      <c r="H1005" s="145"/>
      <c r="I1005" s="145"/>
    </row>
    <row r="1006" spans="1:9" ht="24.95" hidden="1" customHeight="1">
      <c r="A1006" s="141"/>
      <c r="B1006" s="141"/>
      <c r="C1006" s="143"/>
      <c r="D1006" s="141"/>
      <c r="E1006" s="143"/>
      <c r="F1006" s="150"/>
      <c r="G1006" s="150"/>
      <c r="H1006" s="145"/>
      <c r="I1006" s="145"/>
    </row>
    <row r="1007" spans="1:9" ht="24.95" hidden="1" customHeight="1">
      <c r="A1007" s="141"/>
      <c r="B1007" s="141"/>
      <c r="C1007" s="143"/>
      <c r="D1007" s="141"/>
      <c r="E1007" s="143"/>
      <c r="F1007" s="150"/>
      <c r="G1007" s="150"/>
      <c r="H1007" s="145"/>
      <c r="I1007" s="145"/>
    </row>
    <row r="1008" spans="1:9" ht="24.95" hidden="1" customHeight="1">
      <c r="A1008" s="141"/>
      <c r="B1008" s="141"/>
      <c r="C1008" s="143"/>
      <c r="D1008" s="141"/>
      <c r="E1008" s="143"/>
      <c r="F1008" s="150"/>
      <c r="G1008" s="150"/>
      <c r="H1008" s="145"/>
      <c r="I1008" s="145"/>
    </row>
    <row r="1009" spans="1:9" ht="24.95" hidden="1" customHeight="1">
      <c r="A1009" s="141"/>
      <c r="B1009" s="141"/>
      <c r="C1009" s="143"/>
      <c r="D1009" s="141"/>
      <c r="E1009" s="143"/>
      <c r="F1009" s="150"/>
      <c r="G1009" s="150"/>
      <c r="H1009" s="145"/>
      <c r="I1009" s="145"/>
    </row>
    <row r="1010" spans="1:9" ht="24.95" hidden="1" customHeight="1">
      <c r="A1010" s="141"/>
      <c r="B1010" s="141"/>
      <c r="C1010" s="143"/>
      <c r="D1010" s="141"/>
      <c r="E1010" s="143"/>
      <c r="F1010" s="150"/>
      <c r="G1010" s="150"/>
      <c r="H1010" s="145"/>
      <c r="I1010" s="145"/>
    </row>
    <row r="1011" spans="1:9" ht="24.95" hidden="1" customHeight="1">
      <c r="A1011" s="141"/>
      <c r="B1011" s="141"/>
      <c r="C1011" s="143"/>
      <c r="D1011" s="141"/>
      <c r="E1011" s="143"/>
      <c r="F1011" s="150"/>
      <c r="G1011" s="150"/>
      <c r="H1011" s="145"/>
      <c r="I1011" s="145"/>
    </row>
    <row r="1012" spans="1:9" ht="24.95" hidden="1" customHeight="1">
      <c r="A1012" s="141"/>
      <c r="B1012" s="141"/>
      <c r="C1012" s="143"/>
      <c r="D1012" s="141"/>
      <c r="E1012" s="143"/>
      <c r="F1012" s="150"/>
      <c r="G1012" s="150"/>
      <c r="H1012" s="145"/>
      <c r="I1012" s="145"/>
    </row>
    <row r="1013" spans="1:9" ht="24.95" hidden="1" customHeight="1">
      <c r="A1013" s="141"/>
      <c r="B1013" s="141"/>
      <c r="C1013" s="143"/>
      <c r="D1013" s="141"/>
      <c r="E1013" s="143"/>
      <c r="F1013" s="150"/>
      <c r="G1013" s="150"/>
      <c r="H1013" s="145"/>
      <c r="I1013" s="145"/>
    </row>
    <row r="1014" spans="1:9" ht="24.95" hidden="1" customHeight="1">
      <c r="A1014" s="141"/>
      <c r="B1014" s="141"/>
      <c r="C1014" s="143"/>
      <c r="D1014" s="141"/>
      <c r="E1014" s="143"/>
      <c r="F1014" s="150"/>
      <c r="G1014" s="150"/>
      <c r="H1014" s="145"/>
      <c r="I1014" s="145"/>
    </row>
    <row r="1015" spans="1:9" ht="24.95" hidden="1" customHeight="1">
      <c r="A1015" s="141"/>
      <c r="B1015" s="141"/>
      <c r="C1015" s="143"/>
      <c r="D1015" s="141"/>
      <c r="E1015" s="143"/>
      <c r="F1015" s="150"/>
      <c r="G1015" s="150"/>
      <c r="H1015" s="145"/>
      <c r="I1015" s="145"/>
    </row>
    <row r="1016" spans="1:9" ht="24.95" hidden="1" customHeight="1">
      <c r="A1016" s="141"/>
      <c r="B1016" s="141"/>
      <c r="C1016" s="143"/>
      <c r="D1016" s="141"/>
      <c r="E1016" s="143"/>
      <c r="F1016" s="150"/>
      <c r="G1016" s="150"/>
      <c r="H1016" s="145"/>
      <c r="I1016" s="145"/>
    </row>
    <row r="1017" spans="1:9" ht="24.95" hidden="1" customHeight="1">
      <c r="A1017" s="141"/>
      <c r="B1017" s="141"/>
      <c r="C1017" s="143"/>
      <c r="D1017" s="141"/>
      <c r="E1017" s="143"/>
      <c r="F1017" s="150"/>
      <c r="G1017" s="150"/>
      <c r="H1017" s="145"/>
      <c r="I1017" s="145"/>
    </row>
    <row r="1018" spans="1:9" ht="24.95" hidden="1" customHeight="1">
      <c r="A1018" s="141"/>
      <c r="B1018" s="141"/>
      <c r="C1018" s="143"/>
      <c r="D1018" s="141"/>
      <c r="E1018" s="143"/>
      <c r="F1018" s="150"/>
      <c r="G1018" s="150"/>
      <c r="H1018" s="145"/>
      <c r="I1018" s="145"/>
    </row>
    <row r="1019" spans="1:9" ht="24.95" hidden="1" customHeight="1">
      <c r="A1019" s="141"/>
      <c r="B1019" s="141"/>
      <c r="C1019" s="143"/>
      <c r="D1019" s="141"/>
      <c r="E1019" s="143"/>
      <c r="F1019" s="150"/>
      <c r="G1019" s="150"/>
      <c r="H1019" s="145"/>
      <c r="I1019" s="145"/>
    </row>
    <row r="1020" spans="1:9" ht="24.95" hidden="1" customHeight="1">
      <c r="A1020" s="141"/>
      <c r="B1020" s="141"/>
      <c r="C1020" s="143"/>
      <c r="D1020" s="141"/>
      <c r="E1020" s="143"/>
      <c r="F1020" s="150"/>
      <c r="G1020" s="150"/>
      <c r="H1020" s="145"/>
      <c r="I1020" s="145"/>
    </row>
    <row r="1021" spans="1:9" ht="24.95" hidden="1" customHeight="1">
      <c r="A1021" s="141"/>
      <c r="B1021" s="141"/>
      <c r="C1021" s="143"/>
      <c r="D1021" s="141"/>
      <c r="E1021" s="143"/>
      <c r="F1021" s="150"/>
      <c r="G1021" s="150"/>
      <c r="H1021" s="145"/>
      <c r="I1021" s="145"/>
    </row>
    <row r="1022" spans="1:9" ht="24.95" hidden="1" customHeight="1">
      <c r="A1022" s="141"/>
      <c r="B1022" s="141"/>
      <c r="C1022" s="143"/>
      <c r="D1022" s="141"/>
      <c r="E1022" s="143"/>
      <c r="F1022" s="150"/>
      <c r="G1022" s="150"/>
      <c r="H1022" s="145"/>
      <c r="I1022" s="145"/>
    </row>
    <row r="1023" spans="1:9" ht="24.95" hidden="1" customHeight="1">
      <c r="A1023" s="141"/>
      <c r="B1023" s="141"/>
      <c r="C1023" s="143"/>
      <c r="D1023" s="141"/>
      <c r="E1023" s="143"/>
      <c r="F1023" s="150"/>
      <c r="G1023" s="150"/>
      <c r="H1023" s="145"/>
      <c r="I1023" s="145"/>
    </row>
    <row r="1024" spans="1:9" ht="24.95" hidden="1" customHeight="1">
      <c r="A1024" s="141"/>
      <c r="B1024" s="141"/>
      <c r="C1024" s="143"/>
      <c r="D1024" s="141"/>
      <c r="E1024" s="143"/>
      <c r="F1024" s="150"/>
      <c r="G1024" s="150"/>
      <c r="H1024" s="145"/>
      <c r="I1024" s="145"/>
    </row>
    <row r="1025" spans="1:9" ht="24.95" hidden="1" customHeight="1">
      <c r="A1025" s="141"/>
      <c r="B1025" s="141"/>
      <c r="C1025" s="143"/>
      <c r="D1025" s="141"/>
      <c r="E1025" s="143"/>
      <c r="F1025" s="150"/>
      <c r="G1025" s="150"/>
      <c r="H1025" s="145"/>
      <c r="I1025" s="145"/>
    </row>
    <row r="1026" spans="1:9" ht="24.95" hidden="1" customHeight="1">
      <c r="A1026" s="141"/>
      <c r="B1026" s="141"/>
      <c r="C1026" s="143"/>
      <c r="D1026" s="141"/>
      <c r="E1026" s="143"/>
      <c r="F1026" s="150"/>
      <c r="G1026" s="150"/>
      <c r="H1026" s="145"/>
      <c r="I1026" s="145"/>
    </row>
    <row r="1027" spans="1:9" ht="24.95" hidden="1" customHeight="1">
      <c r="A1027" s="141"/>
      <c r="B1027" s="141"/>
      <c r="C1027" s="143"/>
      <c r="D1027" s="141"/>
      <c r="E1027" s="143"/>
      <c r="F1027" s="150"/>
      <c r="G1027" s="150"/>
      <c r="H1027" s="145"/>
      <c r="I1027" s="145"/>
    </row>
    <row r="1028" spans="1:9" ht="24.95" hidden="1" customHeight="1">
      <c r="A1028" s="141"/>
      <c r="B1028" s="141"/>
      <c r="C1028" s="143"/>
      <c r="D1028" s="141"/>
      <c r="E1028" s="143"/>
      <c r="F1028" s="150"/>
      <c r="G1028" s="150"/>
      <c r="H1028" s="145"/>
      <c r="I1028" s="145"/>
    </row>
    <row r="1029" spans="1:9" ht="24.95" hidden="1" customHeight="1">
      <c r="A1029" s="141"/>
      <c r="B1029" s="141"/>
      <c r="C1029" s="143"/>
      <c r="D1029" s="141"/>
      <c r="E1029" s="143"/>
      <c r="F1029" s="150"/>
      <c r="G1029" s="150"/>
      <c r="H1029" s="145"/>
      <c r="I1029" s="145"/>
    </row>
    <row r="1030" spans="1:9" ht="24.95" hidden="1" customHeight="1">
      <c r="A1030" s="141"/>
      <c r="B1030" s="141"/>
      <c r="C1030" s="143"/>
      <c r="D1030" s="141"/>
      <c r="E1030" s="143"/>
      <c r="F1030" s="150"/>
      <c r="G1030" s="150"/>
      <c r="H1030" s="145"/>
      <c r="I1030" s="145"/>
    </row>
    <row r="1031" spans="1:9" ht="24.95" hidden="1" customHeight="1">
      <c r="A1031" s="141"/>
      <c r="B1031" s="141"/>
      <c r="C1031" s="143"/>
      <c r="D1031" s="141"/>
      <c r="E1031" s="143"/>
      <c r="F1031" s="150"/>
      <c r="G1031" s="150"/>
      <c r="H1031" s="145"/>
      <c r="I1031" s="145"/>
    </row>
    <row r="1032" spans="1:9" ht="24.95" hidden="1" customHeight="1">
      <c r="A1032" s="141"/>
      <c r="B1032" s="141"/>
      <c r="C1032" s="143"/>
      <c r="D1032" s="141"/>
      <c r="E1032" s="143"/>
      <c r="F1032" s="150"/>
      <c r="G1032" s="150"/>
      <c r="H1032" s="145"/>
      <c r="I1032" s="145"/>
    </row>
    <row r="1033" spans="1:9" ht="24.95" hidden="1" customHeight="1">
      <c r="A1033" s="141"/>
      <c r="B1033" s="141"/>
      <c r="C1033" s="143"/>
      <c r="D1033" s="141"/>
      <c r="E1033" s="143"/>
      <c r="F1033" s="150"/>
      <c r="G1033" s="150"/>
      <c r="H1033" s="145"/>
      <c r="I1033" s="145"/>
    </row>
    <row r="1034" spans="1:9" ht="24.95" hidden="1" customHeight="1">
      <c r="A1034" s="141"/>
      <c r="B1034" s="141"/>
      <c r="C1034" s="143"/>
      <c r="D1034" s="141"/>
      <c r="E1034" s="143"/>
      <c r="F1034" s="150"/>
      <c r="G1034" s="150"/>
      <c r="H1034" s="145"/>
      <c r="I1034" s="145"/>
    </row>
    <row r="1035" spans="1:9" ht="24.95" hidden="1" customHeight="1">
      <c r="A1035" s="141"/>
      <c r="B1035" s="141"/>
      <c r="C1035" s="143"/>
      <c r="D1035" s="141"/>
      <c r="E1035" s="143"/>
      <c r="F1035" s="150"/>
      <c r="G1035" s="150"/>
      <c r="H1035" s="145"/>
      <c r="I1035" s="145"/>
    </row>
    <row r="1036" spans="1:9" ht="24.95" hidden="1" customHeight="1">
      <c r="A1036" s="141"/>
      <c r="B1036" s="141"/>
      <c r="C1036" s="143"/>
      <c r="D1036" s="141"/>
      <c r="E1036" s="143"/>
      <c r="F1036" s="150"/>
      <c r="G1036" s="150"/>
      <c r="H1036" s="145"/>
      <c r="I1036" s="145"/>
    </row>
    <row r="1037" spans="1:9" ht="24.95" hidden="1" customHeight="1">
      <c r="A1037" s="141"/>
      <c r="B1037" s="141"/>
      <c r="C1037" s="143"/>
      <c r="D1037" s="141"/>
      <c r="E1037" s="143"/>
      <c r="F1037" s="150"/>
      <c r="G1037" s="150"/>
      <c r="H1037" s="145"/>
      <c r="I1037" s="145"/>
    </row>
    <row r="1038" spans="1:9" ht="24.95" hidden="1" customHeight="1">
      <c r="A1038" s="141"/>
      <c r="B1038" s="141"/>
      <c r="C1038" s="143"/>
      <c r="D1038" s="141"/>
      <c r="E1038" s="143"/>
      <c r="F1038" s="150"/>
      <c r="G1038" s="150"/>
      <c r="H1038" s="145"/>
      <c r="I1038" s="145"/>
    </row>
    <row r="1039" spans="1:9" ht="24.95" hidden="1" customHeight="1">
      <c r="A1039" s="141"/>
      <c r="B1039" s="141"/>
      <c r="C1039" s="143"/>
      <c r="D1039" s="141"/>
      <c r="E1039" s="143"/>
      <c r="F1039" s="150"/>
      <c r="G1039" s="150"/>
      <c r="H1039" s="145"/>
      <c r="I1039" s="145"/>
    </row>
    <row r="1040" spans="1:9" ht="24.95" hidden="1" customHeight="1">
      <c r="A1040" s="141"/>
      <c r="B1040" s="141"/>
      <c r="C1040" s="143"/>
      <c r="D1040" s="141"/>
      <c r="E1040" s="143"/>
      <c r="F1040" s="150"/>
      <c r="G1040" s="150"/>
      <c r="H1040" s="145"/>
      <c r="I1040" s="145"/>
    </row>
    <row r="1041" spans="1:9" ht="24.95" hidden="1" customHeight="1">
      <c r="A1041" s="141"/>
      <c r="B1041" s="141"/>
      <c r="C1041" s="143"/>
      <c r="D1041" s="141"/>
      <c r="E1041" s="143"/>
      <c r="F1041" s="150"/>
      <c r="G1041" s="150"/>
      <c r="H1041" s="145"/>
      <c r="I1041" s="145"/>
    </row>
    <row r="1042" spans="1:9" ht="24.95" hidden="1" customHeight="1">
      <c r="A1042" s="141"/>
      <c r="B1042" s="141"/>
      <c r="C1042" s="143"/>
      <c r="D1042" s="141"/>
      <c r="E1042" s="143"/>
      <c r="F1042" s="150"/>
      <c r="G1042" s="150"/>
      <c r="H1042" s="145"/>
      <c r="I1042" s="145"/>
    </row>
    <row r="1043" spans="1:9" ht="24.95" hidden="1" customHeight="1">
      <c r="A1043" s="141"/>
      <c r="B1043" s="141"/>
      <c r="C1043" s="143"/>
      <c r="D1043" s="141"/>
      <c r="E1043" s="143"/>
      <c r="F1043" s="150"/>
      <c r="G1043" s="150"/>
      <c r="H1043" s="145"/>
      <c r="I1043" s="145"/>
    </row>
    <row r="1044" spans="1:9" ht="24.95" hidden="1" customHeight="1">
      <c r="A1044" s="141"/>
      <c r="B1044" s="141"/>
      <c r="C1044" s="143"/>
      <c r="D1044" s="141"/>
      <c r="E1044" s="143"/>
      <c r="F1044" s="150"/>
      <c r="G1044" s="150"/>
      <c r="H1044" s="145"/>
      <c r="I1044" s="145"/>
    </row>
    <row r="1045" spans="1:9" ht="24.95" hidden="1" customHeight="1">
      <c r="A1045" s="141"/>
      <c r="B1045" s="141"/>
      <c r="C1045" s="143"/>
      <c r="D1045" s="141"/>
      <c r="E1045" s="143"/>
      <c r="F1045" s="150"/>
      <c r="G1045" s="150"/>
      <c r="H1045" s="145"/>
      <c r="I1045" s="145"/>
    </row>
    <row r="1046" spans="1:9" ht="24.95" hidden="1" customHeight="1">
      <c r="A1046" s="141"/>
      <c r="B1046" s="141"/>
      <c r="C1046" s="143"/>
      <c r="D1046" s="141"/>
      <c r="E1046" s="143"/>
      <c r="F1046" s="150"/>
      <c r="G1046" s="150"/>
      <c r="H1046" s="145"/>
      <c r="I1046" s="145"/>
    </row>
    <row r="1047" spans="1:9" ht="24.95" hidden="1" customHeight="1">
      <c r="A1047" s="141"/>
      <c r="B1047" s="141"/>
      <c r="C1047" s="143"/>
      <c r="D1047" s="141"/>
      <c r="E1047" s="143"/>
      <c r="F1047" s="150"/>
      <c r="G1047" s="150"/>
      <c r="H1047" s="145"/>
      <c r="I1047" s="145"/>
    </row>
    <row r="1048" spans="1:9" ht="24.95" hidden="1" customHeight="1">
      <c r="A1048" s="141"/>
      <c r="B1048" s="141"/>
      <c r="C1048" s="143"/>
      <c r="D1048" s="141"/>
      <c r="E1048" s="143"/>
      <c r="F1048" s="150"/>
      <c r="G1048" s="150"/>
      <c r="H1048" s="145"/>
      <c r="I1048" s="145"/>
    </row>
    <row r="1049" spans="1:9" ht="24.95" hidden="1" customHeight="1">
      <c r="A1049" s="141"/>
      <c r="B1049" s="141"/>
      <c r="C1049" s="143"/>
      <c r="D1049" s="141"/>
      <c r="E1049" s="143"/>
      <c r="F1049" s="150"/>
      <c r="G1049" s="150"/>
      <c r="H1049" s="145"/>
      <c r="I1049" s="145"/>
    </row>
    <row r="1050" spans="1:9" ht="24.95" hidden="1" customHeight="1">
      <c r="A1050" s="141"/>
      <c r="B1050" s="141"/>
      <c r="C1050" s="143"/>
      <c r="D1050" s="141"/>
      <c r="E1050" s="143"/>
      <c r="F1050" s="150"/>
      <c r="G1050" s="150"/>
      <c r="H1050" s="145"/>
      <c r="I1050" s="145"/>
    </row>
    <row r="1051" spans="1:9" ht="24.95" hidden="1" customHeight="1">
      <c r="A1051" s="141"/>
      <c r="B1051" s="141"/>
      <c r="C1051" s="143"/>
      <c r="D1051" s="141"/>
      <c r="E1051" s="143"/>
      <c r="F1051" s="150"/>
      <c r="G1051" s="150"/>
      <c r="H1051" s="145"/>
      <c r="I1051" s="145"/>
    </row>
    <row r="1052" spans="1:9" ht="24.95" hidden="1" customHeight="1">
      <c r="A1052" s="141"/>
      <c r="B1052" s="141"/>
      <c r="C1052" s="143"/>
      <c r="D1052" s="141"/>
      <c r="E1052" s="143"/>
      <c r="F1052" s="150"/>
      <c r="G1052" s="150"/>
      <c r="H1052" s="145"/>
      <c r="I1052" s="145"/>
    </row>
    <row r="1053" spans="1:9" ht="24.95" hidden="1" customHeight="1">
      <c r="A1053" s="141"/>
      <c r="B1053" s="141"/>
      <c r="C1053" s="143"/>
      <c r="D1053" s="141"/>
      <c r="E1053" s="143"/>
      <c r="F1053" s="150"/>
      <c r="G1053" s="150"/>
      <c r="H1053" s="145"/>
      <c r="I1053" s="145"/>
    </row>
    <row r="1054" spans="1:9" ht="24.95" hidden="1" customHeight="1">
      <c r="A1054" s="141"/>
      <c r="B1054" s="141"/>
      <c r="C1054" s="143"/>
      <c r="D1054" s="141"/>
      <c r="E1054" s="143"/>
      <c r="F1054" s="150"/>
      <c r="G1054" s="150"/>
      <c r="H1054" s="145"/>
      <c r="I1054" s="145"/>
    </row>
    <row r="1055" spans="1:9" ht="24.95" hidden="1" customHeight="1">
      <c r="A1055" s="141"/>
      <c r="B1055" s="141"/>
      <c r="C1055" s="143"/>
      <c r="D1055" s="141"/>
      <c r="E1055" s="143"/>
      <c r="F1055" s="150"/>
      <c r="G1055" s="150"/>
      <c r="H1055" s="145"/>
      <c r="I1055" s="145"/>
    </row>
    <row r="1056" spans="1:9" ht="24.95" hidden="1" customHeight="1">
      <c r="A1056" s="141"/>
      <c r="B1056" s="141"/>
      <c r="C1056" s="143"/>
      <c r="D1056" s="141"/>
      <c r="E1056" s="143"/>
      <c r="F1056" s="150"/>
      <c r="G1056" s="150"/>
      <c r="H1056" s="145"/>
      <c r="I1056" s="145"/>
    </row>
    <row r="1057" spans="1:9" ht="24.95" hidden="1" customHeight="1">
      <c r="A1057" s="141"/>
      <c r="B1057" s="141"/>
      <c r="C1057" s="143"/>
      <c r="D1057" s="141"/>
      <c r="E1057" s="143"/>
      <c r="F1057" s="150"/>
      <c r="G1057" s="150"/>
      <c r="H1057" s="145"/>
      <c r="I1057" s="145"/>
    </row>
    <row r="1058" spans="1:9" ht="24.95" hidden="1" customHeight="1">
      <c r="A1058" s="141"/>
      <c r="B1058" s="141"/>
      <c r="C1058" s="143"/>
      <c r="D1058" s="141"/>
      <c r="E1058" s="143"/>
      <c r="F1058" s="150"/>
      <c r="G1058" s="150"/>
      <c r="H1058" s="145"/>
      <c r="I1058" s="145"/>
    </row>
    <row r="1059" spans="1:9" ht="24.95" hidden="1" customHeight="1">
      <c r="A1059" s="141"/>
      <c r="B1059" s="141"/>
      <c r="C1059" s="143"/>
      <c r="D1059" s="141"/>
      <c r="E1059" s="143"/>
      <c r="F1059" s="150"/>
      <c r="G1059" s="150"/>
      <c r="H1059" s="145"/>
      <c r="I1059" s="145"/>
    </row>
    <row r="1060" spans="1:9" ht="24.95" hidden="1" customHeight="1">
      <c r="A1060" s="141"/>
      <c r="B1060" s="141"/>
      <c r="C1060" s="143"/>
      <c r="D1060" s="141"/>
      <c r="E1060" s="143"/>
      <c r="F1060" s="150"/>
      <c r="G1060" s="150"/>
      <c r="H1060" s="145"/>
      <c r="I1060" s="145"/>
    </row>
    <row r="1061" spans="1:9" ht="24.95" hidden="1" customHeight="1">
      <c r="A1061" s="141"/>
      <c r="B1061" s="141"/>
      <c r="C1061" s="143"/>
      <c r="D1061" s="141"/>
      <c r="E1061" s="143"/>
      <c r="F1061" s="150"/>
      <c r="G1061" s="150"/>
      <c r="H1061" s="145"/>
      <c r="I1061" s="145"/>
    </row>
    <row r="1062" spans="1:9" ht="24.95" hidden="1" customHeight="1">
      <c r="A1062" s="141"/>
      <c r="B1062" s="141"/>
      <c r="C1062" s="143"/>
      <c r="D1062" s="141"/>
      <c r="E1062" s="143"/>
      <c r="F1062" s="150"/>
      <c r="G1062" s="150"/>
      <c r="H1062" s="145"/>
      <c r="I1062" s="145"/>
    </row>
    <row r="1063" spans="1:9" ht="24.95" hidden="1" customHeight="1">
      <c r="A1063" s="141"/>
      <c r="B1063" s="141"/>
      <c r="C1063" s="143"/>
      <c r="D1063" s="141"/>
      <c r="E1063" s="143"/>
      <c r="F1063" s="150"/>
      <c r="G1063" s="150"/>
      <c r="H1063" s="145"/>
      <c r="I1063" s="145"/>
    </row>
    <row r="1064" spans="1:9" ht="24.95" hidden="1" customHeight="1">
      <c r="A1064" s="141"/>
      <c r="B1064" s="141"/>
      <c r="C1064" s="143"/>
      <c r="D1064" s="141"/>
      <c r="E1064" s="143"/>
      <c r="F1064" s="150"/>
      <c r="G1064" s="150"/>
      <c r="H1064" s="145"/>
      <c r="I1064" s="145"/>
    </row>
    <row r="1065" spans="1:9" ht="24.95" hidden="1" customHeight="1">
      <c r="A1065" s="141"/>
      <c r="B1065" s="141"/>
      <c r="C1065" s="143"/>
      <c r="D1065" s="141"/>
      <c r="E1065" s="143"/>
      <c r="F1065" s="150"/>
      <c r="G1065" s="150"/>
      <c r="H1065" s="145"/>
      <c r="I1065" s="145"/>
    </row>
    <row r="1066" spans="1:9" ht="24.95" hidden="1" customHeight="1">
      <c r="A1066" s="141"/>
      <c r="B1066" s="141"/>
      <c r="C1066" s="143"/>
      <c r="D1066" s="141"/>
      <c r="E1066" s="143"/>
      <c r="F1066" s="150"/>
      <c r="G1066" s="150"/>
      <c r="H1066" s="145"/>
      <c r="I1066" s="145"/>
    </row>
    <row r="1067" spans="1:9" ht="24.95" hidden="1" customHeight="1">
      <c r="A1067" s="141"/>
      <c r="B1067" s="141"/>
      <c r="C1067" s="143"/>
      <c r="D1067" s="141"/>
      <c r="E1067" s="143"/>
      <c r="F1067" s="150"/>
      <c r="G1067" s="150"/>
      <c r="H1067" s="145"/>
      <c r="I1067" s="145"/>
    </row>
    <row r="1068" spans="1:9" ht="24.95" hidden="1" customHeight="1">
      <c r="A1068" s="141"/>
      <c r="B1068" s="141"/>
      <c r="C1068" s="143"/>
      <c r="D1068" s="141"/>
      <c r="E1068" s="143"/>
      <c r="F1068" s="150"/>
      <c r="G1068" s="150"/>
      <c r="H1068" s="145"/>
      <c r="I1068" s="145"/>
    </row>
    <row r="1069" spans="1:9" ht="24.95" hidden="1" customHeight="1">
      <c r="A1069" s="141"/>
      <c r="B1069" s="141"/>
      <c r="C1069" s="143"/>
      <c r="D1069" s="141"/>
      <c r="E1069" s="143"/>
      <c r="F1069" s="150"/>
      <c r="G1069" s="150"/>
      <c r="H1069" s="145"/>
      <c r="I1069" s="145"/>
    </row>
    <row r="1070" spans="1:9" ht="24.95" hidden="1" customHeight="1">
      <c r="A1070" s="141"/>
      <c r="B1070" s="141"/>
      <c r="C1070" s="143"/>
      <c r="D1070" s="141"/>
      <c r="E1070" s="143"/>
      <c r="F1070" s="150"/>
      <c r="G1070" s="150"/>
      <c r="H1070" s="145"/>
      <c r="I1070" s="145"/>
    </row>
    <row r="1071" spans="1:9" ht="24.95" hidden="1" customHeight="1">
      <c r="A1071" s="141"/>
      <c r="B1071" s="141"/>
      <c r="C1071" s="143"/>
      <c r="D1071" s="141"/>
      <c r="E1071" s="143"/>
      <c r="F1071" s="150"/>
      <c r="G1071" s="150"/>
      <c r="H1071" s="145"/>
      <c r="I1071" s="145"/>
    </row>
    <row r="1072" spans="1:9" ht="24.95" hidden="1" customHeight="1">
      <c r="A1072" s="141"/>
      <c r="B1072" s="141"/>
      <c r="C1072" s="143"/>
      <c r="D1072" s="141"/>
      <c r="E1072" s="143"/>
      <c r="F1072" s="150"/>
      <c r="G1072" s="150"/>
      <c r="H1072" s="145"/>
      <c r="I1072" s="145"/>
    </row>
    <row r="1073" spans="1:9" ht="24.95" hidden="1" customHeight="1">
      <c r="A1073" s="141"/>
      <c r="B1073" s="141"/>
      <c r="C1073" s="143"/>
      <c r="D1073" s="141"/>
      <c r="E1073" s="143"/>
      <c r="F1073" s="150"/>
      <c r="G1073" s="150"/>
      <c r="H1073" s="145"/>
      <c r="I1073" s="145"/>
    </row>
    <row r="1074" spans="1:9" ht="24.95" hidden="1" customHeight="1">
      <c r="A1074" s="141"/>
      <c r="B1074" s="141"/>
      <c r="C1074" s="143"/>
      <c r="D1074" s="141"/>
      <c r="E1074" s="143"/>
      <c r="F1074" s="150"/>
      <c r="G1074" s="150"/>
      <c r="H1074" s="145"/>
      <c r="I1074" s="145"/>
    </row>
    <row r="1075" spans="1:9" ht="24.95" hidden="1" customHeight="1">
      <c r="A1075" s="141"/>
      <c r="B1075" s="141"/>
      <c r="C1075" s="143"/>
      <c r="D1075" s="141"/>
      <c r="E1075" s="143"/>
      <c r="F1075" s="150"/>
      <c r="G1075" s="150"/>
      <c r="H1075" s="145"/>
      <c r="I1075" s="145"/>
    </row>
    <row r="1076" spans="1:9" ht="24.95" hidden="1" customHeight="1">
      <c r="A1076" s="141"/>
      <c r="B1076" s="141"/>
      <c r="C1076" s="143"/>
      <c r="D1076" s="141"/>
      <c r="E1076" s="143"/>
      <c r="F1076" s="150"/>
      <c r="G1076" s="150"/>
      <c r="H1076" s="145"/>
      <c r="I1076" s="145"/>
    </row>
    <row r="1077" spans="1:9" ht="24.95" hidden="1" customHeight="1">
      <c r="A1077" s="141"/>
      <c r="B1077" s="141"/>
      <c r="C1077" s="143"/>
      <c r="D1077" s="141"/>
      <c r="E1077" s="143"/>
      <c r="F1077" s="150"/>
      <c r="G1077" s="150"/>
      <c r="H1077" s="145"/>
      <c r="I1077" s="145"/>
    </row>
    <row r="1078" spans="1:9" ht="24.95" hidden="1" customHeight="1">
      <c r="A1078" s="141"/>
      <c r="B1078" s="141"/>
      <c r="C1078" s="143"/>
      <c r="D1078" s="141"/>
      <c r="E1078" s="143"/>
      <c r="F1078" s="150"/>
      <c r="G1078" s="150"/>
      <c r="H1078" s="145"/>
      <c r="I1078" s="145"/>
    </row>
    <row r="1079" spans="1:9" ht="24.95" hidden="1" customHeight="1">
      <c r="A1079" s="141"/>
      <c r="B1079" s="141"/>
      <c r="C1079" s="143"/>
      <c r="D1079" s="141"/>
      <c r="E1079" s="143"/>
      <c r="F1079" s="150"/>
      <c r="G1079" s="150"/>
      <c r="H1079" s="145"/>
      <c r="I1079" s="145"/>
    </row>
    <row r="1080" spans="1:9" ht="24.95" hidden="1" customHeight="1">
      <c r="A1080" s="141"/>
      <c r="B1080" s="141"/>
      <c r="C1080" s="143"/>
      <c r="D1080" s="141"/>
      <c r="E1080" s="143"/>
      <c r="F1080" s="150"/>
      <c r="G1080" s="150"/>
      <c r="H1080" s="145"/>
      <c r="I1080" s="145"/>
    </row>
    <row r="1081" spans="1:9" ht="24.95" hidden="1" customHeight="1">
      <c r="A1081" s="141"/>
      <c r="B1081" s="141"/>
      <c r="C1081" s="143"/>
      <c r="D1081" s="141"/>
      <c r="E1081" s="143"/>
      <c r="F1081" s="150"/>
      <c r="G1081" s="150"/>
      <c r="H1081" s="145"/>
      <c r="I1081" s="145"/>
    </row>
    <row r="1082" spans="1:9" ht="24.95" hidden="1" customHeight="1">
      <c r="A1082" s="141"/>
      <c r="B1082" s="141"/>
      <c r="C1082" s="143"/>
      <c r="D1082" s="141"/>
      <c r="E1082" s="143"/>
      <c r="F1082" s="150"/>
      <c r="G1082" s="150"/>
      <c r="H1082" s="145"/>
      <c r="I1082" s="145"/>
    </row>
    <row r="1083" spans="1:9" ht="24.95" hidden="1" customHeight="1">
      <c r="A1083" s="141"/>
      <c r="B1083" s="141"/>
      <c r="C1083" s="143"/>
      <c r="D1083" s="141"/>
      <c r="E1083" s="143"/>
      <c r="F1083" s="150"/>
      <c r="G1083" s="150"/>
      <c r="H1083" s="145"/>
      <c r="I1083" s="145"/>
    </row>
    <row r="1084" spans="1:9" ht="24.95" hidden="1" customHeight="1">
      <c r="A1084" s="141"/>
      <c r="B1084" s="141"/>
      <c r="C1084" s="143"/>
      <c r="D1084" s="141"/>
      <c r="E1084" s="143"/>
      <c r="F1084" s="150"/>
      <c r="G1084" s="150"/>
      <c r="H1084" s="145"/>
      <c r="I1084" s="145"/>
    </row>
    <row r="1085" spans="1:9" ht="24.95" hidden="1" customHeight="1">
      <c r="A1085" s="141"/>
      <c r="B1085" s="141"/>
      <c r="C1085" s="143"/>
      <c r="D1085" s="141"/>
      <c r="E1085" s="143"/>
      <c r="F1085" s="150"/>
      <c r="G1085" s="150"/>
      <c r="H1085" s="145"/>
      <c r="I1085" s="145"/>
    </row>
    <row r="1086" spans="1:9" ht="24.95" hidden="1" customHeight="1">
      <c r="A1086" s="141"/>
      <c r="B1086" s="141"/>
      <c r="C1086" s="143"/>
      <c r="D1086" s="141"/>
      <c r="E1086" s="143"/>
      <c r="F1086" s="150"/>
      <c r="G1086" s="150"/>
      <c r="H1086" s="145"/>
      <c r="I1086" s="145"/>
    </row>
    <row r="1087" spans="1:9" ht="24.95" hidden="1" customHeight="1">
      <c r="A1087" s="141"/>
      <c r="B1087" s="141"/>
      <c r="C1087" s="143"/>
      <c r="D1087" s="141"/>
      <c r="E1087" s="143"/>
      <c r="F1087" s="150"/>
      <c r="G1087" s="150"/>
      <c r="H1087" s="145"/>
      <c r="I1087" s="145"/>
    </row>
    <row r="1088" spans="1:9" ht="24.95" hidden="1" customHeight="1">
      <c r="A1088" s="141"/>
      <c r="B1088" s="141"/>
      <c r="C1088" s="143"/>
      <c r="D1088" s="141"/>
      <c r="E1088" s="143"/>
      <c r="F1088" s="150"/>
      <c r="G1088" s="150"/>
      <c r="H1088" s="145"/>
      <c r="I1088" s="145"/>
    </row>
    <row r="1089" spans="1:9" ht="24.95" hidden="1" customHeight="1">
      <c r="A1089" s="141"/>
      <c r="B1089" s="141"/>
      <c r="C1089" s="143"/>
      <c r="D1089" s="141"/>
      <c r="E1089" s="143"/>
      <c r="F1089" s="150"/>
      <c r="G1089" s="150"/>
      <c r="H1089" s="145"/>
      <c r="I1089" s="145"/>
    </row>
    <row r="1090" spans="1:9" ht="24.95" hidden="1" customHeight="1">
      <c r="A1090" s="141"/>
      <c r="B1090" s="141"/>
      <c r="C1090" s="143"/>
      <c r="D1090" s="141"/>
      <c r="E1090" s="143"/>
      <c r="F1090" s="150"/>
      <c r="G1090" s="150"/>
      <c r="H1090" s="145"/>
      <c r="I1090" s="145"/>
    </row>
    <row r="1091" spans="1:9" ht="24.95" hidden="1" customHeight="1">
      <c r="A1091" s="141"/>
      <c r="B1091" s="141"/>
      <c r="C1091" s="143"/>
      <c r="D1091" s="141"/>
      <c r="E1091" s="143"/>
      <c r="F1091" s="150"/>
      <c r="G1091" s="150"/>
      <c r="H1091" s="145"/>
      <c r="I1091" s="145"/>
    </row>
    <row r="1092" spans="1:9" ht="24.95" hidden="1" customHeight="1">
      <c r="A1092" s="141"/>
      <c r="B1092" s="141"/>
      <c r="C1092" s="143"/>
      <c r="D1092" s="141"/>
      <c r="E1092" s="143"/>
      <c r="F1092" s="150"/>
      <c r="G1092" s="150"/>
      <c r="H1092" s="145"/>
      <c r="I1092" s="145"/>
    </row>
    <row r="1093" spans="1:9" ht="24.95" hidden="1" customHeight="1">
      <c r="A1093" s="141"/>
      <c r="B1093" s="141"/>
      <c r="C1093" s="143"/>
      <c r="D1093" s="141"/>
      <c r="E1093" s="143"/>
      <c r="F1093" s="150"/>
      <c r="G1093" s="150"/>
      <c r="H1093" s="145"/>
      <c r="I1093" s="145"/>
    </row>
    <row r="1094" spans="1:9" ht="24.95" hidden="1" customHeight="1">
      <c r="A1094" s="141"/>
      <c r="B1094" s="141"/>
      <c r="C1094" s="143"/>
      <c r="D1094" s="141"/>
      <c r="E1094" s="143"/>
      <c r="F1094" s="150"/>
      <c r="G1094" s="150"/>
      <c r="H1094" s="145"/>
      <c r="I1094" s="145"/>
    </row>
    <row r="1095" spans="1:9" ht="24.95" hidden="1" customHeight="1">
      <c r="A1095" s="141"/>
      <c r="B1095" s="141"/>
      <c r="C1095" s="143"/>
      <c r="D1095" s="141"/>
      <c r="E1095" s="143"/>
      <c r="F1095" s="150"/>
      <c r="G1095" s="150"/>
      <c r="H1095" s="145"/>
      <c r="I1095" s="145"/>
    </row>
    <row r="1096" spans="1:9" ht="24.95" hidden="1" customHeight="1">
      <c r="A1096" s="141"/>
      <c r="B1096" s="141"/>
      <c r="C1096" s="143"/>
      <c r="D1096" s="141"/>
      <c r="E1096" s="143"/>
      <c r="F1096" s="150"/>
      <c r="G1096" s="150"/>
      <c r="H1096" s="145"/>
      <c r="I1096" s="145"/>
    </row>
    <row r="1097" spans="1:9" ht="24.95" hidden="1" customHeight="1">
      <c r="A1097" s="141"/>
      <c r="B1097" s="141"/>
      <c r="C1097" s="143"/>
      <c r="D1097" s="141"/>
      <c r="E1097" s="143"/>
      <c r="F1097" s="150"/>
      <c r="G1097" s="150"/>
      <c r="H1097" s="145"/>
      <c r="I1097" s="145"/>
    </row>
    <row r="1098" spans="1:9" ht="24.95" hidden="1" customHeight="1">
      <c r="A1098" s="141"/>
      <c r="B1098" s="141"/>
      <c r="C1098" s="143"/>
      <c r="D1098" s="141"/>
      <c r="E1098" s="143"/>
      <c r="F1098" s="150"/>
      <c r="G1098" s="150"/>
      <c r="H1098" s="145"/>
      <c r="I1098" s="145"/>
    </row>
    <row r="1099" spans="1:9" ht="24.95" hidden="1" customHeight="1">
      <c r="A1099" s="141"/>
      <c r="B1099" s="141"/>
      <c r="C1099" s="143"/>
      <c r="D1099" s="141"/>
      <c r="E1099" s="143"/>
      <c r="F1099" s="150"/>
      <c r="G1099" s="150"/>
      <c r="H1099" s="145"/>
      <c r="I1099" s="145"/>
    </row>
    <row r="1100" spans="1:9" ht="24.95" hidden="1" customHeight="1">
      <c r="A1100" s="141"/>
      <c r="B1100" s="141"/>
      <c r="C1100" s="143"/>
      <c r="D1100" s="141"/>
      <c r="E1100" s="143"/>
      <c r="F1100" s="150"/>
      <c r="G1100" s="150"/>
      <c r="H1100" s="145"/>
      <c r="I1100" s="145"/>
    </row>
    <row r="1101" spans="1:9" ht="24.95" hidden="1" customHeight="1">
      <c r="A1101" s="141"/>
      <c r="B1101" s="141"/>
      <c r="C1101" s="143"/>
      <c r="D1101" s="141"/>
      <c r="E1101" s="143"/>
      <c r="F1101" s="150"/>
      <c r="G1101" s="150"/>
      <c r="H1101" s="145"/>
      <c r="I1101" s="145"/>
    </row>
    <row r="1102" spans="1:9" ht="24.95" hidden="1" customHeight="1">
      <c r="A1102" s="141"/>
      <c r="B1102" s="141"/>
      <c r="C1102" s="143"/>
      <c r="D1102" s="141"/>
      <c r="E1102" s="143"/>
      <c r="F1102" s="150"/>
      <c r="G1102" s="150"/>
      <c r="H1102" s="145"/>
      <c r="I1102" s="145"/>
    </row>
    <row r="1103" spans="1:9" ht="24.95" hidden="1" customHeight="1">
      <c r="A1103" s="141"/>
      <c r="B1103" s="141"/>
      <c r="C1103" s="143"/>
      <c r="D1103" s="141"/>
      <c r="E1103" s="143"/>
      <c r="F1103" s="150"/>
      <c r="G1103" s="150"/>
      <c r="H1103" s="145"/>
      <c r="I1103" s="145"/>
    </row>
    <row r="1104" spans="1:9" ht="24.95" hidden="1" customHeight="1">
      <c r="A1104" s="141"/>
      <c r="B1104" s="141"/>
      <c r="C1104" s="143"/>
      <c r="D1104" s="141"/>
      <c r="E1104" s="143"/>
      <c r="F1104" s="150"/>
      <c r="G1104" s="150"/>
      <c r="H1104" s="145"/>
      <c r="I1104" s="145"/>
    </row>
    <row r="1105" spans="1:9" ht="24.95" hidden="1" customHeight="1">
      <c r="A1105" s="141"/>
      <c r="B1105" s="141"/>
      <c r="C1105" s="143"/>
      <c r="D1105" s="141"/>
      <c r="E1105" s="143"/>
      <c r="F1105" s="150"/>
      <c r="G1105" s="150"/>
      <c r="H1105" s="145"/>
      <c r="I1105" s="145"/>
    </row>
    <row r="1106" spans="1:9" ht="24.95" hidden="1" customHeight="1">
      <c r="A1106" s="141"/>
      <c r="B1106" s="141"/>
      <c r="C1106" s="143"/>
      <c r="D1106" s="141"/>
      <c r="E1106" s="143"/>
      <c r="F1106" s="150"/>
      <c r="G1106" s="150"/>
      <c r="H1106" s="145"/>
      <c r="I1106" s="145"/>
    </row>
    <row r="1107" spans="1:9" ht="24.95" hidden="1" customHeight="1">
      <c r="A1107" s="141"/>
      <c r="B1107" s="141"/>
      <c r="C1107" s="143"/>
      <c r="D1107" s="141"/>
      <c r="E1107" s="143"/>
      <c r="F1107" s="150"/>
      <c r="G1107" s="150"/>
      <c r="H1107" s="145"/>
      <c r="I1107" s="145"/>
    </row>
    <row r="1108" spans="1:9" ht="24.95" hidden="1" customHeight="1">
      <c r="A1108" s="141"/>
      <c r="B1108" s="141"/>
      <c r="C1108" s="143"/>
      <c r="D1108" s="141"/>
      <c r="E1108" s="143"/>
      <c r="F1108" s="150"/>
      <c r="G1108" s="150"/>
      <c r="H1108" s="145"/>
      <c r="I1108" s="145"/>
    </row>
    <row r="1109" spans="1:9" ht="24.95" hidden="1" customHeight="1">
      <c r="A1109" s="141"/>
      <c r="B1109" s="141"/>
      <c r="C1109" s="143"/>
      <c r="D1109" s="141"/>
      <c r="E1109" s="143"/>
      <c r="F1109" s="150"/>
      <c r="G1109" s="150"/>
      <c r="H1109" s="145"/>
      <c r="I1109" s="145"/>
    </row>
    <row r="1110" spans="1:9" ht="24.95" hidden="1" customHeight="1">
      <c r="A1110" s="141"/>
      <c r="B1110" s="141"/>
      <c r="C1110" s="143"/>
      <c r="D1110" s="141"/>
      <c r="E1110" s="143"/>
      <c r="F1110" s="150"/>
      <c r="G1110" s="150"/>
      <c r="H1110" s="145"/>
      <c r="I1110" s="145"/>
    </row>
    <row r="1111" spans="1:9" ht="24.95" hidden="1" customHeight="1">
      <c r="A1111" s="141"/>
      <c r="B1111" s="141"/>
      <c r="C1111" s="143"/>
      <c r="D1111" s="141"/>
      <c r="E1111" s="143"/>
      <c r="F1111" s="150"/>
      <c r="G1111" s="150"/>
      <c r="H1111" s="145"/>
      <c r="I1111" s="145"/>
    </row>
    <row r="1112" spans="1:9" ht="24.95" hidden="1" customHeight="1">
      <c r="A1112" s="141"/>
      <c r="B1112" s="141"/>
      <c r="C1112" s="143"/>
      <c r="D1112" s="141"/>
      <c r="E1112" s="143"/>
      <c r="F1112" s="150"/>
      <c r="G1112" s="150"/>
      <c r="H1112" s="145"/>
      <c r="I1112" s="145"/>
    </row>
    <row r="1113" spans="1:9" ht="24.95" hidden="1" customHeight="1">
      <c r="A1113" s="141"/>
      <c r="B1113" s="141"/>
      <c r="C1113" s="143"/>
      <c r="D1113" s="141"/>
      <c r="E1113" s="143"/>
      <c r="F1113" s="150"/>
      <c r="G1113" s="150"/>
      <c r="H1113" s="145"/>
      <c r="I1113" s="145"/>
    </row>
    <row r="1114" spans="1:9" ht="24.95" hidden="1" customHeight="1">
      <c r="A1114" s="141"/>
      <c r="B1114" s="141"/>
      <c r="C1114" s="143"/>
      <c r="D1114" s="141"/>
      <c r="E1114" s="143"/>
      <c r="F1114" s="150"/>
      <c r="G1114" s="150"/>
      <c r="H1114" s="145"/>
      <c r="I1114" s="145"/>
    </row>
    <row r="1115" spans="1:9" ht="24.95" hidden="1" customHeight="1">
      <c r="A1115" s="141"/>
      <c r="B1115" s="141"/>
      <c r="C1115" s="143"/>
      <c r="D1115" s="141"/>
      <c r="E1115" s="143"/>
      <c r="F1115" s="150"/>
      <c r="G1115" s="150"/>
      <c r="H1115" s="145"/>
      <c r="I1115" s="145"/>
    </row>
    <row r="1116" spans="1:9" ht="24.95" hidden="1" customHeight="1">
      <c r="A1116" s="141"/>
      <c r="B1116" s="141"/>
      <c r="C1116" s="143"/>
      <c r="D1116" s="141"/>
      <c r="E1116" s="143"/>
      <c r="F1116" s="150"/>
      <c r="G1116" s="150"/>
      <c r="H1116" s="145"/>
      <c r="I1116" s="145"/>
    </row>
    <row r="1117" spans="1:9" ht="24.95" hidden="1" customHeight="1">
      <c r="A1117" s="141"/>
      <c r="B1117" s="141"/>
      <c r="C1117" s="143"/>
      <c r="D1117" s="141"/>
      <c r="E1117" s="143"/>
      <c r="F1117" s="150"/>
      <c r="G1117" s="150"/>
      <c r="H1117" s="145"/>
      <c r="I1117" s="145"/>
    </row>
    <row r="1118" spans="1:9" ht="24.95" hidden="1" customHeight="1">
      <c r="A1118" s="141"/>
      <c r="B1118" s="141"/>
      <c r="C1118" s="143"/>
      <c r="D1118" s="141"/>
      <c r="E1118" s="143"/>
      <c r="F1118" s="150"/>
      <c r="G1118" s="150"/>
      <c r="H1118" s="145"/>
      <c r="I1118" s="145"/>
    </row>
    <row r="1119" spans="1:9" ht="24.95" hidden="1" customHeight="1">
      <c r="A1119" s="141"/>
      <c r="B1119" s="141"/>
      <c r="C1119" s="143"/>
      <c r="D1119" s="141"/>
      <c r="E1119" s="143"/>
      <c r="F1119" s="150"/>
      <c r="G1119" s="150"/>
      <c r="H1119" s="145"/>
      <c r="I1119" s="145"/>
    </row>
    <row r="1120" spans="1:9" ht="24.95" hidden="1" customHeight="1">
      <c r="A1120" s="141"/>
      <c r="B1120" s="141"/>
      <c r="C1120" s="143"/>
      <c r="D1120" s="141"/>
      <c r="E1120" s="143"/>
      <c r="F1120" s="150"/>
      <c r="G1120" s="150"/>
      <c r="H1120" s="145"/>
      <c r="I1120" s="145"/>
    </row>
    <row r="1121" spans="1:9" ht="24.95" hidden="1" customHeight="1">
      <c r="A1121" s="141"/>
      <c r="B1121" s="141"/>
      <c r="C1121" s="143"/>
      <c r="D1121" s="141"/>
      <c r="E1121" s="143"/>
      <c r="F1121" s="150"/>
      <c r="G1121" s="150"/>
      <c r="H1121" s="145"/>
      <c r="I1121" s="145"/>
    </row>
    <row r="1122" spans="1:9" ht="24.95" hidden="1" customHeight="1">
      <c r="A1122" s="141"/>
      <c r="B1122" s="141"/>
      <c r="C1122" s="143"/>
      <c r="D1122" s="141"/>
      <c r="E1122" s="143"/>
      <c r="F1122" s="150"/>
      <c r="G1122" s="150"/>
      <c r="H1122" s="145"/>
      <c r="I1122" s="145"/>
    </row>
    <row r="1123" spans="1:9" ht="24.95" hidden="1" customHeight="1">
      <c r="A1123" s="141"/>
      <c r="B1123" s="141"/>
      <c r="C1123" s="143"/>
      <c r="D1123" s="141"/>
      <c r="E1123" s="143"/>
      <c r="F1123" s="150"/>
      <c r="G1123" s="150"/>
      <c r="H1123" s="145"/>
      <c r="I1123" s="145"/>
    </row>
    <row r="1124" spans="1:9" ht="24.95" hidden="1" customHeight="1">
      <c r="A1124" s="141"/>
      <c r="B1124" s="141"/>
      <c r="C1124" s="143"/>
      <c r="D1124" s="141"/>
      <c r="E1124" s="143"/>
      <c r="F1124" s="150"/>
      <c r="G1124" s="150"/>
      <c r="H1124" s="145"/>
      <c r="I1124" s="145"/>
    </row>
    <row r="1125" spans="1:9" ht="24.95" hidden="1" customHeight="1">
      <c r="A1125" s="141"/>
      <c r="B1125" s="141"/>
      <c r="C1125" s="143"/>
      <c r="D1125" s="141"/>
      <c r="E1125" s="143"/>
      <c r="F1125" s="150"/>
      <c r="G1125" s="150"/>
      <c r="H1125" s="145"/>
      <c r="I1125" s="145"/>
    </row>
    <row r="1126" spans="1:9" ht="24.95" hidden="1" customHeight="1">
      <c r="A1126" s="141"/>
      <c r="B1126" s="141"/>
      <c r="C1126" s="143"/>
      <c r="D1126" s="141"/>
      <c r="E1126" s="143"/>
      <c r="F1126" s="150"/>
      <c r="G1126" s="150"/>
      <c r="H1126" s="145"/>
      <c r="I1126" s="145"/>
    </row>
    <row r="1127" spans="1:9" ht="24.95" hidden="1" customHeight="1">
      <c r="A1127" s="141"/>
      <c r="B1127" s="141"/>
      <c r="C1127" s="143"/>
      <c r="D1127" s="141"/>
      <c r="E1127" s="143"/>
      <c r="F1127" s="150"/>
      <c r="G1127" s="150"/>
      <c r="H1127" s="145"/>
      <c r="I1127" s="145"/>
    </row>
    <row r="1128" spans="1:9" ht="24.95" hidden="1" customHeight="1">
      <c r="A1128" s="141"/>
      <c r="B1128" s="141"/>
      <c r="C1128" s="143"/>
      <c r="D1128" s="141"/>
      <c r="E1128" s="143"/>
      <c r="F1128" s="150"/>
      <c r="G1128" s="150"/>
      <c r="H1128" s="145"/>
      <c r="I1128" s="145"/>
    </row>
    <row r="1129" spans="1:9" ht="24.95" hidden="1" customHeight="1">
      <c r="A1129" s="141"/>
      <c r="B1129" s="141"/>
      <c r="C1129" s="143"/>
      <c r="D1129" s="141"/>
      <c r="E1129" s="143"/>
      <c r="F1129" s="150"/>
      <c r="G1129" s="150"/>
      <c r="H1129" s="145"/>
      <c r="I1129" s="145"/>
    </row>
    <row r="1130" spans="1:9" ht="24.95" hidden="1" customHeight="1">
      <c r="A1130" s="141"/>
      <c r="B1130" s="141"/>
      <c r="C1130" s="143"/>
      <c r="D1130" s="141"/>
      <c r="E1130" s="143"/>
      <c r="F1130" s="150"/>
      <c r="G1130" s="150"/>
      <c r="H1130" s="145"/>
      <c r="I1130" s="145"/>
    </row>
    <row r="1131" spans="1:9" ht="24.95" hidden="1" customHeight="1">
      <c r="A1131" s="141"/>
      <c r="B1131" s="141"/>
      <c r="C1131" s="143"/>
      <c r="D1131" s="141"/>
      <c r="E1131" s="143"/>
      <c r="F1131" s="150"/>
      <c r="G1131" s="150"/>
      <c r="H1131" s="145"/>
      <c r="I1131" s="145"/>
    </row>
    <row r="1132" spans="1:9" ht="24.95" hidden="1" customHeight="1">
      <c r="A1132" s="141"/>
      <c r="B1132" s="141"/>
      <c r="C1132" s="143"/>
      <c r="D1132" s="141"/>
      <c r="E1132" s="143"/>
      <c r="F1132" s="150"/>
      <c r="G1132" s="150"/>
      <c r="H1132" s="145"/>
      <c r="I1132" s="145"/>
    </row>
    <row r="1133" spans="1:9" ht="24.95" hidden="1" customHeight="1">
      <c r="A1133" s="141"/>
      <c r="B1133" s="141"/>
      <c r="C1133" s="143"/>
      <c r="D1133" s="141"/>
      <c r="E1133" s="143"/>
      <c r="F1133" s="150"/>
      <c r="G1133" s="150"/>
      <c r="H1133" s="145"/>
      <c r="I1133" s="145"/>
    </row>
    <row r="1134" spans="1:9" ht="24.95" hidden="1" customHeight="1">
      <c r="A1134" s="141"/>
      <c r="B1134" s="141"/>
      <c r="C1134" s="143"/>
      <c r="D1134" s="141"/>
      <c r="E1134" s="143"/>
      <c r="F1134" s="150"/>
      <c r="G1134" s="150"/>
      <c r="H1134" s="145"/>
      <c r="I1134" s="145"/>
    </row>
    <row r="1135" spans="1:9" ht="24.95" hidden="1" customHeight="1">
      <c r="A1135" s="141"/>
      <c r="B1135" s="141"/>
      <c r="C1135" s="143"/>
      <c r="D1135" s="141"/>
      <c r="E1135" s="143"/>
      <c r="F1135" s="150"/>
      <c r="G1135" s="150"/>
      <c r="H1135" s="145"/>
      <c r="I1135" s="145"/>
    </row>
    <row r="1136" spans="1:9" ht="24.95" hidden="1" customHeight="1">
      <c r="A1136" s="141"/>
      <c r="B1136" s="141"/>
      <c r="C1136" s="143"/>
      <c r="D1136" s="141"/>
      <c r="E1136" s="143"/>
      <c r="F1136" s="150"/>
      <c r="G1136" s="150"/>
      <c r="H1136" s="145"/>
      <c r="I1136" s="145"/>
    </row>
    <row r="1137" spans="1:9" ht="24.95" hidden="1" customHeight="1">
      <c r="A1137" s="141"/>
      <c r="B1137" s="141"/>
      <c r="C1137" s="143"/>
      <c r="D1137" s="141"/>
      <c r="E1137" s="143"/>
      <c r="F1137" s="150"/>
      <c r="G1137" s="150"/>
      <c r="H1137" s="145"/>
      <c r="I1137" s="145"/>
    </row>
    <row r="1138" spans="1:9" ht="24.95" hidden="1" customHeight="1">
      <c r="A1138" s="141"/>
      <c r="B1138" s="141"/>
      <c r="C1138" s="143"/>
      <c r="D1138" s="141"/>
      <c r="E1138" s="143"/>
      <c r="F1138" s="150"/>
      <c r="G1138" s="150"/>
      <c r="H1138" s="145"/>
      <c r="I1138" s="145"/>
    </row>
    <row r="1139" spans="1:9" ht="24.95" hidden="1" customHeight="1">
      <c r="A1139" s="141"/>
      <c r="B1139" s="141"/>
      <c r="C1139" s="143"/>
      <c r="D1139" s="141"/>
      <c r="E1139" s="143"/>
      <c r="F1139" s="150"/>
      <c r="G1139" s="150"/>
      <c r="H1139" s="145"/>
      <c r="I1139" s="145"/>
    </row>
    <row r="1140" spans="1:9" ht="24.95" hidden="1" customHeight="1">
      <c r="A1140" s="141"/>
      <c r="B1140" s="141"/>
      <c r="C1140" s="143"/>
      <c r="D1140" s="141"/>
      <c r="E1140" s="143"/>
      <c r="F1140" s="150"/>
      <c r="G1140" s="150"/>
      <c r="H1140" s="145"/>
      <c r="I1140" s="145"/>
    </row>
    <row r="1141" spans="1:9" ht="24.95" hidden="1" customHeight="1">
      <c r="A1141" s="141"/>
      <c r="B1141" s="141"/>
      <c r="C1141" s="143"/>
      <c r="D1141" s="141"/>
      <c r="E1141" s="143"/>
      <c r="F1141" s="150"/>
      <c r="G1141" s="150"/>
      <c r="H1141" s="145"/>
      <c r="I1141" s="145"/>
    </row>
    <row r="1142" spans="1:9" ht="24.95" hidden="1" customHeight="1">
      <c r="A1142" s="141"/>
      <c r="B1142" s="141"/>
      <c r="C1142" s="143"/>
      <c r="D1142" s="141"/>
      <c r="E1142" s="143"/>
      <c r="F1142" s="150"/>
      <c r="G1142" s="150"/>
      <c r="H1142" s="145"/>
      <c r="I1142" s="145"/>
    </row>
    <row r="1143" spans="1:9" ht="24.95" hidden="1" customHeight="1">
      <c r="A1143" s="141"/>
      <c r="B1143" s="141"/>
      <c r="C1143" s="143"/>
      <c r="D1143" s="141"/>
      <c r="E1143" s="143"/>
      <c r="F1143" s="150"/>
      <c r="G1143" s="150"/>
      <c r="H1143" s="145"/>
      <c r="I1143" s="145"/>
    </row>
    <row r="1144" spans="1:9" ht="24.95" hidden="1" customHeight="1">
      <c r="A1144" s="141"/>
      <c r="B1144" s="141"/>
      <c r="C1144" s="143"/>
      <c r="D1144" s="141"/>
      <c r="E1144" s="143"/>
      <c r="F1144" s="150"/>
      <c r="G1144" s="150"/>
      <c r="H1144" s="145"/>
      <c r="I1144" s="145"/>
    </row>
    <row r="1145" spans="1:9" ht="24.95" hidden="1" customHeight="1">
      <c r="A1145" s="141"/>
      <c r="B1145" s="141"/>
      <c r="C1145" s="143"/>
      <c r="D1145" s="141"/>
      <c r="E1145" s="143"/>
      <c r="F1145" s="150"/>
      <c r="G1145" s="150"/>
      <c r="H1145" s="145"/>
      <c r="I1145" s="145"/>
    </row>
    <row r="1146" spans="1:9" ht="24.95" hidden="1" customHeight="1">
      <c r="A1146" s="141"/>
      <c r="B1146" s="141"/>
      <c r="C1146" s="143"/>
      <c r="D1146" s="141"/>
      <c r="E1146" s="143"/>
      <c r="F1146" s="150"/>
      <c r="G1146" s="150"/>
      <c r="H1146" s="145"/>
      <c r="I1146" s="145"/>
    </row>
    <row r="1147" spans="1:9" ht="24.95" hidden="1" customHeight="1">
      <c r="A1147" s="141"/>
      <c r="B1147" s="141"/>
      <c r="C1147" s="143"/>
      <c r="D1147" s="141"/>
      <c r="E1147" s="143"/>
      <c r="F1147" s="150"/>
      <c r="G1147" s="150"/>
      <c r="H1147" s="145"/>
      <c r="I1147" s="145"/>
    </row>
    <row r="1148" spans="1:9" ht="24.95" hidden="1" customHeight="1">
      <c r="A1148" s="141"/>
      <c r="B1148" s="141"/>
      <c r="C1148" s="143"/>
      <c r="D1148" s="141"/>
      <c r="E1148" s="143"/>
      <c r="F1148" s="150"/>
      <c r="G1148" s="150"/>
      <c r="H1148" s="145"/>
      <c r="I1148" s="145"/>
    </row>
    <row r="1149" spans="1:9" ht="24.95" hidden="1" customHeight="1">
      <c r="A1149" s="141"/>
      <c r="B1149" s="141"/>
      <c r="C1149" s="143"/>
      <c r="D1149" s="141"/>
      <c r="E1149" s="143"/>
      <c r="F1149" s="150"/>
      <c r="G1149" s="150"/>
      <c r="H1149" s="145"/>
      <c r="I1149" s="145"/>
    </row>
    <row r="1150" spans="1:9" ht="24.95" hidden="1" customHeight="1">
      <c r="A1150" s="141"/>
      <c r="B1150" s="141"/>
      <c r="C1150" s="143"/>
      <c r="D1150" s="141"/>
      <c r="E1150" s="143"/>
      <c r="F1150" s="150"/>
      <c r="G1150" s="150"/>
      <c r="H1150" s="145"/>
      <c r="I1150" s="145"/>
    </row>
    <row r="1151" spans="1:9" ht="24.95" hidden="1" customHeight="1">
      <c r="A1151" s="141"/>
      <c r="B1151" s="141"/>
      <c r="C1151" s="143"/>
      <c r="D1151" s="141"/>
      <c r="E1151" s="143"/>
      <c r="F1151" s="150"/>
      <c r="G1151" s="150"/>
      <c r="H1151" s="145"/>
      <c r="I1151" s="145"/>
    </row>
    <row r="1152" spans="1:9" ht="24.95" hidden="1" customHeight="1">
      <c r="A1152" s="141"/>
      <c r="B1152" s="141"/>
      <c r="C1152" s="143"/>
      <c r="D1152" s="141"/>
      <c r="E1152" s="143"/>
      <c r="F1152" s="150"/>
      <c r="G1152" s="150"/>
      <c r="H1152" s="145"/>
      <c r="I1152" s="145"/>
    </row>
    <row r="1153" spans="1:9" ht="24.95" hidden="1" customHeight="1">
      <c r="A1153" s="141"/>
      <c r="B1153" s="141"/>
      <c r="C1153" s="143"/>
      <c r="D1153" s="141"/>
      <c r="E1153" s="143"/>
      <c r="F1153" s="150"/>
      <c r="G1153" s="150"/>
      <c r="H1153" s="145"/>
      <c r="I1153" s="145"/>
    </row>
    <row r="1154" spans="1:9" ht="24.95" hidden="1" customHeight="1">
      <c r="A1154" s="141"/>
      <c r="B1154" s="141"/>
      <c r="C1154" s="143"/>
      <c r="D1154" s="141"/>
      <c r="E1154" s="143"/>
      <c r="F1154" s="150"/>
      <c r="G1154" s="150"/>
      <c r="H1154" s="145"/>
      <c r="I1154" s="145"/>
    </row>
    <row r="1155" spans="1:9" ht="24.95" hidden="1" customHeight="1">
      <c r="A1155" s="141"/>
      <c r="B1155" s="141"/>
      <c r="C1155" s="143"/>
      <c r="D1155" s="141"/>
      <c r="E1155" s="143"/>
      <c r="F1155" s="150"/>
      <c r="G1155" s="150"/>
      <c r="H1155" s="145"/>
      <c r="I1155" s="145"/>
    </row>
    <row r="1156" spans="1:9" ht="24.95" hidden="1" customHeight="1">
      <c r="A1156" s="141"/>
      <c r="B1156" s="141"/>
      <c r="C1156" s="143"/>
      <c r="D1156" s="141"/>
      <c r="E1156" s="143"/>
      <c r="F1156" s="150"/>
      <c r="G1156" s="150"/>
      <c r="H1156" s="145"/>
      <c r="I1156" s="145"/>
    </row>
    <row r="1157" spans="1:9" ht="24.95" hidden="1" customHeight="1">
      <c r="A1157" s="141"/>
      <c r="B1157" s="141"/>
      <c r="C1157" s="143"/>
      <c r="D1157" s="141"/>
      <c r="E1157" s="143"/>
      <c r="F1157" s="150"/>
      <c r="G1157" s="150"/>
      <c r="H1157" s="145"/>
      <c r="I1157" s="145"/>
    </row>
    <row r="1158" spans="1:9" ht="24.95" hidden="1" customHeight="1">
      <c r="A1158" s="141"/>
      <c r="B1158" s="141"/>
      <c r="C1158" s="143"/>
      <c r="D1158" s="141"/>
      <c r="E1158" s="143"/>
      <c r="F1158" s="150"/>
      <c r="G1158" s="150"/>
      <c r="H1158" s="145"/>
      <c r="I1158" s="145"/>
    </row>
    <row r="1159" spans="1:9" ht="24.95" hidden="1" customHeight="1">
      <c r="A1159" s="141"/>
      <c r="B1159" s="141"/>
      <c r="C1159" s="143"/>
      <c r="D1159" s="141"/>
      <c r="E1159" s="143"/>
      <c r="F1159" s="150"/>
      <c r="G1159" s="150"/>
      <c r="H1159" s="145"/>
      <c r="I1159" s="145"/>
    </row>
    <row r="1160" spans="1:9" ht="24.95" hidden="1" customHeight="1">
      <c r="A1160" s="141"/>
      <c r="B1160" s="141"/>
      <c r="C1160" s="143"/>
      <c r="D1160" s="141"/>
      <c r="E1160" s="143"/>
      <c r="F1160" s="150"/>
      <c r="G1160" s="150"/>
      <c r="H1160" s="145"/>
      <c r="I1160" s="145"/>
    </row>
    <row r="1161" spans="1:9" ht="24.95" hidden="1" customHeight="1">
      <c r="A1161" s="141"/>
      <c r="B1161" s="141"/>
      <c r="C1161" s="143"/>
      <c r="D1161" s="141"/>
      <c r="E1161" s="143"/>
      <c r="F1161" s="150"/>
      <c r="G1161" s="150"/>
      <c r="H1161" s="145"/>
      <c r="I1161" s="145"/>
    </row>
    <row r="1162" spans="1:9" ht="24.95" hidden="1" customHeight="1">
      <c r="A1162" s="141"/>
      <c r="B1162" s="141"/>
      <c r="C1162" s="143"/>
      <c r="D1162" s="141"/>
      <c r="E1162" s="143"/>
      <c r="F1162" s="150"/>
      <c r="G1162" s="150"/>
      <c r="H1162" s="145"/>
      <c r="I1162" s="145"/>
    </row>
    <row r="1163" spans="1:9" ht="24.95" hidden="1" customHeight="1">
      <c r="A1163" s="141"/>
      <c r="B1163" s="141"/>
      <c r="C1163" s="143"/>
      <c r="D1163" s="141"/>
      <c r="E1163" s="143"/>
      <c r="F1163" s="150"/>
      <c r="G1163" s="150"/>
      <c r="H1163" s="145"/>
      <c r="I1163" s="145"/>
    </row>
    <row r="1164" spans="1:9" ht="24.95" hidden="1" customHeight="1">
      <c r="A1164" s="141"/>
      <c r="B1164" s="141"/>
      <c r="C1164" s="143"/>
      <c r="D1164" s="141"/>
      <c r="E1164" s="143"/>
      <c r="F1164" s="150"/>
      <c r="G1164" s="150"/>
      <c r="H1164" s="145"/>
      <c r="I1164" s="145"/>
    </row>
    <row r="1165" spans="1:9" ht="24.95" hidden="1" customHeight="1">
      <c r="A1165" s="141"/>
      <c r="B1165" s="141"/>
      <c r="C1165" s="143"/>
      <c r="D1165" s="141"/>
      <c r="E1165" s="143"/>
      <c r="F1165" s="150"/>
      <c r="G1165" s="150"/>
      <c r="H1165" s="145"/>
      <c r="I1165" s="145"/>
    </row>
    <row r="1166" spans="1:9" ht="24.95" hidden="1" customHeight="1">
      <c r="A1166" s="141"/>
      <c r="B1166" s="141"/>
      <c r="C1166" s="143"/>
      <c r="D1166" s="141"/>
      <c r="E1166" s="143"/>
      <c r="F1166" s="150"/>
      <c r="G1166" s="150"/>
      <c r="H1166" s="145"/>
      <c r="I1166" s="145"/>
    </row>
    <row r="1167" spans="1:9" ht="24.95" hidden="1" customHeight="1">
      <c r="A1167" s="141"/>
      <c r="B1167" s="141"/>
      <c r="C1167" s="143"/>
      <c r="D1167" s="141"/>
      <c r="E1167" s="143"/>
      <c r="F1167" s="150"/>
      <c r="G1167" s="150"/>
      <c r="H1167" s="145"/>
      <c r="I1167" s="145"/>
    </row>
    <row r="1168" spans="1:9" ht="24.95" hidden="1" customHeight="1">
      <c r="A1168" s="141"/>
      <c r="B1168" s="141"/>
      <c r="C1168" s="143"/>
      <c r="D1168" s="141"/>
      <c r="E1168" s="143"/>
      <c r="F1168" s="150"/>
      <c r="G1168" s="150"/>
      <c r="H1168" s="145"/>
      <c r="I1168" s="145"/>
    </row>
    <row r="1169" spans="1:9" ht="24.95" hidden="1" customHeight="1">
      <c r="A1169" s="141"/>
      <c r="B1169" s="141"/>
      <c r="C1169" s="143"/>
      <c r="D1169" s="141"/>
      <c r="E1169" s="143"/>
      <c r="F1169" s="150"/>
      <c r="G1169" s="150"/>
      <c r="H1169" s="145"/>
      <c r="I1169" s="145"/>
    </row>
    <row r="1170" spans="1:9" ht="24.95" hidden="1" customHeight="1">
      <c r="A1170" s="141"/>
      <c r="B1170" s="141"/>
      <c r="C1170" s="143"/>
      <c r="D1170" s="141"/>
      <c r="E1170" s="143"/>
      <c r="F1170" s="150"/>
      <c r="G1170" s="150"/>
      <c r="H1170" s="145"/>
      <c r="I1170" s="145"/>
    </row>
    <row r="1171" spans="1:9" ht="24.95" hidden="1" customHeight="1">
      <c r="A1171" s="141"/>
      <c r="B1171" s="141"/>
      <c r="C1171" s="143"/>
      <c r="D1171" s="141"/>
      <c r="E1171" s="143"/>
      <c r="F1171" s="150"/>
      <c r="G1171" s="150"/>
      <c r="H1171" s="145"/>
      <c r="I1171" s="145"/>
    </row>
    <row r="1172" spans="1:9" ht="24.95" hidden="1" customHeight="1">
      <c r="A1172" s="141"/>
      <c r="B1172" s="141"/>
      <c r="C1172" s="143"/>
      <c r="D1172" s="141"/>
      <c r="E1172" s="143"/>
      <c r="F1172" s="150"/>
      <c r="G1172" s="150"/>
      <c r="H1172" s="145"/>
      <c r="I1172" s="145"/>
    </row>
    <row r="1173" spans="1:9" ht="24.95" hidden="1" customHeight="1">
      <c r="A1173" s="141"/>
      <c r="B1173" s="141"/>
      <c r="C1173" s="143"/>
      <c r="D1173" s="141"/>
      <c r="E1173" s="143"/>
      <c r="F1173" s="150"/>
      <c r="G1173" s="150"/>
      <c r="H1173" s="145"/>
      <c r="I1173" s="145"/>
    </row>
    <row r="1174" spans="1:9" ht="24.95" hidden="1" customHeight="1">
      <c r="A1174" s="141"/>
      <c r="B1174" s="141"/>
      <c r="C1174" s="143"/>
      <c r="D1174" s="141"/>
      <c r="E1174" s="143"/>
      <c r="F1174" s="150"/>
      <c r="G1174" s="150"/>
      <c r="H1174" s="145"/>
      <c r="I1174" s="145"/>
    </row>
    <row r="1175" spans="1:9" ht="24.95" hidden="1" customHeight="1">
      <c r="A1175" s="141"/>
      <c r="B1175" s="141"/>
      <c r="C1175" s="143"/>
      <c r="D1175" s="141"/>
      <c r="E1175" s="143"/>
      <c r="F1175" s="150"/>
      <c r="G1175" s="150"/>
      <c r="H1175" s="145"/>
      <c r="I1175" s="145"/>
    </row>
    <row r="1176" spans="1:9" ht="24.95" hidden="1" customHeight="1">
      <c r="A1176" s="141"/>
      <c r="B1176" s="141"/>
      <c r="C1176" s="143"/>
      <c r="D1176" s="141"/>
      <c r="E1176" s="143"/>
      <c r="F1176" s="150"/>
      <c r="G1176" s="150"/>
      <c r="H1176" s="145"/>
      <c r="I1176" s="145"/>
    </row>
    <row r="1177" spans="1:9" ht="24.95" hidden="1" customHeight="1">
      <c r="A1177" s="141"/>
      <c r="B1177" s="141"/>
      <c r="C1177" s="143"/>
      <c r="D1177" s="141"/>
      <c r="E1177" s="143"/>
      <c r="F1177" s="150"/>
      <c r="G1177" s="150"/>
      <c r="H1177" s="145"/>
      <c r="I1177" s="145"/>
    </row>
    <row r="1178" spans="1:9" ht="24.95" hidden="1" customHeight="1">
      <c r="A1178" s="141"/>
      <c r="B1178" s="141"/>
      <c r="C1178" s="143"/>
      <c r="D1178" s="141"/>
      <c r="E1178" s="143"/>
      <c r="F1178" s="150"/>
      <c r="G1178" s="150"/>
      <c r="H1178" s="145"/>
      <c r="I1178" s="145"/>
    </row>
    <row r="1179" spans="1:9" ht="24.95" hidden="1" customHeight="1">
      <c r="A1179" s="141"/>
      <c r="B1179" s="141"/>
      <c r="C1179" s="143"/>
      <c r="D1179" s="141"/>
      <c r="E1179" s="143"/>
      <c r="F1179" s="150"/>
      <c r="G1179" s="150"/>
      <c r="H1179" s="145"/>
      <c r="I1179" s="145"/>
    </row>
    <row r="1180" spans="1:9" ht="24.95" hidden="1" customHeight="1">
      <c r="A1180" s="141"/>
      <c r="B1180" s="141"/>
      <c r="C1180" s="143"/>
      <c r="D1180" s="141"/>
      <c r="E1180" s="143"/>
      <c r="F1180" s="150"/>
      <c r="G1180" s="150"/>
      <c r="H1180" s="145"/>
      <c r="I1180" s="145"/>
    </row>
    <row r="1181" spans="1:9" ht="24.95" hidden="1" customHeight="1">
      <c r="A1181" s="141"/>
      <c r="B1181" s="141"/>
      <c r="C1181" s="143"/>
      <c r="D1181" s="141"/>
      <c r="E1181" s="143"/>
      <c r="F1181" s="150"/>
      <c r="G1181" s="150"/>
      <c r="H1181" s="145"/>
      <c r="I1181" s="145"/>
    </row>
    <row r="1182" spans="1:9" ht="24.95" hidden="1" customHeight="1">
      <c r="A1182" s="141"/>
      <c r="B1182" s="141"/>
      <c r="C1182" s="143"/>
      <c r="D1182" s="141"/>
      <c r="E1182" s="143"/>
      <c r="F1182" s="150"/>
      <c r="G1182" s="150"/>
      <c r="H1182" s="145"/>
      <c r="I1182" s="145"/>
    </row>
    <row r="1183" spans="1:9" ht="24.95" hidden="1" customHeight="1">
      <c r="A1183" s="141"/>
      <c r="B1183" s="141"/>
      <c r="C1183" s="143"/>
      <c r="D1183" s="141"/>
      <c r="E1183" s="143"/>
      <c r="F1183" s="150"/>
      <c r="G1183" s="150"/>
      <c r="H1183" s="145"/>
      <c r="I1183" s="145"/>
    </row>
    <row r="1184" spans="1:9" ht="24.95" hidden="1" customHeight="1">
      <c r="A1184" s="141"/>
      <c r="B1184" s="141"/>
      <c r="C1184" s="143"/>
      <c r="D1184" s="141"/>
      <c r="E1184" s="143"/>
      <c r="F1184" s="150"/>
      <c r="G1184" s="150"/>
      <c r="H1184" s="145"/>
      <c r="I1184" s="145"/>
    </row>
    <row r="1185" spans="1:9" ht="24.95" hidden="1" customHeight="1">
      <c r="A1185" s="141"/>
      <c r="B1185" s="141"/>
      <c r="C1185" s="143"/>
      <c r="D1185" s="141"/>
      <c r="E1185" s="143"/>
      <c r="F1185" s="150"/>
      <c r="G1185" s="150"/>
      <c r="H1185" s="145"/>
      <c r="I1185" s="145"/>
    </row>
    <row r="1186" spans="1:9" ht="24.95" hidden="1" customHeight="1">
      <c r="A1186" s="141"/>
      <c r="B1186" s="141"/>
      <c r="C1186" s="143"/>
      <c r="D1186" s="141"/>
      <c r="E1186" s="143"/>
      <c r="F1186" s="150"/>
      <c r="G1186" s="150"/>
      <c r="H1186" s="145"/>
      <c r="I1186" s="145"/>
    </row>
    <row r="1187" spans="1:9" ht="24.95" hidden="1" customHeight="1">
      <c r="A1187" s="141"/>
      <c r="B1187" s="141"/>
      <c r="C1187" s="143"/>
      <c r="D1187" s="141"/>
      <c r="E1187" s="143"/>
      <c r="F1187" s="150"/>
      <c r="G1187" s="150"/>
      <c r="H1187" s="145"/>
      <c r="I1187" s="145"/>
    </row>
    <row r="1188" spans="1:9" ht="24.95" hidden="1" customHeight="1">
      <c r="A1188" s="141"/>
      <c r="B1188" s="141"/>
      <c r="C1188" s="143"/>
      <c r="D1188" s="141"/>
      <c r="E1188" s="143"/>
      <c r="F1188" s="150"/>
      <c r="G1188" s="150"/>
      <c r="H1188" s="145"/>
      <c r="I1188" s="145"/>
    </row>
    <row r="1189" spans="1:9" ht="24.95" hidden="1" customHeight="1">
      <c r="A1189" s="141"/>
      <c r="B1189" s="141"/>
      <c r="C1189" s="143"/>
      <c r="D1189" s="141"/>
      <c r="E1189" s="143"/>
      <c r="F1189" s="150"/>
      <c r="G1189" s="150"/>
      <c r="H1189" s="145"/>
      <c r="I1189" s="145"/>
    </row>
    <row r="1190" spans="1:9" ht="24.95" hidden="1" customHeight="1">
      <c r="A1190" s="141"/>
      <c r="B1190" s="141"/>
      <c r="C1190" s="143"/>
      <c r="D1190" s="141"/>
      <c r="E1190" s="143"/>
      <c r="F1190" s="150"/>
      <c r="G1190" s="150"/>
      <c r="H1190" s="145"/>
      <c r="I1190" s="145"/>
    </row>
    <row r="1191" spans="1:9" ht="24.95" hidden="1" customHeight="1">
      <c r="A1191" s="141"/>
      <c r="B1191" s="141"/>
      <c r="C1191" s="143"/>
      <c r="D1191" s="141"/>
      <c r="E1191" s="143"/>
      <c r="F1191" s="150"/>
      <c r="G1191" s="150"/>
      <c r="H1191" s="145"/>
      <c r="I1191" s="145"/>
    </row>
    <row r="1192" spans="1:9" ht="24.95" hidden="1" customHeight="1">
      <c r="A1192" s="141"/>
      <c r="B1192" s="141"/>
      <c r="C1192" s="143"/>
      <c r="D1192" s="141"/>
      <c r="E1192" s="143"/>
      <c r="F1192" s="150"/>
      <c r="G1192" s="150"/>
      <c r="H1192" s="145"/>
      <c r="I1192" s="145"/>
    </row>
    <row r="1193" spans="1:9" ht="24.95" hidden="1" customHeight="1">
      <c r="A1193" s="141"/>
      <c r="B1193" s="141"/>
      <c r="C1193" s="143"/>
      <c r="D1193" s="141"/>
      <c r="E1193" s="143"/>
      <c r="F1193" s="150"/>
      <c r="G1193" s="150"/>
      <c r="H1193" s="145"/>
      <c r="I1193" s="145"/>
    </row>
    <row r="1194" spans="1:9" ht="24.95" hidden="1" customHeight="1">
      <c r="A1194" s="141"/>
      <c r="B1194" s="141"/>
      <c r="C1194" s="143"/>
      <c r="D1194" s="141"/>
      <c r="E1194" s="143"/>
      <c r="F1194" s="150"/>
      <c r="G1194" s="150"/>
      <c r="H1194" s="145"/>
      <c r="I1194" s="145"/>
    </row>
    <row r="1195" spans="1:9" ht="24.95" hidden="1" customHeight="1">
      <c r="A1195" s="141"/>
      <c r="B1195" s="141"/>
      <c r="C1195" s="143"/>
      <c r="D1195" s="141"/>
      <c r="E1195" s="143"/>
      <c r="F1195" s="150"/>
      <c r="G1195" s="150"/>
      <c r="H1195" s="145"/>
      <c r="I1195" s="145"/>
    </row>
    <row r="1196" spans="1:9" ht="24.95" hidden="1" customHeight="1">
      <c r="A1196" s="141"/>
      <c r="B1196" s="141"/>
      <c r="C1196" s="143"/>
      <c r="D1196" s="141"/>
      <c r="E1196" s="143"/>
      <c r="F1196" s="150"/>
      <c r="G1196" s="150"/>
      <c r="H1196" s="145"/>
      <c r="I1196" s="145"/>
    </row>
    <row r="1197" spans="1:9" ht="24.95" hidden="1" customHeight="1">
      <c r="A1197" s="141"/>
      <c r="B1197" s="141"/>
      <c r="C1197" s="143"/>
      <c r="D1197" s="141"/>
      <c r="E1197" s="143"/>
      <c r="F1197" s="150"/>
      <c r="G1197" s="150"/>
      <c r="H1197" s="145"/>
      <c r="I1197" s="145"/>
    </row>
    <row r="1198" spans="1:9" ht="24.95" hidden="1" customHeight="1">
      <c r="A1198" s="141"/>
      <c r="B1198" s="141"/>
      <c r="C1198" s="143"/>
      <c r="D1198" s="141"/>
      <c r="E1198" s="143"/>
      <c r="F1198" s="150"/>
      <c r="G1198" s="150"/>
      <c r="H1198" s="145"/>
      <c r="I1198" s="145"/>
    </row>
    <row r="1199" spans="1:9" ht="24.95" hidden="1" customHeight="1">
      <c r="A1199" s="141"/>
      <c r="B1199" s="141"/>
      <c r="C1199" s="143"/>
      <c r="D1199" s="141"/>
      <c r="E1199" s="143"/>
      <c r="F1199" s="150"/>
      <c r="G1199" s="150"/>
      <c r="H1199" s="145"/>
      <c r="I1199" s="145"/>
    </row>
    <row r="1200" spans="1:9" ht="24.95" hidden="1" customHeight="1">
      <c r="A1200" s="141"/>
      <c r="B1200" s="141"/>
      <c r="C1200" s="143"/>
      <c r="D1200" s="141"/>
      <c r="E1200" s="143"/>
      <c r="F1200" s="150"/>
      <c r="G1200" s="150"/>
      <c r="H1200" s="145"/>
      <c r="I1200" s="145"/>
    </row>
    <row r="1201" spans="1:9" ht="24.95" hidden="1" customHeight="1">
      <c r="A1201" s="141"/>
      <c r="B1201" s="141"/>
      <c r="C1201" s="143"/>
      <c r="D1201" s="141"/>
      <c r="E1201" s="143"/>
      <c r="F1201" s="150"/>
      <c r="G1201" s="150"/>
      <c r="H1201" s="145"/>
      <c r="I1201" s="145"/>
    </row>
    <row r="1202" spans="1:9" ht="24.95" hidden="1" customHeight="1">
      <c r="A1202" s="141"/>
      <c r="B1202" s="141"/>
      <c r="C1202" s="143"/>
      <c r="D1202" s="141"/>
      <c r="E1202" s="143"/>
      <c r="F1202" s="150"/>
      <c r="G1202" s="150"/>
      <c r="H1202" s="145"/>
      <c r="I1202" s="145"/>
    </row>
    <row r="1203" spans="1:9" ht="24.95" hidden="1" customHeight="1">
      <c r="A1203" s="141"/>
      <c r="B1203" s="141"/>
      <c r="C1203" s="143"/>
      <c r="D1203" s="141"/>
      <c r="E1203" s="143"/>
      <c r="F1203" s="150"/>
      <c r="G1203" s="150"/>
      <c r="H1203" s="145"/>
      <c r="I1203" s="145"/>
    </row>
    <row r="1204" spans="1:9" ht="24.95" hidden="1" customHeight="1">
      <c r="A1204" s="141"/>
      <c r="B1204" s="141"/>
      <c r="C1204" s="143"/>
      <c r="D1204" s="141"/>
      <c r="E1204" s="143"/>
      <c r="F1204" s="150"/>
      <c r="G1204" s="150"/>
      <c r="H1204" s="145"/>
      <c r="I1204" s="145"/>
    </row>
    <row r="1205" spans="1:9" ht="24.95" hidden="1" customHeight="1">
      <c r="A1205" s="141"/>
      <c r="B1205" s="141"/>
      <c r="C1205" s="143"/>
      <c r="D1205" s="141"/>
      <c r="E1205" s="143"/>
      <c r="F1205" s="150"/>
      <c r="G1205" s="150"/>
      <c r="H1205" s="145"/>
      <c r="I1205" s="145"/>
    </row>
    <row r="1206" spans="1:9" ht="24.95" hidden="1" customHeight="1">
      <c r="A1206" s="141"/>
      <c r="B1206" s="141"/>
      <c r="C1206" s="143"/>
      <c r="D1206" s="141"/>
      <c r="E1206" s="143"/>
      <c r="F1206" s="150"/>
      <c r="G1206" s="150"/>
      <c r="H1206" s="145"/>
      <c r="I1206" s="145"/>
    </row>
    <row r="1207" spans="1:9" ht="24.95" hidden="1" customHeight="1">
      <c r="A1207" s="141"/>
      <c r="B1207" s="141"/>
      <c r="C1207" s="143"/>
      <c r="D1207" s="141"/>
      <c r="E1207" s="143"/>
      <c r="F1207" s="150"/>
      <c r="G1207" s="150"/>
      <c r="H1207" s="145"/>
      <c r="I1207" s="145"/>
    </row>
    <row r="1208" spans="1:9" ht="24.95" hidden="1" customHeight="1">
      <c r="A1208" s="141"/>
      <c r="B1208" s="141"/>
      <c r="C1208" s="143"/>
      <c r="D1208" s="141"/>
      <c r="E1208" s="143"/>
      <c r="F1208" s="150"/>
      <c r="G1208" s="150"/>
      <c r="H1208" s="145"/>
      <c r="I1208" s="145"/>
    </row>
    <row r="1209" spans="1:9" ht="24.95" hidden="1" customHeight="1">
      <c r="A1209" s="141"/>
      <c r="B1209" s="141"/>
      <c r="C1209" s="143"/>
      <c r="D1209" s="141"/>
      <c r="E1209" s="143"/>
      <c r="F1209" s="150"/>
      <c r="G1209" s="150"/>
      <c r="H1209" s="145"/>
      <c r="I1209" s="145"/>
    </row>
    <row r="1210" spans="1:9" ht="24.95" hidden="1" customHeight="1">
      <c r="A1210" s="141"/>
      <c r="B1210" s="141"/>
      <c r="C1210" s="143"/>
      <c r="D1210" s="141"/>
      <c r="E1210" s="143"/>
      <c r="F1210" s="150"/>
      <c r="G1210" s="150"/>
      <c r="H1210" s="145"/>
      <c r="I1210" s="145"/>
    </row>
    <row r="1211" spans="1:9" ht="24.95" hidden="1" customHeight="1">
      <c r="A1211" s="141"/>
      <c r="B1211" s="141"/>
      <c r="C1211" s="143"/>
      <c r="D1211" s="141"/>
      <c r="E1211" s="143"/>
      <c r="F1211" s="150"/>
      <c r="G1211" s="150"/>
      <c r="H1211" s="145"/>
      <c r="I1211" s="145"/>
    </row>
    <row r="1212" spans="1:9" ht="24.95" hidden="1" customHeight="1">
      <c r="A1212" s="141"/>
      <c r="B1212" s="141"/>
      <c r="C1212" s="143"/>
      <c r="D1212" s="141"/>
      <c r="E1212" s="143"/>
      <c r="F1212" s="150"/>
      <c r="G1212" s="150"/>
      <c r="H1212" s="145"/>
      <c r="I1212" s="145"/>
    </row>
    <row r="1213" spans="1:9" ht="24.95" hidden="1" customHeight="1">
      <c r="A1213" s="141"/>
      <c r="B1213" s="141"/>
      <c r="C1213" s="143"/>
      <c r="D1213" s="141"/>
      <c r="E1213" s="143"/>
      <c r="F1213" s="150"/>
      <c r="G1213" s="150"/>
      <c r="H1213" s="145"/>
      <c r="I1213" s="145"/>
    </row>
    <row r="1214" spans="1:9" ht="24.95" hidden="1" customHeight="1">
      <c r="A1214" s="141"/>
      <c r="B1214" s="141"/>
      <c r="C1214" s="143"/>
      <c r="D1214" s="141"/>
      <c r="E1214" s="143"/>
      <c r="F1214" s="150"/>
      <c r="G1214" s="150"/>
      <c r="H1214" s="145"/>
      <c r="I1214" s="145"/>
    </row>
    <row r="1215" spans="1:9" ht="24.95" hidden="1" customHeight="1">
      <c r="A1215" s="141"/>
      <c r="B1215" s="141"/>
      <c r="C1215" s="143"/>
      <c r="D1215" s="141"/>
      <c r="E1215" s="143"/>
      <c r="F1215" s="150"/>
      <c r="G1215" s="150"/>
      <c r="H1215" s="145"/>
      <c r="I1215" s="145"/>
    </row>
    <row r="1216" spans="1:9" ht="24.95" hidden="1" customHeight="1">
      <c r="A1216" s="141"/>
      <c r="B1216" s="141"/>
      <c r="C1216" s="143"/>
      <c r="D1216" s="141"/>
      <c r="E1216" s="143"/>
      <c r="F1216" s="150"/>
      <c r="G1216" s="150"/>
      <c r="H1216" s="145"/>
      <c r="I1216" s="145"/>
    </row>
    <row r="1217" spans="1:9" ht="24.95" hidden="1" customHeight="1">
      <c r="A1217" s="141"/>
      <c r="B1217" s="141"/>
      <c r="C1217" s="143"/>
      <c r="D1217" s="141"/>
      <c r="E1217" s="143"/>
      <c r="F1217" s="150"/>
      <c r="G1217" s="150"/>
      <c r="H1217" s="145"/>
      <c r="I1217" s="145"/>
    </row>
    <row r="1218" spans="1:9" ht="24.95" hidden="1" customHeight="1">
      <c r="A1218" s="141"/>
      <c r="B1218" s="141"/>
      <c r="C1218" s="143"/>
      <c r="D1218" s="141"/>
      <c r="E1218" s="143"/>
      <c r="F1218" s="150"/>
      <c r="G1218" s="150"/>
      <c r="H1218" s="145"/>
      <c r="I1218" s="145"/>
    </row>
    <row r="1219" spans="1:9" ht="24.95" hidden="1" customHeight="1">
      <c r="A1219" s="141"/>
      <c r="B1219" s="141"/>
      <c r="C1219" s="143"/>
      <c r="D1219" s="141"/>
      <c r="E1219" s="143"/>
      <c r="F1219" s="150"/>
      <c r="G1219" s="150"/>
      <c r="H1219" s="145"/>
      <c r="I1219" s="145"/>
    </row>
    <row r="1220" spans="1:9" ht="24.95" hidden="1" customHeight="1">
      <c r="A1220" s="141"/>
      <c r="B1220" s="141"/>
      <c r="C1220" s="143"/>
      <c r="D1220" s="141"/>
      <c r="E1220" s="143"/>
      <c r="F1220" s="150"/>
      <c r="G1220" s="150"/>
      <c r="H1220" s="145"/>
      <c r="I1220" s="145"/>
    </row>
    <row r="1221" spans="1:9" ht="24.95" hidden="1" customHeight="1">
      <c r="A1221" s="141"/>
      <c r="B1221" s="141"/>
      <c r="C1221" s="143"/>
      <c r="D1221" s="141"/>
      <c r="E1221" s="143"/>
      <c r="F1221" s="150"/>
      <c r="G1221" s="150"/>
      <c r="H1221" s="145"/>
      <c r="I1221" s="145"/>
    </row>
    <row r="1222" spans="1:9" ht="24.95" hidden="1" customHeight="1">
      <c r="A1222" s="141"/>
      <c r="B1222" s="141"/>
      <c r="C1222" s="143"/>
      <c r="D1222" s="141"/>
      <c r="E1222" s="143"/>
      <c r="F1222" s="150"/>
      <c r="G1222" s="150"/>
      <c r="H1222" s="145"/>
      <c r="I1222" s="145"/>
    </row>
    <row r="1223" spans="1:9" ht="24.95" hidden="1" customHeight="1">
      <c r="A1223" s="141"/>
      <c r="B1223" s="141"/>
      <c r="C1223" s="143"/>
      <c r="D1223" s="141"/>
      <c r="E1223" s="143"/>
      <c r="F1223" s="150"/>
      <c r="G1223" s="150"/>
      <c r="H1223" s="145"/>
      <c r="I1223" s="145"/>
    </row>
    <row r="1224" spans="1:9" ht="24.95" hidden="1" customHeight="1">
      <c r="A1224" s="141"/>
      <c r="B1224" s="141"/>
      <c r="C1224" s="143"/>
      <c r="D1224" s="141"/>
      <c r="E1224" s="143"/>
      <c r="F1224" s="150"/>
      <c r="G1224" s="150"/>
      <c r="H1224" s="145"/>
      <c r="I1224" s="145"/>
    </row>
    <row r="1225" spans="1:9" ht="24.95" hidden="1" customHeight="1">
      <c r="A1225" s="141"/>
      <c r="B1225" s="141"/>
      <c r="C1225" s="143"/>
      <c r="D1225" s="141"/>
      <c r="E1225" s="143"/>
      <c r="F1225" s="150"/>
      <c r="G1225" s="150"/>
      <c r="H1225" s="145"/>
      <c r="I1225" s="145"/>
    </row>
    <row r="1226" spans="1:9" ht="24.95" hidden="1" customHeight="1">
      <c r="A1226" s="141"/>
      <c r="B1226" s="141"/>
      <c r="C1226" s="143"/>
      <c r="D1226" s="141"/>
      <c r="E1226" s="143"/>
      <c r="F1226" s="150"/>
      <c r="G1226" s="150"/>
      <c r="H1226" s="145"/>
      <c r="I1226" s="145"/>
    </row>
    <row r="1227" spans="1:9" ht="24.95" hidden="1" customHeight="1">
      <c r="A1227" s="141"/>
      <c r="B1227" s="141"/>
      <c r="C1227" s="143"/>
      <c r="D1227" s="141"/>
      <c r="E1227" s="143"/>
      <c r="F1227" s="150"/>
      <c r="G1227" s="150"/>
      <c r="H1227" s="145"/>
      <c r="I1227" s="145"/>
    </row>
    <row r="1228" spans="1:9" ht="24.95" hidden="1" customHeight="1">
      <c r="A1228" s="141"/>
      <c r="B1228" s="141"/>
      <c r="C1228" s="143"/>
      <c r="D1228" s="141"/>
      <c r="E1228" s="143"/>
      <c r="F1228" s="150"/>
      <c r="G1228" s="150"/>
      <c r="H1228" s="145"/>
      <c r="I1228" s="145"/>
    </row>
    <row r="1229" spans="1:9" ht="24.95" hidden="1" customHeight="1">
      <c r="A1229" s="141"/>
      <c r="B1229" s="141"/>
      <c r="C1229" s="143"/>
      <c r="D1229" s="141"/>
      <c r="E1229" s="143"/>
      <c r="F1229" s="150"/>
      <c r="G1229" s="150"/>
      <c r="H1229" s="145"/>
      <c r="I1229" s="145"/>
    </row>
    <row r="1230" spans="1:9" ht="24.95" hidden="1" customHeight="1">
      <c r="A1230" s="141"/>
      <c r="B1230" s="141"/>
      <c r="C1230" s="143"/>
      <c r="D1230" s="141"/>
      <c r="E1230" s="143"/>
      <c r="F1230" s="150"/>
      <c r="G1230" s="150"/>
      <c r="H1230" s="145"/>
      <c r="I1230" s="145"/>
    </row>
    <row r="1231" spans="1:9" ht="24.95" hidden="1" customHeight="1">
      <c r="A1231" s="141"/>
      <c r="B1231" s="141"/>
      <c r="C1231" s="143"/>
      <c r="D1231" s="141"/>
      <c r="E1231" s="143"/>
      <c r="F1231" s="150"/>
      <c r="G1231" s="150"/>
      <c r="H1231" s="145"/>
      <c r="I1231" s="145"/>
    </row>
    <row r="1232" spans="1:9" ht="24.95" hidden="1" customHeight="1">
      <c r="A1232" s="141"/>
      <c r="B1232" s="141"/>
      <c r="C1232" s="143"/>
      <c r="D1232" s="141"/>
      <c r="E1232" s="143"/>
      <c r="F1232" s="150"/>
      <c r="G1232" s="150"/>
      <c r="H1232" s="145"/>
      <c r="I1232" s="145"/>
    </row>
    <row r="1233" spans="1:9" ht="24.95" hidden="1" customHeight="1">
      <c r="A1233" s="141"/>
      <c r="B1233" s="141"/>
      <c r="C1233" s="143"/>
      <c r="D1233" s="141"/>
      <c r="E1233" s="143"/>
      <c r="F1233" s="150"/>
      <c r="G1233" s="150"/>
      <c r="H1233" s="145"/>
      <c r="I1233" s="145"/>
    </row>
    <row r="1234" spans="1:9" ht="24.95" hidden="1" customHeight="1">
      <c r="A1234" s="141"/>
      <c r="B1234" s="141"/>
      <c r="C1234" s="143"/>
      <c r="D1234" s="141"/>
      <c r="E1234" s="143"/>
      <c r="F1234" s="150"/>
      <c r="G1234" s="150"/>
      <c r="H1234" s="145"/>
      <c r="I1234" s="145"/>
    </row>
    <row r="1235" spans="1:9" ht="24.95" hidden="1" customHeight="1">
      <c r="A1235" s="141"/>
      <c r="B1235" s="141"/>
      <c r="C1235" s="143"/>
      <c r="D1235" s="141"/>
      <c r="E1235" s="143"/>
      <c r="F1235" s="150"/>
      <c r="G1235" s="150"/>
      <c r="H1235" s="145"/>
      <c r="I1235" s="145"/>
    </row>
    <row r="1236" spans="1:9" ht="24.95" hidden="1" customHeight="1">
      <c r="A1236" s="141"/>
      <c r="B1236" s="141"/>
      <c r="C1236" s="143"/>
      <c r="D1236" s="141"/>
      <c r="E1236" s="143"/>
      <c r="F1236" s="150"/>
      <c r="G1236" s="150"/>
      <c r="H1236" s="145"/>
      <c r="I1236" s="145"/>
    </row>
    <row r="1237" spans="1:9" ht="24.95" hidden="1" customHeight="1">
      <c r="A1237" s="141"/>
      <c r="B1237" s="141"/>
      <c r="C1237" s="143"/>
      <c r="D1237" s="141"/>
      <c r="E1237" s="143"/>
      <c r="F1237" s="150"/>
      <c r="G1237" s="150"/>
      <c r="H1237" s="145"/>
      <c r="I1237" s="145"/>
    </row>
    <row r="1238" spans="1:9" ht="24.95" hidden="1" customHeight="1">
      <c r="A1238" s="141"/>
      <c r="B1238" s="141"/>
      <c r="C1238" s="143"/>
      <c r="D1238" s="141"/>
      <c r="E1238" s="143"/>
      <c r="F1238" s="150"/>
      <c r="G1238" s="150"/>
      <c r="H1238" s="145"/>
      <c r="I1238" s="145"/>
    </row>
    <row r="1239" spans="1:9" ht="24.95" hidden="1" customHeight="1">
      <c r="A1239" s="141"/>
      <c r="B1239" s="141"/>
      <c r="C1239" s="143"/>
      <c r="D1239" s="141"/>
      <c r="E1239" s="143"/>
      <c r="F1239" s="150"/>
      <c r="G1239" s="150"/>
      <c r="H1239" s="145"/>
      <c r="I1239" s="145"/>
    </row>
    <row r="1240" spans="1:9" ht="24.95" hidden="1" customHeight="1">
      <c r="A1240" s="141"/>
      <c r="B1240" s="141"/>
      <c r="C1240" s="143"/>
      <c r="D1240" s="141"/>
      <c r="E1240" s="143"/>
      <c r="F1240" s="150"/>
      <c r="G1240" s="150"/>
      <c r="H1240" s="145"/>
      <c r="I1240" s="145"/>
    </row>
    <row r="1241" spans="1:9" ht="24.95" hidden="1" customHeight="1">
      <c r="A1241" s="141"/>
      <c r="B1241" s="141"/>
      <c r="C1241" s="143"/>
      <c r="D1241" s="141"/>
      <c r="E1241" s="143"/>
      <c r="F1241" s="150"/>
      <c r="G1241" s="150"/>
      <c r="H1241" s="145"/>
      <c r="I1241" s="145"/>
    </row>
    <row r="1242" spans="1:9" ht="24.95" hidden="1" customHeight="1">
      <c r="A1242" s="141"/>
      <c r="B1242" s="141"/>
      <c r="C1242" s="143"/>
      <c r="D1242" s="141"/>
      <c r="E1242" s="143"/>
      <c r="F1242" s="150"/>
      <c r="G1242" s="150"/>
      <c r="H1242" s="145"/>
      <c r="I1242" s="145"/>
    </row>
    <row r="1243" spans="1:9" ht="24.95" hidden="1" customHeight="1">
      <c r="A1243" s="141"/>
      <c r="B1243" s="141"/>
      <c r="C1243" s="143"/>
      <c r="D1243" s="141"/>
      <c r="E1243" s="143"/>
      <c r="F1243" s="150"/>
      <c r="G1243" s="150"/>
      <c r="H1243" s="145"/>
      <c r="I1243" s="145"/>
    </row>
    <row r="1244" spans="1:9" ht="24.95" hidden="1" customHeight="1">
      <c r="A1244" s="141"/>
      <c r="B1244" s="141"/>
      <c r="C1244" s="143"/>
      <c r="D1244" s="141"/>
      <c r="E1244" s="143"/>
      <c r="F1244" s="150"/>
      <c r="G1244" s="150"/>
      <c r="H1244" s="145"/>
      <c r="I1244" s="145"/>
    </row>
    <row r="1245" spans="1:9" ht="24.95" hidden="1" customHeight="1">
      <c r="A1245" s="141"/>
      <c r="B1245" s="141"/>
      <c r="C1245" s="143"/>
      <c r="D1245" s="141"/>
      <c r="E1245" s="143"/>
      <c r="F1245" s="150"/>
      <c r="G1245" s="150"/>
      <c r="H1245" s="145"/>
      <c r="I1245" s="145"/>
    </row>
    <row r="1246" spans="1:9" ht="24.95" hidden="1" customHeight="1">
      <c r="A1246" s="141"/>
      <c r="B1246" s="141"/>
      <c r="C1246" s="143"/>
      <c r="D1246" s="141"/>
      <c r="E1246" s="143"/>
      <c r="F1246" s="150"/>
      <c r="G1246" s="150"/>
      <c r="H1246" s="145"/>
      <c r="I1246" s="145"/>
    </row>
    <row r="1247" spans="1:9" ht="24.95" hidden="1" customHeight="1">
      <c r="A1247" s="141"/>
      <c r="B1247" s="141"/>
      <c r="C1247" s="143"/>
      <c r="D1247" s="141"/>
      <c r="E1247" s="143"/>
      <c r="F1247" s="150"/>
      <c r="G1247" s="150"/>
      <c r="H1247" s="145"/>
      <c r="I1247" s="145"/>
    </row>
    <row r="1248" spans="1:9" ht="24.95" hidden="1" customHeight="1">
      <c r="A1248" s="141"/>
      <c r="B1248" s="141"/>
      <c r="C1248" s="143"/>
      <c r="D1248" s="141"/>
      <c r="E1248" s="143"/>
      <c r="F1248" s="150"/>
      <c r="G1248" s="150"/>
      <c r="H1248" s="145"/>
      <c r="I1248" s="145"/>
    </row>
    <row r="1249" spans="1:9" ht="24.95" hidden="1" customHeight="1">
      <c r="A1249" s="141"/>
      <c r="B1249" s="141"/>
      <c r="C1249" s="143"/>
      <c r="D1249" s="141"/>
      <c r="E1249" s="143"/>
      <c r="F1249" s="150"/>
      <c r="G1249" s="150"/>
      <c r="H1249" s="145"/>
      <c r="I1249" s="145"/>
    </row>
    <row r="1250" spans="1:9" ht="24.95" hidden="1" customHeight="1">
      <c r="A1250" s="141"/>
      <c r="B1250" s="141"/>
      <c r="C1250" s="143"/>
      <c r="D1250" s="141"/>
      <c r="E1250" s="143"/>
      <c r="F1250" s="150"/>
      <c r="G1250" s="150"/>
      <c r="H1250" s="145"/>
      <c r="I1250" s="145"/>
    </row>
    <row r="1251" spans="1:9" ht="24.95" hidden="1" customHeight="1">
      <c r="A1251" s="141"/>
      <c r="B1251" s="141"/>
      <c r="C1251" s="143"/>
      <c r="D1251" s="141"/>
      <c r="E1251" s="143"/>
      <c r="F1251" s="150"/>
      <c r="G1251" s="150"/>
      <c r="H1251" s="145"/>
      <c r="I1251" s="145"/>
    </row>
    <row r="1252" spans="1:9" ht="24.95" hidden="1" customHeight="1">
      <c r="A1252" s="141"/>
      <c r="B1252" s="141"/>
      <c r="C1252" s="143"/>
      <c r="D1252" s="141"/>
      <c r="E1252" s="143"/>
      <c r="F1252" s="150"/>
      <c r="G1252" s="150"/>
      <c r="H1252" s="145"/>
      <c r="I1252" s="145"/>
    </row>
    <row r="1253" spans="1:9" ht="24.95" hidden="1" customHeight="1">
      <c r="A1253" s="141"/>
      <c r="B1253" s="141"/>
      <c r="C1253" s="143"/>
      <c r="D1253" s="141"/>
      <c r="E1253" s="143"/>
      <c r="F1253" s="150"/>
      <c r="G1253" s="150"/>
      <c r="H1253" s="145"/>
      <c r="I1253" s="145"/>
    </row>
    <row r="1254" spans="1:9" ht="24.95" hidden="1" customHeight="1">
      <c r="A1254" s="141"/>
      <c r="B1254" s="141"/>
      <c r="C1254" s="143"/>
      <c r="D1254" s="141"/>
      <c r="E1254" s="143"/>
      <c r="F1254" s="150"/>
      <c r="G1254" s="150"/>
      <c r="H1254" s="145"/>
      <c r="I1254" s="145"/>
    </row>
    <row r="1255" spans="1:9" ht="24.95" hidden="1" customHeight="1">
      <c r="A1255" s="141"/>
      <c r="B1255" s="141"/>
      <c r="C1255" s="143"/>
      <c r="D1255" s="141"/>
      <c r="E1255" s="143"/>
      <c r="F1255" s="150"/>
      <c r="G1255" s="150"/>
      <c r="H1255" s="145"/>
      <c r="I1255" s="145"/>
    </row>
    <row r="1256" spans="1:9" ht="24.95" hidden="1" customHeight="1">
      <c r="A1256" s="141"/>
      <c r="B1256" s="141"/>
      <c r="C1256" s="143"/>
      <c r="D1256" s="141"/>
      <c r="E1256" s="143"/>
      <c r="F1256" s="150"/>
      <c r="G1256" s="150"/>
      <c r="H1256" s="145"/>
      <c r="I1256" s="145"/>
    </row>
    <row r="1257" spans="1:9" ht="24.95" hidden="1" customHeight="1">
      <c r="A1257" s="141"/>
      <c r="B1257" s="141"/>
      <c r="C1257" s="143"/>
      <c r="D1257" s="141"/>
      <c r="E1257" s="143"/>
      <c r="F1257" s="150"/>
      <c r="G1257" s="150"/>
      <c r="H1257" s="145"/>
      <c r="I1257" s="145"/>
    </row>
    <row r="1258" spans="1:9" ht="24.95" hidden="1" customHeight="1">
      <c r="A1258" s="141"/>
      <c r="B1258" s="141"/>
      <c r="C1258" s="143"/>
      <c r="D1258" s="141"/>
      <c r="E1258" s="143"/>
      <c r="F1258" s="150"/>
      <c r="G1258" s="150"/>
      <c r="H1258" s="145"/>
      <c r="I1258" s="145"/>
    </row>
    <row r="1259" spans="1:9" ht="24.95" hidden="1" customHeight="1">
      <c r="A1259" s="141"/>
      <c r="B1259" s="141"/>
      <c r="C1259" s="143"/>
      <c r="D1259" s="141"/>
      <c r="E1259" s="143"/>
      <c r="F1259" s="150"/>
      <c r="G1259" s="150"/>
      <c r="H1259" s="145"/>
      <c r="I1259" s="145"/>
    </row>
    <row r="1260" spans="1:9" ht="24.95" hidden="1" customHeight="1">
      <c r="A1260" s="141"/>
      <c r="B1260" s="141"/>
      <c r="C1260" s="143"/>
      <c r="D1260" s="141"/>
      <c r="E1260" s="143"/>
      <c r="F1260" s="150"/>
      <c r="G1260" s="150"/>
      <c r="H1260" s="145"/>
      <c r="I1260" s="145"/>
    </row>
    <row r="1261" spans="1:9" ht="24.95" hidden="1" customHeight="1">
      <c r="A1261" s="141"/>
      <c r="B1261" s="141"/>
      <c r="C1261" s="143"/>
      <c r="D1261" s="141"/>
      <c r="E1261" s="143"/>
      <c r="F1261" s="150"/>
      <c r="G1261" s="150"/>
      <c r="H1261" s="145"/>
      <c r="I1261" s="145"/>
    </row>
    <row r="1262" spans="1:9" ht="24.95" hidden="1" customHeight="1">
      <c r="A1262" s="141"/>
      <c r="B1262" s="141"/>
      <c r="C1262" s="143"/>
      <c r="D1262" s="141"/>
      <c r="E1262" s="143"/>
      <c r="F1262" s="150"/>
      <c r="G1262" s="150"/>
      <c r="H1262" s="145"/>
      <c r="I1262" s="145"/>
    </row>
    <row r="1263" spans="1:9" ht="24.95" hidden="1" customHeight="1">
      <c r="A1263" s="141"/>
      <c r="B1263" s="141"/>
      <c r="C1263" s="143"/>
      <c r="D1263" s="141"/>
      <c r="E1263" s="143"/>
      <c r="F1263" s="150"/>
      <c r="G1263" s="150"/>
      <c r="H1263" s="145"/>
      <c r="I1263" s="145"/>
    </row>
    <row r="1264" spans="1:9" ht="24.95" hidden="1" customHeight="1">
      <c r="A1264" s="141"/>
      <c r="B1264" s="141"/>
      <c r="C1264" s="143"/>
      <c r="D1264" s="141"/>
      <c r="E1264" s="143"/>
      <c r="F1264" s="150"/>
      <c r="G1264" s="150"/>
      <c r="H1264" s="145"/>
      <c r="I1264" s="145"/>
    </row>
    <row r="1265" spans="1:9" ht="24.95" hidden="1" customHeight="1">
      <c r="A1265" s="141"/>
      <c r="B1265" s="141"/>
      <c r="C1265" s="143"/>
      <c r="D1265" s="141"/>
      <c r="E1265" s="143"/>
      <c r="F1265" s="150"/>
      <c r="G1265" s="150"/>
      <c r="H1265" s="145"/>
      <c r="I1265" s="145"/>
    </row>
    <row r="1266" spans="1:9" ht="24.95" hidden="1" customHeight="1">
      <c r="A1266" s="141"/>
      <c r="B1266" s="141"/>
      <c r="C1266" s="143"/>
      <c r="D1266" s="141"/>
      <c r="E1266" s="143"/>
      <c r="F1266" s="150"/>
      <c r="G1266" s="150"/>
      <c r="H1266" s="145"/>
      <c r="I1266" s="145"/>
    </row>
    <row r="1267" spans="1:9" ht="24.95" hidden="1" customHeight="1">
      <c r="A1267" s="141"/>
      <c r="B1267" s="141"/>
      <c r="C1267" s="143"/>
      <c r="D1267" s="141"/>
      <c r="E1267" s="143"/>
      <c r="F1267" s="150"/>
      <c r="G1267" s="150"/>
      <c r="H1267" s="145"/>
      <c r="I1267" s="145"/>
    </row>
    <row r="1268" spans="1:9" ht="24.95" hidden="1" customHeight="1">
      <c r="A1268" s="141"/>
      <c r="B1268" s="141"/>
      <c r="C1268" s="143"/>
      <c r="D1268" s="141"/>
      <c r="E1268" s="143"/>
      <c r="F1268" s="150"/>
      <c r="G1268" s="150"/>
      <c r="H1268" s="145"/>
      <c r="I1268" s="145"/>
    </row>
    <row r="1269" spans="1:9" ht="24.95" hidden="1" customHeight="1">
      <c r="A1269" s="141"/>
      <c r="B1269" s="141"/>
      <c r="C1269" s="143"/>
      <c r="D1269" s="141"/>
      <c r="E1269" s="143"/>
      <c r="F1269" s="150"/>
      <c r="G1269" s="150"/>
      <c r="H1269" s="145"/>
      <c r="I1269" s="145"/>
    </row>
    <row r="1270" spans="1:9" ht="24.95" hidden="1" customHeight="1">
      <c r="A1270" s="141"/>
      <c r="B1270" s="141"/>
      <c r="C1270" s="143"/>
      <c r="D1270" s="141"/>
      <c r="E1270" s="143"/>
      <c r="F1270" s="150"/>
      <c r="G1270" s="150"/>
      <c r="H1270" s="145"/>
      <c r="I1270" s="145"/>
    </row>
    <row r="1271" spans="1:9" ht="24.95" hidden="1" customHeight="1">
      <c r="A1271" s="141"/>
      <c r="B1271" s="141"/>
      <c r="C1271" s="143"/>
      <c r="D1271" s="141"/>
      <c r="E1271" s="143"/>
      <c r="F1271" s="150"/>
      <c r="G1271" s="150"/>
      <c r="H1271" s="145"/>
      <c r="I1271" s="145"/>
    </row>
    <row r="1272" spans="1:9" ht="24.95" hidden="1" customHeight="1">
      <c r="A1272" s="141"/>
      <c r="B1272" s="141"/>
      <c r="C1272" s="143"/>
      <c r="D1272" s="141"/>
      <c r="E1272" s="143"/>
      <c r="F1272" s="150"/>
      <c r="G1272" s="150"/>
      <c r="H1272" s="145"/>
      <c r="I1272" s="145"/>
    </row>
    <row r="1273" spans="1:9" ht="24.95" hidden="1" customHeight="1">
      <c r="A1273" s="141"/>
      <c r="B1273" s="141"/>
      <c r="C1273" s="143"/>
      <c r="D1273" s="141"/>
      <c r="E1273" s="143"/>
      <c r="F1273" s="150"/>
      <c r="G1273" s="150"/>
      <c r="H1273" s="145"/>
      <c r="I1273" s="145"/>
    </row>
    <row r="1274" spans="1:9" ht="24.95" hidden="1" customHeight="1">
      <c r="A1274" s="141"/>
      <c r="B1274" s="141"/>
      <c r="C1274" s="143"/>
      <c r="D1274" s="141"/>
      <c r="E1274" s="143"/>
      <c r="F1274" s="150"/>
      <c r="G1274" s="150"/>
      <c r="H1274" s="145"/>
      <c r="I1274" s="145"/>
    </row>
    <row r="1275" spans="1:9" ht="24.95" hidden="1" customHeight="1">
      <c r="A1275" s="141"/>
      <c r="B1275" s="141"/>
      <c r="C1275" s="143"/>
      <c r="D1275" s="141"/>
      <c r="E1275" s="143"/>
      <c r="F1275" s="150"/>
      <c r="G1275" s="150"/>
      <c r="H1275" s="145"/>
      <c r="I1275" s="145"/>
    </row>
    <row r="1276" spans="1:9" ht="24.95" hidden="1" customHeight="1">
      <c r="A1276" s="141"/>
      <c r="B1276" s="141"/>
      <c r="C1276" s="143"/>
      <c r="D1276" s="141"/>
      <c r="E1276" s="143"/>
      <c r="F1276" s="150"/>
      <c r="G1276" s="150"/>
      <c r="H1276" s="145"/>
      <c r="I1276" s="145"/>
    </row>
    <row r="1277" spans="1:9" ht="24.95" hidden="1" customHeight="1">
      <c r="A1277" s="141"/>
      <c r="B1277" s="141"/>
      <c r="C1277" s="143"/>
      <c r="D1277" s="141"/>
      <c r="E1277" s="143"/>
      <c r="F1277" s="150"/>
      <c r="G1277" s="150"/>
      <c r="H1277" s="145"/>
      <c r="I1277" s="145"/>
    </row>
    <row r="1278" spans="1:9" ht="24.95" hidden="1" customHeight="1">
      <c r="A1278" s="141"/>
      <c r="B1278" s="141"/>
      <c r="C1278" s="143"/>
      <c r="D1278" s="141"/>
      <c r="E1278" s="143"/>
      <c r="F1278" s="150"/>
      <c r="G1278" s="150"/>
      <c r="H1278" s="145"/>
      <c r="I1278" s="145"/>
    </row>
    <row r="1279" spans="1:9" ht="24.95" hidden="1" customHeight="1">
      <c r="A1279" s="141"/>
      <c r="B1279" s="141"/>
      <c r="C1279" s="143"/>
      <c r="D1279" s="141"/>
      <c r="E1279" s="143"/>
      <c r="F1279" s="150"/>
      <c r="G1279" s="150"/>
      <c r="H1279" s="145"/>
      <c r="I1279" s="145"/>
    </row>
    <row r="1280" spans="1:9" ht="24.95" hidden="1" customHeight="1">
      <c r="A1280" s="141"/>
      <c r="B1280" s="141"/>
      <c r="C1280" s="143"/>
      <c r="D1280" s="141"/>
      <c r="E1280" s="143"/>
      <c r="F1280" s="150"/>
      <c r="G1280" s="150"/>
      <c r="H1280" s="145"/>
      <c r="I1280" s="145"/>
    </row>
    <row r="1281" spans="1:9" ht="24.95" hidden="1" customHeight="1">
      <c r="A1281" s="141"/>
      <c r="B1281" s="141"/>
      <c r="C1281" s="143"/>
      <c r="D1281" s="141"/>
      <c r="E1281" s="143"/>
      <c r="F1281" s="150"/>
      <c r="G1281" s="150"/>
      <c r="H1281" s="145"/>
      <c r="I1281" s="145"/>
    </row>
    <row r="1282" spans="1:9" ht="24.95" hidden="1" customHeight="1">
      <c r="A1282" s="141"/>
      <c r="B1282" s="141"/>
      <c r="C1282" s="143"/>
      <c r="D1282" s="141"/>
      <c r="E1282" s="143"/>
      <c r="F1282" s="150"/>
      <c r="G1282" s="150"/>
      <c r="H1282" s="145"/>
      <c r="I1282" s="145"/>
    </row>
    <row r="1283" spans="1:9" ht="24.95" hidden="1" customHeight="1">
      <c r="A1283" s="141"/>
      <c r="B1283" s="141"/>
      <c r="C1283" s="143"/>
      <c r="D1283" s="141"/>
      <c r="E1283" s="143"/>
      <c r="F1283" s="150"/>
      <c r="G1283" s="150"/>
      <c r="H1283" s="145"/>
      <c r="I1283" s="145"/>
    </row>
    <row r="1284" spans="1:9" ht="24.95" hidden="1" customHeight="1">
      <c r="A1284" s="141"/>
      <c r="B1284" s="141"/>
      <c r="C1284" s="143"/>
      <c r="D1284" s="141"/>
      <c r="E1284" s="143"/>
      <c r="F1284" s="150"/>
      <c r="G1284" s="150"/>
      <c r="H1284" s="145"/>
      <c r="I1284" s="145"/>
    </row>
    <row r="1285" spans="1:9" ht="24.95" hidden="1" customHeight="1">
      <c r="A1285" s="141"/>
      <c r="B1285" s="141"/>
      <c r="C1285" s="143"/>
      <c r="D1285" s="141"/>
      <c r="E1285" s="143"/>
      <c r="F1285" s="150"/>
      <c r="G1285" s="150"/>
      <c r="H1285" s="145"/>
      <c r="I1285" s="145"/>
    </row>
    <row r="1286" spans="1:9" ht="24.95" hidden="1" customHeight="1">
      <c r="A1286" s="141"/>
      <c r="B1286" s="141"/>
      <c r="C1286" s="143"/>
      <c r="D1286" s="141"/>
      <c r="E1286" s="143"/>
      <c r="F1286" s="150"/>
      <c r="G1286" s="150"/>
      <c r="H1286" s="145"/>
      <c r="I1286" s="145"/>
    </row>
    <row r="1287" spans="1:9" ht="24.95" hidden="1" customHeight="1">
      <c r="A1287" s="141"/>
      <c r="B1287" s="141"/>
      <c r="C1287" s="143"/>
      <c r="D1287" s="141"/>
      <c r="E1287" s="143"/>
      <c r="F1287" s="150"/>
      <c r="G1287" s="150"/>
      <c r="H1287" s="145"/>
      <c r="I1287" s="145"/>
    </row>
    <row r="1288" spans="1:9" ht="24.95" hidden="1" customHeight="1">
      <c r="A1288" s="141"/>
      <c r="B1288" s="141"/>
      <c r="C1288" s="143"/>
      <c r="D1288" s="141"/>
      <c r="E1288" s="143"/>
      <c r="F1288" s="150"/>
      <c r="G1288" s="150"/>
      <c r="H1288" s="145"/>
      <c r="I1288" s="145"/>
    </row>
    <row r="1289" spans="1:9" ht="24.95" hidden="1" customHeight="1">
      <c r="A1289" s="141"/>
      <c r="B1289" s="141"/>
      <c r="C1289" s="143"/>
      <c r="D1289" s="141"/>
      <c r="E1289" s="143"/>
      <c r="F1289" s="150"/>
      <c r="G1289" s="150"/>
      <c r="H1289" s="145"/>
      <c r="I1289" s="145"/>
    </row>
    <row r="1290" spans="1:9" ht="24.95" hidden="1" customHeight="1">
      <c r="A1290" s="141"/>
      <c r="B1290" s="141"/>
      <c r="C1290" s="143"/>
      <c r="D1290" s="141"/>
      <c r="E1290" s="143"/>
      <c r="F1290" s="150"/>
      <c r="G1290" s="150"/>
      <c r="H1290" s="145"/>
      <c r="I1290" s="145"/>
    </row>
    <row r="1291" spans="1:9" ht="24.95" hidden="1" customHeight="1">
      <c r="A1291" s="141"/>
      <c r="B1291" s="141"/>
      <c r="C1291" s="143"/>
      <c r="D1291" s="141"/>
      <c r="E1291" s="143"/>
      <c r="F1291" s="150"/>
      <c r="G1291" s="150"/>
      <c r="H1291" s="145"/>
      <c r="I1291" s="145"/>
    </row>
    <row r="1292" spans="1:9" ht="24.95" hidden="1" customHeight="1">
      <c r="A1292" s="141"/>
      <c r="B1292" s="141"/>
      <c r="C1292" s="143"/>
      <c r="D1292" s="141"/>
      <c r="E1292" s="143"/>
      <c r="F1292" s="150"/>
      <c r="G1292" s="150"/>
      <c r="H1292" s="145"/>
      <c r="I1292" s="145"/>
    </row>
    <row r="1293" spans="1:9" ht="24.95" hidden="1" customHeight="1">
      <c r="A1293" s="141"/>
      <c r="B1293" s="141"/>
      <c r="C1293" s="143"/>
      <c r="D1293" s="141"/>
      <c r="E1293" s="143"/>
      <c r="F1293" s="150"/>
      <c r="G1293" s="150"/>
      <c r="H1293" s="145"/>
      <c r="I1293" s="145"/>
    </row>
    <row r="1294" spans="1:9" ht="24.95" hidden="1" customHeight="1">
      <c r="A1294" s="141"/>
      <c r="B1294" s="141"/>
      <c r="C1294" s="143"/>
      <c r="D1294" s="141"/>
      <c r="E1294" s="143"/>
      <c r="F1294" s="150"/>
      <c r="G1294" s="150"/>
      <c r="H1294" s="145"/>
      <c r="I1294" s="145"/>
    </row>
    <row r="1295" spans="1:9" ht="24.95" hidden="1" customHeight="1">
      <c r="A1295" s="141"/>
      <c r="B1295" s="141"/>
      <c r="C1295" s="143"/>
      <c r="D1295" s="141"/>
      <c r="E1295" s="143"/>
      <c r="F1295" s="150"/>
      <c r="G1295" s="150"/>
      <c r="H1295" s="145"/>
      <c r="I1295" s="145"/>
    </row>
    <row r="1296" spans="1:9" ht="24.95" hidden="1" customHeight="1">
      <c r="A1296" s="141"/>
      <c r="B1296" s="141"/>
      <c r="C1296" s="143"/>
      <c r="D1296" s="141"/>
      <c r="E1296" s="143"/>
      <c r="F1296" s="150"/>
      <c r="G1296" s="150"/>
      <c r="H1296" s="145"/>
      <c r="I1296" s="145"/>
    </row>
    <row r="1297" spans="1:9" ht="24.95" hidden="1" customHeight="1">
      <c r="A1297" s="141"/>
      <c r="B1297" s="141"/>
      <c r="C1297" s="143"/>
      <c r="D1297" s="141"/>
      <c r="E1297" s="143"/>
      <c r="F1297" s="150"/>
      <c r="G1297" s="150"/>
      <c r="H1297" s="145"/>
      <c r="I1297" s="145"/>
    </row>
    <row r="1298" spans="1:9" ht="24.95" hidden="1" customHeight="1">
      <c r="A1298" s="141"/>
      <c r="B1298" s="141"/>
      <c r="C1298" s="143"/>
      <c r="D1298" s="141"/>
      <c r="E1298" s="143"/>
      <c r="F1298" s="150"/>
      <c r="G1298" s="150"/>
      <c r="H1298" s="145"/>
      <c r="I1298" s="145"/>
    </row>
    <row r="1299" spans="1:9" ht="24.95" hidden="1" customHeight="1">
      <c r="A1299" s="141"/>
      <c r="B1299" s="141"/>
      <c r="C1299" s="143"/>
      <c r="D1299" s="141"/>
      <c r="E1299" s="143"/>
      <c r="F1299" s="150"/>
      <c r="G1299" s="150"/>
      <c r="H1299" s="145"/>
      <c r="I1299" s="145"/>
    </row>
    <row r="1300" spans="1:9" ht="24.95" hidden="1" customHeight="1">
      <c r="A1300" s="141"/>
      <c r="B1300" s="141"/>
      <c r="C1300" s="143"/>
      <c r="D1300" s="141"/>
      <c r="E1300" s="143"/>
      <c r="F1300" s="150"/>
      <c r="G1300" s="150"/>
      <c r="H1300" s="145"/>
      <c r="I1300" s="145"/>
    </row>
    <row r="1301" spans="1:9" ht="24.95" hidden="1" customHeight="1">
      <c r="A1301" s="141"/>
      <c r="B1301" s="141"/>
      <c r="C1301" s="143"/>
      <c r="D1301" s="141"/>
      <c r="E1301" s="143"/>
      <c r="F1301" s="150"/>
      <c r="G1301" s="150"/>
      <c r="H1301" s="145"/>
      <c r="I1301" s="145"/>
    </row>
    <row r="1302" spans="1:9" ht="24.95" hidden="1" customHeight="1">
      <c r="A1302" s="141"/>
      <c r="B1302" s="141"/>
      <c r="C1302" s="143"/>
      <c r="D1302" s="141"/>
      <c r="E1302" s="143"/>
      <c r="F1302" s="150"/>
      <c r="G1302" s="150"/>
      <c r="H1302" s="145"/>
      <c r="I1302" s="145"/>
    </row>
    <row r="1303" spans="1:9" ht="24.95" hidden="1" customHeight="1">
      <c r="A1303" s="141"/>
      <c r="B1303" s="141"/>
      <c r="C1303" s="143"/>
      <c r="D1303" s="141"/>
      <c r="E1303" s="143"/>
      <c r="F1303" s="150"/>
      <c r="G1303" s="150"/>
      <c r="H1303" s="145"/>
      <c r="I1303" s="145"/>
    </row>
    <row r="1304" spans="1:9" ht="24.95" hidden="1" customHeight="1">
      <c r="A1304" s="141"/>
      <c r="B1304" s="141"/>
      <c r="C1304" s="143"/>
      <c r="D1304" s="141"/>
      <c r="E1304" s="143"/>
      <c r="F1304" s="150"/>
      <c r="G1304" s="150"/>
      <c r="H1304" s="145"/>
      <c r="I1304" s="145"/>
    </row>
    <row r="1305" spans="1:9" ht="24.95" hidden="1" customHeight="1">
      <c r="A1305" s="141"/>
      <c r="B1305" s="141"/>
      <c r="C1305" s="143"/>
      <c r="D1305" s="141"/>
      <c r="E1305" s="143"/>
      <c r="F1305" s="150"/>
      <c r="G1305" s="150"/>
      <c r="H1305" s="145"/>
      <c r="I1305" s="145"/>
    </row>
    <row r="1306" spans="1:9" ht="24.95" hidden="1" customHeight="1">
      <c r="A1306" s="141"/>
      <c r="B1306" s="141"/>
      <c r="C1306" s="143"/>
      <c r="D1306" s="141"/>
      <c r="E1306" s="143"/>
      <c r="F1306" s="150"/>
      <c r="G1306" s="150"/>
      <c r="H1306" s="145"/>
      <c r="I1306" s="145"/>
    </row>
    <row r="1307" spans="1:9" ht="24.95" hidden="1" customHeight="1">
      <c r="A1307" s="141"/>
      <c r="B1307" s="141"/>
      <c r="C1307" s="143"/>
      <c r="D1307" s="141"/>
      <c r="E1307" s="143"/>
      <c r="F1307" s="150"/>
      <c r="G1307" s="150"/>
      <c r="H1307" s="145"/>
      <c r="I1307" s="145"/>
    </row>
    <row r="1308" spans="1:9" ht="24.95" hidden="1" customHeight="1">
      <c r="A1308" s="141"/>
      <c r="B1308" s="141"/>
      <c r="C1308" s="143"/>
      <c r="D1308" s="141"/>
      <c r="E1308" s="143"/>
      <c r="F1308" s="150"/>
      <c r="G1308" s="150"/>
      <c r="H1308" s="145"/>
      <c r="I1308" s="145"/>
    </row>
    <row r="1309" spans="1:9" ht="24.95" hidden="1" customHeight="1">
      <c r="A1309" s="141"/>
      <c r="B1309" s="141"/>
      <c r="C1309" s="143"/>
      <c r="D1309" s="141"/>
      <c r="E1309" s="143"/>
      <c r="F1309" s="150"/>
      <c r="G1309" s="150"/>
      <c r="H1309" s="145"/>
      <c r="I1309" s="145"/>
    </row>
    <row r="1310" spans="1:9" ht="24.95" hidden="1" customHeight="1">
      <c r="A1310" s="141"/>
      <c r="B1310" s="141"/>
      <c r="C1310" s="143"/>
      <c r="D1310" s="141"/>
      <c r="E1310" s="143"/>
      <c r="F1310" s="150"/>
      <c r="G1310" s="150"/>
      <c r="H1310" s="145"/>
      <c r="I1310" s="145"/>
    </row>
    <row r="1311" spans="1:9" ht="24.95" hidden="1" customHeight="1">
      <c r="A1311" s="141"/>
      <c r="B1311" s="141"/>
      <c r="C1311" s="143"/>
      <c r="D1311" s="141"/>
      <c r="E1311" s="143"/>
      <c r="F1311" s="150"/>
      <c r="G1311" s="150"/>
      <c r="H1311" s="145"/>
      <c r="I1311" s="145"/>
    </row>
    <row r="1312" spans="1:9" ht="24.95" hidden="1" customHeight="1">
      <c r="A1312" s="141"/>
      <c r="B1312" s="141"/>
      <c r="C1312" s="143"/>
      <c r="D1312" s="141"/>
      <c r="E1312" s="143"/>
      <c r="F1312" s="150"/>
      <c r="G1312" s="150"/>
      <c r="H1312" s="145"/>
      <c r="I1312" s="145"/>
    </row>
    <row r="1313" spans="1:9" ht="24.95" hidden="1" customHeight="1">
      <c r="A1313" s="141"/>
      <c r="B1313" s="141"/>
      <c r="C1313" s="143"/>
      <c r="D1313" s="141"/>
      <c r="E1313" s="143"/>
      <c r="F1313" s="150"/>
      <c r="G1313" s="150"/>
      <c r="H1313" s="145"/>
      <c r="I1313" s="145"/>
    </row>
    <row r="1314" spans="1:9" ht="24.95" hidden="1" customHeight="1">
      <c r="A1314" s="141"/>
      <c r="B1314" s="141"/>
      <c r="C1314" s="143"/>
      <c r="D1314" s="141"/>
      <c r="E1314" s="143"/>
      <c r="F1314" s="150"/>
      <c r="G1314" s="150"/>
      <c r="H1314" s="145"/>
      <c r="I1314" s="145"/>
    </row>
    <row r="1315" spans="1:9" ht="24.95" hidden="1" customHeight="1">
      <c r="A1315" s="141"/>
      <c r="B1315" s="141"/>
      <c r="C1315" s="143"/>
      <c r="D1315" s="141"/>
      <c r="E1315" s="143"/>
      <c r="F1315" s="150"/>
      <c r="G1315" s="150"/>
      <c r="H1315" s="145"/>
      <c r="I1315" s="145"/>
    </row>
    <row r="1316" spans="1:9" ht="24.95" hidden="1" customHeight="1">
      <c r="A1316" s="141"/>
      <c r="B1316" s="141"/>
      <c r="C1316" s="143"/>
      <c r="D1316" s="141"/>
      <c r="E1316" s="143"/>
      <c r="F1316" s="150"/>
      <c r="G1316" s="150"/>
      <c r="H1316" s="145"/>
      <c r="I1316" s="145"/>
    </row>
    <row r="1317" spans="1:9" ht="24.95" hidden="1" customHeight="1">
      <c r="A1317" s="141"/>
      <c r="B1317" s="141"/>
      <c r="C1317" s="143"/>
      <c r="D1317" s="141"/>
      <c r="E1317" s="143"/>
      <c r="F1317" s="150"/>
      <c r="G1317" s="150"/>
      <c r="H1317" s="145"/>
      <c r="I1317" s="145"/>
    </row>
    <row r="1318" spans="1:9" ht="24.95" hidden="1" customHeight="1">
      <c r="A1318" s="141"/>
      <c r="B1318" s="141"/>
      <c r="C1318" s="143"/>
      <c r="D1318" s="141"/>
      <c r="E1318" s="143"/>
      <c r="F1318" s="150"/>
      <c r="G1318" s="150"/>
      <c r="H1318" s="145"/>
      <c r="I1318" s="145"/>
    </row>
    <row r="1319" spans="1:9" ht="24.95" hidden="1" customHeight="1">
      <c r="A1319" s="141"/>
      <c r="B1319" s="141"/>
      <c r="C1319" s="143"/>
      <c r="D1319" s="141"/>
      <c r="E1319" s="143"/>
      <c r="F1319" s="150"/>
      <c r="G1319" s="150"/>
      <c r="H1319" s="145"/>
      <c r="I1319" s="145"/>
    </row>
    <row r="1320" spans="1:9" ht="24.95" hidden="1" customHeight="1">
      <c r="A1320" s="141"/>
      <c r="B1320" s="141"/>
      <c r="C1320" s="143"/>
      <c r="D1320" s="141"/>
      <c r="E1320" s="143"/>
      <c r="F1320" s="150"/>
      <c r="G1320" s="150"/>
      <c r="H1320" s="145"/>
      <c r="I1320" s="145"/>
    </row>
    <row r="1321" spans="1:9" ht="24.95" hidden="1" customHeight="1">
      <c r="A1321" s="141"/>
      <c r="B1321" s="141"/>
      <c r="C1321" s="143"/>
      <c r="D1321" s="141"/>
      <c r="E1321" s="143"/>
      <c r="F1321" s="150"/>
      <c r="G1321" s="150"/>
      <c r="H1321" s="145"/>
      <c r="I1321" s="145"/>
    </row>
    <row r="1322" spans="1:9" ht="24.95" hidden="1" customHeight="1">
      <c r="A1322" s="141"/>
      <c r="B1322" s="141"/>
      <c r="C1322" s="143"/>
      <c r="D1322" s="141"/>
      <c r="E1322" s="143"/>
      <c r="F1322" s="150"/>
      <c r="G1322" s="150"/>
      <c r="H1322" s="145"/>
      <c r="I1322" s="145"/>
    </row>
    <row r="1323" spans="1:9" ht="24.95" hidden="1" customHeight="1">
      <c r="A1323" s="141"/>
      <c r="B1323" s="141"/>
      <c r="C1323" s="143"/>
      <c r="D1323" s="141"/>
      <c r="E1323" s="143"/>
      <c r="F1323" s="150"/>
      <c r="G1323" s="150"/>
      <c r="H1323" s="145"/>
      <c r="I1323" s="145"/>
    </row>
    <row r="1324" spans="1:9" ht="24.95" hidden="1" customHeight="1">
      <c r="A1324" s="141"/>
      <c r="B1324" s="141"/>
      <c r="C1324" s="143"/>
      <c r="D1324" s="141"/>
      <c r="E1324" s="143"/>
      <c r="F1324" s="150"/>
      <c r="G1324" s="150"/>
      <c r="H1324" s="145"/>
      <c r="I1324" s="145"/>
    </row>
    <row r="1325" spans="1:9" ht="24.95" hidden="1" customHeight="1">
      <c r="A1325" s="141"/>
      <c r="B1325" s="141"/>
      <c r="C1325" s="143"/>
      <c r="D1325" s="141"/>
      <c r="E1325" s="143"/>
      <c r="F1325" s="150"/>
      <c r="G1325" s="150"/>
      <c r="H1325" s="145"/>
      <c r="I1325" s="145"/>
    </row>
    <row r="1326" spans="1:9" ht="24.95" hidden="1" customHeight="1">
      <c r="A1326" s="141"/>
      <c r="B1326" s="141"/>
      <c r="C1326" s="143"/>
      <c r="D1326" s="141"/>
      <c r="E1326" s="143"/>
      <c r="F1326" s="150"/>
      <c r="G1326" s="150"/>
      <c r="H1326" s="145"/>
      <c r="I1326" s="145"/>
    </row>
    <row r="1327" spans="1:9" ht="24.95" hidden="1" customHeight="1">
      <c r="A1327" s="141"/>
      <c r="B1327" s="141"/>
      <c r="C1327" s="143"/>
      <c r="D1327" s="141"/>
      <c r="E1327" s="143"/>
      <c r="F1327" s="150"/>
      <c r="G1327" s="150"/>
      <c r="H1327" s="145"/>
      <c r="I1327" s="145"/>
    </row>
    <row r="1328" spans="1:9" ht="24.95" hidden="1" customHeight="1">
      <c r="A1328" s="141"/>
      <c r="B1328" s="141"/>
      <c r="C1328" s="143"/>
      <c r="D1328" s="141"/>
      <c r="E1328" s="143"/>
      <c r="F1328" s="150"/>
      <c r="G1328" s="150"/>
      <c r="H1328" s="145"/>
      <c r="I1328" s="145"/>
    </row>
    <row r="1329" spans="1:9" ht="24.95" hidden="1" customHeight="1">
      <c r="A1329" s="141"/>
      <c r="B1329" s="141"/>
      <c r="C1329" s="143"/>
      <c r="D1329" s="141"/>
      <c r="E1329" s="143"/>
      <c r="F1329" s="150"/>
      <c r="G1329" s="150"/>
      <c r="H1329" s="145"/>
      <c r="I1329" s="145"/>
    </row>
    <row r="1330" spans="1:9" ht="24.95" hidden="1" customHeight="1">
      <c r="A1330" s="141"/>
      <c r="B1330" s="141"/>
      <c r="C1330" s="143"/>
      <c r="D1330" s="141"/>
      <c r="E1330" s="143"/>
      <c r="F1330" s="150"/>
      <c r="G1330" s="150"/>
      <c r="H1330" s="145"/>
      <c r="I1330" s="145"/>
    </row>
    <row r="1331" spans="1:9" ht="24.95" hidden="1" customHeight="1">
      <c r="A1331" s="141"/>
      <c r="B1331" s="141"/>
      <c r="C1331" s="143"/>
      <c r="D1331" s="141"/>
      <c r="E1331" s="143"/>
      <c r="F1331" s="150"/>
      <c r="G1331" s="150"/>
      <c r="H1331" s="145"/>
      <c r="I1331" s="145"/>
    </row>
    <row r="1332" spans="1:9" ht="24.95" hidden="1" customHeight="1">
      <c r="A1332" s="141"/>
      <c r="B1332" s="141"/>
      <c r="C1332" s="143"/>
      <c r="D1332" s="141"/>
      <c r="E1332" s="143"/>
      <c r="F1332" s="150"/>
      <c r="G1332" s="150"/>
      <c r="H1332" s="145"/>
      <c r="I1332" s="145"/>
    </row>
    <row r="1333" spans="1:9" ht="24.95" hidden="1" customHeight="1">
      <c r="A1333" s="141"/>
      <c r="B1333" s="141"/>
      <c r="C1333" s="143"/>
      <c r="D1333" s="141"/>
      <c r="E1333" s="143"/>
      <c r="F1333" s="150"/>
      <c r="G1333" s="150"/>
      <c r="H1333" s="145"/>
      <c r="I1333" s="145"/>
    </row>
    <row r="1334" spans="1:9" ht="24.95" hidden="1" customHeight="1">
      <c r="A1334" s="141"/>
      <c r="B1334" s="141"/>
      <c r="C1334" s="143"/>
      <c r="D1334" s="141"/>
      <c r="E1334" s="143"/>
      <c r="F1334" s="150"/>
      <c r="G1334" s="150"/>
      <c r="H1334" s="145"/>
      <c r="I1334" s="145"/>
    </row>
    <row r="1335" spans="1:9" ht="24.95" hidden="1" customHeight="1">
      <c r="A1335" s="141"/>
      <c r="B1335" s="141"/>
      <c r="C1335" s="143"/>
      <c r="D1335" s="141"/>
      <c r="E1335" s="143"/>
      <c r="F1335" s="150"/>
      <c r="G1335" s="150"/>
      <c r="H1335" s="145"/>
      <c r="I1335" s="145"/>
    </row>
    <row r="1336" spans="1:9" ht="24.95" hidden="1" customHeight="1">
      <c r="A1336" s="141"/>
      <c r="B1336" s="141"/>
      <c r="C1336" s="143"/>
      <c r="D1336" s="141"/>
      <c r="E1336" s="143"/>
      <c r="F1336" s="150"/>
      <c r="G1336" s="150"/>
      <c r="H1336" s="145"/>
      <c r="I1336" s="145"/>
    </row>
    <row r="1337" spans="1:9" ht="24.95" hidden="1" customHeight="1">
      <c r="A1337" s="141"/>
      <c r="B1337" s="141"/>
      <c r="C1337" s="143"/>
      <c r="D1337" s="141"/>
      <c r="E1337" s="143"/>
      <c r="F1337" s="150"/>
      <c r="G1337" s="150"/>
      <c r="H1337" s="145"/>
      <c r="I1337" s="145"/>
    </row>
    <row r="1338" spans="1:9" ht="24.95" hidden="1" customHeight="1">
      <c r="A1338" s="141"/>
      <c r="B1338" s="141"/>
      <c r="C1338" s="143"/>
      <c r="D1338" s="141"/>
      <c r="E1338" s="143"/>
      <c r="F1338" s="150"/>
      <c r="G1338" s="150"/>
      <c r="H1338" s="145"/>
      <c r="I1338" s="145"/>
    </row>
    <row r="1339" spans="1:9" ht="24.95" hidden="1" customHeight="1">
      <c r="A1339" s="141"/>
      <c r="B1339" s="141"/>
      <c r="C1339" s="143"/>
      <c r="D1339" s="141"/>
      <c r="E1339" s="143"/>
      <c r="F1339" s="150"/>
      <c r="G1339" s="150"/>
      <c r="H1339" s="145"/>
      <c r="I1339" s="145"/>
    </row>
    <row r="1340" spans="1:9" ht="24.95" hidden="1" customHeight="1">
      <c r="A1340" s="141"/>
      <c r="B1340" s="141"/>
      <c r="C1340" s="143"/>
      <c r="D1340" s="141"/>
      <c r="E1340" s="143"/>
      <c r="F1340" s="150"/>
      <c r="G1340" s="150"/>
      <c r="H1340" s="145"/>
      <c r="I1340" s="145"/>
    </row>
    <row r="1341" spans="1:9" ht="24.95" hidden="1" customHeight="1">
      <c r="A1341" s="141"/>
      <c r="B1341" s="141"/>
      <c r="C1341" s="143"/>
      <c r="D1341" s="141"/>
      <c r="E1341" s="143"/>
      <c r="F1341" s="150"/>
      <c r="G1341" s="150"/>
      <c r="H1341" s="145"/>
      <c r="I1341" s="145"/>
    </row>
    <row r="1342" spans="1:9" ht="24.95" hidden="1" customHeight="1">
      <c r="A1342" s="141"/>
      <c r="B1342" s="141"/>
      <c r="C1342" s="143"/>
      <c r="D1342" s="141"/>
      <c r="E1342" s="143"/>
      <c r="F1342" s="150"/>
      <c r="G1342" s="150"/>
      <c r="H1342" s="145"/>
      <c r="I1342" s="145"/>
    </row>
    <row r="1343" spans="1:9" ht="24.95" hidden="1" customHeight="1">
      <c r="A1343" s="141"/>
      <c r="B1343" s="141"/>
      <c r="C1343" s="143"/>
      <c r="D1343" s="141"/>
      <c r="E1343" s="143"/>
      <c r="F1343" s="150"/>
      <c r="G1343" s="150"/>
      <c r="H1343" s="145"/>
      <c r="I1343" s="145"/>
    </row>
    <row r="1344" spans="1:9" ht="24.95" hidden="1" customHeight="1">
      <c r="A1344" s="141"/>
      <c r="B1344" s="141"/>
      <c r="C1344" s="143"/>
      <c r="D1344" s="141"/>
      <c r="E1344" s="143"/>
      <c r="F1344" s="150"/>
      <c r="G1344" s="150"/>
      <c r="H1344" s="145"/>
      <c r="I1344" s="145"/>
    </row>
    <row r="1345" spans="1:9" ht="24.95" hidden="1" customHeight="1">
      <c r="A1345" s="141"/>
      <c r="B1345" s="141"/>
      <c r="C1345" s="143"/>
      <c r="D1345" s="141"/>
      <c r="E1345" s="143"/>
      <c r="F1345" s="150"/>
      <c r="G1345" s="150"/>
      <c r="H1345" s="145"/>
      <c r="I1345" s="145"/>
    </row>
    <row r="1346" spans="1:9" ht="24.95" hidden="1" customHeight="1">
      <c r="A1346" s="141"/>
      <c r="B1346" s="141"/>
      <c r="C1346" s="143"/>
      <c r="D1346" s="141"/>
      <c r="E1346" s="143"/>
      <c r="F1346" s="150"/>
      <c r="G1346" s="150"/>
      <c r="H1346" s="145"/>
      <c r="I1346" s="145"/>
    </row>
    <row r="1347" spans="1:9" ht="24.95" hidden="1" customHeight="1">
      <c r="A1347" s="141"/>
      <c r="B1347" s="141"/>
      <c r="C1347" s="143"/>
      <c r="D1347" s="141"/>
      <c r="E1347" s="143"/>
      <c r="F1347" s="150"/>
      <c r="G1347" s="150"/>
      <c r="H1347" s="145"/>
      <c r="I1347" s="145"/>
    </row>
    <row r="1348" spans="1:9" ht="24.95" hidden="1" customHeight="1">
      <c r="A1348" s="141"/>
      <c r="B1348" s="141"/>
      <c r="C1348" s="143"/>
      <c r="D1348" s="141"/>
      <c r="E1348" s="143"/>
      <c r="F1348" s="150"/>
      <c r="G1348" s="150"/>
      <c r="H1348" s="145"/>
      <c r="I1348" s="145"/>
    </row>
    <row r="1349" spans="1:9" ht="24.95" hidden="1" customHeight="1">
      <c r="A1349" s="141"/>
      <c r="B1349" s="141"/>
      <c r="C1349" s="143"/>
      <c r="D1349" s="141"/>
      <c r="E1349" s="143"/>
      <c r="F1349" s="150"/>
      <c r="G1349" s="150"/>
      <c r="H1349" s="145"/>
      <c r="I1349" s="145"/>
    </row>
    <row r="1350" spans="1:9" ht="24.95" hidden="1" customHeight="1">
      <c r="A1350" s="141"/>
      <c r="B1350" s="141"/>
      <c r="C1350" s="143"/>
      <c r="D1350" s="141"/>
      <c r="E1350" s="143"/>
      <c r="F1350" s="150"/>
      <c r="G1350" s="150"/>
      <c r="H1350" s="145"/>
      <c r="I1350" s="145"/>
    </row>
    <row r="1351" spans="1:9" ht="24.95" hidden="1" customHeight="1">
      <c r="A1351" s="141"/>
      <c r="B1351" s="141"/>
      <c r="C1351" s="143"/>
      <c r="D1351" s="141"/>
      <c r="E1351" s="143"/>
      <c r="F1351" s="150"/>
      <c r="G1351" s="150"/>
      <c r="H1351" s="145"/>
      <c r="I1351" s="145"/>
    </row>
    <row r="1352" spans="1:9" ht="24.95" hidden="1" customHeight="1">
      <c r="A1352" s="141"/>
      <c r="B1352" s="141"/>
      <c r="C1352" s="143"/>
      <c r="D1352" s="141"/>
      <c r="E1352" s="143"/>
      <c r="F1352" s="150"/>
      <c r="G1352" s="150"/>
      <c r="H1352" s="145"/>
      <c r="I1352" s="145"/>
    </row>
    <row r="1353" spans="1:9" ht="24.95" hidden="1" customHeight="1">
      <c r="A1353" s="141"/>
      <c r="B1353" s="141"/>
      <c r="C1353" s="143"/>
      <c r="D1353" s="141"/>
      <c r="E1353" s="143"/>
      <c r="F1353" s="150"/>
      <c r="G1353" s="150"/>
      <c r="H1353" s="145"/>
      <c r="I1353" s="145"/>
    </row>
    <row r="1354" spans="1:9" ht="24.95" hidden="1" customHeight="1">
      <c r="A1354" s="141"/>
      <c r="B1354" s="141"/>
      <c r="C1354" s="143"/>
      <c r="D1354" s="141"/>
      <c r="E1354" s="143"/>
      <c r="F1354" s="150"/>
      <c r="G1354" s="150"/>
      <c r="H1354" s="145"/>
      <c r="I1354" s="145"/>
    </row>
    <row r="1355" spans="1:9" ht="24.95" hidden="1" customHeight="1">
      <c r="A1355" s="141"/>
      <c r="B1355" s="141"/>
      <c r="C1355" s="143"/>
      <c r="D1355" s="141"/>
      <c r="E1355" s="143"/>
      <c r="F1355" s="150"/>
      <c r="G1355" s="150"/>
      <c r="H1355" s="145"/>
      <c r="I1355" s="145"/>
    </row>
    <row r="1356" spans="1:9" ht="24.95" hidden="1" customHeight="1">
      <c r="A1356" s="141"/>
      <c r="B1356" s="141"/>
      <c r="C1356" s="143"/>
      <c r="D1356" s="141"/>
      <c r="E1356" s="143"/>
      <c r="F1356" s="150"/>
      <c r="G1356" s="150"/>
      <c r="H1356" s="145"/>
      <c r="I1356" s="145"/>
    </row>
    <row r="1357" spans="1:9" ht="24.95" hidden="1" customHeight="1">
      <c r="A1357" s="141"/>
      <c r="B1357" s="141"/>
      <c r="C1357" s="143"/>
      <c r="D1357" s="141"/>
      <c r="E1357" s="143"/>
      <c r="F1357" s="150"/>
      <c r="G1357" s="150"/>
      <c r="H1357" s="145"/>
      <c r="I1357" s="145"/>
    </row>
    <row r="1358" spans="1:9" ht="24.95" hidden="1" customHeight="1">
      <c r="A1358" s="141"/>
      <c r="B1358" s="141"/>
      <c r="C1358" s="143"/>
      <c r="D1358" s="141"/>
      <c r="E1358" s="143"/>
      <c r="F1358" s="150"/>
      <c r="G1358" s="150"/>
      <c r="H1358" s="145"/>
      <c r="I1358" s="145"/>
    </row>
    <row r="1359" spans="1:9" ht="24.95" hidden="1" customHeight="1">
      <c r="A1359" s="141"/>
      <c r="B1359" s="141"/>
      <c r="C1359" s="143"/>
      <c r="D1359" s="141"/>
      <c r="E1359" s="143"/>
      <c r="F1359" s="150"/>
      <c r="G1359" s="150"/>
      <c r="H1359" s="145"/>
      <c r="I1359" s="145"/>
    </row>
    <row r="1360" spans="1:9" ht="24.95" hidden="1" customHeight="1">
      <c r="A1360" s="141"/>
      <c r="B1360" s="141"/>
      <c r="C1360" s="143"/>
      <c r="D1360" s="141"/>
      <c r="E1360" s="143"/>
      <c r="F1360" s="150"/>
      <c r="G1360" s="150"/>
      <c r="H1360" s="145"/>
      <c r="I1360" s="145"/>
    </row>
    <row r="1361" spans="1:9" ht="24.95" hidden="1" customHeight="1">
      <c r="A1361" s="141"/>
      <c r="B1361" s="141"/>
      <c r="C1361" s="143"/>
      <c r="D1361" s="141"/>
      <c r="E1361" s="143"/>
      <c r="F1361" s="150"/>
      <c r="G1361" s="150"/>
      <c r="H1361" s="145"/>
      <c r="I1361" s="145"/>
    </row>
    <row r="1362" spans="1:9" ht="24.95" hidden="1" customHeight="1">
      <c r="A1362" s="141"/>
      <c r="B1362" s="141"/>
      <c r="C1362" s="143"/>
      <c r="D1362" s="141"/>
      <c r="E1362" s="143"/>
      <c r="F1362" s="150"/>
      <c r="G1362" s="150"/>
      <c r="H1362" s="145"/>
      <c r="I1362" s="145"/>
    </row>
    <row r="1363" spans="1:9" ht="24.95" hidden="1" customHeight="1">
      <c r="A1363" s="141"/>
      <c r="B1363" s="141"/>
      <c r="C1363" s="143"/>
      <c r="D1363" s="141"/>
      <c r="E1363" s="143"/>
      <c r="F1363" s="150"/>
      <c r="G1363" s="150"/>
      <c r="H1363" s="145"/>
      <c r="I1363" s="145"/>
    </row>
    <row r="1364" spans="1:9" ht="24.95" hidden="1" customHeight="1">
      <c r="A1364" s="141"/>
      <c r="B1364" s="141"/>
      <c r="C1364" s="143"/>
      <c r="D1364" s="141"/>
      <c r="E1364" s="143"/>
      <c r="F1364" s="150"/>
      <c r="G1364" s="150"/>
      <c r="H1364" s="145"/>
      <c r="I1364" s="145"/>
    </row>
    <row r="1365" spans="1:9" ht="24.95" hidden="1" customHeight="1">
      <c r="A1365" s="141"/>
      <c r="B1365" s="141"/>
      <c r="C1365" s="143"/>
      <c r="D1365" s="141"/>
      <c r="E1365" s="143"/>
      <c r="F1365" s="150"/>
      <c r="G1365" s="150"/>
      <c r="H1365" s="145"/>
      <c r="I1365" s="145"/>
    </row>
    <row r="1366" spans="1:9" ht="24.95" hidden="1" customHeight="1">
      <c r="A1366" s="141"/>
      <c r="B1366" s="141"/>
      <c r="C1366" s="143"/>
      <c r="D1366" s="141"/>
      <c r="E1366" s="143"/>
      <c r="F1366" s="150"/>
      <c r="G1366" s="150"/>
      <c r="H1366" s="145"/>
      <c r="I1366" s="145"/>
    </row>
    <row r="1367" spans="1:9" ht="24.95" hidden="1" customHeight="1">
      <c r="A1367" s="141"/>
      <c r="B1367" s="141"/>
      <c r="C1367" s="143"/>
      <c r="D1367" s="141"/>
      <c r="E1367" s="143"/>
      <c r="F1367" s="150"/>
      <c r="G1367" s="150"/>
      <c r="H1367" s="145"/>
      <c r="I1367" s="145"/>
    </row>
    <row r="1368" spans="1:9" ht="24.95" hidden="1" customHeight="1">
      <c r="A1368" s="141"/>
      <c r="B1368" s="141"/>
      <c r="C1368" s="143"/>
      <c r="D1368" s="141"/>
      <c r="E1368" s="143"/>
      <c r="F1368" s="150"/>
      <c r="G1368" s="150"/>
      <c r="H1368" s="145"/>
      <c r="I1368" s="145"/>
    </row>
    <row r="1369" spans="1:9" ht="24.95" hidden="1" customHeight="1">
      <c r="A1369" s="141"/>
      <c r="B1369" s="141"/>
      <c r="C1369" s="143"/>
      <c r="D1369" s="141"/>
      <c r="E1369" s="143"/>
      <c r="F1369" s="150"/>
      <c r="G1369" s="150"/>
      <c r="H1369" s="145"/>
      <c r="I1369" s="145"/>
    </row>
    <row r="1370" spans="1:9" ht="24.95" hidden="1" customHeight="1">
      <c r="A1370" s="141"/>
      <c r="B1370" s="141"/>
      <c r="C1370" s="143"/>
      <c r="D1370" s="141"/>
      <c r="E1370" s="143"/>
      <c r="F1370" s="150"/>
      <c r="G1370" s="150"/>
      <c r="H1370" s="145"/>
      <c r="I1370" s="145"/>
    </row>
    <row r="1371" spans="1:9" ht="24.95" hidden="1" customHeight="1">
      <c r="A1371" s="141"/>
      <c r="B1371" s="141"/>
      <c r="C1371" s="143"/>
      <c r="D1371" s="141"/>
      <c r="E1371" s="143"/>
      <c r="F1371" s="150"/>
      <c r="G1371" s="150"/>
      <c r="H1371" s="145"/>
      <c r="I1371" s="145"/>
    </row>
    <row r="1372" spans="1:9" ht="24.95" hidden="1" customHeight="1">
      <c r="A1372" s="141"/>
      <c r="B1372" s="141"/>
      <c r="C1372" s="143"/>
      <c r="D1372" s="141"/>
      <c r="E1372" s="143"/>
      <c r="F1372" s="150"/>
      <c r="G1372" s="150"/>
      <c r="H1372" s="145"/>
      <c r="I1372" s="145"/>
    </row>
    <row r="1373" spans="1:9" ht="24.95" hidden="1" customHeight="1">
      <c r="A1373" s="141"/>
      <c r="B1373" s="141"/>
      <c r="C1373" s="143"/>
      <c r="D1373" s="141"/>
      <c r="E1373" s="143"/>
      <c r="F1373" s="150"/>
      <c r="G1373" s="150"/>
      <c r="H1373" s="145"/>
      <c r="I1373" s="145"/>
    </row>
    <row r="1374" spans="1:9" ht="24.95" hidden="1" customHeight="1">
      <c r="A1374" s="141"/>
      <c r="B1374" s="141"/>
      <c r="C1374" s="143"/>
      <c r="D1374" s="141"/>
      <c r="E1374" s="143"/>
      <c r="F1374" s="150"/>
      <c r="G1374" s="150"/>
      <c r="H1374" s="145"/>
      <c r="I1374" s="145"/>
    </row>
    <row r="1375" spans="1:9" ht="24.95" hidden="1" customHeight="1">
      <c r="A1375" s="141"/>
      <c r="B1375" s="141"/>
      <c r="C1375" s="143"/>
      <c r="D1375" s="141"/>
      <c r="E1375" s="143"/>
      <c r="F1375" s="150"/>
      <c r="G1375" s="150"/>
      <c r="H1375" s="145"/>
      <c r="I1375" s="145"/>
    </row>
    <row r="1376" spans="1:9" ht="24.95" hidden="1" customHeight="1">
      <c r="A1376" s="141"/>
      <c r="B1376" s="141"/>
      <c r="C1376" s="143"/>
      <c r="D1376" s="141"/>
      <c r="E1376" s="143"/>
      <c r="F1376" s="150"/>
      <c r="G1376" s="150"/>
      <c r="H1376" s="145"/>
      <c r="I1376" s="145"/>
    </row>
    <row r="1377" spans="1:9" ht="24.95" hidden="1" customHeight="1">
      <c r="A1377" s="141"/>
      <c r="B1377" s="141"/>
      <c r="C1377" s="143"/>
      <c r="D1377" s="141"/>
      <c r="E1377" s="143"/>
      <c r="F1377" s="150"/>
      <c r="G1377" s="150"/>
      <c r="H1377" s="145"/>
      <c r="I1377" s="145"/>
    </row>
    <row r="1378" spans="1:9" ht="24.95" hidden="1" customHeight="1">
      <c r="A1378" s="141"/>
      <c r="B1378" s="141"/>
      <c r="C1378" s="143"/>
      <c r="D1378" s="141"/>
      <c r="E1378" s="143"/>
      <c r="F1378" s="150"/>
      <c r="G1378" s="150"/>
      <c r="H1378" s="145"/>
      <c r="I1378" s="145"/>
    </row>
    <row r="1379" spans="1:9" ht="24.95" hidden="1" customHeight="1">
      <c r="A1379" s="141"/>
      <c r="B1379" s="141"/>
      <c r="C1379" s="143"/>
      <c r="D1379" s="141"/>
      <c r="E1379" s="143"/>
      <c r="F1379" s="150"/>
      <c r="G1379" s="150"/>
      <c r="H1379" s="145"/>
      <c r="I1379" s="145"/>
    </row>
    <row r="1380" spans="1:9" ht="24.95" hidden="1" customHeight="1">
      <c r="A1380" s="141"/>
      <c r="B1380" s="141"/>
      <c r="C1380" s="143"/>
      <c r="D1380" s="141"/>
      <c r="E1380" s="143"/>
      <c r="F1380" s="150"/>
      <c r="G1380" s="150"/>
      <c r="H1380" s="145"/>
      <c r="I1380" s="145"/>
    </row>
    <row r="1381" spans="1:9" ht="24.95" hidden="1" customHeight="1">
      <c r="A1381" s="141"/>
      <c r="B1381" s="141"/>
      <c r="C1381" s="143"/>
      <c r="D1381" s="141"/>
      <c r="E1381" s="143"/>
      <c r="F1381" s="150"/>
      <c r="G1381" s="150"/>
      <c r="H1381" s="145"/>
      <c r="I1381" s="145"/>
    </row>
    <row r="1382" spans="1:9" ht="24.95" hidden="1" customHeight="1">
      <c r="A1382" s="141"/>
      <c r="B1382" s="141"/>
      <c r="C1382" s="143"/>
      <c r="D1382" s="141"/>
      <c r="E1382" s="143"/>
      <c r="F1382" s="150"/>
      <c r="G1382" s="150"/>
      <c r="H1382" s="145"/>
      <c r="I1382" s="145"/>
    </row>
    <row r="1383" spans="1:9" ht="24.95" hidden="1" customHeight="1">
      <c r="A1383" s="141"/>
      <c r="B1383" s="141"/>
      <c r="C1383" s="143"/>
      <c r="D1383" s="141"/>
      <c r="E1383" s="143"/>
      <c r="F1383" s="150"/>
      <c r="G1383" s="150"/>
      <c r="H1383" s="145"/>
      <c r="I1383" s="145"/>
    </row>
    <row r="1384" spans="1:9" ht="24.95" hidden="1" customHeight="1">
      <c r="A1384" s="141"/>
      <c r="B1384" s="141"/>
      <c r="C1384" s="143"/>
      <c r="D1384" s="141"/>
      <c r="E1384" s="143"/>
      <c r="F1384" s="150"/>
      <c r="G1384" s="150"/>
      <c r="H1384" s="145"/>
      <c r="I1384" s="145"/>
    </row>
    <row r="1385" spans="1:9" ht="24.95" hidden="1" customHeight="1">
      <c r="A1385" s="141"/>
      <c r="B1385" s="141"/>
      <c r="C1385" s="143"/>
      <c r="D1385" s="141"/>
      <c r="E1385" s="143"/>
      <c r="F1385" s="150"/>
      <c r="G1385" s="150"/>
      <c r="H1385" s="145"/>
      <c r="I1385" s="145"/>
    </row>
    <row r="1386" spans="1:9" ht="24.95" hidden="1" customHeight="1">
      <c r="A1386" s="141"/>
      <c r="B1386" s="141"/>
      <c r="C1386" s="143"/>
      <c r="D1386" s="141"/>
      <c r="E1386" s="143"/>
      <c r="F1386" s="150"/>
      <c r="G1386" s="150"/>
      <c r="H1386" s="145"/>
      <c r="I1386" s="145"/>
    </row>
    <row r="1387" spans="1:9" ht="24.95" hidden="1" customHeight="1">
      <c r="A1387" s="141"/>
      <c r="B1387" s="141"/>
      <c r="C1387" s="143"/>
      <c r="D1387" s="141"/>
      <c r="E1387" s="143"/>
      <c r="F1387" s="150"/>
      <c r="G1387" s="150"/>
      <c r="H1387" s="145"/>
      <c r="I1387" s="145"/>
    </row>
    <row r="1388" spans="1:9" ht="24.95" hidden="1" customHeight="1">
      <c r="A1388" s="141"/>
      <c r="B1388" s="141"/>
      <c r="C1388" s="143"/>
      <c r="D1388" s="141"/>
      <c r="E1388" s="143"/>
      <c r="F1388" s="150"/>
      <c r="G1388" s="150"/>
      <c r="H1388" s="145"/>
      <c r="I1388" s="145"/>
    </row>
    <row r="1389" spans="1:9" ht="24.95" hidden="1" customHeight="1">
      <c r="A1389" s="141"/>
      <c r="B1389" s="141"/>
      <c r="C1389" s="143"/>
      <c r="D1389" s="141"/>
      <c r="E1389" s="143"/>
      <c r="F1389" s="150"/>
      <c r="G1389" s="150"/>
      <c r="H1389" s="145"/>
      <c r="I1389" s="145"/>
    </row>
    <row r="1390" spans="1:9" ht="24.95" hidden="1" customHeight="1">
      <c r="A1390" s="141"/>
      <c r="B1390" s="141"/>
      <c r="C1390" s="143"/>
      <c r="D1390" s="141"/>
      <c r="E1390" s="143"/>
      <c r="F1390" s="150"/>
      <c r="G1390" s="150"/>
      <c r="H1390" s="145"/>
      <c r="I1390" s="145"/>
    </row>
    <row r="1391" spans="1:9" ht="24.95" hidden="1" customHeight="1">
      <c r="A1391" s="141"/>
      <c r="B1391" s="141"/>
      <c r="C1391" s="143"/>
      <c r="D1391" s="141"/>
      <c r="E1391" s="143"/>
      <c r="F1391" s="150"/>
      <c r="G1391" s="150"/>
      <c r="H1391" s="145"/>
      <c r="I1391" s="145"/>
    </row>
    <row r="1392" spans="1:9" ht="24.95" hidden="1" customHeight="1">
      <c r="A1392" s="141"/>
      <c r="B1392" s="141"/>
      <c r="C1392" s="143"/>
      <c r="D1392" s="141"/>
      <c r="E1392" s="143"/>
      <c r="F1392" s="150"/>
      <c r="G1392" s="150"/>
      <c r="H1392" s="145"/>
      <c r="I1392" s="145"/>
    </row>
    <row r="1393" spans="1:9" ht="24.95" hidden="1" customHeight="1">
      <c r="A1393" s="141"/>
      <c r="B1393" s="141"/>
      <c r="C1393" s="143"/>
      <c r="D1393" s="141"/>
      <c r="E1393" s="143"/>
      <c r="F1393" s="150"/>
      <c r="G1393" s="150"/>
      <c r="H1393" s="145"/>
      <c r="I1393" s="145"/>
    </row>
    <row r="1394" spans="1:9" ht="24.95" hidden="1" customHeight="1">
      <c r="A1394" s="141"/>
      <c r="B1394" s="141"/>
      <c r="C1394" s="143"/>
      <c r="D1394" s="141"/>
      <c r="E1394" s="143"/>
      <c r="F1394" s="150"/>
      <c r="G1394" s="150"/>
      <c r="H1394" s="145"/>
      <c r="I1394" s="145"/>
    </row>
    <row r="1395" spans="1:9" ht="24.95" hidden="1" customHeight="1">
      <c r="A1395" s="141"/>
      <c r="B1395" s="141"/>
      <c r="C1395" s="143"/>
      <c r="D1395" s="141"/>
      <c r="E1395" s="143"/>
      <c r="F1395" s="150"/>
      <c r="G1395" s="150"/>
      <c r="H1395" s="145"/>
      <c r="I1395" s="145"/>
    </row>
    <row r="1396" spans="1:9" ht="24.95" hidden="1" customHeight="1">
      <c r="A1396" s="141"/>
      <c r="B1396" s="141"/>
      <c r="C1396" s="143"/>
      <c r="D1396" s="141"/>
      <c r="E1396" s="143"/>
      <c r="F1396" s="150"/>
      <c r="G1396" s="150"/>
      <c r="H1396" s="145"/>
      <c r="I1396" s="145"/>
    </row>
    <row r="1397" spans="1:9" ht="24.95" hidden="1" customHeight="1">
      <c r="A1397" s="141"/>
      <c r="B1397" s="141"/>
      <c r="C1397" s="143"/>
      <c r="D1397" s="141"/>
      <c r="E1397" s="143"/>
      <c r="F1397" s="150"/>
      <c r="G1397" s="150"/>
      <c r="H1397" s="145"/>
      <c r="I1397" s="145"/>
    </row>
    <row r="1398" spans="1:9" ht="24.95" hidden="1" customHeight="1">
      <c r="A1398" s="141"/>
      <c r="B1398" s="141"/>
      <c r="C1398" s="143"/>
      <c r="D1398" s="141"/>
      <c r="E1398" s="143"/>
      <c r="F1398" s="150"/>
      <c r="G1398" s="150"/>
      <c r="H1398" s="145"/>
      <c r="I1398" s="145"/>
    </row>
    <row r="1399" spans="1:9" ht="24.95" hidden="1" customHeight="1">
      <c r="A1399" s="141"/>
      <c r="B1399" s="141"/>
      <c r="C1399" s="143"/>
      <c r="D1399" s="141"/>
      <c r="E1399" s="143"/>
      <c r="F1399" s="150"/>
      <c r="G1399" s="150"/>
      <c r="H1399" s="145"/>
      <c r="I1399" s="145"/>
    </row>
    <row r="1400" spans="1:9" ht="24.95" hidden="1" customHeight="1">
      <c r="A1400" s="141"/>
      <c r="B1400" s="141"/>
      <c r="C1400" s="143"/>
      <c r="D1400" s="141"/>
      <c r="E1400" s="143"/>
      <c r="F1400" s="150"/>
      <c r="G1400" s="150"/>
      <c r="H1400" s="145"/>
      <c r="I1400" s="145"/>
    </row>
    <row r="1401" spans="1:9" ht="24.95" hidden="1" customHeight="1">
      <c r="A1401" s="141"/>
      <c r="B1401" s="141"/>
      <c r="C1401" s="143"/>
      <c r="D1401" s="141"/>
      <c r="E1401" s="143"/>
      <c r="F1401" s="150"/>
      <c r="G1401" s="150"/>
      <c r="H1401" s="145"/>
      <c r="I1401" s="145"/>
    </row>
    <row r="1402" spans="1:9" ht="24.95" hidden="1" customHeight="1">
      <c r="A1402" s="141"/>
      <c r="B1402" s="141"/>
      <c r="C1402" s="143"/>
      <c r="D1402" s="141"/>
      <c r="E1402" s="143"/>
      <c r="F1402" s="150"/>
      <c r="G1402" s="150"/>
      <c r="H1402" s="145"/>
      <c r="I1402" s="145"/>
    </row>
    <row r="1403" spans="1:9" ht="24.95" hidden="1" customHeight="1">
      <c r="A1403" s="141"/>
      <c r="B1403" s="141"/>
      <c r="C1403" s="143"/>
      <c r="D1403" s="141"/>
      <c r="E1403" s="143"/>
      <c r="F1403" s="150"/>
      <c r="G1403" s="150"/>
      <c r="H1403" s="145"/>
      <c r="I1403" s="145"/>
    </row>
    <row r="1404" spans="1:9" ht="24.95" hidden="1" customHeight="1">
      <c r="A1404" s="141"/>
      <c r="B1404" s="141"/>
      <c r="C1404" s="143"/>
      <c r="D1404" s="141"/>
      <c r="E1404" s="143"/>
      <c r="F1404" s="150"/>
      <c r="G1404" s="150"/>
      <c r="H1404" s="145"/>
      <c r="I1404" s="145"/>
    </row>
    <row r="1405" spans="1:9" ht="24.95" hidden="1" customHeight="1">
      <c r="A1405" s="141"/>
      <c r="B1405" s="141"/>
      <c r="C1405" s="143"/>
      <c r="D1405" s="141"/>
      <c r="E1405" s="143"/>
      <c r="F1405" s="150"/>
      <c r="G1405" s="150"/>
      <c r="H1405" s="145"/>
      <c r="I1405" s="145"/>
    </row>
    <row r="1406" spans="1:9" ht="24.95" hidden="1" customHeight="1">
      <c r="A1406" s="141"/>
      <c r="B1406" s="141"/>
      <c r="C1406" s="143"/>
      <c r="D1406" s="141"/>
      <c r="E1406" s="143"/>
      <c r="F1406" s="150"/>
      <c r="G1406" s="150"/>
      <c r="H1406" s="145"/>
      <c r="I1406" s="145"/>
    </row>
    <row r="1407" spans="1:9" ht="24.95" hidden="1" customHeight="1">
      <c r="A1407" s="141"/>
      <c r="B1407" s="141"/>
      <c r="C1407" s="143"/>
      <c r="D1407" s="141"/>
      <c r="E1407" s="143"/>
      <c r="F1407" s="150"/>
      <c r="G1407" s="150"/>
      <c r="H1407" s="145"/>
      <c r="I1407" s="145"/>
    </row>
    <row r="1408" spans="1:9" ht="24.95" hidden="1" customHeight="1">
      <c r="A1408" s="141"/>
      <c r="B1408" s="141"/>
      <c r="C1408" s="143"/>
      <c r="D1408" s="141"/>
      <c r="E1408" s="143"/>
      <c r="F1408" s="150"/>
      <c r="G1408" s="150"/>
      <c r="H1408" s="145"/>
      <c r="I1408" s="145"/>
    </row>
    <row r="1409" spans="1:9" ht="24.95" hidden="1" customHeight="1">
      <c r="A1409" s="141"/>
      <c r="B1409" s="141"/>
      <c r="C1409" s="143"/>
      <c r="D1409" s="141"/>
      <c r="E1409" s="143"/>
      <c r="F1409" s="150"/>
      <c r="G1409" s="150"/>
      <c r="H1409" s="145"/>
      <c r="I1409" s="145"/>
    </row>
    <row r="1410" spans="1:9" ht="24.95" hidden="1" customHeight="1">
      <c r="A1410" s="141"/>
      <c r="B1410" s="141"/>
      <c r="C1410" s="143"/>
      <c r="D1410" s="141"/>
      <c r="E1410" s="143"/>
      <c r="F1410" s="150"/>
      <c r="G1410" s="150"/>
      <c r="H1410" s="145"/>
      <c r="I1410" s="145"/>
    </row>
    <row r="1411" spans="1:9" ht="24.95" hidden="1" customHeight="1">
      <c r="A1411" s="141"/>
      <c r="B1411" s="141"/>
      <c r="C1411" s="143"/>
      <c r="D1411" s="141"/>
      <c r="E1411" s="143"/>
      <c r="F1411" s="150"/>
      <c r="G1411" s="150"/>
      <c r="H1411" s="145"/>
      <c r="I1411" s="145"/>
    </row>
    <row r="1412" spans="1:9" ht="24.95" hidden="1" customHeight="1">
      <c r="A1412" s="141"/>
      <c r="B1412" s="141"/>
      <c r="C1412" s="143"/>
      <c r="D1412" s="141"/>
      <c r="E1412" s="143"/>
      <c r="F1412" s="150"/>
      <c r="G1412" s="150"/>
      <c r="H1412" s="145"/>
      <c r="I1412" s="145"/>
    </row>
    <row r="1413" spans="1:9" ht="24.95" hidden="1" customHeight="1">
      <c r="A1413" s="141"/>
      <c r="B1413" s="141"/>
      <c r="C1413" s="143"/>
      <c r="D1413" s="141"/>
      <c r="E1413" s="143"/>
      <c r="F1413" s="150"/>
      <c r="G1413" s="150"/>
      <c r="H1413" s="145"/>
      <c r="I1413" s="145"/>
    </row>
    <row r="1414" spans="1:9" ht="24.95" hidden="1" customHeight="1">
      <c r="A1414" s="141"/>
      <c r="B1414" s="141"/>
      <c r="C1414" s="143"/>
      <c r="D1414" s="141"/>
      <c r="E1414" s="143"/>
      <c r="F1414" s="150"/>
      <c r="G1414" s="150"/>
      <c r="H1414" s="145"/>
      <c r="I1414" s="145"/>
    </row>
    <row r="1415" spans="1:9" ht="24.95" hidden="1" customHeight="1">
      <c r="A1415" s="141"/>
      <c r="B1415" s="141"/>
      <c r="C1415" s="143"/>
      <c r="D1415" s="141"/>
      <c r="E1415" s="143"/>
      <c r="F1415" s="150"/>
      <c r="G1415" s="150"/>
      <c r="H1415" s="145"/>
      <c r="I1415" s="145"/>
    </row>
    <row r="1416" spans="1:9" ht="24.95" hidden="1" customHeight="1">
      <c r="A1416" s="141"/>
      <c r="B1416" s="141"/>
      <c r="C1416" s="143"/>
      <c r="D1416" s="141"/>
      <c r="E1416" s="143"/>
      <c r="F1416" s="150"/>
      <c r="G1416" s="150"/>
      <c r="H1416" s="145"/>
      <c r="I1416" s="145"/>
    </row>
    <row r="1417" spans="1:9" ht="24.95" hidden="1" customHeight="1">
      <c r="A1417" s="141"/>
      <c r="B1417" s="141"/>
      <c r="C1417" s="143"/>
      <c r="D1417" s="141"/>
      <c r="E1417" s="143"/>
      <c r="F1417" s="150"/>
      <c r="G1417" s="150"/>
      <c r="H1417" s="145"/>
      <c r="I1417" s="145"/>
    </row>
    <row r="1418" spans="1:9" ht="24.95" hidden="1" customHeight="1">
      <c r="A1418" s="141"/>
      <c r="B1418" s="141"/>
      <c r="C1418" s="143"/>
      <c r="D1418" s="141"/>
      <c r="E1418" s="143"/>
      <c r="F1418" s="150"/>
      <c r="G1418" s="150"/>
      <c r="H1418" s="145"/>
      <c r="I1418" s="145"/>
    </row>
    <row r="1419" spans="1:9" ht="24.95" hidden="1" customHeight="1">
      <c r="A1419" s="141"/>
      <c r="B1419" s="141"/>
      <c r="C1419" s="143"/>
      <c r="D1419" s="141"/>
      <c r="E1419" s="143"/>
      <c r="F1419" s="150"/>
      <c r="G1419" s="150"/>
      <c r="H1419" s="145"/>
      <c r="I1419" s="145"/>
    </row>
    <row r="1420" spans="1:9" ht="24.95" hidden="1" customHeight="1">
      <c r="A1420" s="141"/>
      <c r="B1420" s="141"/>
      <c r="C1420" s="143"/>
      <c r="D1420" s="141"/>
      <c r="E1420" s="143"/>
      <c r="F1420" s="150"/>
      <c r="G1420" s="150"/>
      <c r="H1420" s="145"/>
      <c r="I1420" s="145"/>
    </row>
    <row r="1421" spans="1:9" ht="24.95" hidden="1" customHeight="1">
      <c r="A1421" s="141"/>
      <c r="B1421" s="141"/>
      <c r="C1421" s="143"/>
      <c r="D1421" s="141"/>
      <c r="E1421" s="143"/>
      <c r="F1421" s="150"/>
      <c r="G1421" s="150"/>
      <c r="H1421" s="145"/>
      <c r="I1421" s="145"/>
    </row>
    <row r="1422" spans="1:9" ht="24.95" hidden="1" customHeight="1">
      <c r="A1422" s="141"/>
      <c r="B1422" s="141"/>
      <c r="C1422" s="143"/>
      <c r="D1422" s="141"/>
      <c r="E1422" s="143"/>
      <c r="F1422" s="150"/>
      <c r="G1422" s="150"/>
      <c r="H1422" s="145"/>
      <c r="I1422" s="145"/>
    </row>
    <row r="1423" spans="1:9" ht="24.95" hidden="1" customHeight="1">
      <c r="A1423" s="141"/>
      <c r="B1423" s="141"/>
      <c r="C1423" s="143"/>
      <c r="D1423" s="141"/>
      <c r="E1423" s="143"/>
      <c r="F1423" s="150"/>
      <c r="G1423" s="150"/>
      <c r="H1423" s="145"/>
      <c r="I1423" s="145"/>
    </row>
    <row r="1424" spans="1:9" ht="24.95" hidden="1" customHeight="1">
      <c r="A1424" s="141"/>
      <c r="B1424" s="141"/>
      <c r="C1424" s="143"/>
      <c r="D1424" s="141"/>
      <c r="E1424" s="143"/>
      <c r="F1424" s="150"/>
      <c r="G1424" s="150"/>
      <c r="H1424" s="145"/>
      <c r="I1424" s="145"/>
    </row>
    <row r="1425" spans="1:9" ht="24.95" hidden="1" customHeight="1">
      <c r="A1425" s="141"/>
      <c r="B1425" s="141"/>
      <c r="C1425" s="143"/>
      <c r="D1425" s="141"/>
      <c r="E1425" s="143"/>
      <c r="F1425" s="150"/>
      <c r="G1425" s="150"/>
      <c r="H1425" s="145"/>
      <c r="I1425" s="145"/>
    </row>
    <row r="1426" spans="1:9" ht="24.95" hidden="1" customHeight="1">
      <c r="A1426" s="141"/>
      <c r="B1426" s="141"/>
      <c r="C1426" s="143"/>
      <c r="D1426" s="141"/>
      <c r="E1426" s="143"/>
      <c r="F1426" s="150"/>
      <c r="G1426" s="150"/>
      <c r="H1426" s="145"/>
      <c r="I1426" s="145"/>
    </row>
    <row r="1427" spans="1:9" ht="24.95" hidden="1" customHeight="1">
      <c r="A1427" s="141"/>
      <c r="B1427" s="141"/>
      <c r="C1427" s="143"/>
      <c r="D1427" s="141"/>
      <c r="E1427" s="143"/>
      <c r="F1427" s="150"/>
      <c r="G1427" s="150"/>
      <c r="H1427" s="145"/>
      <c r="I1427" s="145"/>
    </row>
    <row r="1428" spans="1:9" ht="24.95" hidden="1" customHeight="1">
      <c r="A1428" s="141"/>
      <c r="B1428" s="141"/>
      <c r="C1428" s="143"/>
      <c r="D1428" s="141"/>
      <c r="E1428" s="143"/>
      <c r="F1428" s="150"/>
      <c r="G1428" s="150"/>
      <c r="H1428" s="145"/>
      <c r="I1428" s="145"/>
    </row>
    <row r="1429" spans="1:9" ht="24.95" hidden="1" customHeight="1">
      <c r="A1429" s="141"/>
      <c r="B1429" s="141"/>
      <c r="C1429" s="143"/>
      <c r="D1429" s="141"/>
      <c r="E1429" s="143"/>
      <c r="F1429" s="150"/>
      <c r="G1429" s="150"/>
      <c r="H1429" s="145"/>
      <c r="I1429" s="145"/>
    </row>
    <row r="1430" spans="1:9" ht="24.95" hidden="1" customHeight="1">
      <c r="A1430" s="141"/>
      <c r="B1430" s="141"/>
      <c r="C1430" s="143"/>
      <c r="D1430" s="141"/>
      <c r="E1430" s="143"/>
      <c r="F1430" s="150"/>
      <c r="G1430" s="150"/>
      <c r="H1430" s="145"/>
      <c r="I1430" s="145"/>
    </row>
    <row r="1431" spans="1:9" ht="24.95" hidden="1" customHeight="1">
      <c r="A1431" s="141"/>
      <c r="B1431" s="141"/>
      <c r="C1431" s="143"/>
      <c r="D1431" s="141"/>
      <c r="E1431" s="143"/>
      <c r="F1431" s="150"/>
      <c r="G1431" s="150"/>
      <c r="H1431" s="145"/>
      <c r="I1431" s="145"/>
    </row>
    <row r="1432" spans="1:9" ht="24.95" hidden="1" customHeight="1">
      <c r="A1432" s="141"/>
      <c r="B1432" s="141"/>
      <c r="C1432" s="143"/>
      <c r="D1432" s="141"/>
      <c r="E1432" s="143"/>
      <c r="F1432" s="150"/>
      <c r="G1432" s="150"/>
      <c r="H1432" s="145"/>
      <c r="I1432" s="145"/>
    </row>
    <row r="1433" spans="1:9" ht="24.95" hidden="1" customHeight="1">
      <c r="A1433" s="141"/>
      <c r="B1433" s="141"/>
      <c r="C1433" s="143"/>
      <c r="D1433" s="141"/>
      <c r="E1433" s="143"/>
      <c r="F1433" s="150"/>
      <c r="G1433" s="150"/>
      <c r="H1433" s="145"/>
      <c r="I1433" s="145"/>
    </row>
    <row r="1434" spans="1:9" ht="24.95" hidden="1" customHeight="1">
      <c r="A1434" s="141"/>
      <c r="B1434" s="141"/>
      <c r="C1434" s="143"/>
      <c r="D1434" s="141"/>
      <c r="E1434" s="143"/>
      <c r="F1434" s="150"/>
      <c r="G1434" s="150"/>
      <c r="H1434" s="145"/>
      <c r="I1434" s="145"/>
    </row>
    <row r="1435" spans="1:9" ht="24.95" hidden="1" customHeight="1">
      <c r="A1435" s="141"/>
      <c r="B1435" s="141"/>
      <c r="C1435" s="143"/>
      <c r="D1435" s="141"/>
      <c r="E1435" s="143"/>
      <c r="F1435" s="150"/>
      <c r="G1435" s="150"/>
      <c r="H1435" s="145"/>
      <c r="I1435" s="145"/>
    </row>
    <row r="1436" spans="1:9" ht="24.95" hidden="1" customHeight="1">
      <c r="A1436" s="141"/>
      <c r="B1436" s="141"/>
      <c r="C1436" s="143"/>
      <c r="D1436" s="141"/>
      <c r="E1436" s="143"/>
      <c r="F1436" s="150"/>
      <c r="G1436" s="150"/>
      <c r="H1436" s="145"/>
      <c r="I1436" s="145"/>
    </row>
    <row r="1437" spans="1:9" ht="24.95" hidden="1" customHeight="1">
      <c r="A1437" s="141"/>
      <c r="B1437" s="141"/>
      <c r="C1437" s="143"/>
      <c r="D1437" s="141"/>
      <c r="E1437" s="143"/>
      <c r="F1437" s="150"/>
      <c r="G1437" s="150"/>
      <c r="H1437" s="145"/>
      <c r="I1437" s="145"/>
    </row>
    <row r="1438" spans="1:9" ht="24.95" hidden="1" customHeight="1">
      <c r="A1438" s="141"/>
      <c r="B1438" s="141"/>
      <c r="C1438" s="143"/>
      <c r="D1438" s="141"/>
      <c r="E1438" s="143"/>
      <c r="F1438" s="150"/>
      <c r="G1438" s="150"/>
      <c r="H1438" s="145"/>
      <c r="I1438" s="145"/>
    </row>
    <row r="1439" spans="1:9" ht="24.95" hidden="1" customHeight="1">
      <c r="A1439" s="141"/>
      <c r="B1439" s="141"/>
      <c r="C1439" s="143"/>
      <c r="D1439" s="141"/>
      <c r="E1439" s="143"/>
      <c r="F1439" s="150"/>
      <c r="G1439" s="150"/>
      <c r="H1439" s="145"/>
      <c r="I1439" s="145"/>
    </row>
    <row r="1440" spans="1:9" ht="24.95" hidden="1" customHeight="1">
      <c r="A1440" s="141"/>
      <c r="B1440" s="141"/>
      <c r="C1440" s="143"/>
      <c r="D1440" s="141"/>
      <c r="E1440" s="143"/>
      <c r="F1440" s="150"/>
      <c r="G1440" s="150"/>
      <c r="H1440" s="145"/>
      <c r="I1440" s="145"/>
    </row>
    <row r="1441" spans="1:9" ht="24.95" hidden="1" customHeight="1">
      <c r="A1441" s="141"/>
      <c r="B1441" s="141"/>
      <c r="C1441" s="143"/>
      <c r="D1441" s="141"/>
      <c r="E1441" s="143"/>
      <c r="F1441" s="150"/>
      <c r="G1441" s="150"/>
      <c r="H1441" s="145"/>
      <c r="I1441" s="145"/>
    </row>
    <row r="1442" spans="1:9" ht="24.95" hidden="1" customHeight="1">
      <c r="A1442" s="141"/>
      <c r="B1442" s="141"/>
      <c r="C1442" s="143"/>
      <c r="D1442" s="141"/>
      <c r="E1442" s="143"/>
      <c r="F1442" s="150"/>
      <c r="G1442" s="150"/>
      <c r="H1442" s="145"/>
      <c r="I1442" s="145"/>
    </row>
    <row r="1443" spans="1:9" ht="24.95" hidden="1" customHeight="1">
      <c r="A1443" s="141"/>
      <c r="B1443" s="141"/>
      <c r="C1443" s="143"/>
      <c r="D1443" s="141"/>
      <c r="E1443" s="143"/>
      <c r="F1443" s="150"/>
      <c r="G1443" s="150"/>
      <c r="H1443" s="145"/>
      <c r="I1443" s="145"/>
    </row>
    <row r="1444" spans="1:9" ht="24.95" hidden="1" customHeight="1">
      <c r="A1444" s="141"/>
      <c r="B1444" s="141"/>
      <c r="C1444" s="143"/>
      <c r="D1444" s="141"/>
      <c r="E1444" s="143"/>
      <c r="F1444" s="150"/>
      <c r="G1444" s="150"/>
      <c r="H1444" s="145"/>
      <c r="I1444" s="145"/>
    </row>
    <row r="1445" spans="1:9" ht="24.95" hidden="1" customHeight="1">
      <c r="A1445" s="141"/>
      <c r="B1445" s="141"/>
      <c r="C1445" s="143"/>
      <c r="D1445" s="141"/>
      <c r="E1445" s="143"/>
      <c r="F1445" s="150"/>
      <c r="G1445" s="150"/>
      <c r="H1445" s="145"/>
      <c r="I1445" s="145"/>
    </row>
    <row r="1446" spans="1:9" ht="24.95" hidden="1" customHeight="1">
      <c r="A1446" s="141"/>
      <c r="B1446" s="141"/>
      <c r="C1446" s="143"/>
      <c r="D1446" s="141"/>
      <c r="E1446" s="143"/>
      <c r="F1446" s="150"/>
      <c r="G1446" s="150"/>
      <c r="H1446" s="145"/>
      <c r="I1446" s="145"/>
    </row>
    <row r="1447" spans="1:9" ht="24.95" hidden="1" customHeight="1">
      <c r="A1447" s="141"/>
      <c r="B1447" s="141"/>
      <c r="C1447" s="143"/>
      <c r="D1447" s="141"/>
      <c r="E1447" s="143"/>
      <c r="F1447" s="150"/>
      <c r="G1447" s="150"/>
      <c r="H1447" s="145"/>
      <c r="I1447" s="145"/>
    </row>
    <row r="1448" spans="1:9" ht="24.95" hidden="1" customHeight="1">
      <c r="A1448" s="141"/>
      <c r="B1448" s="141"/>
      <c r="C1448" s="143"/>
      <c r="D1448" s="141"/>
      <c r="E1448" s="143"/>
      <c r="F1448" s="150"/>
      <c r="G1448" s="150"/>
      <c r="H1448" s="145"/>
      <c r="I1448" s="145"/>
    </row>
    <row r="1449" spans="1:9" ht="24.95" hidden="1" customHeight="1">
      <c r="A1449" s="141"/>
      <c r="B1449" s="141"/>
      <c r="C1449" s="143"/>
      <c r="D1449" s="141"/>
      <c r="E1449" s="143"/>
      <c r="F1449" s="150"/>
      <c r="G1449" s="150"/>
      <c r="H1449" s="145"/>
      <c r="I1449" s="145"/>
    </row>
    <row r="1450" spans="1:9" ht="24.95" hidden="1" customHeight="1">
      <c r="A1450" s="141"/>
      <c r="B1450" s="141"/>
      <c r="C1450" s="143"/>
      <c r="D1450" s="141"/>
      <c r="E1450" s="143"/>
      <c r="F1450" s="150"/>
      <c r="G1450" s="150"/>
      <c r="H1450" s="145"/>
      <c r="I1450" s="145"/>
    </row>
    <row r="1451" spans="1:9" ht="24.95" hidden="1" customHeight="1">
      <c r="A1451" s="141"/>
      <c r="B1451" s="141"/>
      <c r="C1451" s="143"/>
      <c r="D1451" s="141"/>
      <c r="E1451" s="143"/>
      <c r="F1451" s="150"/>
      <c r="G1451" s="150"/>
      <c r="H1451" s="145"/>
      <c r="I1451" s="145"/>
    </row>
    <row r="1452" spans="1:9" ht="24.95" hidden="1" customHeight="1">
      <c r="A1452" s="141"/>
      <c r="B1452" s="141"/>
      <c r="C1452" s="143"/>
      <c r="D1452" s="141"/>
      <c r="E1452" s="143"/>
      <c r="F1452" s="150"/>
      <c r="G1452" s="150"/>
      <c r="H1452" s="145"/>
      <c r="I1452" s="145"/>
    </row>
    <row r="1453" spans="1:9" ht="24.95" hidden="1" customHeight="1">
      <c r="A1453" s="141"/>
      <c r="B1453" s="141"/>
      <c r="C1453" s="143"/>
      <c r="D1453" s="141"/>
      <c r="E1453" s="143"/>
      <c r="F1453" s="150"/>
      <c r="G1453" s="150"/>
      <c r="H1453" s="145"/>
      <c r="I1453" s="145"/>
    </row>
    <row r="1454" spans="1:9" ht="24.95" hidden="1" customHeight="1">
      <c r="A1454" s="141"/>
      <c r="B1454" s="141"/>
      <c r="C1454" s="143"/>
      <c r="D1454" s="141"/>
      <c r="E1454" s="143"/>
      <c r="F1454" s="150"/>
      <c r="G1454" s="150"/>
      <c r="H1454" s="145"/>
      <c r="I1454" s="145"/>
    </row>
    <row r="1455" spans="1:9" ht="24.95" hidden="1" customHeight="1">
      <c r="A1455" s="141"/>
      <c r="B1455" s="141"/>
      <c r="C1455" s="143"/>
      <c r="D1455" s="141"/>
      <c r="E1455" s="143"/>
      <c r="F1455" s="150"/>
      <c r="G1455" s="150"/>
      <c r="H1455" s="145"/>
      <c r="I1455" s="145"/>
    </row>
    <row r="1456" spans="1:9" ht="24.95" hidden="1" customHeight="1">
      <c r="A1456" s="141"/>
      <c r="B1456" s="141"/>
      <c r="C1456" s="143"/>
      <c r="D1456" s="141"/>
      <c r="E1456" s="143"/>
      <c r="F1456" s="150"/>
      <c r="G1456" s="150"/>
      <c r="H1456" s="145"/>
      <c r="I1456" s="145"/>
    </row>
    <row r="1457" spans="1:9" ht="24.95" hidden="1" customHeight="1">
      <c r="A1457" s="141"/>
      <c r="B1457" s="141"/>
      <c r="C1457" s="143"/>
      <c r="D1457" s="141"/>
      <c r="E1457" s="143"/>
      <c r="F1457" s="150"/>
      <c r="G1457" s="150"/>
      <c r="H1457" s="145"/>
      <c r="I1457" s="145"/>
    </row>
    <row r="1458" spans="1:9" ht="24.95" hidden="1" customHeight="1">
      <c r="A1458" s="141"/>
      <c r="B1458" s="141"/>
      <c r="C1458" s="143"/>
      <c r="D1458" s="141"/>
      <c r="E1458" s="143"/>
      <c r="F1458" s="150"/>
      <c r="G1458" s="150"/>
      <c r="H1458" s="145"/>
      <c r="I1458" s="145"/>
    </row>
    <row r="1459" spans="1:9" ht="24.95" hidden="1" customHeight="1">
      <c r="A1459" s="141"/>
      <c r="B1459" s="141"/>
      <c r="C1459" s="143"/>
      <c r="D1459" s="141"/>
      <c r="E1459" s="143"/>
      <c r="F1459" s="150"/>
      <c r="G1459" s="150"/>
      <c r="H1459" s="145"/>
      <c r="I1459" s="145"/>
    </row>
    <row r="1460" spans="1:9" ht="24.95" hidden="1" customHeight="1">
      <c r="A1460" s="141"/>
      <c r="B1460" s="141"/>
      <c r="C1460" s="143"/>
      <c r="D1460" s="141"/>
      <c r="E1460" s="143"/>
      <c r="F1460" s="150"/>
      <c r="G1460" s="150"/>
      <c r="H1460" s="145"/>
      <c r="I1460" s="145"/>
    </row>
    <row r="1461" spans="1:9" ht="24.95" hidden="1" customHeight="1">
      <c r="A1461" s="141"/>
      <c r="B1461" s="141"/>
      <c r="C1461" s="143"/>
      <c r="D1461" s="141"/>
      <c r="E1461" s="143"/>
      <c r="F1461" s="150"/>
      <c r="G1461" s="150"/>
      <c r="H1461" s="145"/>
      <c r="I1461" s="145"/>
    </row>
    <row r="1462" spans="1:9" ht="24.95" hidden="1" customHeight="1">
      <c r="A1462" s="141"/>
      <c r="B1462" s="141"/>
      <c r="C1462" s="143"/>
      <c r="D1462" s="141"/>
      <c r="E1462" s="143"/>
      <c r="F1462" s="150"/>
      <c r="G1462" s="150"/>
      <c r="H1462" s="145"/>
      <c r="I1462" s="145"/>
    </row>
    <row r="1463" spans="1:9" ht="24.95" hidden="1" customHeight="1">
      <c r="A1463" s="141"/>
      <c r="B1463" s="141"/>
      <c r="C1463" s="143"/>
      <c r="D1463" s="141"/>
      <c r="E1463" s="143"/>
      <c r="F1463" s="150"/>
      <c r="G1463" s="150"/>
      <c r="H1463" s="145"/>
      <c r="I1463" s="145"/>
    </row>
    <row r="1464" spans="1:9" ht="24.95" hidden="1" customHeight="1">
      <c r="A1464" s="141"/>
      <c r="B1464" s="141"/>
      <c r="C1464" s="143"/>
      <c r="D1464" s="141"/>
      <c r="E1464" s="143"/>
      <c r="F1464" s="150"/>
      <c r="G1464" s="150"/>
      <c r="H1464" s="145"/>
      <c r="I1464" s="145"/>
    </row>
    <row r="1465" spans="1:9" ht="24.95" hidden="1" customHeight="1">
      <c r="A1465" s="141"/>
      <c r="B1465" s="141"/>
      <c r="C1465" s="143"/>
      <c r="D1465" s="141"/>
      <c r="E1465" s="143"/>
      <c r="F1465" s="150"/>
      <c r="G1465" s="150"/>
      <c r="H1465" s="145"/>
      <c r="I1465" s="145"/>
    </row>
    <row r="1466" spans="1:9" ht="24.95" hidden="1" customHeight="1">
      <c r="A1466" s="141"/>
      <c r="B1466" s="141"/>
      <c r="C1466" s="143"/>
      <c r="D1466" s="141"/>
      <c r="E1466" s="143"/>
      <c r="F1466" s="150"/>
      <c r="G1466" s="150"/>
      <c r="H1466" s="145"/>
      <c r="I1466" s="145"/>
    </row>
    <row r="1467" spans="1:9" ht="24.95" hidden="1" customHeight="1">
      <c r="A1467" s="141"/>
      <c r="B1467" s="141"/>
      <c r="C1467" s="143"/>
      <c r="D1467" s="141"/>
      <c r="E1467" s="143"/>
      <c r="F1467" s="150"/>
      <c r="G1467" s="150"/>
      <c r="H1467" s="145"/>
      <c r="I1467" s="145"/>
    </row>
    <row r="1468" spans="1:9" ht="24.95" hidden="1" customHeight="1">
      <c r="A1468" s="141"/>
      <c r="B1468" s="141"/>
      <c r="C1468" s="143"/>
      <c r="D1468" s="141"/>
      <c r="E1468" s="143"/>
      <c r="F1468" s="150"/>
      <c r="G1468" s="150"/>
      <c r="H1468" s="145"/>
      <c r="I1468" s="145"/>
    </row>
    <row r="1469" spans="1:9" ht="24.95" hidden="1" customHeight="1">
      <c r="A1469" s="141"/>
      <c r="B1469" s="141"/>
      <c r="C1469" s="143"/>
      <c r="D1469" s="141"/>
      <c r="E1469" s="143"/>
      <c r="F1469" s="150"/>
      <c r="G1469" s="150"/>
      <c r="H1469" s="145"/>
      <c r="I1469" s="145"/>
    </row>
    <row r="1470" spans="1:9" ht="24.95" hidden="1" customHeight="1">
      <c r="A1470" s="141"/>
      <c r="B1470" s="141"/>
      <c r="C1470" s="143"/>
      <c r="D1470" s="141"/>
      <c r="E1470" s="143"/>
      <c r="F1470" s="150"/>
      <c r="G1470" s="150"/>
      <c r="H1470" s="145"/>
      <c r="I1470" s="145"/>
    </row>
    <row r="1471" spans="1:9" ht="24.95" hidden="1" customHeight="1">
      <c r="A1471" s="141"/>
      <c r="B1471" s="141"/>
      <c r="C1471" s="143"/>
      <c r="D1471" s="141"/>
      <c r="E1471" s="143"/>
      <c r="F1471" s="150"/>
      <c r="G1471" s="150"/>
      <c r="H1471" s="145"/>
      <c r="I1471" s="145"/>
    </row>
    <row r="1472" spans="1:9" ht="24.95" hidden="1" customHeight="1">
      <c r="A1472" s="141"/>
      <c r="B1472" s="141"/>
      <c r="C1472" s="143"/>
      <c r="D1472" s="141"/>
      <c r="E1472" s="143"/>
      <c r="F1472" s="150"/>
      <c r="G1472" s="150"/>
      <c r="H1472" s="145"/>
      <c r="I1472" s="145"/>
    </row>
    <row r="1473" spans="1:9" ht="24.95" hidden="1" customHeight="1">
      <c r="A1473" s="141"/>
      <c r="B1473" s="141"/>
      <c r="C1473" s="143"/>
      <c r="D1473" s="141"/>
      <c r="E1473" s="143"/>
      <c r="F1473" s="150"/>
      <c r="G1473" s="150"/>
      <c r="H1473" s="145"/>
      <c r="I1473" s="145"/>
    </row>
    <row r="1474" spans="1:9" ht="24.95" hidden="1" customHeight="1">
      <c r="A1474" s="141"/>
      <c r="B1474" s="141"/>
      <c r="C1474" s="143"/>
      <c r="D1474" s="141"/>
      <c r="E1474" s="143"/>
      <c r="F1474" s="150"/>
      <c r="G1474" s="150"/>
      <c r="H1474" s="145"/>
      <c r="I1474" s="145"/>
    </row>
    <row r="1475" spans="1:9" ht="24.95" hidden="1" customHeight="1">
      <c r="A1475" s="141"/>
      <c r="B1475" s="141"/>
      <c r="C1475" s="143"/>
      <c r="D1475" s="141"/>
      <c r="E1475" s="143"/>
      <c r="F1475" s="150"/>
      <c r="G1475" s="150"/>
      <c r="H1475" s="145"/>
      <c r="I1475" s="145"/>
    </row>
    <row r="1476" spans="1:9" ht="24.95" hidden="1" customHeight="1">
      <c r="A1476" s="141"/>
      <c r="B1476" s="141"/>
      <c r="C1476" s="143"/>
      <c r="D1476" s="141"/>
      <c r="E1476" s="143"/>
      <c r="F1476" s="150"/>
      <c r="G1476" s="150"/>
      <c r="H1476" s="145"/>
      <c r="I1476" s="145"/>
    </row>
    <row r="1477" spans="1:9" ht="24.95" hidden="1" customHeight="1">
      <c r="A1477" s="141"/>
      <c r="B1477" s="141"/>
      <c r="C1477" s="143"/>
      <c r="D1477" s="141"/>
      <c r="E1477" s="143"/>
      <c r="F1477" s="150"/>
      <c r="G1477" s="150"/>
      <c r="H1477" s="145"/>
      <c r="I1477" s="145"/>
    </row>
    <row r="1478" spans="1:9" ht="24.95" hidden="1" customHeight="1">
      <c r="A1478" s="141"/>
      <c r="B1478" s="141"/>
      <c r="C1478" s="143"/>
      <c r="D1478" s="141"/>
      <c r="E1478" s="143"/>
      <c r="F1478" s="150"/>
      <c r="G1478" s="150"/>
      <c r="H1478" s="145"/>
      <c r="I1478" s="145"/>
    </row>
    <row r="1479" spans="1:9" ht="24.95" hidden="1" customHeight="1">
      <c r="A1479" s="141"/>
      <c r="B1479" s="141"/>
      <c r="C1479" s="143"/>
      <c r="D1479" s="141"/>
      <c r="E1479" s="143"/>
      <c r="F1479" s="150"/>
      <c r="G1479" s="150"/>
      <c r="H1479" s="145"/>
      <c r="I1479" s="145"/>
    </row>
    <row r="1480" spans="1:9" ht="24.95" hidden="1" customHeight="1">
      <c r="A1480" s="141"/>
      <c r="B1480" s="141"/>
      <c r="C1480" s="143"/>
      <c r="D1480" s="141"/>
      <c r="E1480" s="143"/>
      <c r="F1480" s="150"/>
      <c r="G1480" s="150"/>
      <c r="H1480" s="145"/>
      <c r="I1480" s="145"/>
    </row>
    <row r="1481" spans="1:9" ht="24.95" hidden="1" customHeight="1">
      <c r="A1481" s="141"/>
      <c r="B1481" s="141"/>
      <c r="C1481" s="143"/>
      <c r="D1481" s="141"/>
      <c r="E1481" s="143"/>
      <c r="F1481" s="150"/>
      <c r="G1481" s="150"/>
      <c r="H1481" s="145"/>
      <c r="I1481" s="145"/>
    </row>
    <row r="1482" spans="1:9" ht="24.95" hidden="1" customHeight="1">
      <c r="A1482" s="141"/>
      <c r="B1482" s="141"/>
      <c r="C1482" s="143"/>
      <c r="D1482" s="141"/>
      <c r="E1482" s="143"/>
      <c r="F1482" s="150"/>
      <c r="G1482" s="150"/>
      <c r="H1482" s="145"/>
      <c r="I1482" s="145"/>
    </row>
    <row r="1483" spans="1:9" ht="24.95" hidden="1" customHeight="1">
      <c r="A1483" s="141"/>
      <c r="B1483" s="141"/>
      <c r="C1483" s="143"/>
      <c r="D1483" s="141"/>
      <c r="E1483" s="143"/>
      <c r="F1483" s="150"/>
      <c r="G1483" s="150"/>
      <c r="H1483" s="145"/>
      <c r="I1483" s="145"/>
    </row>
    <row r="1484" spans="1:9" ht="24.95" hidden="1" customHeight="1">
      <c r="A1484" s="141"/>
      <c r="B1484" s="141"/>
      <c r="C1484" s="143"/>
      <c r="D1484" s="141"/>
      <c r="E1484" s="143"/>
      <c r="F1484" s="150"/>
      <c r="G1484" s="150"/>
      <c r="H1484" s="145"/>
      <c r="I1484" s="145"/>
    </row>
    <row r="1485" spans="1:9" ht="24.95" hidden="1" customHeight="1">
      <c r="A1485" s="141"/>
      <c r="B1485" s="141"/>
      <c r="C1485" s="143"/>
      <c r="D1485" s="141"/>
      <c r="E1485" s="143"/>
      <c r="F1485" s="150"/>
      <c r="G1485" s="150"/>
      <c r="H1485" s="145"/>
      <c r="I1485" s="145"/>
    </row>
    <row r="1486" spans="1:9" ht="24.95" hidden="1" customHeight="1">
      <c r="A1486" s="141"/>
      <c r="B1486" s="141"/>
      <c r="C1486" s="143"/>
      <c r="D1486" s="141"/>
      <c r="E1486" s="143"/>
      <c r="F1486" s="150"/>
      <c r="G1486" s="150"/>
      <c r="H1486" s="145"/>
      <c r="I1486" s="145"/>
    </row>
    <row r="1487" spans="1:9" ht="24.95" hidden="1" customHeight="1">
      <c r="A1487" s="141"/>
      <c r="B1487" s="141"/>
      <c r="C1487" s="143"/>
      <c r="D1487" s="141"/>
      <c r="E1487" s="143"/>
      <c r="F1487" s="150"/>
      <c r="G1487" s="150"/>
      <c r="H1487" s="145"/>
      <c r="I1487" s="145"/>
    </row>
    <row r="1488" spans="1:9" ht="24.95" hidden="1" customHeight="1">
      <c r="A1488" s="141"/>
      <c r="B1488" s="141"/>
      <c r="C1488" s="143"/>
      <c r="D1488" s="141"/>
      <c r="E1488" s="143"/>
      <c r="F1488" s="150"/>
      <c r="G1488" s="150"/>
      <c r="H1488" s="145"/>
      <c r="I1488" s="145"/>
    </row>
    <row r="1489" spans="1:9" ht="24.95" hidden="1" customHeight="1">
      <c r="A1489" s="141"/>
      <c r="B1489" s="141"/>
      <c r="C1489" s="143"/>
      <c r="D1489" s="141"/>
      <c r="E1489" s="143"/>
      <c r="F1489" s="150"/>
      <c r="G1489" s="150"/>
      <c r="H1489" s="145"/>
      <c r="I1489" s="145"/>
    </row>
    <row r="1490" spans="1:9" ht="24.95" hidden="1" customHeight="1">
      <c r="A1490" s="141"/>
      <c r="B1490" s="141"/>
      <c r="C1490" s="143"/>
      <c r="D1490" s="141"/>
      <c r="E1490" s="143"/>
      <c r="F1490" s="150"/>
      <c r="G1490" s="150"/>
      <c r="H1490" s="145"/>
      <c r="I1490" s="145"/>
    </row>
    <row r="1491" spans="1:9" ht="24.95" hidden="1" customHeight="1">
      <c r="A1491" s="141"/>
      <c r="B1491" s="141"/>
      <c r="C1491" s="143"/>
      <c r="D1491" s="141"/>
      <c r="E1491" s="143"/>
      <c r="F1491" s="150"/>
      <c r="G1491" s="150"/>
      <c r="H1491" s="145"/>
      <c r="I1491" s="145"/>
    </row>
    <row r="1492" spans="1:9" ht="24.95" hidden="1" customHeight="1">
      <c r="A1492" s="141"/>
      <c r="B1492" s="141"/>
      <c r="C1492" s="143"/>
      <c r="D1492" s="141"/>
      <c r="E1492" s="143"/>
      <c r="F1492" s="150"/>
      <c r="G1492" s="150"/>
      <c r="H1492" s="145"/>
      <c r="I1492" s="145"/>
    </row>
    <row r="1493" spans="1:9" ht="24.95" hidden="1" customHeight="1">
      <c r="A1493" s="141"/>
      <c r="B1493" s="141"/>
      <c r="C1493" s="143"/>
      <c r="D1493" s="141"/>
      <c r="E1493" s="143"/>
      <c r="F1493" s="150"/>
      <c r="G1493" s="150"/>
      <c r="H1493" s="145"/>
      <c r="I1493" s="145"/>
    </row>
    <row r="1494" spans="1:9" ht="24.95" hidden="1" customHeight="1">
      <c r="A1494" s="141"/>
      <c r="B1494" s="141"/>
      <c r="C1494" s="143"/>
      <c r="D1494" s="141"/>
      <c r="E1494" s="143"/>
      <c r="F1494" s="150"/>
      <c r="G1494" s="150"/>
      <c r="H1494" s="145"/>
      <c r="I1494" s="145"/>
    </row>
    <row r="1495" spans="1:9" ht="24.95" hidden="1" customHeight="1">
      <c r="A1495" s="141"/>
      <c r="B1495" s="141"/>
      <c r="C1495" s="143"/>
      <c r="D1495" s="141"/>
      <c r="E1495" s="143"/>
      <c r="F1495" s="150"/>
      <c r="G1495" s="150"/>
      <c r="H1495" s="145"/>
      <c r="I1495" s="145"/>
    </row>
    <row r="1496" spans="1:9" ht="24.95" hidden="1" customHeight="1">
      <c r="A1496" s="141"/>
      <c r="B1496" s="141"/>
      <c r="C1496" s="143"/>
      <c r="D1496" s="141"/>
      <c r="E1496" s="143"/>
      <c r="F1496" s="150"/>
      <c r="G1496" s="150"/>
      <c r="H1496" s="145"/>
      <c r="I1496" s="145"/>
    </row>
    <row r="1497" spans="1:9" ht="24.95" hidden="1" customHeight="1">
      <c r="A1497" s="141"/>
      <c r="B1497" s="141"/>
      <c r="C1497" s="143"/>
      <c r="D1497" s="141"/>
      <c r="E1497" s="143"/>
      <c r="F1497" s="150"/>
      <c r="G1497" s="150"/>
      <c r="H1497" s="145"/>
      <c r="I1497" s="145"/>
    </row>
    <row r="1498" spans="1:9" ht="24.95" hidden="1" customHeight="1">
      <c r="A1498" s="141"/>
      <c r="B1498" s="141"/>
      <c r="C1498" s="143"/>
      <c r="D1498" s="141"/>
      <c r="E1498" s="143"/>
      <c r="F1498" s="150"/>
      <c r="G1498" s="150"/>
      <c r="H1498" s="145"/>
      <c r="I1498" s="145"/>
    </row>
    <row r="1499" spans="1:9" ht="24.95" hidden="1" customHeight="1">
      <c r="A1499" s="141"/>
      <c r="B1499" s="141"/>
      <c r="C1499" s="143"/>
      <c r="D1499" s="141"/>
      <c r="E1499" s="143"/>
      <c r="F1499" s="150"/>
      <c r="G1499" s="150"/>
      <c r="H1499" s="145"/>
      <c r="I1499" s="145"/>
    </row>
    <row r="1500" spans="1:9" ht="24.95" hidden="1" customHeight="1">
      <c r="A1500" s="141"/>
      <c r="B1500" s="141"/>
      <c r="C1500" s="143"/>
      <c r="D1500" s="141"/>
      <c r="E1500" s="143"/>
      <c r="F1500" s="150"/>
      <c r="G1500" s="150"/>
      <c r="H1500" s="145"/>
      <c r="I1500" s="145"/>
    </row>
    <row r="1501" spans="1:9" ht="24.95" hidden="1" customHeight="1">
      <c r="A1501" s="141"/>
      <c r="B1501" s="141"/>
      <c r="C1501" s="143"/>
      <c r="D1501" s="141"/>
      <c r="E1501" s="143"/>
      <c r="F1501" s="150"/>
      <c r="G1501" s="150"/>
      <c r="H1501" s="145"/>
      <c r="I1501" s="145"/>
    </row>
    <row r="1502" spans="1:9" ht="24.95" hidden="1" customHeight="1">
      <c r="A1502" s="141"/>
      <c r="B1502" s="141"/>
      <c r="C1502" s="143"/>
      <c r="D1502" s="141"/>
      <c r="E1502" s="143"/>
      <c r="F1502" s="150"/>
      <c r="G1502" s="150"/>
      <c r="H1502" s="145"/>
      <c r="I1502" s="145"/>
    </row>
    <row r="1503" spans="1:9" ht="24.95" hidden="1" customHeight="1">
      <c r="A1503" s="141"/>
      <c r="B1503" s="141"/>
      <c r="C1503" s="143"/>
      <c r="D1503" s="141"/>
      <c r="E1503" s="143"/>
      <c r="F1503" s="150"/>
      <c r="G1503" s="150"/>
      <c r="H1503" s="145"/>
      <c r="I1503" s="145"/>
    </row>
    <row r="1504" spans="1:9" ht="24.95" hidden="1" customHeight="1">
      <c r="A1504" s="141"/>
      <c r="B1504" s="141"/>
      <c r="C1504" s="143"/>
      <c r="D1504" s="141"/>
      <c r="E1504" s="143"/>
      <c r="F1504" s="150"/>
      <c r="G1504" s="150"/>
      <c r="H1504" s="145"/>
      <c r="I1504" s="145"/>
    </row>
    <row r="1505" spans="1:9" ht="24.95" hidden="1" customHeight="1">
      <c r="A1505" s="141"/>
      <c r="B1505" s="141"/>
      <c r="C1505" s="143"/>
      <c r="D1505" s="141"/>
      <c r="E1505" s="143"/>
      <c r="F1505" s="150"/>
      <c r="G1505" s="150"/>
      <c r="H1505" s="145"/>
      <c r="I1505" s="145"/>
    </row>
    <row r="1506" spans="1:9" ht="24.95" hidden="1" customHeight="1">
      <c r="A1506" s="141"/>
      <c r="B1506" s="141"/>
      <c r="C1506" s="143"/>
      <c r="D1506" s="141"/>
      <c r="E1506" s="143"/>
      <c r="F1506" s="150"/>
      <c r="G1506" s="150"/>
      <c r="H1506" s="145"/>
      <c r="I1506" s="145"/>
    </row>
    <row r="1507" spans="1:9" ht="24.95" hidden="1" customHeight="1">
      <c r="A1507" s="141"/>
      <c r="B1507" s="141"/>
      <c r="C1507" s="143"/>
      <c r="D1507" s="141"/>
      <c r="E1507" s="143"/>
      <c r="F1507" s="150"/>
      <c r="G1507" s="150"/>
      <c r="H1507" s="145"/>
      <c r="I1507" s="145"/>
    </row>
    <row r="1508" spans="1:9" ht="24.95" hidden="1" customHeight="1">
      <c r="A1508" s="141"/>
      <c r="B1508" s="141"/>
      <c r="C1508" s="143"/>
      <c r="D1508" s="141"/>
      <c r="E1508" s="143"/>
      <c r="F1508" s="150"/>
      <c r="G1508" s="150"/>
      <c r="H1508" s="145"/>
      <c r="I1508" s="145"/>
    </row>
    <row r="1509" spans="1:9" ht="24.95" hidden="1" customHeight="1">
      <c r="A1509" s="141"/>
      <c r="B1509" s="141"/>
      <c r="C1509" s="143"/>
      <c r="D1509" s="141"/>
      <c r="E1509" s="143"/>
      <c r="F1509" s="150"/>
      <c r="G1509" s="150"/>
      <c r="H1509" s="145"/>
      <c r="I1509" s="145"/>
    </row>
    <row r="1510" spans="1:9" ht="24.95" hidden="1" customHeight="1">
      <c r="A1510" s="141"/>
      <c r="B1510" s="141"/>
      <c r="C1510" s="143"/>
      <c r="D1510" s="141"/>
      <c r="E1510" s="143"/>
      <c r="F1510" s="150"/>
      <c r="G1510" s="150"/>
      <c r="H1510" s="145"/>
      <c r="I1510" s="145"/>
    </row>
    <row r="1511" spans="1:9" ht="24.95" hidden="1" customHeight="1">
      <c r="A1511" s="141"/>
      <c r="B1511" s="141"/>
      <c r="C1511" s="143"/>
      <c r="D1511" s="141"/>
      <c r="E1511" s="143"/>
      <c r="F1511" s="150"/>
      <c r="G1511" s="150"/>
      <c r="H1511" s="145"/>
      <c r="I1511" s="145"/>
    </row>
    <row r="1512" spans="1:9" ht="24.95" hidden="1" customHeight="1">
      <c r="A1512" s="141"/>
      <c r="B1512" s="141"/>
      <c r="C1512" s="143"/>
      <c r="D1512" s="141"/>
      <c r="E1512" s="143"/>
      <c r="F1512" s="150"/>
      <c r="G1512" s="150"/>
      <c r="H1512" s="145"/>
      <c r="I1512" s="145"/>
    </row>
    <row r="1513" spans="1:9" ht="24.95" hidden="1" customHeight="1">
      <c r="A1513" s="141"/>
      <c r="B1513" s="141"/>
      <c r="C1513" s="143"/>
      <c r="D1513" s="141"/>
      <c r="E1513" s="143"/>
      <c r="F1513" s="150"/>
      <c r="G1513" s="150"/>
      <c r="H1513" s="145"/>
      <c r="I1513" s="145"/>
    </row>
    <row r="1514" spans="1:9" ht="24.95" hidden="1" customHeight="1">
      <c r="A1514" s="141"/>
      <c r="B1514" s="141"/>
      <c r="C1514" s="143"/>
      <c r="D1514" s="141"/>
      <c r="E1514" s="143"/>
      <c r="F1514" s="150"/>
      <c r="G1514" s="150"/>
      <c r="H1514" s="145"/>
      <c r="I1514" s="145"/>
    </row>
    <row r="1515" spans="1:9" ht="24.95" hidden="1" customHeight="1">
      <c r="A1515" s="141"/>
      <c r="B1515" s="141"/>
      <c r="C1515" s="143"/>
      <c r="D1515" s="141"/>
      <c r="E1515" s="143"/>
      <c r="F1515" s="150"/>
      <c r="G1515" s="150"/>
      <c r="H1515" s="145"/>
      <c r="I1515" s="145"/>
    </row>
    <row r="1516" spans="1:9" ht="24.95" hidden="1" customHeight="1">
      <c r="A1516" s="141"/>
      <c r="B1516" s="141"/>
      <c r="C1516" s="143"/>
      <c r="D1516" s="141"/>
      <c r="E1516" s="143"/>
      <c r="F1516" s="150"/>
      <c r="G1516" s="150"/>
      <c r="H1516" s="145"/>
      <c r="I1516" s="145"/>
    </row>
    <row r="1517" spans="1:9" ht="24.95" hidden="1" customHeight="1">
      <c r="A1517" s="141"/>
      <c r="B1517" s="141"/>
      <c r="C1517" s="143"/>
      <c r="D1517" s="141"/>
      <c r="E1517" s="143"/>
      <c r="F1517" s="150"/>
      <c r="G1517" s="150"/>
      <c r="H1517" s="145"/>
      <c r="I1517" s="145"/>
    </row>
    <row r="1518" spans="1:9" ht="24.95" hidden="1" customHeight="1">
      <c r="A1518" s="141"/>
      <c r="B1518" s="141"/>
      <c r="C1518" s="143"/>
      <c r="D1518" s="141"/>
      <c r="E1518" s="143"/>
      <c r="F1518" s="150"/>
      <c r="G1518" s="150"/>
      <c r="H1518" s="145"/>
      <c r="I1518" s="145"/>
    </row>
    <row r="1519" spans="1:9" ht="24.95" hidden="1" customHeight="1">
      <c r="A1519" s="141"/>
      <c r="B1519" s="141"/>
      <c r="C1519" s="143"/>
      <c r="D1519" s="141"/>
      <c r="E1519" s="143"/>
      <c r="F1519" s="150"/>
      <c r="G1519" s="150"/>
      <c r="H1519" s="145"/>
      <c r="I1519" s="145"/>
    </row>
    <row r="1520" spans="1:9" ht="24.95" hidden="1" customHeight="1">
      <c r="A1520" s="141"/>
      <c r="B1520" s="141"/>
      <c r="C1520" s="143"/>
      <c r="D1520" s="141"/>
      <c r="E1520" s="143"/>
      <c r="F1520" s="150"/>
      <c r="G1520" s="150"/>
      <c r="H1520" s="145"/>
      <c r="I1520" s="145"/>
    </row>
    <row r="1521" spans="1:9" ht="24.95" hidden="1" customHeight="1">
      <c r="A1521" s="141"/>
      <c r="B1521" s="141"/>
      <c r="C1521" s="143"/>
      <c r="D1521" s="141"/>
      <c r="E1521" s="143"/>
      <c r="F1521" s="150"/>
      <c r="G1521" s="150"/>
      <c r="H1521" s="145"/>
      <c r="I1521" s="145"/>
    </row>
    <row r="1522" spans="1:9" ht="24.95" hidden="1" customHeight="1">
      <c r="A1522" s="141"/>
      <c r="B1522" s="141"/>
      <c r="C1522" s="143"/>
      <c r="D1522" s="141"/>
      <c r="E1522" s="143"/>
      <c r="F1522" s="150"/>
      <c r="G1522" s="150"/>
      <c r="H1522" s="145"/>
      <c r="I1522" s="145"/>
    </row>
    <row r="1523" spans="1:9" ht="24.95" hidden="1" customHeight="1">
      <c r="A1523" s="141"/>
      <c r="B1523" s="141"/>
      <c r="C1523" s="143"/>
      <c r="D1523" s="141"/>
      <c r="E1523" s="143"/>
      <c r="F1523" s="150"/>
      <c r="G1523" s="150"/>
      <c r="H1523" s="145"/>
      <c r="I1523" s="145"/>
    </row>
    <row r="1524" spans="1:9" ht="24.95" hidden="1" customHeight="1">
      <c r="A1524" s="141"/>
      <c r="B1524" s="141"/>
      <c r="C1524" s="143"/>
      <c r="D1524" s="141"/>
      <c r="E1524" s="143"/>
      <c r="F1524" s="150"/>
      <c r="G1524" s="150"/>
      <c r="H1524" s="145"/>
      <c r="I1524" s="145"/>
    </row>
    <row r="1525" spans="1:9" ht="24.95" hidden="1" customHeight="1">
      <c r="A1525" s="141"/>
      <c r="B1525" s="141"/>
      <c r="C1525" s="143"/>
      <c r="D1525" s="141"/>
      <c r="E1525" s="143"/>
      <c r="F1525" s="150"/>
      <c r="G1525" s="150"/>
      <c r="H1525" s="145"/>
      <c r="I1525" s="145"/>
    </row>
    <row r="1526" spans="1:9" ht="24.95" hidden="1" customHeight="1">
      <c r="A1526" s="141"/>
      <c r="B1526" s="141"/>
      <c r="C1526" s="143"/>
      <c r="D1526" s="141"/>
      <c r="E1526" s="143"/>
      <c r="F1526" s="150"/>
      <c r="G1526" s="150"/>
      <c r="H1526" s="145"/>
      <c r="I1526" s="145"/>
    </row>
    <row r="1527" spans="1:9" ht="24.95" hidden="1" customHeight="1">
      <c r="A1527" s="141"/>
      <c r="B1527" s="141"/>
      <c r="C1527" s="143"/>
      <c r="D1527" s="141"/>
      <c r="E1527" s="143"/>
      <c r="F1527" s="150"/>
      <c r="G1527" s="150"/>
      <c r="H1527" s="145"/>
      <c r="I1527" s="145"/>
    </row>
    <row r="1528" spans="1:9" ht="24.95" hidden="1" customHeight="1">
      <c r="A1528" s="141"/>
      <c r="B1528" s="141"/>
      <c r="C1528" s="143"/>
      <c r="D1528" s="141"/>
      <c r="E1528" s="143"/>
      <c r="F1528" s="150"/>
      <c r="G1528" s="150"/>
      <c r="H1528" s="145"/>
      <c r="I1528" s="145"/>
    </row>
    <row r="1529" spans="1:9" ht="24.95" hidden="1" customHeight="1">
      <c r="A1529" s="141"/>
      <c r="B1529" s="141"/>
      <c r="C1529" s="143"/>
      <c r="D1529" s="141"/>
      <c r="E1529" s="143"/>
      <c r="F1529" s="150"/>
      <c r="G1529" s="150"/>
      <c r="H1529" s="145"/>
      <c r="I1529" s="145"/>
    </row>
    <row r="1530" spans="1:9" ht="24.95" hidden="1" customHeight="1">
      <c r="A1530" s="141"/>
      <c r="B1530" s="141"/>
      <c r="C1530" s="143"/>
      <c r="D1530" s="141"/>
      <c r="E1530" s="143"/>
      <c r="F1530" s="150"/>
      <c r="G1530" s="150"/>
      <c r="H1530" s="145"/>
      <c r="I1530" s="145"/>
    </row>
    <row r="1531" spans="1:9" ht="24.95" hidden="1" customHeight="1">
      <c r="A1531" s="141"/>
      <c r="B1531" s="141"/>
      <c r="C1531" s="143"/>
      <c r="D1531" s="141"/>
      <c r="E1531" s="143"/>
      <c r="F1531" s="150"/>
      <c r="G1531" s="150"/>
      <c r="H1531" s="145"/>
      <c r="I1531" s="145"/>
    </row>
    <row r="1532" spans="1:9" ht="24.95" hidden="1" customHeight="1">
      <c r="A1532" s="141"/>
      <c r="B1532" s="141"/>
      <c r="C1532" s="143"/>
      <c r="D1532" s="141"/>
      <c r="E1532" s="143"/>
      <c r="F1532" s="150"/>
      <c r="G1532" s="150"/>
      <c r="H1532" s="145"/>
      <c r="I1532" s="145"/>
    </row>
    <row r="1533" spans="1:9" ht="24.95" hidden="1" customHeight="1">
      <c r="A1533" s="141"/>
      <c r="B1533" s="141"/>
      <c r="C1533" s="143"/>
      <c r="D1533" s="141"/>
      <c r="E1533" s="143"/>
      <c r="F1533" s="150"/>
      <c r="G1533" s="150"/>
      <c r="H1533" s="145"/>
      <c r="I1533" s="145"/>
    </row>
    <row r="1534" spans="1:9" ht="24.95" hidden="1" customHeight="1">
      <c r="A1534" s="141"/>
      <c r="B1534" s="141"/>
      <c r="C1534" s="143"/>
      <c r="D1534" s="141"/>
      <c r="E1534" s="143"/>
      <c r="F1534" s="150"/>
      <c r="G1534" s="150"/>
      <c r="H1534" s="145"/>
      <c r="I1534" s="145"/>
    </row>
    <row r="1535" spans="1:9" ht="24.95" hidden="1" customHeight="1">
      <c r="A1535" s="141"/>
      <c r="B1535" s="141"/>
      <c r="C1535" s="143"/>
      <c r="D1535" s="141"/>
      <c r="E1535" s="143"/>
      <c r="F1535" s="150"/>
      <c r="G1535" s="150"/>
      <c r="H1535" s="145"/>
      <c r="I1535" s="145"/>
    </row>
    <row r="1536" spans="1:9" ht="24.95" hidden="1" customHeight="1">
      <c r="A1536" s="141"/>
      <c r="B1536" s="141"/>
      <c r="C1536" s="143"/>
      <c r="D1536" s="141"/>
      <c r="E1536" s="143"/>
      <c r="F1536" s="150"/>
      <c r="G1536" s="150"/>
      <c r="H1536" s="145"/>
      <c r="I1536" s="145"/>
    </row>
    <row r="1537" spans="1:9" ht="24.95" hidden="1" customHeight="1">
      <c r="A1537" s="141"/>
      <c r="B1537" s="141"/>
      <c r="C1537" s="143"/>
      <c r="D1537" s="141"/>
      <c r="E1537" s="143"/>
      <c r="F1537" s="150"/>
      <c r="G1537" s="150"/>
      <c r="H1537" s="145"/>
      <c r="I1537" s="145"/>
    </row>
    <row r="1538" spans="1:9" ht="24.95" hidden="1" customHeight="1">
      <c r="A1538" s="141"/>
      <c r="B1538" s="141"/>
      <c r="C1538" s="143"/>
      <c r="D1538" s="141"/>
      <c r="E1538" s="143"/>
      <c r="F1538" s="150"/>
      <c r="G1538" s="150"/>
      <c r="H1538" s="145"/>
      <c r="I1538" s="145"/>
    </row>
    <row r="1539" spans="1:9" ht="24.95" hidden="1" customHeight="1">
      <c r="A1539" s="141"/>
      <c r="B1539" s="141"/>
      <c r="C1539" s="143"/>
      <c r="D1539" s="141"/>
      <c r="E1539" s="143"/>
      <c r="F1539" s="150"/>
      <c r="G1539" s="150"/>
      <c r="H1539" s="145"/>
      <c r="I1539" s="145"/>
    </row>
    <row r="1540" spans="1:9" ht="24.95" hidden="1" customHeight="1">
      <c r="A1540" s="141"/>
      <c r="B1540" s="141"/>
      <c r="C1540" s="143"/>
      <c r="D1540" s="141"/>
      <c r="E1540" s="143"/>
      <c r="F1540" s="150"/>
      <c r="G1540" s="150"/>
      <c r="H1540" s="145"/>
      <c r="I1540" s="145"/>
    </row>
    <row r="1541" spans="1:9" ht="24.95" hidden="1" customHeight="1">
      <c r="A1541" s="141"/>
      <c r="B1541" s="141"/>
      <c r="C1541" s="143"/>
      <c r="D1541" s="141"/>
      <c r="E1541" s="143"/>
      <c r="F1541" s="150"/>
      <c r="G1541" s="150"/>
      <c r="H1541" s="145"/>
      <c r="I1541" s="145"/>
    </row>
    <row r="1542" spans="1:9" ht="24.95" hidden="1" customHeight="1">
      <c r="A1542" s="141"/>
      <c r="B1542" s="141"/>
      <c r="C1542" s="143"/>
      <c r="D1542" s="141"/>
      <c r="E1542" s="143"/>
      <c r="F1542" s="150"/>
      <c r="G1542" s="150"/>
      <c r="H1542" s="145"/>
      <c r="I1542" s="145"/>
    </row>
    <row r="1543" spans="1:9" ht="24.95" hidden="1" customHeight="1">
      <c r="A1543" s="141"/>
      <c r="B1543" s="141"/>
      <c r="C1543" s="143"/>
      <c r="D1543" s="141"/>
      <c r="E1543" s="143"/>
      <c r="F1543" s="150"/>
      <c r="G1543" s="150"/>
      <c r="H1543" s="145"/>
      <c r="I1543" s="145"/>
    </row>
    <row r="1544" spans="1:9" ht="24.95" hidden="1" customHeight="1">
      <c r="A1544" s="141"/>
      <c r="B1544" s="141"/>
      <c r="C1544" s="143"/>
      <c r="D1544" s="141"/>
      <c r="E1544" s="143"/>
      <c r="F1544" s="150"/>
      <c r="G1544" s="150"/>
      <c r="H1544" s="145"/>
      <c r="I1544" s="145"/>
    </row>
    <row r="1545" spans="1:9" ht="24.95" hidden="1" customHeight="1">
      <c r="A1545" s="141"/>
      <c r="B1545" s="141"/>
      <c r="C1545" s="143"/>
      <c r="D1545" s="141"/>
      <c r="E1545" s="143"/>
      <c r="F1545" s="150"/>
      <c r="G1545" s="150"/>
      <c r="H1545" s="145"/>
      <c r="I1545" s="145"/>
    </row>
    <row r="1546" spans="1:9" ht="24.95" hidden="1" customHeight="1">
      <c r="A1546" s="141"/>
      <c r="B1546" s="141"/>
      <c r="C1546" s="143"/>
      <c r="D1546" s="141"/>
      <c r="E1546" s="143"/>
      <c r="F1546" s="150"/>
      <c r="G1546" s="150"/>
      <c r="H1546" s="145"/>
      <c r="I1546" s="145"/>
    </row>
    <row r="1547" spans="1:9" ht="24.95" hidden="1" customHeight="1">
      <c r="A1547" s="141"/>
      <c r="B1547" s="141"/>
      <c r="C1547" s="143"/>
      <c r="D1547" s="141"/>
      <c r="E1547" s="143"/>
      <c r="F1547" s="150"/>
      <c r="G1547" s="150"/>
      <c r="H1547" s="145"/>
      <c r="I1547" s="145"/>
    </row>
    <row r="1548" spans="1:9" ht="24.95" hidden="1" customHeight="1">
      <c r="A1548" s="141"/>
      <c r="B1548" s="141"/>
      <c r="C1548" s="143"/>
      <c r="D1548" s="141"/>
      <c r="E1548" s="143"/>
      <c r="F1548" s="150"/>
      <c r="G1548" s="150"/>
      <c r="H1548" s="145"/>
      <c r="I1548" s="145"/>
    </row>
    <row r="1549" spans="1:9" ht="24.95" hidden="1" customHeight="1">
      <c r="A1549" s="141"/>
      <c r="B1549" s="141"/>
      <c r="C1549" s="143"/>
      <c r="D1549" s="141"/>
      <c r="E1549" s="143"/>
      <c r="F1549" s="150"/>
      <c r="G1549" s="150"/>
      <c r="H1549" s="145"/>
      <c r="I1549" s="145"/>
    </row>
    <row r="1550" spans="1:9" ht="24.95" hidden="1" customHeight="1">
      <c r="A1550" s="141"/>
      <c r="B1550" s="141"/>
      <c r="C1550" s="143"/>
      <c r="D1550" s="141"/>
      <c r="E1550" s="143"/>
      <c r="F1550" s="150"/>
      <c r="G1550" s="150"/>
      <c r="H1550" s="145"/>
      <c r="I1550" s="145"/>
    </row>
    <row r="1551" spans="1:9" ht="24.95" hidden="1" customHeight="1">
      <c r="A1551" s="141"/>
      <c r="B1551" s="141"/>
      <c r="C1551" s="143"/>
      <c r="D1551" s="141"/>
      <c r="E1551" s="143"/>
      <c r="F1551" s="150"/>
      <c r="G1551" s="150"/>
      <c r="H1551" s="145"/>
      <c r="I1551" s="145"/>
    </row>
    <row r="1552" spans="1:9" ht="24.95" hidden="1" customHeight="1">
      <c r="A1552" s="141"/>
      <c r="B1552" s="141"/>
      <c r="C1552" s="143"/>
      <c r="D1552" s="141"/>
      <c r="E1552" s="143"/>
      <c r="F1552" s="150"/>
      <c r="G1552" s="150"/>
      <c r="H1552" s="145"/>
      <c r="I1552" s="145"/>
    </row>
    <row r="1553" spans="1:9" ht="24.95" hidden="1" customHeight="1">
      <c r="A1553" s="141"/>
      <c r="B1553" s="141"/>
      <c r="C1553" s="143"/>
      <c r="D1553" s="141"/>
      <c r="E1553" s="143"/>
      <c r="F1553" s="150"/>
      <c r="G1553" s="150"/>
      <c r="H1553" s="145"/>
      <c r="I1553" s="145"/>
    </row>
    <row r="1554" spans="1:9" ht="24.95" hidden="1" customHeight="1">
      <c r="A1554" s="141"/>
      <c r="B1554" s="141"/>
      <c r="C1554" s="143"/>
      <c r="D1554" s="141"/>
      <c r="E1554" s="143"/>
      <c r="F1554" s="150"/>
      <c r="G1554" s="150"/>
      <c r="H1554" s="145"/>
      <c r="I1554" s="145"/>
    </row>
    <row r="1555" spans="1:9" ht="24.95" hidden="1" customHeight="1">
      <c r="A1555" s="141"/>
      <c r="B1555" s="141"/>
      <c r="C1555" s="143"/>
      <c r="D1555" s="141"/>
      <c r="E1555" s="143"/>
      <c r="F1555" s="150"/>
      <c r="G1555" s="150"/>
      <c r="H1555" s="145"/>
      <c r="I1555" s="145"/>
    </row>
    <row r="1556" spans="1:9" ht="24.95" hidden="1" customHeight="1">
      <c r="A1556" s="141"/>
      <c r="B1556" s="141"/>
      <c r="C1556" s="143"/>
      <c r="D1556" s="141"/>
      <c r="E1556" s="143"/>
      <c r="F1556" s="150"/>
      <c r="G1556" s="150"/>
      <c r="H1556" s="145"/>
      <c r="I1556" s="145"/>
    </row>
    <row r="1557" spans="1:9" ht="24.95" hidden="1" customHeight="1">
      <c r="A1557" s="141"/>
      <c r="B1557" s="141"/>
      <c r="C1557" s="143"/>
      <c r="D1557" s="141"/>
      <c r="E1557" s="143"/>
      <c r="F1557" s="150"/>
      <c r="G1557" s="150"/>
      <c r="H1557" s="145"/>
      <c r="I1557" s="145"/>
    </row>
    <row r="1558" spans="1:9" ht="24.95" hidden="1" customHeight="1">
      <c r="A1558" s="141"/>
      <c r="B1558" s="141"/>
      <c r="C1558" s="143"/>
      <c r="D1558" s="141"/>
      <c r="E1558" s="143"/>
      <c r="F1558" s="150"/>
      <c r="G1558" s="150"/>
      <c r="H1558" s="145"/>
      <c r="I1558" s="145"/>
    </row>
    <row r="1559" spans="1:9" ht="24.95" hidden="1" customHeight="1">
      <c r="A1559" s="141"/>
      <c r="B1559" s="141"/>
      <c r="C1559" s="143"/>
      <c r="D1559" s="141"/>
      <c r="E1559" s="143"/>
      <c r="F1559" s="150"/>
      <c r="G1559" s="150"/>
      <c r="H1559" s="145"/>
      <c r="I1559" s="145"/>
    </row>
    <row r="1560" spans="1:9" ht="24.95" hidden="1" customHeight="1">
      <c r="A1560" s="141"/>
      <c r="B1560" s="141"/>
      <c r="C1560" s="143"/>
      <c r="D1560" s="141"/>
      <c r="E1560" s="143"/>
      <c r="F1560" s="150"/>
      <c r="G1560" s="150"/>
      <c r="H1560" s="145"/>
      <c r="I1560" s="145"/>
    </row>
    <row r="1561" spans="1:9" ht="24.95" hidden="1" customHeight="1">
      <c r="A1561" s="141"/>
      <c r="B1561" s="141"/>
      <c r="C1561" s="143"/>
      <c r="D1561" s="141"/>
      <c r="E1561" s="143"/>
      <c r="F1561" s="150"/>
      <c r="G1561" s="150"/>
      <c r="H1561" s="145"/>
      <c r="I1561" s="145"/>
    </row>
    <row r="1562" spans="1:9" ht="24.95" hidden="1" customHeight="1">
      <c r="A1562" s="141"/>
      <c r="B1562" s="141"/>
      <c r="C1562" s="143"/>
      <c r="D1562" s="141"/>
      <c r="E1562" s="143"/>
      <c r="F1562" s="150"/>
      <c r="G1562" s="150"/>
      <c r="H1562" s="145"/>
      <c r="I1562" s="145"/>
    </row>
    <row r="1563" spans="1:9" ht="24.95" hidden="1" customHeight="1">
      <c r="A1563" s="141"/>
      <c r="B1563" s="141"/>
      <c r="C1563" s="143"/>
      <c r="D1563" s="141"/>
      <c r="E1563" s="143"/>
      <c r="F1563" s="150"/>
      <c r="G1563" s="150"/>
      <c r="H1563" s="145"/>
      <c r="I1563" s="145"/>
    </row>
    <row r="1564" spans="1:9" ht="24.95" hidden="1" customHeight="1">
      <c r="A1564" s="141"/>
      <c r="B1564" s="141"/>
      <c r="C1564" s="143"/>
      <c r="D1564" s="141"/>
      <c r="E1564" s="143"/>
      <c r="F1564" s="150"/>
      <c r="G1564" s="150"/>
      <c r="H1564" s="145"/>
      <c r="I1564" s="145"/>
    </row>
    <row r="1565" spans="1:9" ht="24.95" hidden="1" customHeight="1">
      <c r="A1565" s="141"/>
      <c r="B1565" s="141"/>
      <c r="C1565" s="143"/>
      <c r="D1565" s="141"/>
      <c r="E1565" s="143"/>
      <c r="F1565" s="150"/>
      <c r="G1565" s="150"/>
      <c r="H1565" s="145"/>
      <c r="I1565" s="145"/>
    </row>
    <row r="1566" spans="1:9" ht="24.95" hidden="1" customHeight="1">
      <c r="A1566" s="141"/>
      <c r="B1566" s="141"/>
      <c r="C1566" s="143"/>
      <c r="D1566" s="141"/>
      <c r="E1566" s="143"/>
      <c r="F1566" s="150"/>
      <c r="G1566" s="150"/>
      <c r="H1566" s="145"/>
      <c r="I1566" s="145"/>
    </row>
    <row r="1567" spans="1:9" ht="24.95" hidden="1" customHeight="1">
      <c r="A1567" s="141"/>
      <c r="B1567" s="141"/>
      <c r="C1567" s="143"/>
      <c r="D1567" s="141"/>
      <c r="E1567" s="143"/>
      <c r="F1567" s="150"/>
      <c r="G1567" s="150"/>
      <c r="H1567" s="145"/>
      <c r="I1567" s="145"/>
    </row>
    <row r="1568" spans="1:9" ht="24.95" hidden="1" customHeight="1">
      <c r="A1568" s="141"/>
      <c r="B1568" s="141"/>
      <c r="C1568" s="143"/>
      <c r="D1568" s="141"/>
      <c r="E1568" s="143"/>
      <c r="F1568" s="150"/>
      <c r="G1568" s="150"/>
      <c r="H1568" s="145"/>
      <c r="I1568" s="145"/>
    </row>
    <row r="1569" spans="1:9" ht="24.95" hidden="1" customHeight="1">
      <c r="A1569" s="141"/>
      <c r="B1569" s="141"/>
      <c r="C1569" s="143"/>
      <c r="D1569" s="141"/>
      <c r="E1569" s="143"/>
      <c r="F1569" s="150"/>
      <c r="G1569" s="150"/>
      <c r="H1569" s="145"/>
      <c r="I1569" s="145"/>
    </row>
    <row r="1570" spans="1:9" ht="24.95" hidden="1" customHeight="1">
      <c r="A1570" s="141"/>
      <c r="B1570" s="141"/>
      <c r="C1570" s="143"/>
      <c r="D1570" s="141"/>
      <c r="E1570" s="143"/>
      <c r="F1570" s="150"/>
      <c r="G1570" s="150"/>
      <c r="H1570" s="145"/>
      <c r="I1570" s="145"/>
    </row>
    <row r="1571" spans="1:9" ht="24.95" hidden="1" customHeight="1">
      <c r="A1571" s="141"/>
      <c r="B1571" s="141"/>
      <c r="C1571" s="143"/>
      <c r="D1571" s="141"/>
      <c r="E1571" s="143"/>
      <c r="F1571" s="150"/>
      <c r="G1571" s="150"/>
      <c r="H1571" s="145"/>
      <c r="I1571" s="145"/>
    </row>
    <row r="1572" spans="1:9" ht="24.95" hidden="1" customHeight="1">
      <c r="A1572" s="141"/>
      <c r="B1572" s="141"/>
      <c r="C1572" s="143"/>
      <c r="D1572" s="141"/>
      <c r="E1572" s="143"/>
      <c r="F1572" s="150"/>
      <c r="G1572" s="150"/>
      <c r="H1572" s="145"/>
      <c r="I1572" s="145"/>
    </row>
    <row r="1573" spans="1:9" ht="24.95" hidden="1" customHeight="1">
      <c r="A1573" s="141"/>
      <c r="B1573" s="141"/>
      <c r="C1573" s="143"/>
      <c r="D1573" s="141"/>
      <c r="E1573" s="143"/>
      <c r="F1573" s="150"/>
      <c r="G1573" s="150"/>
      <c r="H1573" s="145"/>
      <c r="I1573" s="145"/>
    </row>
    <row r="1574" spans="1:9" ht="24.95" hidden="1" customHeight="1">
      <c r="A1574" s="141"/>
      <c r="B1574" s="141"/>
      <c r="C1574" s="143"/>
      <c r="D1574" s="141"/>
      <c r="E1574" s="143"/>
      <c r="F1574" s="150"/>
      <c r="G1574" s="150"/>
      <c r="H1574" s="145"/>
      <c r="I1574" s="145"/>
    </row>
    <row r="1575" spans="1:9" ht="24.95" hidden="1" customHeight="1">
      <c r="A1575" s="141"/>
      <c r="B1575" s="141"/>
      <c r="C1575" s="143"/>
      <c r="D1575" s="141"/>
      <c r="E1575" s="143"/>
      <c r="F1575" s="150"/>
      <c r="G1575" s="150"/>
      <c r="H1575" s="145"/>
      <c r="I1575" s="145"/>
    </row>
    <row r="1576" spans="1:9" ht="24.95" hidden="1" customHeight="1">
      <c r="A1576" s="141"/>
      <c r="B1576" s="141"/>
      <c r="C1576" s="143"/>
      <c r="D1576" s="141"/>
      <c r="E1576" s="143"/>
      <c r="F1576" s="150"/>
      <c r="G1576" s="150"/>
      <c r="H1576" s="145"/>
      <c r="I1576" s="145"/>
    </row>
    <row r="1577" spans="1:9" ht="24.95" hidden="1" customHeight="1">
      <c r="A1577" s="141"/>
      <c r="B1577" s="141"/>
      <c r="C1577" s="143"/>
      <c r="D1577" s="141"/>
      <c r="E1577" s="143"/>
      <c r="F1577" s="150"/>
      <c r="G1577" s="150"/>
      <c r="H1577" s="145"/>
      <c r="I1577" s="145"/>
    </row>
    <row r="1578" spans="1:9" ht="24.95" hidden="1" customHeight="1">
      <c r="A1578" s="141"/>
      <c r="B1578" s="141"/>
      <c r="C1578" s="143"/>
      <c r="D1578" s="141"/>
      <c r="E1578" s="143"/>
      <c r="F1578" s="150"/>
      <c r="G1578" s="150"/>
      <c r="H1578" s="145"/>
      <c r="I1578" s="145"/>
    </row>
    <row r="1579" spans="1:9" ht="24.95" hidden="1" customHeight="1">
      <c r="A1579" s="141"/>
      <c r="B1579" s="141"/>
      <c r="C1579" s="143"/>
      <c r="D1579" s="141"/>
      <c r="E1579" s="143"/>
      <c r="F1579" s="150"/>
      <c r="G1579" s="150"/>
      <c r="H1579" s="145"/>
      <c r="I1579" s="145"/>
    </row>
    <row r="1580" spans="1:9" ht="24.95" hidden="1" customHeight="1">
      <c r="A1580" s="141"/>
      <c r="B1580" s="141"/>
      <c r="C1580" s="143"/>
      <c r="D1580" s="141"/>
      <c r="E1580" s="143"/>
      <c r="F1580" s="150"/>
      <c r="G1580" s="150"/>
      <c r="H1580" s="145"/>
      <c r="I1580" s="145"/>
    </row>
    <row r="1581" spans="1:9" ht="24.95" hidden="1" customHeight="1">
      <c r="A1581" s="141"/>
      <c r="B1581" s="141"/>
      <c r="C1581" s="143"/>
      <c r="D1581" s="141"/>
      <c r="E1581" s="143"/>
      <c r="F1581" s="150"/>
      <c r="G1581" s="150"/>
      <c r="H1581" s="145"/>
      <c r="I1581" s="145"/>
    </row>
    <row r="1582" spans="1:9" ht="24.95" hidden="1" customHeight="1">
      <c r="A1582" s="141"/>
      <c r="B1582" s="141"/>
      <c r="C1582" s="143"/>
      <c r="D1582" s="141"/>
      <c r="E1582" s="143"/>
      <c r="F1582" s="150"/>
      <c r="G1582" s="150"/>
      <c r="H1582" s="145"/>
      <c r="I1582" s="145"/>
    </row>
    <row r="1583" spans="1:9" ht="24.95" hidden="1" customHeight="1">
      <c r="A1583" s="141"/>
      <c r="B1583" s="141"/>
      <c r="C1583" s="143"/>
      <c r="D1583" s="141"/>
      <c r="E1583" s="143"/>
      <c r="F1583" s="150"/>
      <c r="G1583" s="150"/>
      <c r="H1583" s="145"/>
      <c r="I1583" s="145"/>
    </row>
    <row r="1584" spans="1:9" ht="24.95" hidden="1" customHeight="1">
      <c r="A1584" s="141"/>
      <c r="B1584" s="141"/>
      <c r="C1584" s="143"/>
      <c r="D1584" s="141"/>
      <c r="E1584" s="143"/>
      <c r="F1584" s="150"/>
      <c r="G1584" s="150"/>
      <c r="H1584" s="145"/>
      <c r="I1584" s="145"/>
    </row>
    <row r="1585" spans="1:9" ht="24.95" hidden="1" customHeight="1">
      <c r="A1585" s="141"/>
      <c r="B1585" s="141"/>
      <c r="C1585" s="143"/>
      <c r="D1585" s="141"/>
      <c r="E1585" s="143"/>
      <c r="F1585" s="150"/>
      <c r="G1585" s="150"/>
      <c r="H1585" s="145"/>
      <c r="I1585" s="145"/>
    </row>
    <row r="1586" spans="1:9" ht="24.95" hidden="1" customHeight="1">
      <c r="A1586" s="141"/>
      <c r="B1586" s="141"/>
      <c r="C1586" s="143"/>
      <c r="D1586" s="141"/>
      <c r="E1586" s="143"/>
      <c r="F1586" s="150"/>
      <c r="G1586" s="150"/>
      <c r="H1586" s="145"/>
      <c r="I1586" s="145"/>
    </row>
    <row r="1587" spans="1:9" ht="24.95" hidden="1" customHeight="1">
      <c r="A1587" s="141"/>
      <c r="B1587" s="141"/>
      <c r="C1587" s="143"/>
      <c r="D1587" s="141"/>
      <c r="E1587" s="143"/>
      <c r="F1587" s="150"/>
      <c r="G1587" s="150"/>
      <c r="H1587" s="145"/>
      <c r="I1587" s="145"/>
    </row>
    <row r="1588" spans="1:9" ht="24.95" hidden="1" customHeight="1">
      <c r="A1588" s="141"/>
      <c r="B1588" s="141"/>
      <c r="C1588" s="143"/>
      <c r="D1588" s="141"/>
      <c r="E1588" s="143"/>
      <c r="F1588" s="150"/>
      <c r="G1588" s="150"/>
      <c r="H1588" s="145"/>
      <c r="I1588" s="145"/>
    </row>
    <row r="1589" spans="1:9" ht="24.95" hidden="1" customHeight="1">
      <c r="A1589" s="141"/>
      <c r="B1589" s="141"/>
      <c r="C1589" s="143"/>
      <c r="D1589" s="141"/>
      <c r="E1589" s="143"/>
      <c r="F1589" s="150"/>
      <c r="G1589" s="150"/>
      <c r="H1589" s="145"/>
      <c r="I1589" s="145"/>
    </row>
    <row r="1590" spans="1:9" ht="24.95" hidden="1" customHeight="1">
      <c r="A1590" s="141"/>
      <c r="B1590" s="141"/>
      <c r="C1590" s="143"/>
      <c r="D1590" s="141"/>
      <c r="E1590" s="143"/>
      <c r="F1590" s="150"/>
      <c r="G1590" s="150"/>
      <c r="H1590" s="145"/>
      <c r="I1590" s="145"/>
    </row>
    <row r="1591" spans="1:9" ht="24.95" hidden="1" customHeight="1">
      <c r="A1591" s="141"/>
      <c r="B1591" s="141"/>
      <c r="C1591" s="143"/>
      <c r="D1591" s="141"/>
      <c r="E1591" s="143"/>
      <c r="F1591" s="150"/>
      <c r="G1591" s="150"/>
      <c r="H1591" s="145"/>
      <c r="I1591" s="145"/>
    </row>
    <row r="1592" spans="1:9" ht="24.95" hidden="1" customHeight="1">
      <c r="A1592" s="141"/>
      <c r="B1592" s="141"/>
      <c r="C1592" s="143"/>
      <c r="D1592" s="141"/>
      <c r="E1592" s="143"/>
      <c r="F1592" s="150"/>
      <c r="G1592" s="150"/>
      <c r="H1592" s="145"/>
      <c r="I1592" s="145"/>
    </row>
    <row r="1593" spans="1:9" ht="24.95" hidden="1" customHeight="1">
      <c r="A1593" s="141"/>
      <c r="B1593" s="141"/>
      <c r="C1593" s="143"/>
      <c r="D1593" s="141"/>
      <c r="E1593" s="143"/>
      <c r="F1593" s="150"/>
      <c r="G1593" s="150"/>
      <c r="H1593" s="145"/>
      <c r="I1593" s="145"/>
    </row>
    <row r="1594" spans="1:9" ht="24.95" hidden="1" customHeight="1">
      <c r="A1594" s="141"/>
      <c r="B1594" s="141"/>
      <c r="C1594" s="143"/>
      <c r="D1594" s="141"/>
      <c r="E1594" s="143"/>
      <c r="F1594" s="150"/>
      <c r="G1594" s="150"/>
      <c r="H1594" s="145"/>
      <c r="I1594" s="145"/>
    </row>
    <row r="1595" spans="1:9" ht="24.95" hidden="1" customHeight="1">
      <c r="A1595" s="141"/>
      <c r="B1595" s="141"/>
      <c r="C1595" s="143"/>
      <c r="D1595" s="141"/>
      <c r="E1595" s="143"/>
      <c r="F1595" s="150"/>
      <c r="G1595" s="150"/>
      <c r="H1595" s="145"/>
      <c r="I1595" s="145"/>
    </row>
    <row r="1596" spans="1:9" ht="24.95" hidden="1" customHeight="1">
      <c r="A1596" s="141"/>
      <c r="B1596" s="141"/>
      <c r="C1596" s="143"/>
      <c r="D1596" s="141"/>
      <c r="E1596" s="143"/>
      <c r="F1596" s="150"/>
      <c r="G1596" s="150"/>
      <c r="H1596" s="145"/>
      <c r="I1596" s="145"/>
    </row>
    <row r="1597" spans="1:9" ht="24.95" hidden="1" customHeight="1">
      <c r="A1597" s="141"/>
      <c r="B1597" s="141"/>
      <c r="C1597" s="143"/>
      <c r="D1597" s="141"/>
      <c r="E1597" s="143"/>
      <c r="F1597" s="150"/>
      <c r="G1597" s="150"/>
      <c r="H1597" s="145"/>
      <c r="I1597" s="145"/>
    </row>
    <row r="1598" spans="1:9" ht="24.95" hidden="1" customHeight="1">
      <c r="A1598" s="141"/>
      <c r="B1598" s="141"/>
      <c r="C1598" s="143"/>
      <c r="D1598" s="141"/>
      <c r="E1598" s="143"/>
      <c r="F1598" s="150"/>
      <c r="G1598" s="150"/>
      <c r="H1598" s="145"/>
      <c r="I1598" s="145"/>
    </row>
    <row r="1599" spans="1:9" ht="24.95" hidden="1" customHeight="1">
      <c r="A1599" s="141"/>
      <c r="B1599" s="141"/>
      <c r="C1599" s="143"/>
      <c r="D1599" s="141"/>
      <c r="E1599" s="143"/>
      <c r="F1599" s="150"/>
      <c r="G1599" s="150"/>
      <c r="H1599" s="145"/>
      <c r="I1599" s="145"/>
    </row>
    <row r="1600" spans="1:9" ht="24.95" hidden="1" customHeight="1">
      <c r="A1600" s="141"/>
      <c r="B1600" s="141"/>
      <c r="C1600" s="143"/>
      <c r="D1600" s="141"/>
      <c r="E1600" s="143"/>
      <c r="F1600" s="150"/>
      <c r="G1600" s="150"/>
      <c r="H1600" s="145"/>
      <c r="I1600" s="145"/>
    </row>
    <row r="1601" spans="1:9" ht="24.95" hidden="1" customHeight="1">
      <c r="A1601" s="141"/>
      <c r="B1601" s="141"/>
      <c r="C1601" s="143"/>
      <c r="D1601" s="141"/>
      <c r="E1601" s="143"/>
      <c r="F1601" s="150"/>
      <c r="G1601" s="150"/>
      <c r="H1601" s="145"/>
      <c r="I1601" s="145"/>
    </row>
    <row r="1602" spans="1:9" ht="24.95" hidden="1" customHeight="1">
      <c r="A1602" s="141"/>
      <c r="B1602" s="141"/>
      <c r="C1602" s="143"/>
      <c r="D1602" s="141"/>
      <c r="E1602" s="143"/>
      <c r="F1602" s="150"/>
      <c r="G1602" s="150"/>
      <c r="H1602" s="145"/>
      <c r="I1602" s="145"/>
    </row>
    <row r="1603" spans="1:9" ht="24.95" hidden="1" customHeight="1">
      <c r="A1603" s="141"/>
      <c r="B1603" s="141"/>
      <c r="C1603" s="143"/>
      <c r="D1603" s="141"/>
      <c r="E1603" s="143"/>
      <c r="F1603" s="150"/>
      <c r="G1603" s="150"/>
      <c r="H1603" s="145"/>
      <c r="I1603" s="145"/>
    </row>
    <row r="1604" spans="1:9" ht="24.95" hidden="1" customHeight="1">
      <c r="A1604" s="141"/>
      <c r="B1604" s="141"/>
      <c r="C1604" s="143"/>
      <c r="D1604" s="141"/>
      <c r="E1604" s="143"/>
      <c r="F1604" s="150"/>
      <c r="G1604" s="150"/>
      <c r="H1604" s="145"/>
      <c r="I1604" s="145"/>
    </row>
    <row r="1605" spans="1:9" ht="24.95" hidden="1" customHeight="1">
      <c r="A1605" s="141"/>
      <c r="B1605" s="141"/>
      <c r="C1605" s="143"/>
      <c r="D1605" s="141"/>
      <c r="E1605" s="143"/>
      <c r="F1605" s="150"/>
      <c r="G1605" s="150"/>
      <c r="H1605" s="145"/>
      <c r="I1605" s="145"/>
    </row>
    <row r="1606" spans="1:9" ht="24.95" hidden="1" customHeight="1">
      <c r="A1606" s="141"/>
      <c r="B1606" s="141"/>
      <c r="C1606" s="143"/>
      <c r="D1606" s="141"/>
      <c r="E1606" s="143"/>
      <c r="F1606" s="150"/>
      <c r="G1606" s="150"/>
      <c r="H1606" s="145"/>
      <c r="I1606" s="145"/>
    </row>
    <row r="1607" spans="1:9" ht="24.95" hidden="1" customHeight="1">
      <c r="A1607" s="141"/>
      <c r="B1607" s="141"/>
      <c r="C1607" s="143"/>
      <c r="D1607" s="141"/>
      <c r="E1607" s="143"/>
      <c r="F1607" s="150"/>
      <c r="G1607" s="150"/>
      <c r="H1607" s="145"/>
      <c r="I1607" s="145"/>
    </row>
    <row r="1608" spans="1:9" ht="24.95" hidden="1" customHeight="1">
      <c r="A1608" s="141"/>
      <c r="B1608" s="141"/>
      <c r="C1608" s="143"/>
      <c r="D1608" s="141"/>
      <c r="E1608" s="143"/>
      <c r="F1608" s="150"/>
      <c r="G1608" s="150"/>
      <c r="H1608" s="145"/>
      <c r="I1608" s="145"/>
    </row>
    <row r="1609" spans="1:9" ht="24.95" hidden="1" customHeight="1">
      <c r="A1609" s="141"/>
      <c r="B1609" s="141"/>
      <c r="C1609" s="143"/>
      <c r="D1609" s="141"/>
      <c r="E1609" s="143"/>
      <c r="F1609" s="150"/>
      <c r="G1609" s="150"/>
      <c r="H1609" s="145"/>
      <c r="I1609" s="145"/>
    </row>
    <row r="1610" spans="1:9" ht="24.95" hidden="1" customHeight="1">
      <c r="A1610" s="141"/>
      <c r="B1610" s="141"/>
      <c r="C1610" s="143"/>
      <c r="D1610" s="141"/>
      <c r="E1610" s="143"/>
      <c r="F1610" s="150"/>
      <c r="G1610" s="150"/>
      <c r="H1610" s="145"/>
      <c r="I1610" s="145"/>
    </row>
    <row r="1611" spans="1:9" ht="24.95" hidden="1" customHeight="1">
      <c r="A1611" s="141"/>
      <c r="B1611" s="141"/>
      <c r="C1611" s="143"/>
      <c r="D1611" s="141"/>
      <c r="E1611" s="143"/>
      <c r="F1611" s="150"/>
      <c r="G1611" s="150"/>
      <c r="H1611" s="145"/>
      <c r="I1611" s="145"/>
    </row>
    <row r="1612" spans="1:9" ht="24.95" hidden="1" customHeight="1">
      <c r="A1612" s="141"/>
      <c r="B1612" s="141"/>
      <c r="C1612" s="143"/>
      <c r="D1612" s="141"/>
      <c r="E1612" s="143"/>
      <c r="F1612" s="150"/>
      <c r="G1612" s="150"/>
      <c r="H1612" s="145"/>
      <c r="I1612" s="145"/>
    </row>
    <row r="1613" spans="1:9" ht="24.95" hidden="1" customHeight="1">
      <c r="A1613" s="141"/>
      <c r="B1613" s="141"/>
      <c r="C1613" s="143"/>
      <c r="D1613" s="141"/>
      <c r="E1613" s="143"/>
      <c r="F1613" s="150"/>
      <c r="G1613" s="150"/>
      <c r="H1613" s="145"/>
      <c r="I1613" s="145"/>
    </row>
    <row r="1614" spans="1:9" ht="24.95" hidden="1" customHeight="1">
      <c r="A1614" s="141"/>
      <c r="B1614" s="141"/>
      <c r="C1614" s="143"/>
      <c r="D1614" s="141"/>
      <c r="E1614" s="143"/>
      <c r="F1614" s="150"/>
      <c r="G1614" s="150"/>
      <c r="H1614" s="145"/>
      <c r="I1614" s="145"/>
    </row>
    <row r="1615" spans="1:9" ht="24.95" hidden="1" customHeight="1">
      <c r="A1615" s="141"/>
      <c r="B1615" s="141"/>
      <c r="C1615" s="143"/>
      <c r="D1615" s="141"/>
      <c r="E1615" s="143"/>
      <c r="F1615" s="150"/>
      <c r="G1615" s="150"/>
      <c r="H1615" s="145"/>
      <c r="I1615" s="145"/>
    </row>
    <row r="1616" spans="1:9" ht="24.95" hidden="1" customHeight="1">
      <c r="A1616" s="141"/>
      <c r="B1616" s="141"/>
      <c r="C1616" s="143"/>
      <c r="D1616" s="141"/>
      <c r="E1616" s="143"/>
      <c r="F1616" s="150"/>
      <c r="G1616" s="150"/>
      <c r="H1616" s="145"/>
      <c r="I1616" s="145"/>
    </row>
    <row r="1617" spans="1:9" ht="24.95" hidden="1" customHeight="1">
      <c r="A1617" s="141"/>
      <c r="B1617" s="141"/>
      <c r="C1617" s="143"/>
      <c r="D1617" s="141"/>
      <c r="E1617" s="143"/>
      <c r="F1617" s="150"/>
      <c r="G1617" s="150"/>
      <c r="H1617" s="145"/>
      <c r="I1617" s="145"/>
    </row>
    <row r="1618" spans="1:9" ht="24.95" hidden="1" customHeight="1">
      <c r="A1618" s="141"/>
      <c r="B1618" s="141"/>
      <c r="C1618" s="143"/>
      <c r="D1618" s="141"/>
      <c r="E1618" s="143"/>
      <c r="F1618" s="150"/>
      <c r="G1618" s="150"/>
      <c r="H1618" s="145"/>
      <c r="I1618" s="145"/>
    </row>
    <row r="1619" spans="1:9" ht="24.95" hidden="1" customHeight="1">
      <c r="A1619" s="141"/>
      <c r="B1619" s="141"/>
      <c r="C1619" s="143"/>
      <c r="D1619" s="141"/>
      <c r="E1619" s="143"/>
      <c r="F1619" s="150"/>
      <c r="G1619" s="150"/>
      <c r="H1619" s="145"/>
      <c r="I1619" s="145"/>
    </row>
    <row r="1620" spans="1:9" ht="24.95" hidden="1" customHeight="1">
      <c r="A1620" s="141"/>
      <c r="B1620" s="141"/>
      <c r="C1620" s="143"/>
      <c r="D1620" s="141"/>
      <c r="E1620" s="143"/>
      <c r="F1620" s="150"/>
      <c r="G1620" s="150"/>
      <c r="H1620" s="145"/>
      <c r="I1620" s="145"/>
    </row>
    <row r="1621" spans="1:9" ht="24.95" hidden="1" customHeight="1">
      <c r="A1621" s="141"/>
      <c r="B1621" s="141"/>
      <c r="C1621" s="143"/>
      <c r="D1621" s="141"/>
      <c r="E1621" s="143"/>
      <c r="F1621" s="150"/>
      <c r="G1621" s="150"/>
      <c r="H1621" s="145"/>
      <c r="I1621" s="145"/>
    </row>
    <row r="1622" spans="1:9" ht="24.95" hidden="1" customHeight="1">
      <c r="A1622" s="141"/>
      <c r="B1622" s="141"/>
      <c r="C1622" s="143"/>
      <c r="D1622" s="141"/>
      <c r="E1622" s="143"/>
      <c r="F1622" s="150"/>
      <c r="G1622" s="150"/>
      <c r="H1622" s="145"/>
      <c r="I1622" s="145"/>
    </row>
    <row r="1623" spans="1:9" ht="24.95" hidden="1" customHeight="1">
      <c r="A1623" s="141"/>
      <c r="B1623" s="141"/>
      <c r="C1623" s="143"/>
      <c r="D1623" s="141"/>
      <c r="E1623" s="143"/>
      <c r="F1623" s="150"/>
      <c r="G1623" s="150"/>
      <c r="H1623" s="145"/>
      <c r="I1623" s="145"/>
    </row>
    <row r="1624" spans="1:9" ht="24.95" hidden="1" customHeight="1">
      <c r="A1624" s="141"/>
      <c r="B1624" s="141"/>
      <c r="C1624" s="143"/>
      <c r="D1624" s="141"/>
      <c r="E1624" s="143"/>
      <c r="F1624" s="150"/>
      <c r="G1624" s="150"/>
      <c r="H1624" s="145"/>
      <c r="I1624" s="145"/>
    </row>
    <row r="1625" spans="1:9" ht="24.95" hidden="1" customHeight="1">
      <c r="A1625" s="141"/>
      <c r="B1625" s="141"/>
      <c r="C1625" s="143"/>
      <c r="D1625" s="141"/>
      <c r="E1625" s="143"/>
      <c r="F1625" s="150"/>
      <c r="G1625" s="150"/>
      <c r="H1625" s="145"/>
      <c r="I1625" s="145"/>
    </row>
    <row r="1626" spans="1:9" ht="24.95" hidden="1" customHeight="1">
      <c r="A1626" s="141"/>
      <c r="B1626" s="141"/>
      <c r="C1626" s="143"/>
      <c r="D1626" s="141"/>
      <c r="E1626" s="143"/>
      <c r="F1626" s="150"/>
      <c r="G1626" s="150"/>
      <c r="H1626" s="145"/>
      <c r="I1626" s="145"/>
    </row>
    <row r="1627" spans="1:9" ht="24.95" hidden="1" customHeight="1">
      <c r="A1627" s="141"/>
      <c r="B1627" s="141"/>
      <c r="C1627" s="143"/>
      <c r="D1627" s="141"/>
      <c r="E1627" s="143"/>
      <c r="F1627" s="150"/>
      <c r="G1627" s="150"/>
      <c r="H1627" s="145"/>
      <c r="I1627" s="145"/>
    </row>
    <row r="1628" spans="1:9" ht="24.95" hidden="1" customHeight="1">
      <c r="A1628" s="141"/>
      <c r="B1628" s="141"/>
      <c r="C1628" s="143"/>
      <c r="D1628" s="141"/>
      <c r="E1628" s="143"/>
      <c r="F1628" s="150"/>
      <c r="G1628" s="150"/>
      <c r="H1628" s="145"/>
      <c r="I1628" s="145"/>
    </row>
    <row r="1629" spans="1:9" ht="24.95" hidden="1" customHeight="1">
      <c r="A1629" s="141"/>
      <c r="B1629" s="141"/>
      <c r="C1629" s="143"/>
      <c r="D1629" s="141"/>
      <c r="E1629" s="143"/>
      <c r="F1629" s="150"/>
      <c r="G1629" s="150"/>
      <c r="H1629" s="145"/>
      <c r="I1629" s="145"/>
    </row>
    <row r="1630" spans="1:9" ht="24.95" hidden="1" customHeight="1">
      <c r="A1630" s="141"/>
      <c r="B1630" s="141"/>
      <c r="C1630" s="143"/>
      <c r="D1630" s="141"/>
      <c r="E1630" s="143"/>
      <c r="F1630" s="150"/>
      <c r="G1630" s="150"/>
      <c r="H1630" s="145"/>
      <c r="I1630" s="145"/>
    </row>
    <row r="1631" spans="1:9" ht="24.95" hidden="1" customHeight="1">
      <c r="A1631" s="141"/>
      <c r="B1631" s="141"/>
      <c r="C1631" s="143"/>
      <c r="D1631" s="141"/>
      <c r="E1631" s="143"/>
      <c r="F1631" s="150"/>
      <c r="G1631" s="150"/>
      <c r="H1631" s="145"/>
      <c r="I1631" s="145"/>
    </row>
    <row r="1632" spans="1:9" ht="24.95" hidden="1" customHeight="1">
      <c r="A1632" s="141"/>
      <c r="B1632" s="141"/>
      <c r="C1632" s="143"/>
      <c r="D1632" s="141"/>
      <c r="E1632" s="143"/>
      <c r="F1632" s="150"/>
      <c r="G1632" s="150"/>
      <c r="H1632" s="145"/>
      <c r="I1632" s="145"/>
    </row>
    <row r="1633" spans="1:9" ht="24.95" hidden="1" customHeight="1">
      <c r="A1633" s="141"/>
      <c r="B1633" s="141"/>
      <c r="C1633" s="143"/>
      <c r="D1633" s="141"/>
      <c r="E1633" s="143"/>
      <c r="F1633" s="150"/>
      <c r="G1633" s="150"/>
      <c r="H1633" s="145"/>
      <c r="I1633" s="145"/>
    </row>
    <row r="1634" spans="1:9" ht="24.95" hidden="1" customHeight="1">
      <c r="A1634" s="141"/>
      <c r="B1634" s="141"/>
      <c r="C1634" s="143"/>
      <c r="D1634" s="141"/>
      <c r="E1634" s="143"/>
      <c r="F1634" s="150"/>
      <c r="G1634" s="150"/>
      <c r="H1634" s="145"/>
      <c r="I1634" s="145"/>
    </row>
    <row r="1635" spans="1:9" ht="24.95" hidden="1" customHeight="1">
      <c r="A1635" s="141"/>
      <c r="B1635" s="141"/>
      <c r="C1635" s="143"/>
      <c r="D1635" s="141"/>
      <c r="E1635" s="143"/>
      <c r="F1635" s="150"/>
      <c r="G1635" s="150"/>
      <c r="H1635" s="145"/>
      <c r="I1635" s="145"/>
    </row>
    <row r="1636" spans="1:9" ht="24.95" hidden="1" customHeight="1">
      <c r="A1636" s="141"/>
      <c r="B1636" s="141"/>
      <c r="C1636" s="143"/>
      <c r="D1636" s="141"/>
      <c r="E1636" s="143"/>
      <c r="F1636" s="150"/>
      <c r="G1636" s="150"/>
      <c r="H1636" s="145"/>
      <c r="I1636" s="145"/>
    </row>
    <row r="1637" spans="1:9" ht="24.95" hidden="1" customHeight="1">
      <c r="A1637" s="141"/>
      <c r="B1637" s="141"/>
      <c r="C1637" s="143"/>
      <c r="D1637" s="141"/>
      <c r="E1637" s="143"/>
      <c r="F1637" s="150"/>
      <c r="G1637" s="150"/>
      <c r="H1637" s="145"/>
      <c r="I1637" s="145"/>
    </row>
    <row r="1638" spans="1:9" ht="24.95" hidden="1" customHeight="1">
      <c r="A1638" s="141"/>
      <c r="B1638" s="141"/>
      <c r="C1638" s="143"/>
      <c r="D1638" s="141"/>
      <c r="E1638" s="143"/>
      <c r="F1638" s="150"/>
      <c r="G1638" s="150"/>
      <c r="H1638" s="145"/>
      <c r="I1638" s="145"/>
    </row>
    <row r="1639" spans="1:9" ht="24.95" hidden="1" customHeight="1">
      <c r="A1639" s="141"/>
      <c r="B1639" s="141"/>
      <c r="C1639" s="143"/>
      <c r="D1639" s="141"/>
      <c r="E1639" s="143"/>
      <c r="F1639" s="150"/>
      <c r="G1639" s="150"/>
      <c r="H1639" s="145"/>
      <c r="I1639" s="145"/>
    </row>
    <row r="1640" spans="1:9" ht="24.95" hidden="1" customHeight="1">
      <c r="A1640" s="141"/>
      <c r="B1640" s="141"/>
      <c r="C1640" s="143"/>
      <c r="D1640" s="141"/>
      <c r="E1640" s="143"/>
      <c r="F1640" s="150"/>
      <c r="G1640" s="150"/>
      <c r="H1640" s="145"/>
      <c r="I1640" s="145"/>
    </row>
    <row r="1641" spans="1:9" ht="24.95" hidden="1" customHeight="1">
      <c r="A1641" s="141"/>
      <c r="B1641" s="141"/>
      <c r="C1641" s="143"/>
      <c r="D1641" s="141"/>
      <c r="E1641" s="143"/>
      <c r="F1641" s="150"/>
      <c r="G1641" s="150"/>
      <c r="H1641" s="145"/>
      <c r="I1641" s="145"/>
    </row>
    <row r="1642" spans="1:9" ht="24.95" hidden="1" customHeight="1">
      <c r="A1642" s="141"/>
      <c r="B1642" s="141"/>
      <c r="C1642" s="143"/>
      <c r="D1642" s="141"/>
      <c r="E1642" s="143"/>
      <c r="F1642" s="150"/>
      <c r="G1642" s="150"/>
      <c r="H1642" s="145"/>
      <c r="I1642" s="145"/>
    </row>
    <row r="1643" spans="1:9" ht="24.95" hidden="1" customHeight="1">
      <c r="A1643" s="141"/>
      <c r="B1643" s="141"/>
      <c r="C1643" s="143"/>
      <c r="D1643" s="141"/>
      <c r="E1643" s="143"/>
      <c r="F1643" s="150"/>
      <c r="G1643" s="150"/>
      <c r="H1643" s="145"/>
      <c r="I1643" s="145"/>
    </row>
    <row r="1644" spans="1:9" ht="24.95" hidden="1" customHeight="1">
      <c r="A1644" s="141"/>
      <c r="B1644" s="141"/>
      <c r="C1644" s="143"/>
      <c r="D1644" s="141"/>
      <c r="E1644" s="143"/>
      <c r="F1644" s="150"/>
      <c r="G1644" s="150"/>
      <c r="H1644" s="145"/>
      <c r="I1644" s="145"/>
    </row>
    <row r="1645" spans="1:9" ht="24.95" hidden="1" customHeight="1">
      <c r="A1645" s="141"/>
      <c r="B1645" s="141"/>
      <c r="C1645" s="143"/>
      <c r="D1645" s="141"/>
      <c r="E1645" s="143"/>
      <c r="F1645" s="150"/>
      <c r="G1645" s="150"/>
      <c r="H1645" s="145"/>
      <c r="I1645" s="145"/>
    </row>
    <row r="1646" spans="1:9" ht="24.95" hidden="1" customHeight="1">
      <c r="A1646" s="141"/>
      <c r="B1646" s="141"/>
      <c r="C1646" s="143"/>
      <c r="D1646" s="141"/>
      <c r="E1646" s="143"/>
      <c r="F1646" s="150"/>
      <c r="G1646" s="150"/>
      <c r="H1646" s="145"/>
      <c r="I1646" s="145"/>
    </row>
    <row r="1647" spans="1:9" ht="24.95" hidden="1" customHeight="1">
      <c r="A1647" s="141"/>
      <c r="B1647" s="141"/>
      <c r="C1647" s="143"/>
      <c r="D1647" s="141"/>
      <c r="E1647" s="143"/>
      <c r="F1647" s="150"/>
      <c r="G1647" s="150"/>
      <c r="H1647" s="145"/>
      <c r="I1647" s="145"/>
    </row>
    <row r="1648" spans="1:9" ht="24.95" hidden="1" customHeight="1">
      <c r="A1648" s="141"/>
      <c r="B1648" s="141"/>
      <c r="C1648" s="143"/>
      <c r="D1648" s="141"/>
      <c r="E1648" s="143"/>
      <c r="F1648" s="150"/>
      <c r="G1648" s="150"/>
      <c r="H1648" s="145"/>
      <c r="I1648" s="145"/>
    </row>
    <row r="1649" spans="1:9" ht="24.95" hidden="1" customHeight="1">
      <c r="A1649" s="141"/>
      <c r="B1649" s="141"/>
      <c r="C1649" s="143"/>
      <c r="D1649" s="141"/>
      <c r="E1649" s="143"/>
      <c r="F1649" s="150"/>
      <c r="G1649" s="150"/>
      <c r="H1649" s="145"/>
      <c r="I1649" s="145"/>
    </row>
    <row r="1650" spans="1:9" ht="24.95" hidden="1" customHeight="1">
      <c r="A1650" s="141"/>
      <c r="B1650" s="141"/>
      <c r="C1650" s="143"/>
      <c r="D1650" s="141"/>
      <c r="E1650" s="143"/>
      <c r="F1650" s="150"/>
      <c r="G1650" s="150"/>
      <c r="H1650" s="145"/>
      <c r="I1650" s="145"/>
    </row>
    <row r="1651" spans="1:9" ht="24.95" hidden="1" customHeight="1">
      <c r="A1651" s="141"/>
      <c r="B1651" s="141"/>
      <c r="C1651" s="143"/>
      <c r="D1651" s="141"/>
      <c r="E1651" s="143"/>
      <c r="F1651" s="150"/>
      <c r="G1651" s="150"/>
      <c r="H1651" s="145"/>
      <c r="I1651" s="145"/>
    </row>
    <row r="1652" spans="1:9" ht="24.95" hidden="1" customHeight="1">
      <c r="A1652" s="141"/>
      <c r="B1652" s="141"/>
      <c r="C1652" s="143"/>
      <c r="D1652" s="141"/>
      <c r="E1652" s="143"/>
      <c r="F1652" s="150"/>
      <c r="G1652" s="150"/>
      <c r="H1652" s="145"/>
      <c r="I1652" s="145"/>
    </row>
    <row r="1653" spans="1:9" ht="24.95" hidden="1" customHeight="1">
      <c r="A1653" s="141"/>
      <c r="B1653" s="141"/>
      <c r="C1653" s="143"/>
      <c r="D1653" s="141"/>
      <c r="E1653" s="143"/>
      <c r="F1653" s="150"/>
      <c r="G1653" s="150"/>
      <c r="H1653" s="145"/>
      <c r="I1653" s="145"/>
    </row>
    <row r="1654" spans="1:9" ht="24.95" hidden="1" customHeight="1">
      <c r="A1654" s="141"/>
      <c r="B1654" s="141"/>
      <c r="C1654" s="143"/>
      <c r="D1654" s="141"/>
      <c r="E1654" s="143"/>
      <c r="F1654" s="150"/>
      <c r="G1654" s="150"/>
      <c r="H1654" s="145"/>
      <c r="I1654" s="145"/>
    </row>
    <row r="1655" spans="1:9" ht="24.95" hidden="1" customHeight="1">
      <c r="A1655" s="141"/>
      <c r="B1655" s="141"/>
      <c r="C1655" s="143"/>
      <c r="D1655" s="141"/>
      <c r="E1655" s="143"/>
      <c r="F1655" s="150"/>
      <c r="G1655" s="150"/>
      <c r="H1655" s="145"/>
      <c r="I1655" s="145"/>
    </row>
    <row r="1656" spans="1:9" ht="24.95" hidden="1" customHeight="1">
      <c r="A1656" s="141"/>
      <c r="B1656" s="141"/>
      <c r="C1656" s="143"/>
      <c r="D1656" s="141"/>
      <c r="E1656" s="143"/>
      <c r="F1656" s="150"/>
      <c r="G1656" s="150"/>
      <c r="H1656" s="145"/>
      <c r="I1656" s="145"/>
    </row>
    <row r="1657" spans="1:9" ht="24.95" hidden="1" customHeight="1">
      <c r="A1657" s="141"/>
      <c r="B1657" s="141"/>
      <c r="C1657" s="143"/>
      <c r="D1657" s="141"/>
      <c r="E1657" s="143"/>
      <c r="F1657" s="150"/>
      <c r="G1657" s="150"/>
      <c r="H1657" s="145"/>
      <c r="I1657" s="145"/>
    </row>
    <row r="1658" spans="1:9" ht="24.95" hidden="1" customHeight="1">
      <c r="A1658" s="141"/>
      <c r="B1658" s="141"/>
      <c r="C1658" s="143"/>
      <c r="D1658" s="141"/>
      <c r="E1658" s="143"/>
      <c r="F1658" s="150"/>
      <c r="G1658" s="150"/>
      <c r="H1658" s="145"/>
      <c r="I1658" s="145"/>
    </row>
    <row r="1659" spans="1:9" ht="24.95" hidden="1" customHeight="1">
      <c r="A1659" s="141"/>
      <c r="B1659" s="141"/>
      <c r="C1659" s="143"/>
      <c r="D1659" s="141"/>
      <c r="E1659" s="143"/>
      <c r="F1659" s="150"/>
      <c r="G1659" s="150"/>
      <c r="H1659" s="145"/>
      <c r="I1659" s="145"/>
    </row>
    <row r="1660" spans="1:9" ht="24.95" hidden="1" customHeight="1">
      <c r="A1660" s="141"/>
      <c r="B1660" s="141"/>
      <c r="C1660" s="143"/>
      <c r="D1660" s="141"/>
      <c r="E1660" s="143"/>
      <c r="F1660" s="150"/>
      <c r="G1660" s="150"/>
      <c r="H1660" s="145"/>
      <c r="I1660" s="145"/>
    </row>
    <row r="1661" spans="1:9" ht="24.95" hidden="1" customHeight="1">
      <c r="A1661" s="141"/>
      <c r="B1661" s="141"/>
      <c r="C1661" s="143"/>
      <c r="D1661" s="141"/>
      <c r="E1661" s="143"/>
      <c r="F1661" s="150"/>
      <c r="G1661" s="150"/>
      <c r="H1661" s="145"/>
      <c r="I1661" s="145"/>
    </row>
    <row r="1662" spans="1:9" ht="24.95" hidden="1" customHeight="1">
      <c r="A1662" s="141"/>
      <c r="B1662" s="141"/>
      <c r="C1662" s="143"/>
      <c r="D1662" s="141"/>
      <c r="E1662" s="143"/>
      <c r="F1662" s="150"/>
      <c r="G1662" s="150"/>
      <c r="H1662" s="145"/>
      <c r="I1662" s="145"/>
    </row>
    <row r="1663" spans="1:9" ht="24.95" hidden="1" customHeight="1">
      <c r="A1663" s="141"/>
      <c r="B1663" s="141"/>
      <c r="C1663" s="143"/>
      <c r="D1663" s="141"/>
      <c r="E1663" s="143"/>
      <c r="F1663" s="150"/>
      <c r="G1663" s="150"/>
      <c r="H1663" s="145"/>
      <c r="I1663" s="145"/>
    </row>
    <row r="1664" spans="1:9" ht="24.95" hidden="1" customHeight="1">
      <c r="A1664" s="141"/>
      <c r="B1664" s="141"/>
      <c r="C1664" s="143"/>
      <c r="D1664" s="141"/>
      <c r="E1664" s="143"/>
      <c r="F1664" s="150"/>
      <c r="G1664" s="150"/>
      <c r="H1664" s="145"/>
      <c r="I1664" s="145"/>
    </row>
    <row r="1665" spans="1:9" ht="24.95" hidden="1" customHeight="1">
      <c r="A1665" s="141"/>
      <c r="B1665" s="141"/>
      <c r="C1665" s="143"/>
      <c r="D1665" s="141"/>
      <c r="E1665" s="143"/>
      <c r="F1665" s="150"/>
      <c r="G1665" s="150"/>
      <c r="H1665" s="145"/>
      <c r="I1665" s="145"/>
    </row>
    <row r="1666" spans="1:9" ht="24.95" hidden="1" customHeight="1">
      <c r="A1666" s="141"/>
      <c r="B1666" s="141"/>
      <c r="C1666" s="143"/>
      <c r="D1666" s="141"/>
      <c r="E1666" s="143"/>
      <c r="F1666" s="150"/>
      <c r="G1666" s="150"/>
      <c r="H1666" s="145"/>
      <c r="I1666" s="145"/>
    </row>
    <row r="1667" spans="1:9" ht="24.95" hidden="1" customHeight="1">
      <c r="A1667" s="141"/>
      <c r="B1667" s="141"/>
      <c r="C1667" s="143"/>
      <c r="D1667" s="141"/>
      <c r="E1667" s="143"/>
      <c r="F1667" s="150"/>
      <c r="G1667" s="150"/>
      <c r="H1667" s="145"/>
      <c r="I1667" s="145"/>
    </row>
    <row r="1668" spans="1:9" ht="24.95" hidden="1" customHeight="1">
      <c r="A1668" s="141"/>
      <c r="B1668" s="141"/>
      <c r="C1668" s="143"/>
      <c r="D1668" s="141"/>
      <c r="E1668" s="143"/>
      <c r="F1668" s="150"/>
      <c r="G1668" s="150"/>
      <c r="H1668" s="145"/>
      <c r="I1668" s="145"/>
    </row>
    <row r="1669" spans="1:9" ht="24.95" hidden="1" customHeight="1">
      <c r="A1669" s="141"/>
      <c r="B1669" s="141"/>
      <c r="C1669" s="143"/>
      <c r="D1669" s="141"/>
      <c r="E1669" s="143"/>
      <c r="F1669" s="150"/>
      <c r="G1669" s="150"/>
      <c r="H1669" s="145"/>
      <c r="I1669" s="145"/>
    </row>
    <row r="1670" spans="1:9" ht="24.95" hidden="1" customHeight="1">
      <c r="A1670" s="141"/>
      <c r="B1670" s="141"/>
      <c r="C1670" s="143"/>
      <c r="D1670" s="141"/>
      <c r="E1670" s="143"/>
      <c r="F1670" s="150"/>
      <c r="G1670" s="150"/>
      <c r="H1670" s="145"/>
      <c r="I1670" s="145"/>
    </row>
    <row r="1671" spans="1:9" ht="24.95" hidden="1" customHeight="1">
      <c r="A1671" s="141"/>
      <c r="B1671" s="141"/>
      <c r="C1671" s="143"/>
      <c r="D1671" s="141"/>
      <c r="E1671" s="143"/>
      <c r="F1671" s="150"/>
      <c r="G1671" s="150"/>
      <c r="H1671" s="145"/>
      <c r="I1671" s="145"/>
    </row>
    <row r="1672" spans="1:9" ht="24.95" hidden="1" customHeight="1">
      <c r="A1672" s="141"/>
      <c r="B1672" s="141"/>
      <c r="C1672" s="143"/>
      <c r="D1672" s="141"/>
      <c r="E1672" s="143"/>
      <c r="F1672" s="150"/>
      <c r="G1672" s="150"/>
      <c r="H1672" s="145"/>
      <c r="I1672" s="145"/>
    </row>
    <row r="1673" spans="1:9" ht="24.95" hidden="1" customHeight="1">
      <c r="A1673" s="141"/>
      <c r="B1673" s="141"/>
      <c r="C1673" s="143"/>
      <c r="D1673" s="141"/>
      <c r="E1673" s="143"/>
      <c r="F1673" s="150"/>
      <c r="G1673" s="150"/>
      <c r="H1673" s="145"/>
      <c r="I1673" s="145"/>
    </row>
    <row r="1674" spans="1:9" ht="24.95" hidden="1" customHeight="1">
      <c r="A1674" s="141"/>
      <c r="B1674" s="141"/>
      <c r="C1674" s="143"/>
      <c r="D1674" s="141"/>
      <c r="E1674" s="143"/>
      <c r="F1674" s="150"/>
      <c r="G1674" s="150"/>
      <c r="H1674" s="145"/>
      <c r="I1674" s="145"/>
    </row>
    <row r="1675" spans="1:9" ht="24.95" hidden="1" customHeight="1">
      <c r="A1675" s="141"/>
      <c r="B1675" s="141"/>
      <c r="C1675" s="143"/>
      <c r="D1675" s="141"/>
      <c r="E1675" s="143"/>
      <c r="F1675" s="150"/>
      <c r="G1675" s="150"/>
      <c r="H1675" s="145"/>
      <c r="I1675" s="145"/>
    </row>
    <row r="1676" spans="1:9" ht="24.95" hidden="1" customHeight="1">
      <c r="A1676" s="141"/>
      <c r="B1676" s="141"/>
      <c r="C1676" s="143"/>
      <c r="D1676" s="141"/>
      <c r="E1676" s="143"/>
      <c r="F1676" s="150"/>
      <c r="G1676" s="150"/>
      <c r="H1676" s="145"/>
      <c r="I1676" s="145"/>
    </row>
    <row r="1677" spans="1:9" ht="24.95" hidden="1" customHeight="1">
      <c r="A1677" s="141"/>
      <c r="B1677" s="141"/>
      <c r="C1677" s="143"/>
      <c r="D1677" s="141"/>
      <c r="E1677" s="143"/>
      <c r="F1677" s="150"/>
      <c r="G1677" s="150"/>
      <c r="H1677" s="145"/>
      <c r="I1677" s="145"/>
    </row>
    <row r="1678" spans="1:9" ht="24.95" hidden="1" customHeight="1">
      <c r="A1678" s="141"/>
      <c r="B1678" s="141"/>
      <c r="C1678" s="143"/>
      <c r="D1678" s="141"/>
      <c r="E1678" s="143"/>
      <c r="F1678" s="150"/>
      <c r="G1678" s="150"/>
      <c r="H1678" s="145"/>
      <c r="I1678" s="145"/>
    </row>
    <row r="1679" spans="1:9" ht="24.95" hidden="1" customHeight="1">
      <c r="A1679" s="141"/>
      <c r="B1679" s="141"/>
      <c r="C1679" s="143"/>
      <c r="D1679" s="141"/>
      <c r="E1679" s="143"/>
      <c r="F1679" s="150"/>
      <c r="G1679" s="150"/>
      <c r="H1679" s="145"/>
      <c r="I1679" s="145"/>
    </row>
    <row r="1680" spans="1:9" ht="24.95" hidden="1" customHeight="1">
      <c r="A1680" s="141"/>
      <c r="B1680" s="141"/>
      <c r="C1680" s="143"/>
      <c r="D1680" s="141"/>
      <c r="E1680" s="143"/>
      <c r="F1680" s="150"/>
      <c r="G1680" s="150"/>
      <c r="H1680" s="145"/>
      <c r="I1680" s="145"/>
    </row>
    <row r="1681" spans="1:9" ht="24.95" hidden="1" customHeight="1">
      <c r="A1681" s="141"/>
      <c r="B1681" s="141"/>
      <c r="C1681" s="143"/>
      <c r="D1681" s="141"/>
      <c r="E1681" s="143"/>
      <c r="F1681" s="150"/>
      <c r="G1681" s="150"/>
      <c r="H1681" s="145"/>
      <c r="I1681" s="145"/>
    </row>
    <row r="1682" spans="1:9" ht="24.95" hidden="1" customHeight="1">
      <c r="A1682" s="141"/>
      <c r="B1682" s="141"/>
      <c r="C1682" s="143"/>
      <c r="D1682" s="141"/>
      <c r="E1682" s="143"/>
      <c r="F1682" s="150"/>
      <c r="G1682" s="150"/>
      <c r="H1682" s="145"/>
      <c r="I1682" s="145"/>
    </row>
    <row r="1683" spans="1:9" ht="24.95" hidden="1" customHeight="1">
      <c r="A1683" s="141"/>
      <c r="B1683" s="141"/>
      <c r="C1683" s="143"/>
      <c r="D1683" s="141"/>
      <c r="E1683" s="143"/>
      <c r="F1683" s="150"/>
      <c r="G1683" s="150"/>
      <c r="H1683" s="145"/>
      <c r="I1683" s="145"/>
    </row>
    <row r="1684" spans="1:9" ht="24.95" hidden="1" customHeight="1">
      <c r="A1684" s="141"/>
      <c r="B1684" s="141"/>
      <c r="C1684" s="143"/>
      <c r="D1684" s="141"/>
      <c r="E1684" s="143"/>
      <c r="F1684" s="150"/>
      <c r="G1684" s="150"/>
      <c r="H1684" s="145"/>
      <c r="I1684" s="145"/>
    </row>
    <row r="1685" spans="1:9" ht="24.95" hidden="1" customHeight="1">
      <c r="A1685" s="141"/>
      <c r="B1685" s="141"/>
      <c r="C1685" s="143"/>
      <c r="D1685" s="141"/>
      <c r="E1685" s="143"/>
      <c r="F1685" s="150"/>
      <c r="G1685" s="150"/>
      <c r="H1685" s="145"/>
      <c r="I1685" s="145"/>
    </row>
    <row r="1686" spans="1:9" ht="24.95" hidden="1" customHeight="1">
      <c r="A1686" s="141"/>
      <c r="B1686" s="141"/>
      <c r="C1686" s="143"/>
      <c r="D1686" s="141"/>
      <c r="E1686" s="143"/>
      <c r="F1686" s="150"/>
      <c r="G1686" s="150"/>
      <c r="H1686" s="145"/>
      <c r="I1686" s="145"/>
    </row>
    <row r="1687" spans="1:9" ht="24.95" hidden="1" customHeight="1">
      <c r="A1687" s="141"/>
      <c r="B1687" s="141"/>
      <c r="C1687" s="143"/>
      <c r="D1687" s="141"/>
      <c r="E1687" s="143"/>
      <c r="F1687" s="150"/>
      <c r="G1687" s="150"/>
      <c r="H1687" s="145"/>
      <c r="I1687" s="145"/>
    </row>
    <row r="1688" spans="1:9" ht="24.95" hidden="1" customHeight="1">
      <c r="A1688" s="141"/>
      <c r="B1688" s="141"/>
      <c r="C1688" s="143"/>
      <c r="D1688" s="141"/>
      <c r="E1688" s="143"/>
      <c r="F1688" s="150"/>
      <c r="G1688" s="150"/>
      <c r="H1688" s="145"/>
      <c r="I1688" s="145"/>
    </row>
    <row r="1689" spans="1:9" ht="24.95" hidden="1" customHeight="1">
      <c r="A1689" s="141"/>
      <c r="B1689" s="141"/>
      <c r="C1689" s="143"/>
      <c r="D1689" s="141"/>
      <c r="E1689" s="143"/>
      <c r="F1689" s="150"/>
      <c r="G1689" s="150"/>
      <c r="H1689" s="145"/>
      <c r="I1689" s="145"/>
    </row>
    <row r="1690" spans="1:9" ht="24.95" hidden="1" customHeight="1">
      <c r="A1690" s="141"/>
      <c r="B1690" s="141"/>
      <c r="C1690" s="143"/>
      <c r="D1690" s="141"/>
      <c r="E1690" s="143"/>
      <c r="F1690" s="150"/>
      <c r="G1690" s="150"/>
      <c r="H1690" s="145"/>
      <c r="I1690" s="145"/>
    </row>
    <row r="1691" spans="1:9" ht="24.95" hidden="1" customHeight="1">
      <c r="A1691" s="141"/>
      <c r="B1691" s="141"/>
      <c r="C1691" s="143"/>
      <c r="D1691" s="141"/>
      <c r="E1691" s="143"/>
      <c r="F1691" s="150"/>
      <c r="G1691" s="150"/>
      <c r="H1691" s="145"/>
      <c r="I1691" s="145"/>
    </row>
    <row r="1692" spans="1:9" ht="24.95" hidden="1" customHeight="1">
      <c r="A1692" s="141"/>
      <c r="B1692" s="141"/>
      <c r="C1692" s="143"/>
      <c r="D1692" s="141"/>
      <c r="E1692" s="143"/>
      <c r="F1692" s="150"/>
      <c r="G1692" s="150"/>
      <c r="H1692" s="145"/>
      <c r="I1692" s="145"/>
    </row>
    <row r="1693" spans="1:9" ht="24.95" hidden="1" customHeight="1">
      <c r="A1693" s="141"/>
      <c r="B1693" s="141"/>
      <c r="C1693" s="143"/>
      <c r="D1693" s="141"/>
      <c r="E1693" s="143"/>
      <c r="F1693" s="150"/>
      <c r="G1693" s="150"/>
      <c r="H1693" s="145"/>
      <c r="I1693" s="145"/>
    </row>
    <row r="1694" spans="1:9" ht="24.95" hidden="1" customHeight="1">
      <c r="A1694" s="141"/>
      <c r="B1694" s="141"/>
      <c r="C1694" s="143"/>
      <c r="D1694" s="141"/>
      <c r="E1694" s="143"/>
      <c r="F1694" s="150"/>
      <c r="G1694" s="150"/>
      <c r="H1694" s="145"/>
      <c r="I1694" s="145"/>
    </row>
    <row r="1695" spans="1:9" ht="24.95" hidden="1" customHeight="1">
      <c r="A1695" s="141"/>
      <c r="B1695" s="141"/>
      <c r="C1695" s="143"/>
      <c r="D1695" s="141"/>
      <c r="E1695" s="143"/>
      <c r="F1695" s="150"/>
      <c r="G1695" s="150"/>
      <c r="H1695" s="145"/>
      <c r="I1695" s="145"/>
    </row>
    <row r="1696" spans="1:9" ht="24.95" hidden="1" customHeight="1">
      <c r="A1696" s="141"/>
      <c r="B1696" s="141"/>
      <c r="C1696" s="143"/>
      <c r="D1696" s="141"/>
      <c r="E1696" s="143"/>
      <c r="F1696" s="150"/>
      <c r="G1696" s="150"/>
      <c r="H1696" s="145"/>
      <c r="I1696" s="145"/>
    </row>
    <row r="1697" spans="1:9" ht="24.95" hidden="1" customHeight="1">
      <c r="A1697" s="141"/>
      <c r="B1697" s="141"/>
      <c r="C1697" s="143"/>
      <c r="D1697" s="141"/>
      <c r="E1697" s="143"/>
      <c r="F1697" s="150"/>
      <c r="G1697" s="150"/>
      <c r="H1697" s="145"/>
      <c r="I1697" s="145"/>
    </row>
    <row r="1698" spans="1:9" ht="24.95" hidden="1" customHeight="1">
      <c r="A1698" s="141"/>
      <c r="B1698" s="141"/>
      <c r="C1698" s="143"/>
      <c r="D1698" s="141"/>
      <c r="E1698" s="143"/>
      <c r="F1698" s="150"/>
      <c r="G1698" s="150"/>
      <c r="H1698" s="145"/>
      <c r="I1698" s="145"/>
    </row>
    <row r="1699" spans="1:9" ht="24.95" hidden="1" customHeight="1">
      <c r="A1699" s="141"/>
      <c r="B1699" s="141"/>
      <c r="C1699" s="143"/>
      <c r="D1699" s="141"/>
      <c r="E1699" s="143"/>
      <c r="F1699" s="150"/>
      <c r="G1699" s="150"/>
      <c r="H1699" s="145"/>
      <c r="I1699" s="145"/>
    </row>
    <row r="1700" spans="1:9" ht="24.95" hidden="1" customHeight="1">
      <c r="A1700" s="141"/>
      <c r="B1700" s="141"/>
      <c r="C1700" s="143"/>
      <c r="D1700" s="141"/>
      <c r="E1700" s="143"/>
      <c r="F1700" s="150"/>
      <c r="G1700" s="150"/>
      <c r="H1700" s="145"/>
      <c r="I1700" s="145"/>
    </row>
    <row r="1701" spans="1:9" ht="24.95" hidden="1" customHeight="1">
      <c r="A1701" s="141"/>
      <c r="B1701" s="141"/>
      <c r="C1701" s="143"/>
      <c r="D1701" s="141"/>
      <c r="E1701" s="143"/>
      <c r="F1701" s="150"/>
      <c r="G1701" s="150"/>
      <c r="H1701" s="145"/>
      <c r="I1701" s="145"/>
    </row>
    <row r="1702" spans="1:9" ht="24.95" hidden="1" customHeight="1">
      <c r="A1702" s="141"/>
      <c r="B1702" s="141"/>
      <c r="C1702" s="143"/>
      <c r="D1702" s="141"/>
      <c r="E1702" s="143"/>
      <c r="F1702" s="150"/>
      <c r="G1702" s="150"/>
      <c r="H1702" s="145"/>
      <c r="I1702" s="145"/>
    </row>
    <row r="1703" spans="1:9" ht="24.95" hidden="1" customHeight="1">
      <c r="A1703" s="141"/>
      <c r="B1703" s="141"/>
      <c r="C1703" s="143"/>
      <c r="D1703" s="141"/>
      <c r="E1703" s="143"/>
      <c r="F1703" s="150"/>
      <c r="G1703" s="150"/>
      <c r="H1703" s="145"/>
      <c r="I1703" s="145"/>
    </row>
    <row r="1704" spans="1:9" ht="24.95" hidden="1" customHeight="1">
      <c r="A1704" s="141"/>
      <c r="B1704" s="141"/>
      <c r="C1704" s="143"/>
      <c r="D1704" s="141"/>
      <c r="E1704" s="143"/>
      <c r="F1704" s="150"/>
      <c r="G1704" s="150"/>
      <c r="H1704" s="145"/>
      <c r="I1704" s="145"/>
    </row>
    <row r="1705" spans="1:9" ht="24.95" hidden="1" customHeight="1">
      <c r="A1705" s="141"/>
      <c r="B1705" s="141"/>
      <c r="C1705" s="143"/>
      <c r="D1705" s="141"/>
      <c r="E1705" s="143"/>
      <c r="F1705" s="150"/>
      <c r="G1705" s="150"/>
      <c r="H1705" s="145"/>
      <c r="I1705" s="145"/>
    </row>
    <row r="1706" spans="1:9" ht="24.95" hidden="1" customHeight="1">
      <c r="A1706" s="141"/>
      <c r="B1706" s="141"/>
      <c r="C1706" s="143"/>
      <c r="D1706" s="141"/>
      <c r="E1706" s="143"/>
      <c r="F1706" s="150"/>
      <c r="G1706" s="150"/>
      <c r="H1706" s="145"/>
      <c r="I1706" s="145"/>
    </row>
    <row r="1707" spans="1:9" ht="24.95" hidden="1" customHeight="1">
      <c r="A1707" s="141"/>
      <c r="B1707" s="141"/>
      <c r="C1707" s="143"/>
      <c r="D1707" s="141"/>
      <c r="E1707" s="143"/>
      <c r="F1707" s="150"/>
      <c r="G1707" s="150"/>
      <c r="H1707" s="145"/>
      <c r="I1707" s="145"/>
    </row>
    <row r="1708" spans="1:9" ht="24.95" hidden="1" customHeight="1">
      <c r="A1708" s="141"/>
      <c r="B1708" s="141"/>
      <c r="C1708" s="143"/>
      <c r="D1708" s="141"/>
      <c r="E1708" s="143"/>
      <c r="F1708" s="150"/>
      <c r="G1708" s="150"/>
      <c r="H1708" s="145"/>
      <c r="I1708" s="145"/>
    </row>
    <row r="1709" spans="1:9" ht="24.95" hidden="1" customHeight="1">
      <c r="A1709" s="141"/>
      <c r="B1709" s="141"/>
      <c r="C1709" s="143"/>
      <c r="D1709" s="141"/>
      <c r="E1709" s="143"/>
      <c r="F1709" s="150"/>
      <c r="G1709" s="150"/>
      <c r="H1709" s="145"/>
      <c r="I1709" s="145"/>
    </row>
    <row r="1710" spans="1:9" ht="24.95" hidden="1" customHeight="1">
      <c r="A1710" s="141"/>
      <c r="B1710" s="141"/>
      <c r="C1710" s="143"/>
      <c r="D1710" s="141"/>
      <c r="E1710" s="143"/>
      <c r="F1710" s="150"/>
      <c r="G1710" s="150"/>
      <c r="H1710" s="145"/>
      <c r="I1710" s="145"/>
    </row>
    <row r="1711" spans="1:9" ht="24.95" hidden="1" customHeight="1">
      <c r="A1711" s="141"/>
      <c r="B1711" s="141"/>
      <c r="C1711" s="143"/>
      <c r="D1711" s="141"/>
      <c r="E1711" s="143"/>
      <c r="F1711" s="150"/>
      <c r="G1711" s="150"/>
      <c r="H1711" s="145"/>
      <c r="I1711" s="145"/>
    </row>
    <row r="1712" spans="1:9" ht="24.95" hidden="1" customHeight="1">
      <c r="A1712" s="141"/>
      <c r="B1712" s="141"/>
      <c r="C1712" s="143"/>
      <c r="D1712" s="141"/>
      <c r="E1712" s="143"/>
      <c r="F1712" s="150"/>
      <c r="G1712" s="150"/>
      <c r="H1712" s="145"/>
      <c r="I1712" s="145"/>
    </row>
    <row r="1713" spans="1:9" ht="24.95" hidden="1" customHeight="1">
      <c r="A1713" s="141"/>
      <c r="B1713" s="141"/>
      <c r="C1713" s="143"/>
      <c r="D1713" s="141"/>
      <c r="E1713" s="143"/>
      <c r="F1713" s="150"/>
      <c r="G1713" s="150"/>
      <c r="H1713" s="145"/>
      <c r="I1713" s="145"/>
    </row>
    <row r="1714" spans="1:9" ht="24.95" hidden="1" customHeight="1">
      <c r="A1714" s="141"/>
      <c r="B1714" s="141"/>
      <c r="C1714" s="143"/>
      <c r="D1714" s="141"/>
      <c r="E1714" s="143"/>
      <c r="F1714" s="150"/>
      <c r="G1714" s="150"/>
      <c r="H1714" s="145"/>
      <c r="I1714" s="145"/>
    </row>
    <row r="1715" spans="1:9" ht="24.95" hidden="1" customHeight="1">
      <c r="A1715" s="141"/>
      <c r="B1715" s="141"/>
      <c r="C1715" s="143"/>
      <c r="D1715" s="141"/>
      <c r="E1715" s="143"/>
      <c r="F1715" s="150"/>
      <c r="G1715" s="150"/>
      <c r="H1715" s="145"/>
      <c r="I1715" s="145"/>
    </row>
    <row r="1716" spans="1:9" ht="24.95" hidden="1" customHeight="1">
      <c r="A1716" s="141"/>
      <c r="B1716" s="141"/>
      <c r="C1716" s="143"/>
      <c r="D1716" s="141"/>
      <c r="E1716" s="143"/>
      <c r="F1716" s="150"/>
      <c r="G1716" s="150"/>
      <c r="H1716" s="145"/>
      <c r="I1716" s="145"/>
    </row>
    <row r="1717" spans="1:9" ht="24.95" hidden="1" customHeight="1">
      <c r="A1717" s="141"/>
      <c r="B1717" s="141"/>
      <c r="C1717" s="143"/>
      <c r="D1717" s="141"/>
      <c r="E1717" s="143"/>
      <c r="F1717" s="150"/>
      <c r="G1717" s="150"/>
      <c r="H1717" s="145"/>
      <c r="I1717" s="145"/>
    </row>
    <row r="1718" spans="1:9" ht="24.95" hidden="1" customHeight="1">
      <c r="A1718" s="141"/>
      <c r="B1718" s="141"/>
      <c r="C1718" s="143"/>
      <c r="D1718" s="141"/>
      <c r="E1718" s="143"/>
      <c r="F1718" s="150"/>
      <c r="G1718" s="150"/>
      <c r="H1718" s="145"/>
      <c r="I1718" s="145"/>
    </row>
    <row r="1719" spans="1:9" ht="24.95" hidden="1" customHeight="1">
      <c r="A1719" s="141"/>
      <c r="B1719" s="141"/>
      <c r="C1719" s="143"/>
      <c r="D1719" s="141"/>
      <c r="E1719" s="143"/>
      <c r="F1719" s="150"/>
      <c r="G1719" s="150"/>
      <c r="H1719" s="145"/>
      <c r="I1719" s="145"/>
    </row>
    <row r="1720" spans="1:9" ht="24.95" hidden="1" customHeight="1">
      <c r="A1720" s="141"/>
      <c r="B1720" s="141"/>
      <c r="C1720" s="143"/>
      <c r="D1720" s="141"/>
      <c r="E1720" s="143"/>
      <c r="F1720" s="150"/>
      <c r="G1720" s="150"/>
      <c r="H1720" s="145"/>
      <c r="I1720" s="145"/>
    </row>
    <row r="1721" spans="1:9" ht="24.95" hidden="1" customHeight="1">
      <c r="A1721" s="141"/>
      <c r="B1721" s="141"/>
      <c r="C1721" s="143"/>
      <c r="D1721" s="141"/>
      <c r="E1721" s="143"/>
      <c r="F1721" s="150"/>
      <c r="G1721" s="150"/>
      <c r="H1721" s="145"/>
      <c r="I1721" s="145"/>
    </row>
    <row r="1722" spans="1:9" ht="24.95" hidden="1" customHeight="1">
      <c r="A1722" s="141"/>
      <c r="B1722" s="141"/>
      <c r="C1722" s="143"/>
      <c r="D1722" s="141"/>
      <c r="E1722" s="143"/>
      <c r="F1722" s="150"/>
      <c r="G1722" s="150"/>
      <c r="H1722" s="145"/>
      <c r="I1722" s="145"/>
    </row>
    <row r="1723" spans="1:9" ht="24.95" hidden="1" customHeight="1">
      <c r="A1723" s="141"/>
      <c r="B1723" s="141"/>
      <c r="C1723" s="143"/>
      <c r="D1723" s="141"/>
      <c r="E1723" s="143"/>
      <c r="F1723" s="150"/>
      <c r="G1723" s="150"/>
      <c r="H1723" s="145"/>
      <c r="I1723" s="145"/>
    </row>
    <row r="1724" spans="1:9" ht="24.95" hidden="1" customHeight="1">
      <c r="A1724" s="141"/>
      <c r="B1724" s="141"/>
      <c r="C1724" s="143"/>
      <c r="D1724" s="141"/>
      <c r="E1724" s="143"/>
      <c r="F1724" s="150"/>
      <c r="G1724" s="150"/>
      <c r="H1724" s="145"/>
      <c r="I1724" s="145"/>
    </row>
    <row r="1725" spans="1:9" ht="24.95" hidden="1" customHeight="1">
      <c r="A1725" s="141"/>
      <c r="B1725" s="141"/>
      <c r="C1725" s="143"/>
      <c r="D1725" s="141"/>
      <c r="E1725" s="143"/>
      <c r="F1725" s="150"/>
      <c r="G1725" s="150"/>
      <c r="H1725" s="145"/>
      <c r="I1725" s="145"/>
    </row>
    <row r="1726" spans="1:9" ht="24.95" hidden="1" customHeight="1">
      <c r="A1726" s="141"/>
      <c r="B1726" s="141"/>
      <c r="C1726" s="143"/>
      <c r="D1726" s="141"/>
      <c r="E1726" s="143"/>
      <c r="F1726" s="150"/>
      <c r="G1726" s="150"/>
      <c r="H1726" s="145"/>
      <c r="I1726" s="145"/>
    </row>
    <row r="1727" spans="1:9" ht="24.95" hidden="1" customHeight="1">
      <c r="A1727" s="141"/>
      <c r="B1727" s="141"/>
      <c r="C1727" s="143"/>
      <c r="D1727" s="141"/>
      <c r="E1727" s="143"/>
      <c r="F1727" s="150"/>
      <c r="G1727" s="150"/>
      <c r="H1727" s="145"/>
      <c r="I1727" s="145"/>
    </row>
    <row r="1728" spans="1:9" ht="24.95" hidden="1" customHeight="1">
      <c r="A1728" s="141"/>
      <c r="B1728" s="141"/>
      <c r="C1728" s="143"/>
      <c r="D1728" s="141"/>
      <c r="E1728" s="143"/>
      <c r="F1728" s="150"/>
      <c r="G1728" s="150"/>
      <c r="H1728" s="145"/>
      <c r="I1728" s="145"/>
    </row>
    <row r="1729" spans="1:9" ht="24.95" hidden="1" customHeight="1">
      <c r="A1729" s="141"/>
      <c r="B1729" s="141"/>
      <c r="C1729" s="143"/>
      <c r="D1729" s="141"/>
      <c r="E1729" s="143"/>
      <c r="F1729" s="150"/>
      <c r="G1729" s="150"/>
      <c r="H1729" s="145"/>
      <c r="I1729" s="145"/>
    </row>
    <row r="1730" spans="1:9" ht="24.95" hidden="1" customHeight="1">
      <c r="A1730" s="141"/>
      <c r="B1730" s="141"/>
      <c r="C1730" s="143"/>
      <c r="D1730" s="141"/>
      <c r="E1730" s="143"/>
      <c r="F1730" s="150"/>
      <c r="G1730" s="150"/>
      <c r="H1730" s="145"/>
      <c r="I1730" s="145"/>
    </row>
    <row r="1731" spans="1:9" ht="24.95" hidden="1" customHeight="1">
      <c r="A1731" s="141"/>
      <c r="B1731" s="141"/>
      <c r="C1731" s="143"/>
      <c r="D1731" s="141"/>
      <c r="E1731" s="143"/>
      <c r="F1731" s="150"/>
      <c r="G1731" s="150"/>
      <c r="H1731" s="145"/>
      <c r="I1731" s="145"/>
    </row>
    <row r="1732" spans="1:9" ht="24.95" hidden="1" customHeight="1">
      <c r="A1732" s="141"/>
      <c r="B1732" s="141"/>
      <c r="C1732" s="143"/>
      <c r="D1732" s="141"/>
      <c r="E1732" s="143"/>
      <c r="F1732" s="150"/>
      <c r="G1732" s="150"/>
      <c r="H1732" s="145"/>
      <c r="I1732" s="145"/>
    </row>
    <row r="1733" spans="1:9" ht="24.95" hidden="1" customHeight="1">
      <c r="A1733" s="141"/>
      <c r="B1733" s="141"/>
      <c r="C1733" s="143"/>
      <c r="D1733" s="141"/>
      <c r="E1733" s="143"/>
      <c r="F1733" s="150"/>
      <c r="G1733" s="150"/>
      <c r="H1733" s="145"/>
      <c r="I1733" s="145"/>
    </row>
    <row r="1734" spans="1:9" ht="24.95" hidden="1" customHeight="1">
      <c r="A1734" s="141"/>
      <c r="B1734" s="141"/>
      <c r="C1734" s="143"/>
      <c r="D1734" s="141"/>
      <c r="E1734" s="143"/>
      <c r="F1734" s="150"/>
      <c r="G1734" s="150"/>
      <c r="H1734" s="145"/>
      <c r="I1734" s="145"/>
    </row>
    <row r="1735" spans="1:9" ht="24.95" hidden="1" customHeight="1">
      <c r="A1735" s="141"/>
      <c r="B1735" s="141"/>
      <c r="C1735" s="143"/>
      <c r="D1735" s="141"/>
      <c r="E1735" s="143"/>
      <c r="F1735" s="150"/>
      <c r="G1735" s="150"/>
      <c r="H1735" s="145"/>
      <c r="I1735" s="145"/>
    </row>
    <row r="1736" spans="1:9" ht="24.95" hidden="1" customHeight="1">
      <c r="A1736" s="141"/>
      <c r="B1736" s="141"/>
      <c r="C1736" s="143"/>
      <c r="D1736" s="141"/>
      <c r="E1736" s="143"/>
      <c r="F1736" s="150"/>
      <c r="G1736" s="150"/>
      <c r="H1736" s="145"/>
      <c r="I1736" s="145"/>
    </row>
    <row r="1737" spans="1:9" ht="24.95" hidden="1" customHeight="1">
      <c r="A1737" s="141"/>
      <c r="B1737" s="141"/>
      <c r="C1737" s="143"/>
      <c r="D1737" s="141"/>
      <c r="E1737" s="143"/>
      <c r="F1737" s="150"/>
      <c r="G1737" s="150"/>
      <c r="H1737" s="145"/>
      <c r="I1737" s="145"/>
    </row>
    <row r="1738" spans="1:9" ht="24.95" hidden="1" customHeight="1">
      <c r="A1738" s="141"/>
      <c r="B1738" s="141"/>
      <c r="C1738" s="143"/>
      <c r="D1738" s="141"/>
      <c r="E1738" s="143"/>
      <c r="F1738" s="150"/>
      <c r="G1738" s="150"/>
      <c r="H1738" s="145"/>
      <c r="I1738" s="145"/>
    </row>
    <row r="1739" spans="1:9" ht="24.95" hidden="1" customHeight="1">
      <c r="A1739" s="141"/>
      <c r="B1739" s="141"/>
      <c r="C1739" s="143"/>
      <c r="D1739" s="141"/>
      <c r="E1739" s="143"/>
      <c r="F1739" s="150"/>
      <c r="G1739" s="150"/>
      <c r="H1739" s="145"/>
      <c r="I1739" s="145"/>
    </row>
    <row r="1740" spans="1:9" ht="24.95" hidden="1" customHeight="1">
      <c r="A1740" s="141"/>
      <c r="B1740" s="141"/>
      <c r="C1740" s="143"/>
      <c r="D1740" s="141"/>
      <c r="E1740" s="143"/>
      <c r="F1740" s="150"/>
      <c r="G1740" s="150"/>
      <c r="H1740" s="145"/>
      <c r="I1740" s="145"/>
    </row>
    <row r="1741" spans="1:9" ht="24.95" hidden="1" customHeight="1">
      <c r="A1741" s="141"/>
      <c r="B1741" s="141"/>
      <c r="C1741" s="143"/>
      <c r="D1741" s="141"/>
      <c r="E1741" s="143"/>
      <c r="F1741" s="150"/>
      <c r="G1741" s="150"/>
      <c r="H1741" s="145"/>
      <c r="I1741" s="145"/>
    </row>
    <row r="1742" spans="1:9" ht="24.95" hidden="1" customHeight="1">
      <c r="A1742" s="141"/>
      <c r="B1742" s="141"/>
      <c r="C1742" s="143"/>
      <c r="D1742" s="141"/>
      <c r="E1742" s="143"/>
      <c r="F1742" s="150"/>
      <c r="G1742" s="150"/>
      <c r="H1742" s="145"/>
      <c r="I1742" s="145"/>
    </row>
    <row r="1743" spans="1:9" ht="24.95" hidden="1" customHeight="1">
      <c r="A1743" s="141"/>
      <c r="B1743" s="141"/>
      <c r="C1743" s="143"/>
      <c r="D1743" s="141"/>
      <c r="E1743" s="143"/>
      <c r="F1743" s="150"/>
      <c r="G1743" s="150"/>
      <c r="H1743" s="145"/>
      <c r="I1743" s="145"/>
    </row>
    <row r="1744" spans="1:9" ht="24.95" hidden="1" customHeight="1">
      <c r="A1744" s="141"/>
      <c r="B1744" s="141"/>
      <c r="C1744" s="143"/>
      <c r="D1744" s="141"/>
      <c r="E1744" s="143"/>
      <c r="F1744" s="150"/>
      <c r="G1744" s="150"/>
      <c r="H1744" s="145"/>
      <c r="I1744" s="145"/>
    </row>
    <row r="1745" spans="1:9" ht="24.95" hidden="1" customHeight="1">
      <c r="A1745" s="141"/>
      <c r="B1745" s="141"/>
      <c r="C1745" s="143"/>
      <c r="D1745" s="141"/>
      <c r="E1745" s="143"/>
      <c r="F1745" s="150"/>
      <c r="G1745" s="150"/>
      <c r="H1745" s="145"/>
      <c r="I1745" s="145"/>
    </row>
    <row r="1746" spans="1:9" ht="24.95" hidden="1" customHeight="1">
      <c r="A1746" s="141"/>
      <c r="B1746" s="141"/>
      <c r="C1746" s="143"/>
      <c r="D1746" s="141"/>
      <c r="E1746" s="143"/>
      <c r="F1746" s="150"/>
      <c r="G1746" s="150"/>
      <c r="H1746" s="145"/>
      <c r="I1746" s="145"/>
    </row>
    <row r="1747" spans="1:9" ht="24.95" hidden="1" customHeight="1">
      <c r="A1747" s="141"/>
      <c r="B1747" s="141"/>
      <c r="C1747" s="143"/>
      <c r="D1747" s="141"/>
      <c r="E1747" s="143"/>
      <c r="F1747" s="150"/>
      <c r="G1747" s="150"/>
      <c r="H1747" s="145"/>
      <c r="I1747" s="145"/>
    </row>
    <row r="1748" spans="1:9" ht="24.95" hidden="1" customHeight="1">
      <c r="A1748" s="141"/>
      <c r="B1748" s="141"/>
      <c r="C1748" s="143"/>
      <c r="D1748" s="141"/>
      <c r="E1748" s="143"/>
      <c r="F1748" s="150"/>
      <c r="G1748" s="150"/>
      <c r="H1748" s="145"/>
      <c r="I1748" s="145"/>
    </row>
    <row r="1749" spans="1:9" ht="24.95" hidden="1" customHeight="1">
      <c r="A1749" s="141"/>
      <c r="B1749" s="141"/>
      <c r="C1749" s="143"/>
      <c r="D1749" s="141"/>
      <c r="E1749" s="143"/>
      <c r="F1749" s="150"/>
      <c r="G1749" s="150"/>
      <c r="H1749" s="145"/>
      <c r="I1749" s="145"/>
    </row>
    <row r="1750" spans="1:9" ht="24.95" hidden="1" customHeight="1">
      <c r="A1750" s="141"/>
      <c r="B1750" s="141"/>
      <c r="C1750" s="143"/>
      <c r="D1750" s="141"/>
      <c r="E1750" s="143"/>
      <c r="F1750" s="150"/>
      <c r="G1750" s="150"/>
      <c r="H1750" s="145"/>
      <c r="I1750" s="145"/>
    </row>
    <row r="1751" spans="1:9" ht="24.95" hidden="1" customHeight="1">
      <c r="A1751" s="141"/>
      <c r="B1751" s="141"/>
      <c r="C1751" s="143"/>
      <c r="D1751" s="141"/>
      <c r="E1751" s="143"/>
      <c r="F1751" s="150"/>
      <c r="G1751" s="150"/>
      <c r="H1751" s="145"/>
      <c r="I1751" s="145"/>
    </row>
    <row r="1752" spans="1:9" ht="24.95" hidden="1" customHeight="1">
      <c r="A1752" s="141"/>
      <c r="B1752" s="141"/>
      <c r="C1752" s="143"/>
      <c r="D1752" s="141"/>
      <c r="E1752" s="143"/>
      <c r="F1752" s="150"/>
      <c r="G1752" s="150"/>
      <c r="H1752" s="145"/>
      <c r="I1752" s="145"/>
    </row>
    <row r="1753" spans="1:9" ht="24.95" hidden="1" customHeight="1">
      <c r="A1753" s="141"/>
      <c r="B1753" s="141"/>
      <c r="C1753" s="143"/>
      <c r="D1753" s="141"/>
      <c r="E1753" s="143"/>
      <c r="F1753" s="150"/>
      <c r="G1753" s="150"/>
      <c r="H1753" s="145"/>
      <c r="I1753" s="145"/>
    </row>
    <row r="1754" spans="1:9" ht="24.95" hidden="1" customHeight="1">
      <c r="A1754" s="141"/>
      <c r="B1754" s="141"/>
      <c r="C1754" s="143"/>
      <c r="D1754" s="141"/>
      <c r="E1754" s="143"/>
      <c r="F1754" s="150"/>
      <c r="G1754" s="150"/>
      <c r="H1754" s="145"/>
      <c r="I1754" s="145"/>
    </row>
    <row r="1755" spans="1:9" ht="24.95" hidden="1" customHeight="1">
      <c r="A1755" s="141"/>
      <c r="B1755" s="141"/>
      <c r="C1755" s="143"/>
      <c r="D1755" s="141"/>
      <c r="E1755" s="143"/>
      <c r="F1755" s="150"/>
      <c r="G1755" s="150"/>
      <c r="H1755" s="145"/>
      <c r="I1755" s="145"/>
    </row>
    <row r="1756" spans="1:9" ht="24.95" hidden="1" customHeight="1">
      <c r="A1756" s="141"/>
      <c r="B1756" s="141"/>
      <c r="C1756" s="143"/>
      <c r="D1756" s="141"/>
      <c r="E1756" s="143"/>
      <c r="F1756" s="150"/>
      <c r="G1756" s="150"/>
      <c r="H1756" s="145"/>
      <c r="I1756" s="145"/>
    </row>
    <row r="1757" spans="1:9" ht="24.95" hidden="1" customHeight="1">
      <c r="A1757" s="141"/>
      <c r="B1757" s="141"/>
      <c r="C1757" s="143"/>
      <c r="D1757" s="141"/>
      <c r="E1757" s="143"/>
      <c r="F1757" s="150"/>
      <c r="G1757" s="150"/>
      <c r="H1757" s="145"/>
      <c r="I1757" s="145"/>
    </row>
    <row r="1758" spans="1:9" ht="24.95" hidden="1" customHeight="1">
      <c r="A1758" s="141"/>
      <c r="B1758" s="141"/>
      <c r="C1758" s="143"/>
      <c r="D1758" s="141"/>
      <c r="E1758" s="143"/>
      <c r="F1758" s="150"/>
      <c r="G1758" s="150"/>
      <c r="H1758" s="145"/>
      <c r="I1758" s="145"/>
    </row>
    <row r="1759" spans="1:9" ht="24.95" hidden="1" customHeight="1">
      <c r="A1759" s="141"/>
      <c r="B1759" s="141"/>
      <c r="C1759" s="143"/>
      <c r="D1759" s="141"/>
      <c r="E1759" s="143"/>
      <c r="F1759" s="150"/>
      <c r="G1759" s="150"/>
      <c r="H1759" s="145"/>
      <c r="I1759" s="145"/>
    </row>
    <row r="1760" spans="1:9" ht="24.95" hidden="1" customHeight="1">
      <c r="A1760" s="141"/>
      <c r="B1760" s="141"/>
      <c r="C1760" s="143"/>
      <c r="D1760" s="141"/>
      <c r="E1760" s="143"/>
      <c r="F1760" s="150"/>
      <c r="G1760" s="150"/>
      <c r="H1760" s="145"/>
      <c r="I1760" s="145"/>
    </row>
    <row r="1761" spans="1:9" ht="24.95" hidden="1" customHeight="1">
      <c r="A1761" s="141"/>
      <c r="B1761" s="141"/>
      <c r="C1761" s="143"/>
      <c r="D1761" s="141"/>
      <c r="E1761" s="143"/>
      <c r="F1761" s="150"/>
      <c r="G1761" s="150"/>
      <c r="H1761" s="145"/>
      <c r="I1761" s="145"/>
    </row>
    <row r="1762" spans="1:9" ht="24.95" hidden="1" customHeight="1">
      <c r="A1762" s="141"/>
      <c r="B1762" s="141"/>
      <c r="C1762" s="143"/>
      <c r="D1762" s="141"/>
      <c r="E1762" s="143"/>
      <c r="F1762" s="150"/>
      <c r="G1762" s="150"/>
      <c r="H1762" s="145"/>
      <c r="I1762" s="145"/>
    </row>
    <row r="1763" spans="1:9" ht="24.95" hidden="1" customHeight="1">
      <c r="A1763" s="141"/>
      <c r="B1763" s="141"/>
      <c r="C1763" s="143"/>
      <c r="D1763" s="141"/>
      <c r="E1763" s="143"/>
      <c r="F1763" s="150"/>
      <c r="G1763" s="150"/>
      <c r="H1763" s="145"/>
      <c r="I1763" s="145"/>
    </row>
    <row r="1764" spans="1:9" ht="24.95" hidden="1" customHeight="1">
      <c r="A1764" s="141"/>
      <c r="B1764" s="141"/>
      <c r="C1764" s="143"/>
      <c r="D1764" s="141"/>
      <c r="E1764" s="143"/>
      <c r="F1764" s="150"/>
      <c r="G1764" s="150"/>
      <c r="H1764" s="145"/>
      <c r="I1764" s="145"/>
    </row>
    <row r="1765" spans="1:9" ht="24.95" hidden="1" customHeight="1">
      <c r="A1765" s="141"/>
      <c r="B1765" s="141"/>
      <c r="C1765" s="143"/>
      <c r="D1765" s="141"/>
      <c r="E1765" s="143"/>
      <c r="F1765" s="150"/>
      <c r="G1765" s="150"/>
      <c r="H1765" s="145"/>
      <c r="I1765" s="145"/>
    </row>
    <row r="1766" spans="1:9" ht="24.95" hidden="1" customHeight="1">
      <c r="A1766" s="141"/>
      <c r="B1766" s="141"/>
      <c r="C1766" s="143"/>
      <c r="D1766" s="141"/>
      <c r="E1766" s="143"/>
      <c r="F1766" s="150"/>
      <c r="G1766" s="150"/>
      <c r="H1766" s="145"/>
      <c r="I1766" s="145"/>
    </row>
    <row r="1767" spans="1:9" ht="24.95" hidden="1" customHeight="1">
      <c r="A1767" s="141"/>
      <c r="B1767" s="141"/>
      <c r="C1767" s="143"/>
      <c r="D1767" s="141"/>
      <c r="E1767" s="143"/>
      <c r="F1767" s="150"/>
      <c r="G1767" s="150"/>
      <c r="H1767" s="145"/>
      <c r="I1767" s="145"/>
    </row>
    <row r="1768" spans="1:9" ht="24.95" hidden="1" customHeight="1">
      <c r="A1768" s="141"/>
      <c r="B1768" s="141"/>
      <c r="C1768" s="143"/>
      <c r="D1768" s="141"/>
      <c r="E1768" s="143"/>
      <c r="F1768" s="150"/>
      <c r="G1768" s="150"/>
      <c r="H1768" s="145"/>
      <c r="I1768" s="145"/>
    </row>
    <row r="1769" spans="1:9" ht="24.95" hidden="1" customHeight="1">
      <c r="A1769" s="141"/>
      <c r="B1769" s="141"/>
      <c r="C1769" s="143"/>
      <c r="D1769" s="141"/>
      <c r="E1769" s="143"/>
      <c r="F1769" s="150"/>
      <c r="G1769" s="150"/>
      <c r="H1769" s="145"/>
      <c r="I1769" s="145"/>
    </row>
    <row r="1770" spans="1:9" ht="24.95" hidden="1" customHeight="1">
      <c r="A1770" s="141"/>
      <c r="B1770" s="141"/>
      <c r="C1770" s="143"/>
      <c r="D1770" s="141"/>
      <c r="E1770" s="143"/>
      <c r="F1770" s="150"/>
      <c r="G1770" s="150"/>
      <c r="H1770" s="145"/>
      <c r="I1770" s="145"/>
    </row>
    <row r="1771" spans="1:9" ht="24.95" hidden="1" customHeight="1">
      <c r="A1771" s="141"/>
      <c r="B1771" s="141"/>
      <c r="C1771" s="143"/>
      <c r="D1771" s="141"/>
      <c r="E1771" s="143"/>
      <c r="F1771" s="150"/>
      <c r="G1771" s="150"/>
      <c r="H1771" s="145"/>
      <c r="I1771" s="145"/>
    </row>
    <row r="1772" spans="1:9" ht="24.95" hidden="1" customHeight="1">
      <c r="A1772" s="141"/>
      <c r="B1772" s="141"/>
      <c r="C1772" s="143"/>
      <c r="D1772" s="141"/>
      <c r="E1772" s="143"/>
      <c r="F1772" s="150"/>
      <c r="G1772" s="150"/>
      <c r="H1772" s="145"/>
      <c r="I1772" s="145"/>
    </row>
    <row r="1773" spans="1:9" ht="24.95" hidden="1" customHeight="1">
      <c r="A1773" s="141"/>
      <c r="B1773" s="141"/>
      <c r="C1773" s="143"/>
      <c r="D1773" s="141"/>
      <c r="E1773" s="143"/>
      <c r="F1773" s="150"/>
      <c r="G1773" s="150"/>
      <c r="H1773" s="145"/>
      <c r="I1773" s="145"/>
    </row>
    <row r="1774" spans="1:9" ht="24.95" hidden="1" customHeight="1">
      <c r="A1774" s="141"/>
      <c r="B1774" s="141"/>
      <c r="C1774" s="143"/>
      <c r="D1774" s="141"/>
      <c r="E1774" s="143"/>
      <c r="F1774" s="150"/>
      <c r="G1774" s="150"/>
      <c r="H1774" s="145"/>
      <c r="I1774" s="145"/>
    </row>
    <row r="1775" spans="1:9" ht="24.95" hidden="1" customHeight="1">
      <c r="A1775" s="141"/>
      <c r="B1775" s="141"/>
      <c r="C1775" s="143"/>
      <c r="D1775" s="141"/>
      <c r="E1775" s="143"/>
      <c r="F1775" s="150"/>
      <c r="G1775" s="150"/>
      <c r="H1775" s="145"/>
      <c r="I1775" s="145"/>
    </row>
    <row r="1776" spans="1:9" ht="24.95" hidden="1" customHeight="1">
      <c r="A1776" s="141"/>
      <c r="B1776" s="141"/>
      <c r="C1776" s="143"/>
      <c r="D1776" s="141"/>
      <c r="E1776" s="143"/>
      <c r="F1776" s="150"/>
      <c r="G1776" s="150"/>
      <c r="H1776" s="145"/>
      <c r="I1776" s="145"/>
    </row>
    <row r="1777" spans="1:9" ht="24.95" hidden="1" customHeight="1">
      <c r="A1777" s="141"/>
      <c r="B1777" s="141"/>
      <c r="C1777" s="143"/>
      <c r="D1777" s="141"/>
      <c r="E1777" s="143"/>
      <c r="F1777" s="150"/>
      <c r="G1777" s="150"/>
      <c r="H1777" s="145"/>
      <c r="I1777" s="145"/>
    </row>
    <row r="1778" spans="1:9" ht="24.95" hidden="1" customHeight="1">
      <c r="A1778" s="141"/>
      <c r="B1778" s="141"/>
      <c r="C1778" s="143"/>
      <c r="D1778" s="141"/>
      <c r="E1778" s="143"/>
      <c r="F1778" s="150"/>
      <c r="G1778" s="150"/>
      <c r="H1778" s="145"/>
      <c r="I1778" s="145"/>
    </row>
    <row r="1779" spans="1:9" ht="24.95" hidden="1" customHeight="1">
      <c r="A1779" s="141"/>
      <c r="B1779" s="141"/>
      <c r="C1779" s="143"/>
      <c r="D1779" s="141"/>
      <c r="E1779" s="143"/>
      <c r="F1779" s="150"/>
      <c r="G1779" s="150"/>
      <c r="H1779" s="145"/>
      <c r="I1779" s="145"/>
    </row>
    <row r="1780" spans="1:9" ht="24.95" hidden="1" customHeight="1">
      <c r="A1780" s="141"/>
      <c r="B1780" s="141"/>
      <c r="C1780" s="143"/>
      <c r="D1780" s="141"/>
      <c r="E1780" s="143"/>
      <c r="F1780" s="150"/>
      <c r="G1780" s="150"/>
      <c r="H1780" s="145"/>
      <c r="I1780" s="145"/>
    </row>
    <row r="1781" spans="1:9" ht="24.95" hidden="1" customHeight="1">
      <c r="A1781" s="141"/>
      <c r="B1781" s="141"/>
      <c r="C1781" s="143"/>
      <c r="D1781" s="141"/>
      <c r="E1781" s="143"/>
      <c r="F1781" s="150"/>
      <c r="G1781" s="150"/>
      <c r="H1781" s="145"/>
      <c r="I1781" s="145"/>
    </row>
    <row r="1782" spans="1:9" ht="24.95" hidden="1" customHeight="1">
      <c r="A1782" s="141"/>
      <c r="B1782" s="141"/>
      <c r="C1782" s="143"/>
      <c r="D1782" s="141"/>
      <c r="E1782" s="143"/>
      <c r="F1782" s="150"/>
      <c r="G1782" s="150"/>
      <c r="H1782" s="145"/>
      <c r="I1782" s="145"/>
    </row>
    <row r="1783" spans="1:9" ht="24.95" hidden="1" customHeight="1">
      <c r="A1783" s="141"/>
      <c r="B1783" s="141"/>
      <c r="C1783" s="143"/>
      <c r="D1783" s="141"/>
      <c r="E1783" s="143"/>
      <c r="F1783" s="150"/>
      <c r="G1783" s="150"/>
      <c r="H1783" s="145"/>
      <c r="I1783" s="145"/>
    </row>
    <row r="1784" spans="1:9" ht="24.95" hidden="1" customHeight="1">
      <c r="A1784" s="141"/>
      <c r="B1784" s="141"/>
      <c r="C1784" s="143"/>
      <c r="D1784" s="141"/>
      <c r="E1784" s="143"/>
      <c r="F1784" s="150"/>
      <c r="G1784" s="150"/>
      <c r="H1784" s="145"/>
      <c r="I1784" s="145"/>
    </row>
    <row r="1785" spans="1:9" ht="24.95" hidden="1" customHeight="1">
      <c r="A1785" s="141"/>
      <c r="B1785" s="141"/>
      <c r="C1785" s="143"/>
      <c r="D1785" s="141"/>
      <c r="E1785" s="143"/>
      <c r="F1785" s="150"/>
      <c r="G1785" s="150"/>
      <c r="H1785" s="145"/>
      <c r="I1785" s="145"/>
    </row>
    <row r="1786" spans="1:9" ht="24.95" hidden="1" customHeight="1">
      <c r="A1786" s="141"/>
      <c r="B1786" s="141"/>
      <c r="C1786" s="143"/>
      <c r="D1786" s="141"/>
      <c r="E1786" s="143"/>
      <c r="F1786" s="150"/>
      <c r="G1786" s="150"/>
      <c r="H1786" s="145"/>
      <c r="I1786" s="145"/>
    </row>
    <row r="1787" spans="1:9" ht="24.95" hidden="1" customHeight="1">
      <c r="A1787" s="141"/>
      <c r="B1787" s="141"/>
      <c r="C1787" s="143"/>
      <c r="D1787" s="141"/>
      <c r="E1787" s="143"/>
      <c r="F1787" s="150"/>
      <c r="G1787" s="150"/>
      <c r="H1787" s="145"/>
      <c r="I1787" s="145"/>
    </row>
    <row r="1788" spans="1:9" ht="24.95" hidden="1" customHeight="1">
      <c r="A1788" s="141"/>
      <c r="B1788" s="141"/>
      <c r="C1788" s="143"/>
      <c r="D1788" s="141"/>
      <c r="E1788" s="143"/>
      <c r="F1788" s="150"/>
      <c r="G1788" s="150"/>
      <c r="H1788" s="145"/>
      <c r="I1788" s="145"/>
    </row>
    <row r="1789" spans="1:9" ht="24.95" hidden="1" customHeight="1">
      <c r="A1789" s="141"/>
      <c r="B1789" s="141"/>
      <c r="C1789" s="143"/>
      <c r="D1789" s="141"/>
      <c r="E1789" s="143"/>
      <c r="F1789" s="150"/>
      <c r="G1789" s="150"/>
      <c r="H1789" s="145"/>
      <c r="I1789" s="145"/>
    </row>
    <row r="1790" spans="1:9" ht="24.95" hidden="1" customHeight="1">
      <c r="A1790" s="141"/>
      <c r="B1790" s="141"/>
      <c r="C1790" s="143"/>
      <c r="D1790" s="141"/>
      <c r="E1790" s="143"/>
      <c r="F1790" s="150"/>
      <c r="G1790" s="150"/>
      <c r="H1790" s="145"/>
      <c r="I1790" s="145"/>
    </row>
    <row r="1791" spans="1:9" ht="24.95" hidden="1" customHeight="1">
      <c r="A1791" s="141"/>
      <c r="B1791" s="141"/>
      <c r="C1791" s="143"/>
      <c r="D1791" s="141"/>
      <c r="E1791" s="143"/>
      <c r="F1791" s="150"/>
      <c r="G1791" s="150"/>
      <c r="H1791" s="145"/>
      <c r="I1791" s="145"/>
    </row>
    <row r="1792" spans="1:9" ht="24.95" hidden="1" customHeight="1">
      <c r="A1792" s="141"/>
      <c r="B1792" s="141"/>
      <c r="C1792" s="143"/>
      <c r="D1792" s="141"/>
      <c r="E1792" s="143"/>
      <c r="F1792" s="150"/>
      <c r="G1792" s="150"/>
      <c r="H1792" s="145"/>
      <c r="I1792" s="145"/>
    </row>
    <row r="1793" spans="1:9" ht="24.95" hidden="1" customHeight="1">
      <c r="A1793" s="141"/>
      <c r="B1793" s="141"/>
      <c r="C1793" s="143"/>
      <c r="D1793" s="141"/>
      <c r="E1793" s="143"/>
      <c r="F1793" s="150"/>
      <c r="G1793" s="150"/>
      <c r="H1793" s="145"/>
      <c r="I1793" s="145"/>
    </row>
    <row r="1794" spans="1:9" ht="24.95" hidden="1" customHeight="1">
      <c r="A1794" s="141"/>
      <c r="B1794" s="141"/>
      <c r="C1794" s="143"/>
      <c r="D1794" s="141"/>
      <c r="E1794" s="143"/>
      <c r="F1794" s="150"/>
      <c r="G1794" s="150"/>
      <c r="H1794" s="145"/>
      <c r="I1794" s="145"/>
    </row>
    <row r="1795" spans="1:9" ht="24.95" hidden="1" customHeight="1">
      <c r="A1795" s="141"/>
      <c r="B1795" s="141"/>
      <c r="C1795" s="143"/>
      <c r="D1795" s="141"/>
      <c r="E1795" s="143"/>
      <c r="F1795" s="150"/>
      <c r="G1795" s="150"/>
      <c r="H1795" s="145"/>
      <c r="I1795" s="145"/>
    </row>
    <row r="1796" spans="1:9" ht="24.95" hidden="1" customHeight="1">
      <c r="A1796" s="141"/>
      <c r="B1796" s="141"/>
      <c r="C1796" s="143"/>
      <c r="D1796" s="141"/>
      <c r="E1796" s="143"/>
      <c r="F1796" s="150"/>
      <c r="G1796" s="150"/>
      <c r="H1796" s="145"/>
      <c r="I1796" s="145"/>
    </row>
    <row r="1797" spans="1:9" ht="24.95" hidden="1" customHeight="1">
      <c r="A1797" s="141"/>
      <c r="B1797" s="141"/>
      <c r="C1797" s="143"/>
      <c r="D1797" s="141"/>
      <c r="E1797" s="143"/>
      <c r="F1797" s="150"/>
      <c r="G1797" s="150"/>
      <c r="H1797" s="145"/>
      <c r="I1797" s="145"/>
    </row>
    <row r="1798" spans="1:9" ht="24.95" hidden="1" customHeight="1">
      <c r="A1798" s="141"/>
      <c r="B1798" s="141"/>
      <c r="C1798" s="143"/>
      <c r="D1798" s="141"/>
      <c r="E1798" s="143"/>
      <c r="F1798" s="150"/>
      <c r="G1798" s="150"/>
      <c r="H1798" s="145"/>
      <c r="I1798" s="145"/>
    </row>
    <row r="1799" spans="1:9" ht="24.95" hidden="1" customHeight="1">
      <c r="A1799" s="141"/>
      <c r="B1799" s="141"/>
      <c r="C1799" s="143"/>
      <c r="D1799" s="141"/>
      <c r="E1799" s="143"/>
      <c r="F1799" s="150"/>
      <c r="G1799" s="150"/>
      <c r="H1799" s="145"/>
      <c r="I1799" s="145"/>
    </row>
    <row r="1800" spans="1:9" ht="24.95" hidden="1" customHeight="1">
      <c r="A1800" s="141"/>
      <c r="B1800" s="141"/>
      <c r="C1800" s="143"/>
      <c r="D1800" s="141"/>
      <c r="E1800" s="143"/>
      <c r="F1800" s="150"/>
      <c r="G1800" s="150"/>
      <c r="H1800" s="145"/>
      <c r="I1800" s="145"/>
    </row>
    <row r="1801" spans="1:9" ht="24.95" hidden="1" customHeight="1">
      <c r="A1801" s="141"/>
      <c r="B1801" s="141"/>
      <c r="C1801" s="143"/>
      <c r="D1801" s="141"/>
      <c r="E1801" s="143"/>
      <c r="F1801" s="150"/>
      <c r="G1801" s="150"/>
      <c r="H1801" s="145"/>
      <c r="I1801" s="145"/>
    </row>
    <row r="1802" spans="1:9" ht="24.95" hidden="1" customHeight="1">
      <c r="A1802" s="141"/>
      <c r="B1802" s="141"/>
      <c r="C1802" s="143"/>
      <c r="D1802" s="141"/>
      <c r="E1802" s="143"/>
      <c r="F1802" s="150"/>
      <c r="G1802" s="150"/>
      <c r="H1802" s="145"/>
      <c r="I1802" s="145"/>
    </row>
    <row r="1803" spans="1:9" ht="24.95" hidden="1" customHeight="1">
      <c r="A1803" s="141"/>
      <c r="B1803" s="141"/>
      <c r="C1803" s="143"/>
      <c r="D1803" s="141"/>
      <c r="E1803" s="143"/>
      <c r="F1803" s="150"/>
      <c r="G1803" s="150"/>
      <c r="H1803" s="145"/>
      <c r="I1803" s="145"/>
    </row>
    <row r="1804" spans="1:9" ht="24.95" hidden="1" customHeight="1">
      <c r="A1804" s="141"/>
      <c r="B1804" s="141"/>
      <c r="C1804" s="143"/>
      <c r="D1804" s="141"/>
      <c r="E1804" s="143"/>
      <c r="F1804" s="150"/>
      <c r="G1804" s="150"/>
      <c r="H1804" s="145"/>
      <c r="I1804" s="145"/>
    </row>
    <row r="1805" spans="1:9" ht="24.95" hidden="1" customHeight="1">
      <c r="A1805" s="141"/>
      <c r="B1805" s="141"/>
      <c r="C1805" s="143"/>
      <c r="D1805" s="141"/>
      <c r="E1805" s="143"/>
      <c r="F1805" s="150"/>
      <c r="G1805" s="150"/>
      <c r="H1805" s="145"/>
      <c r="I1805" s="145"/>
    </row>
    <row r="1806" spans="1:9" ht="24.95" hidden="1" customHeight="1">
      <c r="A1806" s="141"/>
      <c r="B1806" s="141"/>
      <c r="C1806" s="143"/>
      <c r="D1806" s="141"/>
      <c r="E1806" s="143"/>
      <c r="F1806" s="150"/>
      <c r="G1806" s="150"/>
      <c r="H1806" s="145"/>
      <c r="I1806" s="145"/>
    </row>
    <row r="1807" spans="1:9" ht="24.95" hidden="1" customHeight="1">
      <c r="A1807" s="141"/>
      <c r="B1807" s="141"/>
      <c r="C1807" s="143"/>
      <c r="D1807" s="141"/>
      <c r="E1807" s="143"/>
      <c r="F1807" s="150"/>
      <c r="G1807" s="150"/>
      <c r="H1807" s="145"/>
      <c r="I1807" s="145"/>
    </row>
    <row r="1808" spans="1:9" ht="24.95" hidden="1" customHeight="1">
      <c r="A1808" s="141"/>
      <c r="B1808" s="141"/>
      <c r="C1808" s="143"/>
      <c r="D1808" s="141"/>
      <c r="E1808" s="143"/>
      <c r="F1808" s="150"/>
      <c r="G1808" s="150"/>
      <c r="H1808" s="145"/>
      <c r="I1808" s="145"/>
    </row>
    <row r="1809" spans="1:9" ht="24.95" hidden="1" customHeight="1">
      <c r="A1809" s="141"/>
      <c r="B1809" s="141"/>
      <c r="C1809" s="143"/>
      <c r="D1809" s="141"/>
      <c r="E1809" s="143"/>
      <c r="F1809" s="150"/>
      <c r="G1809" s="150"/>
      <c r="H1809" s="145"/>
      <c r="I1809" s="145"/>
    </row>
    <row r="1810" spans="1:9" ht="24.95" hidden="1" customHeight="1">
      <c r="A1810" s="141"/>
      <c r="B1810" s="141"/>
      <c r="C1810" s="143"/>
      <c r="D1810" s="141"/>
      <c r="E1810" s="143"/>
      <c r="F1810" s="150"/>
      <c r="G1810" s="150"/>
      <c r="H1810" s="145"/>
      <c r="I1810" s="145"/>
    </row>
    <row r="1811" spans="1:9" ht="24.95" hidden="1" customHeight="1">
      <c r="A1811" s="141"/>
      <c r="B1811" s="141"/>
      <c r="C1811" s="143"/>
      <c r="D1811" s="141"/>
      <c r="E1811" s="143"/>
      <c r="F1811" s="150"/>
      <c r="G1811" s="150"/>
      <c r="H1811" s="145"/>
      <c r="I1811" s="145"/>
    </row>
    <row r="1812" spans="1:9" ht="24.95" hidden="1" customHeight="1">
      <c r="A1812" s="141"/>
      <c r="B1812" s="141"/>
      <c r="C1812" s="143"/>
      <c r="D1812" s="141"/>
      <c r="E1812" s="143"/>
      <c r="F1812" s="150"/>
      <c r="G1812" s="150"/>
      <c r="H1812" s="145"/>
      <c r="I1812" s="145"/>
    </row>
    <row r="1813" spans="1:9" ht="24.95" hidden="1" customHeight="1">
      <c r="A1813" s="141"/>
      <c r="B1813" s="141"/>
      <c r="C1813" s="143"/>
      <c r="D1813" s="141"/>
      <c r="E1813" s="143"/>
      <c r="F1813" s="150"/>
      <c r="G1813" s="150"/>
      <c r="H1813" s="145"/>
      <c r="I1813" s="145"/>
    </row>
    <row r="1814" spans="1:9" ht="24.95" hidden="1" customHeight="1">
      <c r="A1814" s="141"/>
      <c r="B1814" s="141"/>
      <c r="C1814" s="143"/>
      <c r="D1814" s="141"/>
      <c r="E1814" s="143"/>
      <c r="F1814" s="150"/>
      <c r="G1814" s="150"/>
      <c r="H1814" s="145"/>
      <c r="I1814" s="145"/>
    </row>
    <row r="1815" spans="1:9" ht="24.95" hidden="1" customHeight="1">
      <c r="A1815" s="141"/>
      <c r="B1815" s="141"/>
      <c r="C1815" s="143"/>
      <c r="D1815" s="141"/>
      <c r="E1815" s="143"/>
      <c r="F1815" s="150"/>
      <c r="G1815" s="150"/>
      <c r="H1815" s="145"/>
      <c r="I1815" s="145"/>
    </row>
    <row r="1816" spans="1:9" ht="24.95" hidden="1" customHeight="1">
      <c r="A1816" s="141"/>
      <c r="B1816" s="141"/>
      <c r="C1816" s="143"/>
      <c r="D1816" s="141"/>
      <c r="E1816" s="143"/>
      <c r="F1816" s="150"/>
      <c r="G1816" s="150"/>
      <c r="H1816" s="145"/>
      <c r="I1816" s="145"/>
    </row>
    <row r="1817" spans="1:9" ht="24.95" hidden="1" customHeight="1">
      <c r="A1817" s="141"/>
      <c r="B1817" s="141"/>
      <c r="C1817" s="143"/>
      <c r="D1817" s="141"/>
      <c r="E1817" s="143"/>
      <c r="F1817" s="150"/>
      <c r="G1817" s="150"/>
      <c r="H1817" s="145"/>
      <c r="I1817" s="145"/>
    </row>
    <row r="1818" spans="1:9" ht="24.95" hidden="1" customHeight="1">
      <c r="A1818" s="141"/>
      <c r="B1818" s="141"/>
      <c r="C1818" s="143"/>
      <c r="D1818" s="141"/>
      <c r="E1818" s="143"/>
      <c r="F1818" s="150"/>
      <c r="G1818" s="150"/>
      <c r="H1818" s="145"/>
      <c r="I1818" s="145"/>
    </row>
    <row r="1819" spans="1:9" ht="24.95" hidden="1" customHeight="1">
      <c r="A1819" s="141"/>
      <c r="B1819" s="141"/>
      <c r="C1819" s="143"/>
      <c r="D1819" s="141"/>
      <c r="E1819" s="143"/>
      <c r="F1819" s="150"/>
      <c r="G1819" s="150"/>
      <c r="H1819" s="145"/>
      <c r="I1819" s="145"/>
    </row>
    <row r="1820" spans="1:9" ht="24.95" hidden="1" customHeight="1">
      <c r="A1820" s="141"/>
      <c r="B1820" s="141"/>
      <c r="C1820" s="143"/>
      <c r="D1820" s="141"/>
      <c r="E1820" s="143"/>
      <c r="F1820" s="150"/>
      <c r="G1820" s="150"/>
      <c r="H1820" s="145"/>
      <c r="I1820" s="145"/>
    </row>
    <row r="1821" spans="1:9" ht="24.95" hidden="1" customHeight="1">
      <c r="A1821" s="141"/>
      <c r="B1821" s="141"/>
      <c r="C1821" s="143"/>
      <c r="D1821" s="141"/>
      <c r="E1821" s="143"/>
      <c r="F1821" s="150"/>
      <c r="G1821" s="150"/>
      <c r="H1821" s="145"/>
      <c r="I1821" s="145"/>
    </row>
    <row r="1822" spans="1:9" ht="24.95" hidden="1" customHeight="1">
      <c r="A1822" s="141"/>
      <c r="B1822" s="141"/>
      <c r="C1822" s="143"/>
      <c r="D1822" s="141"/>
      <c r="E1822" s="143"/>
      <c r="F1822" s="150"/>
      <c r="G1822" s="150"/>
      <c r="H1822" s="145"/>
      <c r="I1822" s="145"/>
    </row>
    <row r="1823" spans="1:9" ht="24.95" hidden="1" customHeight="1">
      <c r="A1823" s="141"/>
      <c r="B1823" s="141"/>
      <c r="C1823" s="143"/>
      <c r="D1823" s="141"/>
      <c r="E1823" s="143"/>
      <c r="F1823" s="150"/>
      <c r="G1823" s="150"/>
      <c r="H1823" s="145"/>
      <c r="I1823" s="145"/>
    </row>
    <row r="1824" spans="1:9" ht="24.95" hidden="1" customHeight="1">
      <c r="A1824" s="141"/>
      <c r="B1824" s="141"/>
      <c r="C1824" s="143"/>
      <c r="D1824" s="141"/>
      <c r="E1824" s="143"/>
      <c r="F1824" s="150"/>
      <c r="G1824" s="150"/>
      <c r="H1824" s="145"/>
      <c r="I1824" s="145"/>
    </row>
    <row r="1825" spans="1:9" ht="24.95" hidden="1" customHeight="1">
      <c r="A1825" s="141"/>
      <c r="B1825" s="141"/>
      <c r="C1825" s="143"/>
      <c r="D1825" s="141"/>
      <c r="E1825" s="143"/>
      <c r="F1825" s="150"/>
      <c r="G1825" s="150"/>
      <c r="H1825" s="145"/>
      <c r="I1825" s="145"/>
    </row>
    <row r="1826" spans="1:9" ht="24.95" hidden="1" customHeight="1">
      <c r="A1826" s="141"/>
      <c r="B1826" s="141"/>
      <c r="C1826" s="143"/>
      <c r="D1826" s="141"/>
      <c r="E1826" s="143"/>
      <c r="F1826" s="150"/>
      <c r="G1826" s="150"/>
      <c r="H1826" s="145"/>
      <c r="I1826" s="145"/>
    </row>
    <row r="1827" spans="1:9" ht="24.95" hidden="1" customHeight="1">
      <c r="A1827" s="141"/>
      <c r="B1827" s="141"/>
      <c r="C1827" s="143"/>
      <c r="D1827" s="141"/>
      <c r="E1827" s="143"/>
      <c r="F1827" s="150"/>
      <c r="G1827" s="150"/>
      <c r="H1827" s="145"/>
      <c r="I1827" s="145"/>
    </row>
    <row r="1828" spans="1:9" ht="24.95" hidden="1" customHeight="1">
      <c r="A1828" s="141"/>
      <c r="B1828" s="141"/>
      <c r="C1828" s="143"/>
      <c r="D1828" s="141"/>
      <c r="E1828" s="143"/>
      <c r="F1828" s="150"/>
      <c r="G1828" s="150"/>
      <c r="H1828" s="145"/>
      <c r="I1828" s="145"/>
    </row>
    <row r="1829" spans="1:9" ht="24.95" hidden="1" customHeight="1">
      <c r="A1829" s="141"/>
      <c r="B1829" s="141"/>
      <c r="C1829" s="143"/>
      <c r="D1829" s="141"/>
      <c r="E1829" s="143"/>
      <c r="F1829" s="150"/>
      <c r="G1829" s="150"/>
      <c r="H1829" s="145"/>
      <c r="I1829" s="145"/>
    </row>
    <row r="1830" spans="1:9" ht="24.95" hidden="1" customHeight="1">
      <c r="A1830" s="141"/>
      <c r="B1830" s="141"/>
      <c r="C1830" s="143"/>
      <c r="D1830" s="141"/>
      <c r="E1830" s="143"/>
      <c r="F1830" s="150"/>
      <c r="G1830" s="150"/>
      <c r="H1830" s="145"/>
      <c r="I1830" s="145"/>
    </row>
    <row r="1831" spans="1:9" ht="24.95" hidden="1" customHeight="1">
      <c r="A1831" s="141"/>
      <c r="B1831" s="141"/>
      <c r="C1831" s="143"/>
      <c r="D1831" s="141"/>
      <c r="E1831" s="143"/>
      <c r="F1831" s="150"/>
      <c r="G1831" s="150"/>
      <c r="H1831" s="145"/>
      <c r="I1831" s="145"/>
    </row>
    <row r="1832" spans="1:9" ht="24.95" hidden="1" customHeight="1">
      <c r="A1832" s="141"/>
      <c r="B1832" s="141"/>
      <c r="C1832" s="143"/>
      <c r="D1832" s="141"/>
      <c r="E1832" s="143"/>
      <c r="F1832" s="150"/>
      <c r="G1832" s="150"/>
      <c r="H1832" s="145"/>
      <c r="I1832" s="145"/>
    </row>
    <row r="1833" spans="1:9" ht="24.95" hidden="1" customHeight="1">
      <c r="A1833" s="141"/>
      <c r="B1833" s="141"/>
      <c r="C1833" s="143"/>
      <c r="D1833" s="141"/>
      <c r="E1833" s="143"/>
      <c r="F1833" s="150"/>
      <c r="G1833" s="150"/>
      <c r="H1833" s="145"/>
      <c r="I1833" s="145"/>
    </row>
    <row r="1834" spans="1:9" ht="24.95" hidden="1" customHeight="1">
      <c r="A1834" s="141"/>
      <c r="B1834" s="141"/>
      <c r="C1834" s="143"/>
      <c r="D1834" s="141"/>
      <c r="E1834" s="143"/>
      <c r="F1834" s="150"/>
      <c r="G1834" s="150"/>
      <c r="H1834" s="145"/>
      <c r="I1834" s="145"/>
    </row>
    <row r="1835" spans="1:9" ht="24.95" hidden="1" customHeight="1">
      <c r="A1835" s="141"/>
      <c r="B1835" s="141"/>
      <c r="C1835" s="143"/>
      <c r="D1835" s="141"/>
      <c r="E1835" s="143"/>
      <c r="F1835" s="150"/>
      <c r="G1835" s="150"/>
      <c r="H1835" s="145"/>
      <c r="I1835" s="145"/>
    </row>
    <row r="1836" spans="1:9" ht="24.95" hidden="1" customHeight="1">
      <c r="A1836" s="141"/>
      <c r="B1836" s="141"/>
      <c r="C1836" s="143"/>
      <c r="D1836" s="141"/>
      <c r="E1836" s="143"/>
      <c r="F1836" s="150"/>
      <c r="G1836" s="150"/>
      <c r="H1836" s="145"/>
      <c r="I1836" s="145"/>
    </row>
    <row r="1837" spans="1:9" ht="24.95" hidden="1" customHeight="1">
      <c r="A1837" s="141"/>
      <c r="B1837" s="141"/>
      <c r="C1837" s="143"/>
      <c r="D1837" s="141"/>
      <c r="E1837" s="143"/>
      <c r="F1837" s="150"/>
      <c r="G1837" s="150"/>
      <c r="H1837" s="145"/>
      <c r="I1837" s="145"/>
    </row>
    <row r="1838" spans="1:9" ht="24.95" hidden="1" customHeight="1">
      <c r="A1838" s="141"/>
      <c r="B1838" s="141"/>
      <c r="C1838" s="143"/>
      <c r="D1838" s="141"/>
      <c r="E1838" s="143"/>
      <c r="F1838" s="150"/>
      <c r="G1838" s="150"/>
      <c r="H1838" s="145"/>
      <c r="I1838" s="145"/>
    </row>
    <row r="1839" spans="1:9" ht="24.95" hidden="1" customHeight="1">
      <c r="A1839" s="141"/>
      <c r="B1839" s="141"/>
      <c r="C1839" s="143"/>
      <c r="D1839" s="141"/>
      <c r="E1839" s="143"/>
      <c r="F1839" s="150"/>
      <c r="G1839" s="150"/>
      <c r="H1839" s="145"/>
      <c r="I1839" s="145"/>
    </row>
    <row r="1840" spans="1:9" ht="24.95" hidden="1" customHeight="1">
      <c r="A1840" s="141"/>
      <c r="B1840" s="141"/>
      <c r="C1840" s="143"/>
      <c r="D1840" s="141"/>
      <c r="E1840" s="143"/>
      <c r="F1840" s="150"/>
      <c r="G1840" s="150"/>
      <c r="H1840" s="145"/>
      <c r="I1840" s="145"/>
    </row>
    <row r="1841" spans="1:9" ht="24.95" hidden="1" customHeight="1">
      <c r="A1841" s="141"/>
      <c r="B1841" s="141"/>
      <c r="C1841" s="143"/>
      <c r="D1841" s="141"/>
      <c r="E1841" s="143"/>
      <c r="F1841" s="150"/>
      <c r="G1841" s="150"/>
      <c r="H1841" s="145"/>
      <c r="I1841" s="145"/>
    </row>
    <row r="1842" spans="1:9" ht="24.95" hidden="1" customHeight="1">
      <c r="A1842" s="141"/>
      <c r="B1842" s="141"/>
      <c r="C1842" s="143"/>
      <c r="D1842" s="141"/>
      <c r="E1842" s="143"/>
      <c r="F1842" s="150"/>
      <c r="G1842" s="150"/>
      <c r="H1842" s="145"/>
      <c r="I1842" s="145"/>
    </row>
    <row r="1843" spans="1:9" ht="24.95" hidden="1" customHeight="1">
      <c r="A1843" s="141"/>
      <c r="B1843" s="141"/>
      <c r="C1843" s="143"/>
      <c r="D1843" s="141"/>
      <c r="E1843" s="143"/>
      <c r="F1843" s="150"/>
      <c r="G1843" s="150"/>
      <c r="H1843" s="145"/>
      <c r="I1843" s="145"/>
    </row>
    <row r="1844" spans="1:9" ht="24.95" hidden="1" customHeight="1">
      <c r="A1844" s="141"/>
      <c r="B1844" s="141"/>
      <c r="C1844" s="143"/>
      <c r="D1844" s="141"/>
      <c r="E1844" s="143"/>
      <c r="F1844" s="150"/>
      <c r="G1844" s="150"/>
      <c r="H1844" s="145"/>
      <c r="I1844" s="145"/>
    </row>
    <row r="1845" spans="1:9" ht="24.95" hidden="1" customHeight="1">
      <c r="A1845" s="141"/>
      <c r="B1845" s="141"/>
      <c r="C1845" s="143"/>
      <c r="D1845" s="141"/>
      <c r="E1845" s="143"/>
      <c r="F1845" s="150"/>
      <c r="G1845" s="150"/>
      <c r="H1845" s="145"/>
      <c r="I1845" s="145"/>
    </row>
    <row r="1846" spans="1:9" ht="24.95" hidden="1" customHeight="1">
      <c r="A1846" s="141"/>
      <c r="B1846" s="141"/>
      <c r="C1846" s="143"/>
      <c r="D1846" s="141"/>
      <c r="E1846" s="143"/>
      <c r="F1846" s="150"/>
      <c r="G1846" s="150"/>
      <c r="H1846" s="145"/>
      <c r="I1846" s="145"/>
    </row>
    <row r="1847" spans="1:9" ht="24.95" hidden="1" customHeight="1">
      <c r="A1847" s="141"/>
      <c r="B1847" s="141"/>
      <c r="C1847" s="143"/>
      <c r="D1847" s="141"/>
      <c r="E1847" s="143"/>
      <c r="F1847" s="150"/>
      <c r="G1847" s="150"/>
      <c r="H1847" s="145"/>
      <c r="I1847" s="145"/>
    </row>
    <row r="1848" spans="1:9" ht="24.95" hidden="1" customHeight="1">
      <c r="A1848" s="141"/>
      <c r="B1848" s="141"/>
      <c r="C1848" s="143"/>
      <c r="D1848" s="141"/>
      <c r="E1848" s="143"/>
      <c r="F1848" s="150"/>
      <c r="G1848" s="150"/>
      <c r="H1848" s="145"/>
      <c r="I1848" s="145"/>
    </row>
    <row r="1849" spans="1:9" ht="24.95" hidden="1" customHeight="1">
      <c r="A1849" s="141"/>
      <c r="B1849" s="141"/>
      <c r="C1849" s="143"/>
      <c r="D1849" s="141"/>
      <c r="E1849" s="143"/>
      <c r="F1849" s="150"/>
      <c r="G1849" s="150"/>
      <c r="H1849" s="145"/>
      <c r="I1849" s="145"/>
    </row>
    <row r="1850" spans="1:9" ht="24.95" hidden="1" customHeight="1">
      <c r="A1850" s="141"/>
      <c r="B1850" s="141"/>
      <c r="C1850" s="143"/>
      <c r="D1850" s="141"/>
      <c r="E1850" s="143"/>
      <c r="F1850" s="150"/>
      <c r="G1850" s="150"/>
      <c r="H1850" s="145"/>
      <c r="I1850" s="145"/>
    </row>
    <row r="1851" spans="1:9" ht="24.95" hidden="1" customHeight="1">
      <c r="A1851" s="141"/>
      <c r="B1851" s="141"/>
      <c r="C1851" s="143"/>
      <c r="D1851" s="141"/>
      <c r="E1851" s="143"/>
      <c r="F1851" s="150"/>
      <c r="G1851" s="150"/>
      <c r="H1851" s="145"/>
      <c r="I1851" s="145"/>
    </row>
    <row r="1852" spans="1:9" ht="24.95" hidden="1" customHeight="1">
      <c r="A1852" s="141"/>
      <c r="B1852" s="141"/>
      <c r="C1852" s="143"/>
      <c r="D1852" s="141"/>
      <c r="E1852" s="143"/>
      <c r="F1852" s="150"/>
      <c r="G1852" s="150"/>
      <c r="H1852" s="145"/>
      <c r="I1852" s="145"/>
    </row>
    <row r="1853" spans="1:9" ht="24.95" hidden="1" customHeight="1">
      <c r="A1853" s="141"/>
      <c r="B1853" s="141"/>
      <c r="C1853" s="143"/>
      <c r="D1853" s="141"/>
      <c r="E1853" s="143"/>
      <c r="F1853" s="150"/>
      <c r="G1853" s="150"/>
      <c r="H1853" s="145"/>
      <c r="I1853" s="145"/>
    </row>
    <row r="1854" spans="1:9" ht="24.95" hidden="1" customHeight="1">
      <c r="A1854" s="141"/>
      <c r="B1854" s="141"/>
      <c r="C1854" s="143"/>
      <c r="D1854" s="141"/>
      <c r="E1854" s="143"/>
      <c r="F1854" s="150"/>
      <c r="G1854" s="150"/>
      <c r="H1854" s="145"/>
      <c r="I1854" s="145"/>
    </row>
    <row r="1855" spans="1:9" ht="24.95" hidden="1" customHeight="1">
      <c r="A1855" s="141"/>
      <c r="B1855" s="141"/>
      <c r="C1855" s="143"/>
      <c r="D1855" s="141"/>
      <c r="E1855" s="143"/>
      <c r="F1855" s="150"/>
      <c r="G1855" s="150"/>
      <c r="H1855" s="145"/>
      <c r="I1855" s="145"/>
    </row>
    <row r="1856" spans="1:9" ht="24.95" hidden="1" customHeight="1">
      <c r="A1856" s="141"/>
      <c r="B1856" s="141"/>
      <c r="C1856" s="143"/>
      <c r="D1856" s="141"/>
      <c r="E1856" s="143"/>
      <c r="F1856" s="150"/>
      <c r="G1856" s="150"/>
      <c r="H1856" s="145"/>
      <c r="I1856" s="145"/>
    </row>
    <row r="1857" spans="1:9" ht="24.95" hidden="1" customHeight="1">
      <c r="A1857" s="141"/>
      <c r="B1857" s="141"/>
      <c r="C1857" s="143"/>
      <c r="D1857" s="141"/>
      <c r="E1857" s="143"/>
      <c r="F1857" s="150"/>
      <c r="G1857" s="150"/>
      <c r="H1857" s="145"/>
      <c r="I1857" s="145"/>
    </row>
    <row r="1858" spans="1:9" ht="24.95" hidden="1" customHeight="1">
      <c r="A1858" s="141"/>
      <c r="B1858" s="141"/>
      <c r="C1858" s="143"/>
      <c r="D1858" s="141"/>
      <c r="E1858" s="143"/>
      <c r="F1858" s="150"/>
      <c r="G1858" s="150"/>
      <c r="H1858" s="145"/>
      <c r="I1858" s="145"/>
    </row>
    <row r="1859" spans="1:9" ht="24.95" hidden="1" customHeight="1">
      <c r="A1859" s="141"/>
      <c r="B1859" s="141"/>
      <c r="C1859" s="143"/>
      <c r="D1859" s="141"/>
      <c r="E1859" s="143"/>
      <c r="F1859" s="150"/>
      <c r="G1859" s="150"/>
      <c r="H1859" s="145"/>
      <c r="I1859" s="145"/>
    </row>
    <row r="1860" spans="1:9" ht="24.95" hidden="1" customHeight="1">
      <c r="A1860" s="141"/>
      <c r="B1860" s="141"/>
      <c r="C1860" s="143"/>
      <c r="D1860" s="141"/>
      <c r="E1860" s="143"/>
      <c r="F1860" s="150"/>
      <c r="G1860" s="150"/>
      <c r="H1860" s="145"/>
      <c r="I1860" s="145"/>
    </row>
    <row r="1861" spans="1:9" ht="24.95" hidden="1" customHeight="1">
      <c r="A1861" s="141"/>
      <c r="B1861" s="141"/>
      <c r="C1861" s="143"/>
      <c r="D1861" s="141"/>
      <c r="E1861" s="143"/>
      <c r="F1861" s="150"/>
      <c r="G1861" s="150"/>
      <c r="H1861" s="145"/>
      <c r="I1861" s="145"/>
    </row>
    <row r="1862" spans="1:9" ht="24.95" hidden="1" customHeight="1">
      <c r="A1862" s="141"/>
      <c r="B1862" s="141"/>
      <c r="C1862" s="143"/>
      <c r="D1862" s="141"/>
      <c r="E1862" s="143"/>
      <c r="F1862" s="150"/>
      <c r="G1862" s="150"/>
      <c r="H1862" s="145"/>
      <c r="I1862" s="145"/>
    </row>
    <row r="1863" spans="1:9" ht="24.95" hidden="1" customHeight="1">
      <c r="A1863" s="141"/>
      <c r="B1863" s="141"/>
      <c r="C1863" s="143"/>
      <c r="D1863" s="141"/>
      <c r="E1863" s="143"/>
      <c r="F1863" s="150"/>
      <c r="G1863" s="150"/>
      <c r="H1863" s="145"/>
      <c r="I1863" s="145"/>
    </row>
    <row r="1864" spans="1:9" ht="24.95" hidden="1" customHeight="1">
      <c r="A1864" s="141"/>
      <c r="B1864" s="141"/>
      <c r="C1864" s="143"/>
      <c r="D1864" s="143"/>
      <c r="E1864" s="143"/>
      <c r="F1864" s="150"/>
      <c r="G1864" s="150"/>
      <c r="H1864" s="145"/>
      <c r="I1864" s="145"/>
    </row>
    <row r="1865" spans="1:9" ht="24.95" hidden="1" customHeight="1">
      <c r="A1865" s="141"/>
      <c r="B1865" s="141"/>
      <c r="C1865" s="143"/>
      <c r="D1865" s="143"/>
      <c r="E1865" s="143"/>
      <c r="F1865" s="150"/>
      <c r="G1865" s="150"/>
      <c r="H1865" s="145"/>
      <c r="I1865" s="145"/>
    </row>
    <row r="1866" spans="1:9" ht="24.95" hidden="1" customHeight="1">
      <c r="A1866" s="141"/>
      <c r="B1866" s="141"/>
      <c r="C1866" s="143"/>
      <c r="D1866" s="141"/>
      <c r="E1866" s="143"/>
      <c r="F1866" s="150"/>
      <c r="G1866" s="150"/>
      <c r="H1866" s="145"/>
      <c r="I1866" s="145"/>
    </row>
    <row r="1867" spans="1:9" ht="24.95" hidden="1" customHeight="1">
      <c r="A1867" s="141"/>
      <c r="B1867" s="141"/>
      <c r="C1867" s="143"/>
      <c r="D1867" s="141"/>
      <c r="E1867" s="143"/>
      <c r="F1867" s="150"/>
      <c r="G1867" s="150"/>
      <c r="H1867" s="145"/>
      <c r="I1867" s="145"/>
    </row>
    <row r="1868" spans="1:9" ht="24.95" hidden="1" customHeight="1">
      <c r="A1868" s="141"/>
      <c r="B1868" s="141"/>
      <c r="C1868" s="143"/>
      <c r="D1868" s="141"/>
      <c r="E1868" s="143"/>
      <c r="F1868" s="150"/>
      <c r="G1868" s="150"/>
      <c r="H1868" s="145"/>
      <c r="I1868" s="145"/>
    </row>
    <row r="1869" spans="1:9" ht="24.95" hidden="1" customHeight="1">
      <c r="A1869" s="141"/>
      <c r="B1869" s="141"/>
      <c r="C1869" s="143"/>
      <c r="D1869" s="141"/>
      <c r="E1869" s="143"/>
      <c r="F1869" s="150"/>
      <c r="G1869" s="150"/>
      <c r="H1869" s="145"/>
      <c r="I1869" s="145"/>
    </row>
    <row r="1870" spans="1:9" ht="24.95" hidden="1" customHeight="1">
      <c r="A1870" s="141"/>
      <c r="B1870" s="141"/>
      <c r="C1870" s="143"/>
      <c r="D1870" s="141"/>
      <c r="E1870" s="143"/>
      <c r="F1870" s="150"/>
      <c r="G1870" s="150"/>
      <c r="H1870" s="145"/>
      <c r="I1870" s="145"/>
    </row>
    <row r="1871" spans="1:9" ht="24.95" hidden="1" customHeight="1">
      <c r="A1871" s="141"/>
      <c r="B1871" s="141"/>
      <c r="C1871" s="143"/>
      <c r="D1871" s="141"/>
      <c r="E1871" s="143"/>
      <c r="F1871" s="150"/>
      <c r="G1871" s="150"/>
      <c r="H1871" s="145"/>
      <c r="I1871" s="145"/>
    </row>
    <row r="1872" spans="1:9" ht="24.95" hidden="1" customHeight="1">
      <c r="A1872" s="141"/>
      <c r="B1872" s="141"/>
      <c r="C1872" s="143"/>
      <c r="D1872" s="141"/>
      <c r="E1872" s="143"/>
      <c r="F1872" s="150"/>
      <c r="G1872" s="150"/>
      <c r="H1872" s="145"/>
      <c r="I1872" s="145"/>
    </row>
    <row r="1873" spans="1:9" ht="24.95" hidden="1" customHeight="1">
      <c r="A1873" s="141"/>
      <c r="B1873" s="141"/>
      <c r="C1873" s="143"/>
      <c r="D1873" s="141"/>
      <c r="E1873" s="143"/>
      <c r="F1873" s="150"/>
      <c r="G1873" s="150"/>
      <c r="H1873" s="145"/>
      <c r="I1873" s="145"/>
    </row>
    <row r="1874" spans="1:9" ht="24.95" hidden="1" customHeight="1">
      <c r="A1874" s="141"/>
      <c r="B1874" s="141"/>
      <c r="C1874" s="143"/>
      <c r="D1874" s="141"/>
      <c r="E1874" s="143"/>
      <c r="F1874" s="150"/>
      <c r="G1874" s="150"/>
      <c r="H1874" s="145"/>
      <c r="I1874" s="145"/>
    </row>
    <row r="1875" spans="1:9" ht="24.95" hidden="1" customHeight="1">
      <c r="A1875" s="141"/>
      <c r="B1875" s="141"/>
      <c r="C1875" s="143"/>
      <c r="D1875" s="141"/>
      <c r="E1875" s="143"/>
      <c r="F1875" s="150"/>
      <c r="G1875" s="150"/>
      <c r="H1875" s="145"/>
      <c r="I1875" s="145"/>
    </row>
    <row r="1876" spans="1:9" ht="24.95" hidden="1" customHeight="1">
      <c r="A1876" s="141"/>
      <c r="B1876" s="141"/>
      <c r="C1876" s="143"/>
      <c r="D1876" s="141"/>
      <c r="E1876" s="143"/>
      <c r="F1876" s="150"/>
      <c r="G1876" s="150"/>
      <c r="H1876" s="145"/>
      <c r="I1876" s="145"/>
    </row>
    <row r="1877" spans="1:9" ht="24.95" hidden="1" customHeight="1">
      <c r="A1877" s="141"/>
      <c r="B1877" s="141"/>
      <c r="C1877" s="143"/>
      <c r="D1877" s="141"/>
      <c r="E1877" s="143"/>
      <c r="F1877" s="150"/>
      <c r="G1877" s="150"/>
      <c r="H1877" s="145"/>
      <c r="I1877" s="145"/>
    </row>
    <row r="1878" spans="1:9" ht="24.95" hidden="1" customHeight="1">
      <c r="A1878" s="141"/>
      <c r="B1878" s="141"/>
      <c r="C1878" s="143"/>
      <c r="D1878" s="141"/>
      <c r="E1878" s="143"/>
      <c r="F1878" s="150"/>
      <c r="G1878" s="150"/>
      <c r="H1878" s="145"/>
      <c r="I1878" s="145"/>
    </row>
    <row r="1879" spans="1:9" ht="24.95" hidden="1" customHeight="1">
      <c r="A1879" s="141"/>
      <c r="B1879" s="141"/>
      <c r="C1879" s="143"/>
      <c r="D1879" s="141"/>
      <c r="E1879" s="143"/>
      <c r="F1879" s="150"/>
      <c r="G1879" s="150"/>
      <c r="H1879" s="145"/>
      <c r="I1879" s="145"/>
    </row>
    <row r="1880" spans="1:9" ht="24.95" hidden="1" customHeight="1">
      <c r="A1880" s="141"/>
      <c r="B1880" s="141"/>
      <c r="C1880" s="143"/>
      <c r="D1880" s="141"/>
      <c r="E1880" s="143"/>
      <c r="F1880" s="150"/>
      <c r="G1880" s="150"/>
      <c r="H1880" s="145"/>
      <c r="I1880" s="145"/>
    </row>
    <row r="1881" spans="1:9" ht="24.95" hidden="1" customHeight="1">
      <c r="A1881" s="141"/>
      <c r="B1881" s="141"/>
      <c r="C1881" s="143"/>
      <c r="D1881" s="141"/>
      <c r="E1881" s="143"/>
      <c r="F1881" s="150"/>
      <c r="G1881" s="150"/>
      <c r="H1881" s="145"/>
      <c r="I1881" s="145"/>
    </row>
    <row r="1882" spans="1:9" ht="24.95" hidden="1" customHeight="1">
      <c r="A1882" s="141"/>
      <c r="B1882" s="141"/>
      <c r="C1882" s="143"/>
      <c r="D1882" s="141"/>
      <c r="E1882" s="143"/>
      <c r="F1882" s="150"/>
      <c r="G1882" s="150"/>
      <c r="H1882" s="145"/>
      <c r="I1882" s="145"/>
    </row>
    <row r="1883" spans="1:9" ht="24.95" hidden="1" customHeight="1">
      <c r="A1883" s="141"/>
      <c r="B1883" s="141"/>
      <c r="C1883" s="143"/>
      <c r="D1883" s="141"/>
      <c r="E1883" s="143"/>
      <c r="F1883" s="150"/>
      <c r="G1883" s="150"/>
      <c r="H1883" s="145"/>
      <c r="I1883" s="145"/>
    </row>
    <row r="1884" spans="1:9" ht="24.95" hidden="1" customHeight="1">
      <c r="A1884" s="141"/>
      <c r="B1884" s="141"/>
      <c r="C1884" s="143"/>
      <c r="D1884" s="141"/>
      <c r="E1884" s="143"/>
      <c r="F1884" s="150"/>
      <c r="G1884" s="150"/>
      <c r="H1884" s="145"/>
      <c r="I1884" s="145"/>
    </row>
    <row r="1885" spans="1:9" ht="24.95" hidden="1" customHeight="1">
      <c r="A1885" s="141"/>
      <c r="B1885" s="141"/>
      <c r="C1885" s="143"/>
      <c r="D1885" s="141"/>
      <c r="E1885" s="143"/>
      <c r="F1885" s="150"/>
      <c r="G1885" s="150"/>
      <c r="H1885" s="145"/>
      <c r="I1885" s="145"/>
    </row>
    <row r="1886" spans="1:9" ht="24.95" hidden="1" customHeight="1">
      <c r="A1886" s="141"/>
      <c r="B1886" s="141"/>
      <c r="C1886" s="143"/>
      <c r="D1886" s="141"/>
      <c r="E1886" s="143"/>
      <c r="F1886" s="150"/>
      <c r="G1886" s="150"/>
      <c r="H1886" s="145"/>
      <c r="I1886" s="145"/>
    </row>
    <row r="1887" spans="1:9" ht="24.95" hidden="1" customHeight="1">
      <c r="A1887" s="141"/>
      <c r="B1887" s="141"/>
      <c r="C1887" s="143"/>
      <c r="D1887" s="141"/>
      <c r="E1887" s="143"/>
      <c r="F1887" s="150"/>
      <c r="G1887" s="150"/>
      <c r="H1887" s="145"/>
      <c r="I1887" s="145"/>
    </row>
    <row r="1888" spans="1:9" ht="24.95" hidden="1" customHeight="1">
      <c r="A1888" s="141"/>
      <c r="B1888" s="141"/>
      <c r="C1888" s="143"/>
      <c r="D1888" s="141"/>
      <c r="E1888" s="143"/>
      <c r="F1888" s="150"/>
      <c r="G1888" s="150"/>
      <c r="H1888" s="145"/>
      <c r="I1888" s="145"/>
    </row>
    <row r="1889" spans="1:9" ht="24.95" hidden="1" customHeight="1">
      <c r="A1889" s="141"/>
      <c r="B1889" s="141"/>
      <c r="C1889" s="143"/>
      <c r="D1889" s="141"/>
      <c r="E1889" s="143"/>
      <c r="F1889" s="150"/>
      <c r="G1889" s="150"/>
      <c r="H1889" s="145"/>
      <c r="I1889" s="145"/>
    </row>
    <row r="1890" spans="1:9" ht="24.95" hidden="1" customHeight="1">
      <c r="A1890" s="141"/>
      <c r="B1890" s="141"/>
      <c r="C1890" s="143"/>
      <c r="D1890" s="141"/>
      <c r="E1890" s="143"/>
      <c r="F1890" s="150"/>
      <c r="G1890" s="150"/>
      <c r="H1890" s="145"/>
      <c r="I1890" s="145"/>
    </row>
    <row r="1891" spans="1:9" ht="24.95" hidden="1" customHeight="1">
      <c r="A1891" s="141"/>
      <c r="B1891" s="141"/>
      <c r="C1891" s="143"/>
      <c r="D1891" s="141"/>
      <c r="E1891" s="143"/>
      <c r="F1891" s="150"/>
      <c r="G1891" s="150"/>
      <c r="H1891" s="145"/>
      <c r="I1891" s="145"/>
    </row>
    <row r="1892" spans="1:9" ht="24.95" hidden="1" customHeight="1">
      <c r="A1892" s="141"/>
      <c r="B1892" s="141"/>
      <c r="C1892" s="143"/>
      <c r="D1892" s="141"/>
      <c r="E1892" s="143"/>
      <c r="F1892" s="150"/>
      <c r="G1892" s="150"/>
      <c r="H1892" s="145"/>
      <c r="I1892" s="145"/>
    </row>
    <row r="1893" spans="1:9" ht="24.95" hidden="1" customHeight="1">
      <c r="A1893" s="141"/>
      <c r="B1893" s="141"/>
      <c r="C1893" s="143"/>
      <c r="D1893" s="141"/>
      <c r="E1893" s="143"/>
      <c r="F1893" s="150"/>
      <c r="G1893" s="150"/>
      <c r="H1893" s="145"/>
      <c r="I1893" s="145"/>
    </row>
    <row r="1894" spans="1:9" ht="24.95" hidden="1" customHeight="1">
      <c r="A1894" s="141"/>
      <c r="B1894" s="141"/>
      <c r="C1894" s="143"/>
      <c r="D1894" s="141"/>
      <c r="E1894" s="143"/>
      <c r="F1894" s="150"/>
      <c r="G1894" s="150"/>
      <c r="H1894" s="145"/>
      <c r="I1894" s="145"/>
    </row>
    <row r="1895" spans="1:9" ht="24.95" hidden="1" customHeight="1">
      <c r="A1895" s="141"/>
      <c r="B1895" s="141"/>
      <c r="C1895" s="143"/>
      <c r="D1895" s="141"/>
      <c r="E1895" s="143"/>
      <c r="F1895" s="150"/>
      <c r="G1895" s="150"/>
      <c r="H1895" s="145"/>
      <c r="I1895" s="145"/>
    </row>
    <row r="1896" spans="1:9" ht="24.95" hidden="1" customHeight="1">
      <c r="A1896" s="141"/>
      <c r="B1896" s="141"/>
      <c r="C1896" s="143"/>
      <c r="D1896" s="141"/>
      <c r="E1896" s="143"/>
      <c r="F1896" s="150"/>
      <c r="G1896" s="150"/>
      <c r="H1896" s="145"/>
      <c r="I1896" s="145"/>
    </row>
    <row r="1897" spans="1:9" ht="24.95" hidden="1" customHeight="1">
      <c r="A1897" s="141"/>
      <c r="B1897" s="141"/>
      <c r="C1897" s="143"/>
      <c r="D1897" s="141"/>
      <c r="E1897" s="143"/>
      <c r="F1897" s="150"/>
      <c r="G1897" s="150"/>
      <c r="H1897" s="145"/>
      <c r="I1897" s="145"/>
    </row>
    <row r="1898" spans="1:9" ht="24.95" hidden="1" customHeight="1">
      <c r="A1898" s="141"/>
      <c r="B1898" s="141"/>
      <c r="C1898" s="143"/>
      <c r="D1898" s="141"/>
      <c r="E1898" s="143"/>
      <c r="F1898" s="150"/>
      <c r="G1898" s="150"/>
      <c r="H1898" s="145"/>
      <c r="I1898" s="145"/>
    </row>
    <row r="1899" spans="1:9" ht="24.95" hidden="1" customHeight="1">
      <c r="A1899" s="141"/>
      <c r="B1899" s="141"/>
      <c r="C1899" s="143"/>
      <c r="D1899" s="141"/>
      <c r="E1899" s="143"/>
      <c r="F1899" s="150"/>
      <c r="G1899" s="150"/>
      <c r="H1899" s="145"/>
      <c r="I1899" s="145"/>
    </row>
    <row r="1900" spans="1:9" ht="24.95" hidden="1" customHeight="1">
      <c r="A1900" s="141"/>
      <c r="B1900" s="141"/>
      <c r="C1900" s="143"/>
      <c r="D1900" s="141"/>
      <c r="E1900" s="143"/>
      <c r="F1900" s="150"/>
      <c r="G1900" s="150"/>
      <c r="H1900" s="145"/>
      <c r="I1900" s="145"/>
    </row>
    <row r="1901" spans="1:9" ht="24.95" hidden="1" customHeight="1">
      <c r="A1901" s="141"/>
      <c r="B1901" s="141"/>
      <c r="C1901" s="143"/>
      <c r="D1901" s="141"/>
      <c r="E1901" s="143"/>
      <c r="F1901" s="150"/>
      <c r="G1901" s="150"/>
      <c r="H1901" s="145"/>
      <c r="I1901" s="145"/>
    </row>
    <row r="1902" spans="1:9" ht="24.95" hidden="1" customHeight="1">
      <c r="A1902" s="141"/>
      <c r="B1902" s="141"/>
      <c r="C1902" s="143"/>
      <c r="D1902" s="141"/>
      <c r="E1902" s="143"/>
      <c r="F1902" s="150"/>
      <c r="G1902" s="150"/>
      <c r="H1902" s="145"/>
      <c r="I1902" s="145"/>
    </row>
    <row r="1903" spans="1:9" ht="24.95" hidden="1" customHeight="1">
      <c r="A1903" s="141"/>
      <c r="B1903" s="141"/>
      <c r="C1903" s="143"/>
      <c r="D1903" s="141"/>
      <c r="E1903" s="143"/>
      <c r="F1903" s="150"/>
      <c r="G1903" s="150"/>
      <c r="H1903" s="145"/>
      <c r="I1903" s="145"/>
    </row>
    <row r="1904" spans="1:9" ht="24.95" hidden="1" customHeight="1">
      <c r="A1904" s="141"/>
      <c r="B1904" s="141"/>
      <c r="C1904" s="143"/>
      <c r="D1904" s="141"/>
      <c r="E1904" s="143"/>
      <c r="F1904" s="150"/>
      <c r="G1904" s="150"/>
      <c r="H1904" s="145"/>
      <c r="I1904" s="145"/>
    </row>
    <row r="1905" spans="1:9" ht="24.95" hidden="1" customHeight="1">
      <c r="A1905" s="141"/>
      <c r="B1905" s="141"/>
      <c r="C1905" s="143"/>
      <c r="D1905" s="141"/>
      <c r="E1905" s="143"/>
      <c r="F1905" s="150"/>
      <c r="G1905" s="150"/>
      <c r="H1905" s="145"/>
      <c r="I1905" s="145"/>
    </row>
    <row r="1906" spans="1:9" ht="24.95" hidden="1" customHeight="1">
      <c r="A1906" s="141"/>
      <c r="B1906" s="141"/>
      <c r="C1906" s="143"/>
      <c r="D1906" s="141"/>
      <c r="E1906" s="143"/>
      <c r="F1906" s="150"/>
      <c r="G1906" s="150"/>
      <c r="H1906" s="145"/>
      <c r="I1906" s="145"/>
    </row>
    <row r="1907" spans="1:9" ht="24.95" hidden="1" customHeight="1">
      <c r="A1907" s="141"/>
      <c r="B1907" s="141"/>
      <c r="C1907" s="143"/>
      <c r="D1907" s="141"/>
      <c r="E1907" s="143"/>
      <c r="F1907" s="150"/>
      <c r="G1907" s="150"/>
      <c r="H1907" s="145"/>
      <c r="I1907" s="145"/>
    </row>
    <row r="1908" spans="1:9" ht="24.95" hidden="1" customHeight="1">
      <c r="A1908" s="141"/>
      <c r="B1908" s="141"/>
      <c r="C1908" s="143"/>
      <c r="D1908" s="141"/>
      <c r="E1908" s="143"/>
      <c r="F1908" s="150"/>
      <c r="G1908" s="150"/>
      <c r="H1908" s="145"/>
      <c r="I1908" s="145"/>
    </row>
    <row r="1909" spans="1:9" ht="24.95" hidden="1" customHeight="1">
      <c r="A1909" s="141"/>
      <c r="B1909" s="141"/>
      <c r="C1909" s="143"/>
      <c r="D1909" s="141"/>
      <c r="E1909" s="143"/>
      <c r="F1909" s="150"/>
      <c r="G1909" s="150"/>
      <c r="H1909" s="145"/>
      <c r="I1909" s="145"/>
    </row>
    <row r="1910" spans="1:9" ht="24.95" hidden="1" customHeight="1">
      <c r="A1910" s="141"/>
      <c r="B1910" s="141"/>
      <c r="C1910" s="143"/>
      <c r="D1910" s="141"/>
      <c r="E1910" s="143"/>
      <c r="F1910" s="150"/>
      <c r="G1910" s="150"/>
      <c r="H1910" s="145"/>
      <c r="I1910" s="145"/>
    </row>
    <row r="1911" spans="1:9" ht="24.95" hidden="1" customHeight="1">
      <c r="A1911" s="141"/>
      <c r="B1911" s="141"/>
      <c r="C1911" s="143"/>
      <c r="D1911" s="141"/>
      <c r="E1911" s="143"/>
      <c r="F1911" s="150"/>
      <c r="G1911" s="150"/>
      <c r="H1911" s="145"/>
      <c r="I1911" s="145"/>
    </row>
    <row r="1912" spans="1:9" ht="24.95" hidden="1" customHeight="1">
      <c r="A1912" s="141"/>
      <c r="B1912" s="141"/>
      <c r="C1912" s="143"/>
      <c r="D1912" s="141"/>
      <c r="E1912" s="143"/>
      <c r="F1912" s="150"/>
      <c r="G1912" s="150"/>
      <c r="H1912" s="145"/>
      <c r="I1912" s="145"/>
    </row>
    <row r="1913" spans="1:9" ht="24.95" hidden="1" customHeight="1">
      <c r="A1913" s="141"/>
      <c r="B1913" s="141"/>
      <c r="C1913" s="143"/>
      <c r="D1913" s="141"/>
      <c r="E1913" s="143"/>
      <c r="F1913" s="150"/>
      <c r="G1913" s="150"/>
      <c r="H1913" s="145"/>
      <c r="I1913" s="145"/>
    </row>
    <row r="1914" spans="1:9" ht="24.95" hidden="1" customHeight="1">
      <c r="A1914" s="141"/>
      <c r="B1914" s="141"/>
      <c r="C1914" s="143"/>
      <c r="D1914" s="141"/>
      <c r="E1914" s="143"/>
      <c r="F1914" s="150"/>
      <c r="G1914" s="150"/>
      <c r="H1914" s="145"/>
      <c r="I1914" s="145"/>
    </row>
    <row r="1915" spans="1:9" ht="24.95" hidden="1" customHeight="1">
      <c r="A1915" s="141"/>
      <c r="B1915" s="141"/>
      <c r="C1915" s="143"/>
      <c r="D1915" s="141"/>
      <c r="E1915" s="143"/>
      <c r="F1915" s="150"/>
      <c r="G1915" s="150"/>
      <c r="H1915" s="145"/>
      <c r="I1915" s="145"/>
    </row>
    <row r="1916" spans="1:9" ht="24.95" hidden="1" customHeight="1">
      <c r="A1916" s="141"/>
      <c r="B1916" s="141"/>
      <c r="C1916" s="143"/>
      <c r="D1916" s="141"/>
      <c r="E1916" s="143"/>
      <c r="F1916" s="150"/>
      <c r="G1916" s="150"/>
      <c r="H1916" s="145"/>
      <c r="I1916" s="145"/>
    </row>
    <row r="1917" spans="1:9" ht="24.95" hidden="1" customHeight="1">
      <c r="A1917" s="141"/>
      <c r="B1917" s="141"/>
      <c r="C1917" s="143"/>
      <c r="D1917" s="141"/>
      <c r="E1917" s="143"/>
      <c r="F1917" s="150"/>
      <c r="G1917" s="150"/>
      <c r="H1917" s="145"/>
      <c r="I1917" s="145"/>
    </row>
    <row r="1918" spans="1:9" ht="24.95" hidden="1" customHeight="1">
      <c r="A1918" s="141"/>
      <c r="B1918" s="141"/>
      <c r="C1918" s="143"/>
      <c r="D1918" s="141"/>
      <c r="E1918" s="143"/>
      <c r="F1918" s="150"/>
      <c r="G1918" s="150"/>
      <c r="H1918" s="145"/>
      <c r="I1918" s="145"/>
    </row>
    <row r="1919" spans="1:9" ht="24.95" hidden="1" customHeight="1">
      <c r="A1919" s="141"/>
      <c r="B1919" s="141"/>
      <c r="C1919" s="143"/>
      <c r="D1919" s="141"/>
      <c r="E1919" s="143"/>
      <c r="F1919" s="150"/>
      <c r="G1919" s="150"/>
      <c r="H1919" s="145"/>
      <c r="I1919" s="145"/>
    </row>
    <row r="1920" spans="1:9" ht="24.95" hidden="1" customHeight="1">
      <c r="A1920" s="141"/>
      <c r="B1920" s="141"/>
      <c r="C1920" s="143"/>
      <c r="D1920" s="141"/>
      <c r="E1920" s="143"/>
      <c r="F1920" s="150"/>
      <c r="G1920" s="150"/>
      <c r="H1920" s="145"/>
      <c r="I1920" s="145"/>
    </row>
    <row r="1921" spans="1:9" ht="24.95" hidden="1" customHeight="1">
      <c r="A1921" s="141"/>
      <c r="B1921" s="141"/>
      <c r="C1921" s="143"/>
      <c r="D1921" s="141"/>
      <c r="E1921" s="143"/>
      <c r="F1921" s="150"/>
      <c r="G1921" s="150"/>
      <c r="H1921" s="145"/>
      <c r="I1921" s="145"/>
    </row>
    <row r="1922" spans="1:9" ht="24.95" hidden="1" customHeight="1">
      <c r="A1922" s="141"/>
      <c r="B1922" s="141"/>
      <c r="C1922" s="143"/>
      <c r="D1922" s="141"/>
      <c r="E1922" s="143"/>
      <c r="F1922" s="150"/>
      <c r="G1922" s="150"/>
      <c r="H1922" s="145"/>
      <c r="I1922" s="145"/>
    </row>
    <row r="1923" spans="1:9" ht="24.95" hidden="1" customHeight="1">
      <c r="A1923" s="141"/>
      <c r="B1923" s="141"/>
      <c r="C1923" s="143"/>
      <c r="D1923" s="141"/>
      <c r="E1923" s="143"/>
      <c r="F1923" s="150"/>
      <c r="G1923" s="150"/>
      <c r="H1923" s="145"/>
      <c r="I1923" s="145"/>
    </row>
    <row r="1924" spans="1:9" ht="24.95" hidden="1" customHeight="1">
      <c r="A1924" s="141"/>
      <c r="B1924" s="141"/>
      <c r="C1924" s="143"/>
      <c r="D1924" s="141"/>
      <c r="E1924" s="143"/>
      <c r="F1924" s="150"/>
      <c r="G1924" s="150"/>
      <c r="H1924" s="145"/>
      <c r="I1924" s="145"/>
    </row>
    <row r="1925" spans="1:9" ht="24.95" hidden="1" customHeight="1">
      <c r="A1925" s="141"/>
      <c r="B1925" s="141"/>
      <c r="C1925" s="143"/>
      <c r="D1925" s="141"/>
      <c r="E1925" s="143"/>
      <c r="F1925" s="150"/>
      <c r="G1925" s="150"/>
      <c r="H1925" s="145"/>
      <c r="I1925" s="145"/>
    </row>
    <row r="1926" spans="1:9" ht="24.95" hidden="1" customHeight="1">
      <c r="A1926" s="141"/>
      <c r="B1926" s="141"/>
      <c r="C1926" s="143"/>
      <c r="D1926" s="141"/>
      <c r="E1926" s="143"/>
      <c r="F1926" s="150"/>
      <c r="G1926" s="150"/>
      <c r="H1926" s="145"/>
      <c r="I1926" s="145"/>
    </row>
    <row r="1927" spans="1:9" ht="24.95" hidden="1" customHeight="1">
      <c r="A1927" s="141"/>
      <c r="B1927" s="141"/>
      <c r="C1927" s="143"/>
      <c r="D1927" s="141"/>
      <c r="E1927" s="143"/>
      <c r="F1927" s="150"/>
      <c r="G1927" s="150"/>
      <c r="H1927" s="145"/>
      <c r="I1927" s="145"/>
    </row>
    <row r="1928" spans="1:9" ht="24.95" hidden="1" customHeight="1">
      <c r="A1928" s="141"/>
      <c r="B1928" s="141"/>
      <c r="C1928" s="143"/>
      <c r="D1928" s="141"/>
      <c r="E1928" s="143"/>
      <c r="F1928" s="150"/>
      <c r="G1928" s="150"/>
      <c r="H1928" s="145"/>
      <c r="I1928" s="145"/>
    </row>
    <row r="1929" spans="1:9" ht="24.95" hidden="1" customHeight="1">
      <c r="A1929" s="141"/>
      <c r="B1929" s="141"/>
      <c r="C1929" s="143"/>
      <c r="D1929" s="141"/>
      <c r="E1929" s="143"/>
      <c r="F1929" s="150"/>
      <c r="G1929" s="150"/>
      <c r="H1929" s="145"/>
      <c r="I1929" s="145"/>
    </row>
    <row r="1930" spans="1:9" ht="24.95" hidden="1" customHeight="1">
      <c r="A1930" s="141"/>
      <c r="B1930" s="141"/>
      <c r="C1930" s="143"/>
      <c r="D1930" s="141"/>
      <c r="E1930" s="143"/>
      <c r="F1930" s="150"/>
      <c r="G1930" s="150"/>
      <c r="H1930" s="145"/>
      <c r="I1930" s="145"/>
    </row>
    <row r="1931" spans="1:9" ht="24.95" hidden="1" customHeight="1">
      <c r="A1931" s="141"/>
      <c r="B1931" s="141"/>
      <c r="C1931" s="143"/>
      <c r="D1931" s="141"/>
      <c r="E1931" s="143"/>
      <c r="F1931" s="150"/>
      <c r="G1931" s="150"/>
      <c r="H1931" s="145"/>
      <c r="I1931" s="145"/>
    </row>
    <row r="1932" spans="1:9" ht="24.95" hidden="1" customHeight="1">
      <c r="A1932" s="141"/>
      <c r="B1932" s="141"/>
      <c r="C1932" s="143"/>
      <c r="D1932" s="141"/>
      <c r="E1932" s="143"/>
      <c r="F1932" s="150"/>
      <c r="G1932" s="150"/>
      <c r="H1932" s="145"/>
      <c r="I1932" s="145"/>
    </row>
    <row r="1933" spans="1:9" ht="24.95" hidden="1" customHeight="1">
      <c r="A1933" s="141"/>
      <c r="B1933" s="141"/>
      <c r="C1933" s="143"/>
      <c r="D1933" s="141"/>
      <c r="E1933" s="143"/>
      <c r="F1933" s="150"/>
      <c r="G1933" s="150"/>
      <c r="H1933" s="145"/>
      <c r="I1933" s="145"/>
    </row>
    <row r="1934" spans="1:9" ht="24.95" hidden="1" customHeight="1">
      <c r="A1934" s="138"/>
      <c r="B1934" s="138"/>
      <c r="C1934" s="178"/>
      <c r="D1934" s="138"/>
      <c r="E1934" s="178"/>
      <c r="F1934" s="151"/>
      <c r="G1934" s="151"/>
      <c r="H1934" s="146"/>
      <c r="I1934" s="146"/>
    </row>
    <row r="1935" spans="1:9" ht="24.95" hidden="1" customHeight="1">
      <c r="A1935" s="138"/>
      <c r="B1935" s="138"/>
      <c r="C1935" s="178"/>
      <c r="D1935" s="138"/>
      <c r="E1935" s="178"/>
      <c r="F1935" s="151"/>
      <c r="G1935" s="151"/>
      <c r="H1935" s="146"/>
      <c r="I1935" s="146"/>
    </row>
    <row r="1936" spans="1:9" ht="24.95" hidden="1" customHeight="1">
      <c r="A1936" s="138"/>
      <c r="B1936" s="138"/>
      <c r="C1936" s="178"/>
      <c r="D1936" s="138"/>
      <c r="E1936" s="178"/>
      <c r="F1936" s="151"/>
      <c r="G1936" s="151"/>
      <c r="H1936" s="146"/>
      <c r="I1936" s="146"/>
    </row>
    <row r="1937" spans="1:9" ht="24.95" hidden="1" customHeight="1">
      <c r="A1937" s="138"/>
      <c r="B1937" s="138"/>
      <c r="C1937" s="178"/>
      <c r="D1937" s="138"/>
      <c r="E1937" s="178"/>
      <c r="F1937" s="151"/>
      <c r="G1937" s="151"/>
      <c r="H1937" s="146"/>
      <c r="I1937" s="146"/>
    </row>
    <row r="1938" spans="1:9" ht="24.95" hidden="1" customHeight="1">
      <c r="A1938" s="138"/>
      <c r="B1938" s="138"/>
      <c r="C1938" s="178"/>
      <c r="D1938" s="138"/>
      <c r="E1938" s="178"/>
      <c r="F1938" s="151"/>
      <c r="G1938" s="151"/>
      <c r="H1938" s="146"/>
      <c r="I1938" s="146"/>
    </row>
    <row r="1939" spans="1:9" ht="24.95" hidden="1" customHeight="1">
      <c r="A1939" s="138"/>
      <c r="B1939" s="138"/>
      <c r="C1939" s="178"/>
      <c r="D1939" s="138"/>
      <c r="E1939" s="178"/>
      <c r="F1939" s="151"/>
      <c r="G1939" s="151"/>
      <c r="H1939" s="146"/>
      <c r="I1939" s="146"/>
    </row>
    <row r="1940" spans="1:9" ht="24.95" hidden="1" customHeight="1">
      <c r="A1940" s="138"/>
      <c r="B1940" s="138"/>
      <c r="C1940" s="178"/>
      <c r="D1940" s="138"/>
      <c r="E1940" s="178"/>
      <c r="F1940" s="151"/>
      <c r="G1940" s="151"/>
      <c r="H1940" s="146"/>
      <c r="I1940" s="146"/>
    </row>
    <row r="1941" spans="1:9" ht="24.95" hidden="1" customHeight="1">
      <c r="A1941" s="138"/>
      <c r="B1941" s="138"/>
      <c r="C1941" s="178"/>
      <c r="D1941" s="138"/>
      <c r="E1941" s="178"/>
      <c r="F1941" s="151"/>
      <c r="G1941" s="151"/>
      <c r="H1941" s="146"/>
      <c r="I1941" s="146"/>
    </row>
    <row r="1942" spans="1:9" ht="24.95" hidden="1" customHeight="1">
      <c r="A1942" s="138"/>
      <c r="B1942" s="138"/>
      <c r="C1942" s="178"/>
      <c r="D1942" s="138"/>
      <c r="E1942" s="178"/>
      <c r="F1942" s="151"/>
      <c r="G1942" s="151"/>
      <c r="H1942" s="146"/>
      <c r="I1942" s="146"/>
    </row>
    <row r="1943" spans="1:9" ht="24.95" hidden="1" customHeight="1">
      <c r="A1943" s="138"/>
      <c r="B1943" s="138"/>
      <c r="C1943" s="178"/>
      <c r="D1943" s="138"/>
      <c r="E1943" s="178"/>
      <c r="F1943" s="151"/>
      <c r="G1943" s="151"/>
      <c r="H1943" s="146"/>
      <c r="I1943" s="146"/>
    </row>
    <row r="1944" spans="1:9" ht="24.95" hidden="1" customHeight="1">
      <c r="A1944" s="138"/>
      <c r="B1944" s="138"/>
      <c r="C1944" s="178"/>
      <c r="D1944" s="138"/>
      <c r="E1944" s="178"/>
      <c r="F1944" s="151"/>
      <c r="G1944" s="151"/>
      <c r="H1944" s="146"/>
      <c r="I1944" s="146"/>
    </row>
    <row r="1945" spans="1:9" ht="24.95" hidden="1" customHeight="1">
      <c r="A1945" s="138"/>
      <c r="B1945" s="138"/>
      <c r="C1945" s="178"/>
      <c r="D1945" s="138"/>
      <c r="E1945" s="178"/>
      <c r="F1945" s="151"/>
      <c r="G1945" s="151"/>
      <c r="H1945" s="146"/>
      <c r="I1945" s="146"/>
    </row>
    <row r="1946" spans="1:9" ht="24.95" hidden="1" customHeight="1">
      <c r="A1946" s="138"/>
      <c r="B1946" s="138"/>
      <c r="C1946" s="178"/>
      <c r="D1946" s="138"/>
      <c r="E1946" s="178"/>
      <c r="F1946" s="151"/>
      <c r="G1946" s="151"/>
      <c r="H1946" s="146"/>
      <c r="I1946" s="146"/>
    </row>
    <row r="1947" spans="1:9" ht="24.95" hidden="1" customHeight="1">
      <c r="A1947" s="138"/>
      <c r="B1947" s="138"/>
      <c r="C1947" s="178"/>
      <c r="D1947" s="138"/>
      <c r="E1947" s="178"/>
      <c r="F1947" s="151"/>
      <c r="G1947" s="151"/>
      <c r="H1947" s="146"/>
      <c r="I1947" s="146"/>
    </row>
    <row r="1948" spans="1:9" ht="24.95" hidden="1" customHeight="1">
      <c r="A1948" s="138"/>
      <c r="B1948" s="138"/>
      <c r="C1948" s="178"/>
      <c r="D1948" s="138"/>
      <c r="E1948" s="178"/>
      <c r="F1948" s="151"/>
      <c r="G1948" s="151"/>
      <c r="H1948" s="146"/>
      <c r="I1948" s="146"/>
    </row>
    <row r="1949" spans="1:9" ht="24.95" hidden="1" customHeight="1">
      <c r="A1949" s="138"/>
      <c r="B1949" s="138"/>
      <c r="C1949" s="178"/>
      <c r="D1949" s="138"/>
      <c r="E1949" s="178"/>
      <c r="F1949" s="151"/>
      <c r="G1949" s="151"/>
      <c r="H1949" s="146"/>
      <c r="I1949" s="146"/>
    </row>
    <row r="1950" spans="1:9" ht="24.95" hidden="1" customHeight="1">
      <c r="A1950" s="138"/>
      <c r="B1950" s="138"/>
      <c r="C1950" s="178"/>
      <c r="D1950" s="138"/>
      <c r="E1950" s="178"/>
      <c r="F1950" s="151"/>
      <c r="G1950" s="151"/>
      <c r="H1950" s="146"/>
      <c r="I1950" s="146"/>
    </row>
    <row r="1951" spans="1:9" ht="24.95" hidden="1" customHeight="1">
      <c r="A1951" s="138"/>
      <c r="B1951" s="138"/>
      <c r="C1951" s="178"/>
      <c r="D1951" s="138"/>
      <c r="E1951" s="178"/>
      <c r="F1951" s="151"/>
      <c r="G1951" s="151"/>
      <c r="H1951" s="146"/>
      <c r="I1951" s="146"/>
    </row>
    <row r="1952" spans="1:9" ht="24.95" hidden="1" customHeight="1">
      <c r="A1952" s="138"/>
      <c r="B1952" s="138"/>
      <c r="C1952" s="178"/>
      <c r="D1952" s="138"/>
      <c r="E1952" s="178"/>
      <c r="F1952" s="151"/>
      <c r="G1952" s="151"/>
      <c r="H1952" s="146"/>
      <c r="I1952" s="146"/>
    </row>
    <row r="1953" spans="1:9" ht="24.95" hidden="1" customHeight="1">
      <c r="A1953" s="138"/>
      <c r="B1953" s="138"/>
      <c r="C1953" s="178"/>
      <c r="D1953" s="138"/>
      <c r="E1953" s="178"/>
      <c r="F1953" s="151"/>
      <c r="G1953" s="151"/>
      <c r="H1953" s="146"/>
      <c r="I1953" s="146"/>
    </row>
    <row r="1954" spans="1:9" ht="24.95" hidden="1" customHeight="1">
      <c r="A1954" s="138"/>
      <c r="B1954" s="138"/>
      <c r="C1954" s="178"/>
      <c r="D1954" s="138"/>
      <c r="E1954" s="178"/>
      <c r="F1954" s="151"/>
      <c r="G1954" s="151"/>
      <c r="H1954" s="146"/>
      <c r="I1954" s="146"/>
    </row>
    <row r="1955" spans="1:9" ht="24.95" hidden="1" customHeight="1">
      <c r="A1955" s="138"/>
      <c r="B1955" s="138"/>
      <c r="C1955" s="178"/>
      <c r="D1955" s="138"/>
      <c r="E1955" s="178"/>
      <c r="F1955" s="151"/>
      <c r="G1955" s="151"/>
      <c r="H1955" s="146"/>
      <c r="I1955" s="146"/>
    </row>
    <row r="1956" spans="1:9" ht="24.95" hidden="1" customHeight="1">
      <c r="A1956" s="138"/>
      <c r="B1956" s="138"/>
      <c r="C1956" s="178"/>
      <c r="D1956" s="138"/>
      <c r="E1956" s="178"/>
      <c r="F1956" s="151"/>
      <c r="G1956" s="151"/>
      <c r="H1956" s="146"/>
      <c r="I1956" s="146"/>
    </row>
    <row r="1957" spans="1:9" ht="24.95" hidden="1" customHeight="1">
      <c r="A1957" s="138"/>
      <c r="B1957" s="138"/>
      <c r="C1957" s="178"/>
      <c r="D1957" s="138"/>
      <c r="E1957" s="178"/>
      <c r="F1957" s="151"/>
      <c r="G1957" s="151"/>
      <c r="H1957" s="146"/>
      <c r="I1957" s="146"/>
    </row>
    <row r="1958" spans="1:9" ht="24.95" hidden="1" customHeight="1">
      <c r="A1958" s="138"/>
      <c r="B1958" s="138"/>
      <c r="C1958" s="178"/>
      <c r="D1958" s="138"/>
      <c r="E1958" s="178"/>
      <c r="F1958" s="151"/>
      <c r="G1958" s="151"/>
      <c r="H1958" s="146"/>
      <c r="I1958" s="146"/>
    </row>
    <row r="1959" spans="1:9" ht="24.95" hidden="1" customHeight="1">
      <c r="A1959" s="138"/>
      <c r="B1959" s="138"/>
      <c r="C1959" s="178"/>
      <c r="D1959" s="138"/>
      <c r="E1959" s="178"/>
      <c r="F1959" s="151"/>
      <c r="G1959" s="151"/>
      <c r="H1959" s="146"/>
      <c r="I1959" s="146"/>
    </row>
    <row r="1960" spans="1:9" ht="24.95" hidden="1" customHeight="1">
      <c r="A1960" s="138"/>
      <c r="B1960" s="138"/>
      <c r="C1960" s="178"/>
      <c r="D1960" s="138"/>
      <c r="E1960" s="178"/>
      <c r="F1960" s="151"/>
      <c r="G1960" s="151"/>
      <c r="H1960" s="146"/>
      <c r="I1960" s="146"/>
    </row>
    <row r="1961" spans="1:9" ht="24.95" hidden="1" customHeight="1">
      <c r="A1961" s="138"/>
      <c r="B1961" s="138"/>
      <c r="C1961" s="178"/>
      <c r="D1961" s="138"/>
      <c r="E1961" s="178"/>
      <c r="F1961" s="151"/>
      <c r="G1961" s="151"/>
      <c r="H1961" s="146"/>
      <c r="I1961" s="146"/>
    </row>
    <row r="1962" spans="1:9" ht="24.95" hidden="1" customHeight="1">
      <c r="A1962" s="138"/>
      <c r="B1962" s="138"/>
      <c r="C1962" s="178"/>
      <c r="D1962" s="138"/>
      <c r="E1962" s="178"/>
      <c r="F1962" s="151"/>
      <c r="G1962" s="151"/>
      <c r="H1962" s="146"/>
      <c r="I1962" s="146"/>
    </row>
    <row r="1963" spans="1:9" ht="24.95" hidden="1" customHeight="1">
      <c r="A1963" s="138"/>
      <c r="B1963" s="138"/>
      <c r="C1963" s="178"/>
      <c r="D1963" s="138"/>
      <c r="E1963" s="178"/>
      <c r="F1963" s="151"/>
      <c r="G1963" s="151"/>
      <c r="H1963" s="146"/>
      <c r="I1963" s="146"/>
    </row>
    <row r="1964" spans="1:9" ht="24.95" hidden="1" customHeight="1">
      <c r="A1964" s="138"/>
      <c r="B1964" s="138"/>
      <c r="C1964" s="178"/>
      <c r="D1964" s="138"/>
      <c r="E1964" s="178"/>
      <c r="F1964" s="151"/>
      <c r="G1964" s="151"/>
      <c r="H1964" s="146"/>
      <c r="I1964" s="146"/>
    </row>
    <row r="1965" spans="1:9" ht="24.95" hidden="1" customHeight="1">
      <c r="A1965" s="138"/>
      <c r="B1965" s="138"/>
      <c r="C1965" s="178"/>
      <c r="D1965" s="138"/>
      <c r="E1965" s="178"/>
      <c r="F1965" s="151"/>
      <c r="G1965" s="151"/>
      <c r="H1965" s="146"/>
      <c r="I1965" s="146"/>
    </row>
    <row r="1966" spans="1:9" ht="24.95" hidden="1" customHeight="1">
      <c r="A1966" s="138"/>
      <c r="B1966" s="138"/>
      <c r="C1966" s="178"/>
      <c r="D1966" s="138"/>
      <c r="E1966" s="178"/>
      <c r="F1966" s="151"/>
      <c r="G1966" s="151"/>
      <c r="H1966" s="146"/>
      <c r="I1966" s="146"/>
    </row>
    <row r="1967" spans="1:9" ht="24.95" hidden="1" customHeight="1">
      <c r="A1967" s="138"/>
      <c r="B1967" s="138"/>
      <c r="C1967" s="178"/>
      <c r="D1967" s="138"/>
      <c r="E1967" s="178"/>
      <c r="F1967" s="151"/>
      <c r="G1967" s="151"/>
      <c r="H1967" s="146"/>
      <c r="I1967" s="146"/>
    </row>
    <row r="1968" spans="1:9" ht="24.95" hidden="1" customHeight="1">
      <c r="A1968" s="138"/>
      <c r="B1968" s="138"/>
      <c r="C1968" s="178"/>
      <c r="D1968" s="138"/>
      <c r="E1968" s="178"/>
      <c r="F1968" s="151"/>
      <c r="G1968" s="151"/>
      <c r="H1968" s="146"/>
      <c r="I1968" s="146"/>
    </row>
    <row r="1969" spans="1:9" ht="24.95" hidden="1" customHeight="1">
      <c r="A1969" s="138"/>
      <c r="B1969" s="138"/>
      <c r="C1969" s="178"/>
      <c r="D1969" s="138"/>
      <c r="E1969" s="178"/>
      <c r="F1969" s="151"/>
      <c r="G1969" s="151"/>
      <c r="H1969" s="146"/>
      <c r="I1969" s="146"/>
    </row>
    <row r="1970" spans="1:9" ht="24.95" hidden="1" customHeight="1">
      <c r="A1970" s="138"/>
      <c r="B1970" s="138"/>
      <c r="C1970" s="178"/>
      <c r="D1970" s="138"/>
      <c r="E1970" s="178"/>
      <c r="F1970" s="151"/>
      <c r="G1970" s="151"/>
      <c r="H1970" s="146"/>
      <c r="I1970" s="146"/>
    </row>
    <row r="1971" spans="1:9" ht="24.95" hidden="1" customHeight="1">
      <c r="A1971" s="138"/>
      <c r="B1971" s="138"/>
      <c r="C1971" s="178"/>
      <c r="D1971" s="138"/>
      <c r="E1971" s="178"/>
      <c r="F1971" s="151"/>
      <c r="G1971" s="151"/>
      <c r="H1971" s="146"/>
      <c r="I1971" s="146"/>
    </row>
    <row r="1972" spans="1:9" ht="24.95" hidden="1" customHeight="1">
      <c r="A1972" s="138"/>
      <c r="B1972" s="138"/>
      <c r="C1972" s="178"/>
      <c r="D1972" s="138"/>
      <c r="E1972" s="178"/>
      <c r="F1972" s="151"/>
      <c r="G1972" s="151"/>
      <c r="H1972" s="146"/>
      <c r="I1972" s="146"/>
    </row>
    <row r="1973" spans="1:9" ht="24.95" hidden="1" customHeight="1">
      <c r="A1973" s="138"/>
      <c r="B1973" s="138"/>
      <c r="C1973" s="178"/>
      <c r="D1973" s="138"/>
      <c r="E1973" s="178"/>
      <c r="F1973" s="151"/>
      <c r="G1973" s="151"/>
      <c r="H1973" s="146"/>
      <c r="I1973" s="146"/>
    </row>
    <row r="1974" spans="1:9" ht="24.95" hidden="1" customHeight="1">
      <c r="A1974" s="138"/>
      <c r="B1974" s="138"/>
      <c r="C1974" s="178"/>
      <c r="D1974" s="138"/>
      <c r="E1974" s="178"/>
      <c r="F1974" s="151"/>
      <c r="G1974" s="151"/>
      <c r="H1974" s="146"/>
      <c r="I1974" s="146"/>
    </row>
    <row r="1975" spans="1:9" ht="24.95" hidden="1" customHeight="1">
      <c r="A1975" s="138"/>
      <c r="B1975" s="138"/>
      <c r="C1975" s="178"/>
      <c r="D1975" s="138"/>
      <c r="E1975" s="178"/>
      <c r="F1975" s="151"/>
      <c r="G1975" s="151"/>
      <c r="H1975" s="146"/>
      <c r="I1975" s="146"/>
    </row>
    <row r="1976" spans="1:9" ht="24.95" hidden="1" customHeight="1">
      <c r="A1976" s="138"/>
      <c r="B1976" s="138"/>
      <c r="C1976" s="178"/>
      <c r="D1976" s="138"/>
      <c r="E1976" s="178"/>
      <c r="F1976" s="151"/>
      <c r="G1976" s="151"/>
      <c r="H1976" s="146"/>
      <c r="I1976" s="146"/>
    </row>
    <row r="1977" spans="1:9" ht="24.95" hidden="1" customHeight="1">
      <c r="A1977" s="138"/>
      <c r="B1977" s="138"/>
      <c r="C1977" s="178"/>
      <c r="D1977" s="138"/>
      <c r="E1977" s="178"/>
      <c r="F1977" s="151"/>
      <c r="G1977" s="151"/>
      <c r="H1977" s="146"/>
      <c r="I1977" s="146"/>
    </row>
    <row r="1978" spans="1:9" ht="24.95" hidden="1" customHeight="1">
      <c r="A1978" s="138"/>
      <c r="B1978" s="138"/>
      <c r="C1978" s="178"/>
      <c r="D1978" s="138"/>
      <c r="E1978" s="178"/>
      <c r="F1978" s="151"/>
      <c r="G1978" s="151"/>
      <c r="H1978" s="146"/>
      <c r="I1978" s="146"/>
    </row>
    <row r="1979" spans="1:9" ht="24.95" hidden="1" customHeight="1">
      <c r="A1979" s="138"/>
      <c r="B1979" s="138"/>
      <c r="C1979" s="178"/>
      <c r="D1979" s="138"/>
      <c r="E1979" s="178"/>
      <c r="F1979" s="151"/>
      <c r="G1979" s="151"/>
      <c r="H1979" s="146"/>
      <c r="I1979" s="146"/>
    </row>
    <row r="1980" spans="1:9" ht="24.95" hidden="1" customHeight="1">
      <c r="A1980" s="138"/>
      <c r="B1980" s="138"/>
      <c r="C1980" s="178"/>
      <c r="D1980" s="138"/>
      <c r="E1980" s="178"/>
      <c r="F1980" s="151"/>
      <c r="G1980" s="151"/>
      <c r="H1980" s="146"/>
      <c r="I1980" s="146"/>
    </row>
    <row r="1981" spans="1:9" ht="24.95" hidden="1" customHeight="1">
      <c r="A1981" s="138"/>
      <c r="B1981" s="138"/>
      <c r="C1981" s="178"/>
      <c r="D1981" s="138"/>
      <c r="E1981" s="178"/>
      <c r="F1981" s="151"/>
      <c r="G1981" s="151"/>
      <c r="H1981" s="146"/>
      <c r="I1981" s="146"/>
    </row>
    <row r="1982" spans="1:9" ht="24.95" hidden="1" customHeight="1">
      <c r="A1982" s="138"/>
      <c r="B1982" s="138"/>
      <c r="C1982" s="178"/>
      <c r="D1982" s="138"/>
      <c r="E1982" s="178"/>
      <c r="F1982" s="151"/>
      <c r="G1982" s="151"/>
      <c r="H1982" s="146"/>
      <c r="I1982" s="146"/>
    </row>
    <row r="1983" spans="1:9" ht="24.95" hidden="1" customHeight="1">
      <c r="A1983" s="138"/>
      <c r="B1983" s="138"/>
      <c r="C1983" s="178"/>
      <c r="D1983" s="138"/>
      <c r="E1983" s="178"/>
      <c r="F1983" s="151"/>
      <c r="G1983" s="151"/>
      <c r="H1983" s="146"/>
      <c r="I1983" s="146"/>
    </row>
    <row r="1984" spans="1:9" ht="24.95" hidden="1" customHeight="1">
      <c r="A1984" s="138"/>
      <c r="B1984" s="138"/>
      <c r="C1984" s="178"/>
      <c r="D1984" s="138"/>
      <c r="E1984" s="178"/>
      <c r="F1984" s="151"/>
      <c r="G1984" s="151"/>
      <c r="H1984" s="146"/>
      <c r="I1984" s="146"/>
    </row>
    <row r="1985" spans="1:9" ht="24.95" hidden="1" customHeight="1">
      <c r="A1985" s="138"/>
      <c r="B1985" s="138"/>
      <c r="C1985" s="178"/>
      <c r="D1985" s="138"/>
      <c r="E1985" s="178"/>
      <c r="F1985" s="151"/>
      <c r="G1985" s="151"/>
      <c r="H1985" s="146"/>
      <c r="I1985" s="146"/>
    </row>
    <row r="1986" spans="1:9" ht="24.95" hidden="1" customHeight="1">
      <c r="A1986" s="138"/>
      <c r="B1986" s="138"/>
      <c r="C1986" s="178"/>
      <c r="D1986" s="138"/>
      <c r="E1986" s="178"/>
      <c r="F1986" s="151"/>
      <c r="G1986" s="151"/>
      <c r="H1986" s="146"/>
      <c r="I1986" s="146"/>
    </row>
    <row r="1987" spans="1:9" ht="24.95" hidden="1" customHeight="1">
      <c r="A1987" s="138"/>
      <c r="B1987" s="138"/>
      <c r="C1987" s="178"/>
      <c r="D1987" s="138"/>
      <c r="E1987" s="178"/>
      <c r="F1987" s="151"/>
      <c r="G1987" s="151"/>
      <c r="H1987" s="146"/>
      <c r="I1987" s="146"/>
    </row>
    <row r="1988" spans="1:9" ht="24.95" hidden="1" customHeight="1">
      <c r="A1988" s="138"/>
      <c r="B1988" s="138"/>
      <c r="C1988" s="178"/>
      <c r="D1988" s="138"/>
      <c r="E1988" s="178"/>
      <c r="F1988" s="151"/>
      <c r="G1988" s="151"/>
      <c r="H1988" s="146"/>
      <c r="I1988" s="146"/>
    </row>
    <row r="1989" spans="1:9" ht="24.95" hidden="1" customHeight="1">
      <c r="A1989" s="138"/>
      <c r="B1989" s="138"/>
      <c r="C1989" s="178"/>
      <c r="D1989" s="138"/>
      <c r="E1989" s="178"/>
      <c r="F1989" s="151"/>
      <c r="G1989" s="151"/>
      <c r="H1989" s="146"/>
      <c r="I1989" s="146"/>
    </row>
    <row r="1990" spans="1:9" ht="24.95" hidden="1" customHeight="1">
      <c r="A1990" s="138"/>
      <c r="B1990" s="138"/>
      <c r="C1990" s="178"/>
      <c r="D1990" s="138"/>
      <c r="E1990" s="178"/>
      <c r="F1990" s="151"/>
      <c r="G1990" s="151"/>
      <c r="H1990" s="146"/>
      <c r="I1990" s="146"/>
    </row>
    <row r="1991" spans="1:9" ht="24.95" hidden="1" customHeight="1">
      <c r="A1991" s="138"/>
      <c r="B1991" s="138"/>
      <c r="C1991" s="178"/>
      <c r="D1991" s="138"/>
      <c r="E1991" s="178"/>
      <c r="F1991" s="151"/>
      <c r="G1991" s="151"/>
      <c r="H1991" s="146"/>
      <c r="I1991" s="146"/>
    </row>
    <row r="1992" spans="1:9" ht="24.95" hidden="1" customHeight="1">
      <c r="A1992" s="138"/>
      <c r="B1992" s="138"/>
      <c r="C1992" s="178"/>
      <c r="D1992" s="138"/>
      <c r="E1992" s="178"/>
      <c r="F1992" s="151"/>
      <c r="G1992" s="151"/>
      <c r="H1992" s="146"/>
      <c r="I1992" s="146"/>
    </row>
    <row r="1993" spans="1:9" ht="24.95" hidden="1" customHeight="1">
      <c r="A1993" s="138"/>
      <c r="B1993" s="138"/>
      <c r="C1993" s="178"/>
      <c r="D1993" s="138"/>
      <c r="E1993" s="178"/>
      <c r="F1993" s="151"/>
      <c r="G1993" s="151"/>
      <c r="H1993" s="146"/>
      <c r="I1993" s="146"/>
    </row>
    <row r="1994" spans="1:9" ht="24.95" hidden="1" customHeight="1">
      <c r="A1994" s="138"/>
      <c r="B1994" s="138"/>
      <c r="C1994" s="178"/>
      <c r="D1994" s="138"/>
      <c r="E1994" s="178"/>
      <c r="F1994" s="151"/>
      <c r="G1994" s="151"/>
      <c r="H1994" s="146"/>
      <c r="I1994" s="146"/>
    </row>
    <row r="1995" spans="1:9" ht="24.95" hidden="1" customHeight="1">
      <c r="A1995" s="138"/>
      <c r="B1995" s="138"/>
      <c r="C1995" s="178"/>
      <c r="D1995" s="138"/>
      <c r="E1995" s="178"/>
      <c r="F1995" s="151"/>
      <c r="G1995" s="151"/>
      <c r="H1995" s="146"/>
      <c r="I1995" s="146"/>
    </row>
    <row r="1996" spans="1:9" ht="24.95" hidden="1" customHeight="1">
      <c r="A1996" s="138"/>
      <c r="B1996" s="138"/>
      <c r="C1996" s="178"/>
      <c r="D1996" s="138"/>
      <c r="E1996" s="178"/>
      <c r="F1996" s="151"/>
      <c r="G1996" s="151"/>
      <c r="H1996" s="146"/>
      <c r="I1996" s="146"/>
    </row>
    <row r="1997" spans="1:9" ht="24.95" hidden="1" customHeight="1">
      <c r="A1997" s="138"/>
      <c r="B1997" s="138"/>
      <c r="C1997" s="178"/>
      <c r="D1997" s="138"/>
      <c r="E1997" s="178"/>
      <c r="F1997" s="151"/>
      <c r="G1997" s="151"/>
      <c r="H1997" s="146"/>
      <c r="I1997" s="146"/>
    </row>
    <row r="1998" spans="1:9" ht="24.95" hidden="1" customHeight="1">
      <c r="A1998" s="138"/>
      <c r="B1998" s="138"/>
      <c r="C1998" s="178"/>
      <c r="D1998" s="138"/>
      <c r="E1998" s="178"/>
      <c r="F1998" s="151"/>
      <c r="G1998" s="151"/>
      <c r="H1998" s="146"/>
      <c r="I1998" s="146"/>
    </row>
    <row r="1999" spans="1:9" ht="24.95" hidden="1" customHeight="1">
      <c r="A1999" s="138"/>
      <c r="B1999" s="138"/>
      <c r="C1999" s="178"/>
      <c r="D1999" s="138"/>
      <c r="E1999" s="178"/>
      <c r="F1999" s="151"/>
      <c r="G1999" s="151"/>
      <c r="H1999" s="146"/>
      <c r="I1999" s="146"/>
    </row>
    <row r="2000" spans="1:9" ht="24.95" hidden="1" customHeight="1">
      <c r="A2000" s="182"/>
      <c r="B2000" s="182"/>
      <c r="C2000" s="183"/>
      <c r="D2000" s="182"/>
      <c r="E2000" s="183"/>
      <c r="F2000" s="184"/>
      <c r="G2000" s="184"/>
      <c r="H2000" s="185"/>
      <c r="I2000" s="185"/>
    </row>
  </sheetData>
  <mergeCells count="1">
    <mergeCell ref="A8:H8"/>
  </mergeCells>
  <pageMargins left="0.2" right="0.28000000000000003" top="0.28999999999999998" bottom="0.75" header="0.17" footer="0.3"/>
  <pageSetup paperSize="9" scale="8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00B0F0"/>
    <pageSetUpPr fitToPage="1"/>
  </sheetPr>
  <dimension ref="A1:N5766"/>
  <sheetViews>
    <sheetView zoomScale="70" zoomScaleNormal="70" zoomScaleSheetLayoutView="70" workbookViewId="0">
      <pane ySplit="6" topLeftCell="A7" activePane="bottomLeft" state="frozen"/>
      <selection pane="bottomLeft" activeCell="P2002" sqref="P2002"/>
    </sheetView>
  </sheetViews>
  <sheetFormatPr defaultColWidth="9.1328125" defaultRowHeight="24.95" customHeight="1"/>
  <cols>
    <col min="1" max="1" width="6.3984375" style="186" customWidth="1"/>
    <col min="2" max="2" width="10.86328125" style="186" bestFit="1" customWidth="1"/>
    <col min="3" max="3" width="10.3984375" style="187" bestFit="1" customWidth="1"/>
    <col min="4" max="4" width="11.1328125" style="186" customWidth="1"/>
    <col min="5" max="5" width="50.1328125" style="233" customWidth="1"/>
    <col min="6" max="6" width="6.265625" style="188" bestFit="1" customWidth="1"/>
    <col min="7" max="7" width="6.73046875" style="188" bestFit="1" customWidth="1"/>
    <col min="8" max="8" width="11.3984375" style="189" bestFit="1" customWidth="1"/>
    <col min="9" max="9" width="14.73046875" style="189" bestFit="1" customWidth="1"/>
    <col min="10" max="10" width="18.73046875" style="189" bestFit="1" customWidth="1"/>
    <col min="11" max="11" width="20.1328125" style="189" bestFit="1" customWidth="1"/>
    <col min="12" max="12" width="20.1328125" style="288" bestFit="1" customWidth="1"/>
    <col min="13" max="13" width="10.73046875" style="137" bestFit="1" customWidth="1"/>
    <col min="14" max="14" width="10.86328125" style="137" bestFit="1" customWidth="1"/>
    <col min="15" max="16384" width="9.1328125" style="137"/>
  </cols>
  <sheetData>
    <row r="1" spans="1:14" s="2" customFormat="1" ht="9.75" customHeight="1">
      <c r="A1" s="131"/>
      <c r="B1" s="131"/>
      <c r="C1" s="131"/>
      <c r="D1" s="131"/>
      <c r="E1" s="230"/>
      <c r="F1" s="148"/>
      <c r="G1" s="148"/>
      <c r="H1" s="135"/>
      <c r="I1" s="135"/>
      <c r="J1" s="135"/>
      <c r="K1" s="135"/>
      <c r="L1" s="284"/>
    </row>
    <row r="2" spans="1:14" s="2" customFormat="1" ht="87.75" customHeight="1">
      <c r="A2" s="131"/>
      <c r="B2" s="131"/>
      <c r="C2" s="131"/>
      <c r="D2" s="131"/>
      <c r="E2" s="230"/>
      <c r="F2" s="148"/>
      <c r="G2" s="148"/>
      <c r="H2" s="135"/>
      <c r="I2" s="135"/>
      <c r="J2" s="135"/>
      <c r="K2" s="135"/>
      <c r="L2" s="284"/>
      <c r="M2" s="153">
        <f ca="1">NOW()</f>
        <v>44825.391208912035</v>
      </c>
      <c r="N2" s="125" t="s">
        <v>173</v>
      </c>
    </row>
    <row r="3" spans="1:14" s="2" customFormat="1" ht="15" customHeight="1">
      <c r="A3" s="132"/>
      <c r="B3" s="181" t="s">
        <v>242</v>
      </c>
      <c r="C3" s="206" t="s">
        <v>128</v>
      </c>
      <c r="D3" s="181" t="s">
        <v>176</v>
      </c>
      <c r="E3" s="206">
        <v>44166</v>
      </c>
      <c r="F3" s="181"/>
      <c r="G3" s="254"/>
      <c r="H3" s="135"/>
      <c r="I3" s="135"/>
      <c r="J3" s="135"/>
      <c r="K3" s="135"/>
      <c r="L3" s="284"/>
      <c r="M3" s="153">
        <f ca="1">EOMONTH(M2,-1)+1</f>
        <v>44805</v>
      </c>
      <c r="N3" s="125" t="s">
        <v>174</v>
      </c>
    </row>
    <row r="4" spans="1:14" s="2" customFormat="1" ht="14.25">
      <c r="A4" s="132"/>
      <c r="B4" s="229" t="s">
        <v>236</v>
      </c>
      <c r="C4" s="206"/>
      <c r="D4" s="181" t="s">
        <v>243</v>
      </c>
      <c r="E4" s="206">
        <v>44196</v>
      </c>
      <c r="F4" s="229"/>
      <c r="G4" s="254"/>
      <c r="H4" s="135"/>
      <c r="I4" s="135"/>
      <c r="J4" s="135"/>
      <c r="K4" s="135"/>
      <c r="L4" s="284"/>
      <c r="M4" s="153">
        <f ca="1">EOMONTH(M2,0)</f>
        <v>44834</v>
      </c>
      <c r="N4" s="125" t="s">
        <v>175</v>
      </c>
    </row>
    <row r="5" spans="1:14" s="2" customFormat="1" ht="21" customHeight="1">
      <c r="A5" s="132"/>
      <c r="B5" s="229"/>
      <c r="C5" s="234"/>
      <c r="D5" s="181"/>
      <c r="E5" s="234"/>
      <c r="F5" s="148"/>
      <c r="G5" s="135"/>
      <c r="H5" s="135"/>
      <c r="I5" s="135"/>
      <c r="J5" s="135"/>
      <c r="K5" s="135"/>
      <c r="L5" s="284"/>
      <c r="M5" s="153">
        <f ca="1">TODAY()</f>
        <v>44825</v>
      </c>
      <c r="N5" s="125"/>
    </row>
    <row r="6" spans="1:14" s="2" customFormat="1" ht="30" customHeight="1">
      <c r="A6" s="237" t="s">
        <v>23</v>
      </c>
      <c r="B6" s="238" t="s">
        <v>120</v>
      </c>
      <c r="C6" s="237" t="s">
        <v>132</v>
      </c>
      <c r="D6" s="237" t="s">
        <v>167</v>
      </c>
      <c r="E6" s="239" t="s">
        <v>237</v>
      </c>
      <c r="F6" s="240" t="s">
        <v>122</v>
      </c>
      <c r="G6" s="240" t="s">
        <v>238</v>
      </c>
      <c r="H6" s="240" t="s">
        <v>239</v>
      </c>
      <c r="I6" s="240" t="s">
        <v>240</v>
      </c>
      <c r="J6" s="243" t="s">
        <v>245</v>
      </c>
      <c r="K6" s="241" t="s">
        <v>241</v>
      </c>
      <c r="L6" s="242" t="s">
        <v>246</v>
      </c>
    </row>
    <row r="7" spans="1:14" s="236" customFormat="1" ht="28.5" customHeight="1">
      <c r="A7" s="136"/>
      <c r="B7" s="176"/>
      <c r="C7" s="177"/>
      <c r="D7" s="136"/>
      <c r="E7" s="231"/>
      <c r="F7" s="144"/>
      <c r="G7" s="144"/>
      <c r="H7" s="235"/>
      <c r="I7" s="235"/>
      <c r="J7" s="235"/>
      <c r="K7" s="235"/>
      <c r="L7" s="285"/>
    </row>
    <row r="8" spans="1:14" ht="24.95" hidden="1" customHeight="1">
      <c r="A8" s="136"/>
      <c r="B8" s="176"/>
      <c r="C8" s="177"/>
      <c r="D8" s="136"/>
      <c r="E8" s="231"/>
      <c r="F8" s="144"/>
      <c r="G8" s="144"/>
      <c r="H8" s="144"/>
      <c r="I8" s="144"/>
      <c r="J8" s="144"/>
      <c r="K8" s="144"/>
      <c r="L8" s="285"/>
    </row>
    <row r="9" spans="1:14" ht="24.95" hidden="1" customHeight="1">
      <c r="A9" s="136"/>
      <c r="B9" s="176"/>
      <c r="C9" s="177"/>
      <c r="D9" s="136"/>
      <c r="E9" s="231"/>
      <c r="F9" s="144"/>
      <c r="G9" s="144"/>
      <c r="H9" s="144"/>
      <c r="I9" s="144"/>
      <c r="J9" s="144"/>
      <c r="K9" s="144"/>
      <c r="L9" s="285"/>
    </row>
    <row r="10" spans="1:14" ht="24.95" hidden="1" customHeight="1">
      <c r="A10" s="136"/>
      <c r="B10" s="176"/>
      <c r="C10" s="177"/>
      <c r="D10" s="136"/>
      <c r="E10" s="231"/>
      <c r="F10" s="144"/>
      <c r="G10" s="144"/>
      <c r="H10" s="144"/>
      <c r="I10" s="144"/>
      <c r="J10" s="144"/>
      <c r="K10" s="144"/>
      <c r="L10" s="285"/>
      <c r="N10" s="197"/>
    </row>
    <row r="11" spans="1:14" ht="24.95" hidden="1" customHeight="1">
      <c r="A11" s="136"/>
      <c r="B11" s="176"/>
      <c r="C11" s="177"/>
      <c r="D11" s="136"/>
      <c r="E11" s="231"/>
      <c r="F11" s="144"/>
      <c r="G11" s="144"/>
      <c r="H11" s="144"/>
      <c r="I11" s="144"/>
      <c r="J11" s="144"/>
      <c r="K11" s="144"/>
      <c r="L11" s="285"/>
    </row>
    <row r="12" spans="1:14" ht="24.95" hidden="1" customHeight="1">
      <c r="A12" s="136"/>
      <c r="B12" s="176"/>
      <c r="C12" s="177"/>
      <c r="D12" s="136"/>
      <c r="E12" s="231"/>
      <c r="F12" s="144"/>
      <c r="G12" s="144"/>
      <c r="H12" s="144"/>
      <c r="I12" s="144"/>
      <c r="J12" s="144"/>
      <c r="K12" s="144"/>
      <c r="L12" s="285"/>
    </row>
    <row r="13" spans="1:14" ht="24.95" hidden="1" customHeight="1">
      <c r="A13" s="136"/>
      <c r="B13" s="176"/>
      <c r="C13" s="177"/>
      <c r="D13" s="136"/>
      <c r="E13" s="231"/>
      <c r="F13" s="144"/>
      <c r="G13" s="144"/>
      <c r="H13" s="144"/>
      <c r="I13" s="144"/>
      <c r="J13" s="144"/>
      <c r="K13" s="144"/>
      <c r="L13" s="285"/>
    </row>
    <row r="14" spans="1:14" ht="24.95" hidden="1" customHeight="1">
      <c r="A14" s="136"/>
      <c r="B14" s="176"/>
      <c r="C14" s="177"/>
      <c r="D14" s="136"/>
      <c r="E14" s="231"/>
      <c r="F14" s="144"/>
      <c r="G14" s="144"/>
      <c r="H14" s="144"/>
      <c r="I14" s="144"/>
      <c r="J14" s="144"/>
      <c r="K14" s="144"/>
      <c r="L14" s="285"/>
    </row>
    <row r="15" spans="1:14" ht="24.95" hidden="1" customHeight="1">
      <c r="A15" s="136"/>
      <c r="B15" s="176"/>
      <c r="C15" s="177"/>
      <c r="D15" s="136"/>
      <c r="E15" s="231"/>
      <c r="F15" s="144"/>
      <c r="G15" s="144"/>
      <c r="H15" s="144"/>
      <c r="I15" s="144"/>
      <c r="J15" s="144"/>
      <c r="K15" s="144"/>
      <c r="L15" s="285"/>
    </row>
    <row r="16" spans="1:14" ht="24.95" hidden="1" customHeight="1">
      <c r="A16" s="136"/>
      <c r="B16" s="176"/>
      <c r="C16" s="177"/>
      <c r="D16" s="136"/>
      <c r="E16" s="231"/>
      <c r="F16" s="144"/>
      <c r="G16" s="144"/>
      <c r="H16" s="144"/>
      <c r="I16" s="144"/>
      <c r="J16" s="144"/>
      <c r="K16" s="144"/>
      <c r="L16" s="285"/>
    </row>
    <row r="17" spans="1:12" ht="24.95" hidden="1" customHeight="1">
      <c r="A17" s="136"/>
      <c r="B17" s="176"/>
      <c r="C17" s="177"/>
      <c r="D17" s="136"/>
      <c r="E17" s="231"/>
      <c r="F17" s="144"/>
      <c r="G17" s="144"/>
      <c r="H17" s="144"/>
      <c r="I17" s="144"/>
      <c r="J17" s="144"/>
      <c r="K17" s="144"/>
      <c r="L17" s="285"/>
    </row>
    <row r="18" spans="1:12" ht="24.95" hidden="1" customHeight="1">
      <c r="A18" s="136"/>
      <c r="B18" s="176"/>
      <c r="C18" s="177"/>
      <c r="D18" s="136"/>
      <c r="E18" s="231"/>
      <c r="F18" s="144"/>
      <c r="G18" s="144"/>
      <c r="H18" s="144"/>
      <c r="I18" s="144"/>
      <c r="J18" s="144"/>
      <c r="K18" s="144"/>
      <c r="L18" s="285"/>
    </row>
    <row r="19" spans="1:12" ht="24.95" hidden="1" customHeight="1">
      <c r="A19" s="136"/>
      <c r="B19" s="176"/>
      <c r="C19" s="177"/>
      <c r="D19" s="136"/>
      <c r="E19" s="231"/>
      <c r="F19" s="144"/>
      <c r="G19" s="144"/>
      <c r="H19" s="144"/>
      <c r="I19" s="144"/>
      <c r="J19" s="144"/>
      <c r="K19" s="144"/>
      <c r="L19" s="285"/>
    </row>
    <row r="20" spans="1:12" ht="24.95" hidden="1" customHeight="1">
      <c r="A20" s="136"/>
      <c r="B20" s="176"/>
      <c r="C20" s="177"/>
      <c r="D20" s="136"/>
      <c r="E20" s="231"/>
      <c r="F20" s="144"/>
      <c r="G20" s="144"/>
      <c r="H20" s="144"/>
      <c r="I20" s="144"/>
      <c r="J20" s="144"/>
      <c r="K20" s="144"/>
      <c r="L20" s="285"/>
    </row>
    <row r="21" spans="1:12" ht="24.95" hidden="1" customHeight="1">
      <c r="A21" s="136"/>
      <c r="B21" s="176"/>
      <c r="C21" s="177"/>
      <c r="D21" s="136"/>
      <c r="E21" s="231"/>
      <c r="F21" s="144"/>
      <c r="G21" s="144"/>
      <c r="H21" s="144"/>
      <c r="I21" s="144"/>
      <c r="J21" s="144"/>
      <c r="K21" s="144"/>
      <c r="L21" s="285"/>
    </row>
    <row r="22" spans="1:12" ht="24.95" hidden="1" customHeight="1">
      <c r="A22" s="136"/>
      <c r="B22" s="176"/>
      <c r="C22" s="177"/>
      <c r="D22" s="136"/>
      <c r="E22" s="231"/>
      <c r="F22" s="144"/>
      <c r="G22" s="144"/>
      <c r="H22" s="144"/>
      <c r="I22" s="144"/>
      <c r="J22" s="144"/>
      <c r="K22" s="144"/>
      <c r="L22" s="285"/>
    </row>
    <row r="23" spans="1:12" ht="24.95" hidden="1" customHeight="1">
      <c r="A23" s="136"/>
      <c r="B23" s="176"/>
      <c r="C23" s="177"/>
      <c r="D23" s="136"/>
      <c r="E23" s="231"/>
      <c r="F23" s="144"/>
      <c r="G23" s="144"/>
      <c r="H23" s="144"/>
      <c r="I23" s="144"/>
      <c r="J23" s="144"/>
      <c r="K23" s="144"/>
      <c r="L23" s="285"/>
    </row>
    <row r="24" spans="1:12" ht="24.95" hidden="1" customHeight="1">
      <c r="A24" s="136"/>
      <c r="B24" s="176"/>
      <c r="C24" s="177"/>
      <c r="D24" s="136"/>
      <c r="E24" s="231"/>
      <c r="F24" s="144"/>
      <c r="G24" s="144"/>
      <c r="H24" s="144"/>
      <c r="I24" s="144"/>
      <c r="J24" s="144"/>
      <c r="K24" s="144"/>
      <c r="L24" s="285"/>
    </row>
    <row r="25" spans="1:12" ht="24.95" hidden="1" customHeight="1">
      <c r="A25" s="136"/>
      <c r="B25" s="176"/>
      <c r="C25" s="177"/>
      <c r="D25" s="136"/>
      <c r="E25" s="231"/>
      <c r="F25" s="144"/>
      <c r="G25" s="144"/>
      <c r="H25" s="144"/>
      <c r="I25" s="144"/>
      <c r="J25" s="144"/>
      <c r="K25" s="144"/>
      <c r="L25" s="285"/>
    </row>
    <row r="26" spans="1:12" ht="24.95" hidden="1" customHeight="1">
      <c r="A26" s="136"/>
      <c r="B26" s="176"/>
      <c r="C26" s="177"/>
      <c r="D26" s="136"/>
      <c r="E26" s="231"/>
      <c r="F26" s="144"/>
      <c r="G26" s="144"/>
      <c r="H26" s="144"/>
      <c r="I26" s="144"/>
      <c r="J26" s="144"/>
      <c r="K26" s="144"/>
      <c r="L26" s="285"/>
    </row>
    <row r="27" spans="1:12" ht="24.95" hidden="1" customHeight="1">
      <c r="A27" s="136"/>
      <c r="B27" s="176"/>
      <c r="C27" s="177"/>
      <c r="D27" s="136"/>
      <c r="E27" s="231"/>
      <c r="F27" s="144"/>
      <c r="G27" s="144"/>
      <c r="H27" s="235"/>
      <c r="I27" s="235"/>
      <c r="J27" s="235"/>
      <c r="K27" s="235"/>
      <c r="L27" s="285"/>
    </row>
    <row r="28" spans="1:12" ht="24.95" hidden="1" customHeight="1">
      <c r="A28" s="136"/>
      <c r="B28" s="176"/>
      <c r="C28" s="177"/>
      <c r="D28" s="136"/>
      <c r="E28" s="231"/>
      <c r="F28" s="144"/>
      <c r="G28" s="144"/>
      <c r="H28" s="235"/>
      <c r="I28" s="235"/>
      <c r="J28" s="235"/>
      <c r="K28" s="235"/>
      <c r="L28" s="285"/>
    </row>
    <row r="29" spans="1:12" ht="24.95" hidden="1" customHeight="1">
      <c r="A29" s="136"/>
      <c r="B29" s="176"/>
      <c r="C29" s="177"/>
      <c r="D29" s="136"/>
      <c r="E29" s="231"/>
      <c r="F29" s="144"/>
      <c r="G29" s="144"/>
      <c r="H29" s="235"/>
      <c r="I29" s="235"/>
      <c r="J29" s="235"/>
      <c r="K29" s="235"/>
      <c r="L29" s="285"/>
    </row>
    <row r="30" spans="1:12" ht="24.95" hidden="1" customHeight="1">
      <c r="A30" s="136"/>
      <c r="B30" s="176"/>
      <c r="C30" s="177"/>
      <c r="D30" s="136"/>
      <c r="E30" s="231"/>
      <c r="F30" s="144"/>
      <c r="G30" s="144"/>
      <c r="H30" s="235"/>
      <c r="I30" s="235"/>
      <c r="J30" s="235"/>
      <c r="K30" s="235"/>
      <c r="L30" s="285"/>
    </row>
    <row r="31" spans="1:12" ht="24.95" hidden="1" customHeight="1">
      <c r="A31" s="136"/>
      <c r="B31" s="176"/>
      <c r="C31" s="177"/>
      <c r="D31" s="136"/>
      <c r="E31" s="231"/>
      <c r="F31" s="144"/>
      <c r="G31" s="144"/>
      <c r="H31" s="235"/>
      <c r="I31" s="235"/>
      <c r="J31" s="235"/>
      <c r="K31" s="235"/>
      <c r="L31" s="285"/>
    </row>
    <row r="32" spans="1:12" ht="24.95" hidden="1" customHeight="1">
      <c r="A32" s="136"/>
      <c r="B32" s="176"/>
      <c r="C32" s="177"/>
      <c r="D32" s="136"/>
      <c r="E32" s="231"/>
      <c r="F32" s="144"/>
      <c r="G32" s="144"/>
      <c r="H32" s="235"/>
      <c r="I32" s="235"/>
      <c r="J32" s="235"/>
      <c r="K32" s="235"/>
      <c r="L32" s="285"/>
    </row>
    <row r="33" spans="1:12" ht="24.95" hidden="1" customHeight="1">
      <c r="A33" s="136"/>
      <c r="B33" s="176"/>
      <c r="C33" s="177"/>
      <c r="D33" s="136"/>
      <c r="E33" s="231"/>
      <c r="F33" s="144"/>
      <c r="G33" s="144"/>
      <c r="H33" s="235"/>
      <c r="I33" s="235"/>
      <c r="J33" s="235"/>
      <c r="K33" s="235"/>
      <c r="L33" s="285"/>
    </row>
    <row r="34" spans="1:12" ht="24.95" hidden="1" customHeight="1">
      <c r="A34" s="136"/>
      <c r="B34" s="176"/>
      <c r="C34" s="177"/>
      <c r="D34" s="136"/>
      <c r="E34" s="231"/>
      <c r="F34" s="144"/>
      <c r="G34" s="144"/>
      <c r="H34" s="235"/>
      <c r="I34" s="235"/>
      <c r="J34" s="235"/>
      <c r="K34" s="235"/>
      <c r="L34" s="285"/>
    </row>
    <row r="35" spans="1:12" ht="24.95" hidden="1" customHeight="1">
      <c r="A35" s="136"/>
      <c r="B35" s="176"/>
      <c r="C35" s="177"/>
      <c r="D35" s="136"/>
      <c r="E35" s="231"/>
      <c r="F35" s="144"/>
      <c r="G35" s="144"/>
      <c r="H35" s="235"/>
      <c r="I35" s="235"/>
      <c r="J35" s="235"/>
      <c r="K35" s="235"/>
      <c r="L35" s="285"/>
    </row>
    <row r="36" spans="1:12" ht="24.95" hidden="1" customHeight="1">
      <c r="A36" s="136"/>
      <c r="B36" s="176"/>
      <c r="C36" s="177"/>
      <c r="D36" s="136"/>
      <c r="E36" s="231"/>
      <c r="F36" s="144"/>
      <c r="G36" s="144"/>
      <c r="H36" s="235"/>
      <c r="I36" s="235"/>
      <c r="J36" s="235"/>
      <c r="K36" s="235"/>
      <c r="L36" s="285"/>
    </row>
    <row r="37" spans="1:12" ht="24.95" hidden="1" customHeight="1">
      <c r="A37" s="136"/>
      <c r="B37" s="176"/>
      <c r="C37" s="177"/>
      <c r="D37" s="136"/>
      <c r="E37" s="231"/>
      <c r="F37" s="144"/>
      <c r="G37" s="144"/>
      <c r="H37" s="235"/>
      <c r="I37" s="235"/>
      <c r="J37" s="235"/>
      <c r="K37" s="235"/>
      <c r="L37" s="285"/>
    </row>
    <row r="38" spans="1:12" ht="24.95" hidden="1" customHeight="1">
      <c r="A38" s="136"/>
      <c r="B38" s="176"/>
      <c r="C38" s="177"/>
      <c r="D38" s="136"/>
      <c r="E38" s="231"/>
      <c r="F38" s="144"/>
      <c r="G38" s="144"/>
      <c r="H38" s="235"/>
      <c r="I38" s="235"/>
      <c r="J38" s="235"/>
      <c r="K38" s="235"/>
      <c r="L38" s="285"/>
    </row>
    <row r="39" spans="1:12" ht="24.95" hidden="1" customHeight="1">
      <c r="A39" s="136"/>
      <c r="B39" s="176"/>
      <c r="C39" s="177"/>
      <c r="D39" s="136"/>
      <c r="E39" s="231"/>
      <c r="F39" s="144"/>
      <c r="G39" s="144"/>
      <c r="H39" s="235"/>
      <c r="I39" s="235"/>
      <c r="J39" s="235"/>
      <c r="K39" s="235"/>
      <c r="L39" s="285"/>
    </row>
    <row r="40" spans="1:12" ht="24.95" hidden="1" customHeight="1">
      <c r="A40" s="136"/>
      <c r="B40" s="176"/>
      <c r="C40" s="177"/>
      <c r="D40" s="136"/>
      <c r="E40" s="231"/>
      <c r="F40" s="144"/>
      <c r="G40" s="144"/>
      <c r="H40" s="235"/>
      <c r="I40" s="235"/>
      <c r="J40" s="235"/>
      <c r="K40" s="235"/>
      <c r="L40" s="285"/>
    </row>
    <row r="41" spans="1:12" ht="24.95" hidden="1" customHeight="1">
      <c r="A41" s="136"/>
      <c r="B41" s="176"/>
      <c r="C41" s="177"/>
      <c r="D41" s="136"/>
      <c r="E41" s="231"/>
      <c r="F41" s="144"/>
      <c r="G41" s="144"/>
      <c r="H41" s="235"/>
      <c r="I41" s="235"/>
      <c r="J41" s="235"/>
      <c r="K41" s="235"/>
      <c r="L41" s="285"/>
    </row>
    <row r="42" spans="1:12" ht="24.95" hidden="1" customHeight="1">
      <c r="A42" s="136"/>
      <c r="B42" s="176"/>
      <c r="C42" s="177"/>
      <c r="D42" s="136"/>
      <c r="E42" s="231"/>
      <c r="F42" s="144"/>
      <c r="G42" s="144"/>
      <c r="H42" s="235"/>
      <c r="I42" s="235"/>
      <c r="J42" s="235"/>
      <c r="K42" s="235"/>
      <c r="L42" s="285"/>
    </row>
    <row r="43" spans="1:12" ht="24.95" hidden="1" customHeight="1">
      <c r="A43" s="136"/>
      <c r="B43" s="176"/>
      <c r="C43" s="177"/>
      <c r="D43" s="136"/>
      <c r="E43" s="231"/>
      <c r="F43" s="144"/>
      <c r="G43" s="144"/>
      <c r="H43" s="235"/>
      <c r="I43" s="235"/>
      <c r="J43" s="235"/>
      <c r="K43" s="235"/>
      <c r="L43" s="285"/>
    </row>
    <row r="44" spans="1:12" ht="24.95" hidden="1" customHeight="1">
      <c r="A44" s="136"/>
      <c r="B44" s="176"/>
      <c r="C44" s="177"/>
      <c r="D44" s="136"/>
      <c r="E44" s="231"/>
      <c r="F44" s="144"/>
      <c r="G44" s="144"/>
      <c r="H44" s="235"/>
      <c r="I44" s="235"/>
      <c r="J44" s="235"/>
      <c r="K44" s="235"/>
      <c r="L44" s="285"/>
    </row>
    <row r="45" spans="1:12" ht="24.95" hidden="1" customHeight="1">
      <c r="A45" s="136"/>
      <c r="B45" s="176"/>
      <c r="C45" s="177"/>
      <c r="D45" s="136"/>
      <c r="E45" s="231"/>
      <c r="F45" s="144"/>
      <c r="G45" s="144"/>
      <c r="H45" s="235"/>
      <c r="I45" s="235"/>
      <c r="J45" s="235"/>
      <c r="K45" s="235"/>
      <c r="L45" s="285"/>
    </row>
    <row r="46" spans="1:12" ht="24.95" hidden="1" customHeight="1">
      <c r="A46" s="136"/>
      <c r="B46" s="176"/>
      <c r="C46" s="177"/>
      <c r="D46" s="136"/>
      <c r="E46" s="231"/>
      <c r="F46" s="144"/>
      <c r="G46" s="144"/>
      <c r="H46" s="235"/>
      <c r="I46" s="235"/>
      <c r="J46" s="235"/>
      <c r="K46" s="235"/>
      <c r="L46" s="285"/>
    </row>
    <row r="47" spans="1:12" ht="24.95" hidden="1" customHeight="1">
      <c r="A47" s="136"/>
      <c r="B47" s="176"/>
      <c r="C47" s="177"/>
      <c r="D47" s="136"/>
      <c r="E47" s="231"/>
      <c r="F47" s="144"/>
      <c r="G47" s="144"/>
      <c r="H47" s="235"/>
      <c r="I47" s="235"/>
      <c r="J47" s="235"/>
      <c r="K47" s="235"/>
      <c r="L47" s="285"/>
    </row>
    <row r="48" spans="1:12" ht="24.95" hidden="1" customHeight="1">
      <c r="A48" s="136"/>
      <c r="B48" s="176"/>
      <c r="C48" s="177"/>
      <c r="D48" s="136"/>
      <c r="E48" s="231"/>
      <c r="F48" s="144"/>
      <c r="G48" s="144"/>
      <c r="H48" s="235"/>
      <c r="I48" s="235"/>
      <c r="J48" s="235"/>
      <c r="K48" s="235"/>
      <c r="L48" s="285"/>
    </row>
    <row r="49" spans="1:12" ht="24.95" hidden="1" customHeight="1">
      <c r="A49" s="136"/>
      <c r="B49" s="176"/>
      <c r="C49" s="177"/>
      <c r="D49" s="136"/>
      <c r="E49" s="231"/>
      <c r="F49" s="144"/>
      <c r="G49" s="144"/>
      <c r="H49" s="235"/>
      <c r="I49" s="235"/>
      <c r="J49" s="235"/>
      <c r="K49" s="235"/>
      <c r="L49" s="285"/>
    </row>
    <row r="50" spans="1:12" ht="24.95" hidden="1" customHeight="1">
      <c r="A50" s="136"/>
      <c r="B50" s="176"/>
      <c r="C50" s="177"/>
      <c r="D50" s="136"/>
      <c r="E50" s="231"/>
      <c r="F50" s="144"/>
      <c r="G50" s="144"/>
      <c r="H50" s="235"/>
      <c r="I50" s="235"/>
      <c r="J50" s="235"/>
      <c r="K50" s="235"/>
      <c r="L50" s="285"/>
    </row>
    <row r="51" spans="1:12" ht="24.95" hidden="1" customHeight="1">
      <c r="A51" s="136"/>
      <c r="B51" s="176"/>
      <c r="C51" s="177"/>
      <c r="D51" s="136"/>
      <c r="E51" s="231"/>
      <c r="F51" s="144"/>
      <c r="G51" s="144"/>
      <c r="H51" s="235"/>
      <c r="I51" s="235"/>
      <c r="J51" s="235"/>
      <c r="K51" s="235"/>
      <c r="L51" s="285"/>
    </row>
    <row r="52" spans="1:12" ht="24.95" hidden="1" customHeight="1">
      <c r="A52" s="136"/>
      <c r="B52" s="176"/>
      <c r="C52" s="177"/>
      <c r="D52" s="136"/>
      <c r="E52" s="231"/>
      <c r="F52" s="144"/>
      <c r="G52" s="144"/>
      <c r="H52" s="235"/>
      <c r="I52" s="235"/>
      <c r="J52" s="235"/>
      <c r="K52" s="235"/>
      <c r="L52" s="285"/>
    </row>
    <row r="53" spans="1:12" ht="24.95" hidden="1" customHeight="1">
      <c r="A53" s="136"/>
      <c r="B53" s="176"/>
      <c r="C53" s="177"/>
      <c r="D53" s="136"/>
      <c r="E53" s="231"/>
      <c r="F53" s="144"/>
      <c r="G53" s="144"/>
      <c r="H53" s="235"/>
      <c r="I53" s="235"/>
      <c r="J53" s="235"/>
      <c r="K53" s="235"/>
      <c r="L53" s="285"/>
    </row>
    <row r="54" spans="1:12" ht="24.95" hidden="1" customHeight="1">
      <c r="A54" s="136"/>
      <c r="B54" s="176"/>
      <c r="C54" s="177"/>
      <c r="D54" s="136"/>
      <c r="E54" s="231"/>
      <c r="F54" s="144"/>
      <c r="G54" s="144"/>
      <c r="H54" s="235"/>
      <c r="I54" s="235"/>
      <c r="J54" s="235"/>
      <c r="K54" s="235"/>
      <c r="L54" s="285"/>
    </row>
    <row r="55" spans="1:12" ht="24.95" hidden="1" customHeight="1">
      <c r="A55" s="136"/>
      <c r="B55" s="176"/>
      <c r="C55" s="177"/>
      <c r="D55" s="136"/>
      <c r="E55" s="231"/>
      <c r="F55" s="144"/>
      <c r="G55" s="144"/>
      <c r="H55" s="235"/>
      <c r="I55" s="235"/>
      <c r="J55" s="235"/>
      <c r="K55" s="235"/>
      <c r="L55" s="285"/>
    </row>
    <row r="56" spans="1:12" ht="24.95" hidden="1" customHeight="1">
      <c r="A56" s="136"/>
      <c r="B56" s="176"/>
      <c r="C56" s="177"/>
      <c r="D56" s="136"/>
      <c r="E56" s="231"/>
      <c r="F56" s="144"/>
      <c r="G56" s="144"/>
      <c r="H56" s="235"/>
      <c r="I56" s="235"/>
      <c r="J56" s="235"/>
      <c r="K56" s="235"/>
      <c r="L56" s="285"/>
    </row>
    <row r="57" spans="1:12" ht="24.95" hidden="1" customHeight="1">
      <c r="A57" s="136"/>
      <c r="B57" s="176"/>
      <c r="C57" s="177"/>
      <c r="D57" s="136"/>
      <c r="E57" s="231"/>
      <c r="F57" s="144"/>
      <c r="G57" s="144"/>
      <c r="H57" s="235"/>
      <c r="I57" s="235"/>
      <c r="J57" s="235"/>
      <c r="K57" s="235"/>
      <c r="L57" s="285"/>
    </row>
    <row r="58" spans="1:12" ht="24.95" hidden="1" customHeight="1">
      <c r="A58" s="136"/>
      <c r="B58" s="176"/>
      <c r="C58" s="177"/>
      <c r="D58" s="136"/>
      <c r="E58" s="231"/>
      <c r="F58" s="144"/>
      <c r="G58" s="144"/>
      <c r="H58" s="235"/>
      <c r="I58" s="235"/>
      <c r="J58" s="235"/>
      <c r="K58" s="235"/>
      <c r="L58" s="285"/>
    </row>
    <row r="59" spans="1:12" ht="24.95" hidden="1" customHeight="1">
      <c r="A59" s="136"/>
      <c r="B59" s="176"/>
      <c r="C59" s="177"/>
      <c r="D59" s="136"/>
      <c r="E59" s="231"/>
      <c r="F59" s="144"/>
      <c r="G59" s="144"/>
      <c r="H59" s="235"/>
      <c r="I59" s="235"/>
      <c r="J59" s="235"/>
      <c r="K59" s="235"/>
      <c r="L59" s="285"/>
    </row>
    <row r="60" spans="1:12" ht="24.95" hidden="1" customHeight="1">
      <c r="A60" s="136"/>
      <c r="B60" s="176"/>
      <c r="C60" s="177"/>
      <c r="D60" s="136"/>
      <c r="E60" s="231"/>
      <c r="F60" s="144"/>
      <c r="G60" s="144"/>
      <c r="H60" s="235"/>
      <c r="I60" s="235"/>
      <c r="J60" s="235"/>
      <c r="K60" s="235"/>
      <c r="L60" s="285"/>
    </row>
    <row r="61" spans="1:12" ht="24.95" hidden="1" customHeight="1">
      <c r="A61" s="136"/>
      <c r="B61" s="176"/>
      <c r="C61" s="177"/>
      <c r="D61" s="136"/>
      <c r="E61" s="231"/>
      <c r="F61" s="144"/>
      <c r="G61" s="144"/>
      <c r="H61" s="235"/>
      <c r="I61" s="235"/>
      <c r="J61" s="235"/>
      <c r="K61" s="235"/>
      <c r="L61" s="285"/>
    </row>
    <row r="62" spans="1:12" ht="24.95" hidden="1" customHeight="1">
      <c r="A62" s="136"/>
      <c r="B62" s="176"/>
      <c r="C62" s="177"/>
      <c r="D62" s="136"/>
      <c r="E62" s="231"/>
      <c r="F62" s="144"/>
      <c r="G62" s="144"/>
      <c r="H62" s="235"/>
      <c r="I62" s="235"/>
      <c r="J62" s="235"/>
      <c r="K62" s="235"/>
      <c r="L62" s="285"/>
    </row>
    <row r="63" spans="1:12" ht="24.95" hidden="1" customHeight="1">
      <c r="A63" s="136"/>
      <c r="B63" s="176"/>
      <c r="C63" s="177"/>
      <c r="D63" s="136"/>
      <c r="E63" s="231"/>
      <c r="F63" s="144"/>
      <c r="G63" s="144"/>
      <c r="H63" s="235"/>
      <c r="I63" s="235"/>
      <c r="J63" s="235"/>
      <c r="K63" s="235"/>
      <c r="L63" s="285"/>
    </row>
    <row r="64" spans="1:12" ht="24.95" hidden="1" customHeight="1">
      <c r="A64" s="136"/>
      <c r="B64" s="176"/>
      <c r="C64" s="177"/>
      <c r="D64" s="136"/>
      <c r="E64" s="231"/>
      <c r="F64" s="144"/>
      <c r="G64" s="144"/>
      <c r="H64" s="235"/>
      <c r="I64" s="235"/>
      <c r="J64" s="235"/>
      <c r="K64" s="235"/>
      <c r="L64" s="285"/>
    </row>
    <row r="65" spans="1:12" ht="24.95" hidden="1" customHeight="1">
      <c r="A65" s="136"/>
      <c r="B65" s="176"/>
      <c r="C65" s="177"/>
      <c r="D65" s="136"/>
      <c r="E65" s="231"/>
      <c r="F65" s="144"/>
      <c r="G65" s="144"/>
      <c r="H65" s="235"/>
      <c r="I65" s="235"/>
      <c r="J65" s="235"/>
      <c r="K65" s="235"/>
      <c r="L65" s="285"/>
    </row>
    <row r="66" spans="1:12" ht="24.95" hidden="1" customHeight="1">
      <c r="A66" s="136"/>
      <c r="B66" s="176"/>
      <c r="C66" s="177"/>
      <c r="D66" s="136"/>
      <c r="E66" s="231"/>
      <c r="F66" s="144"/>
      <c r="G66" s="144"/>
      <c r="H66" s="235"/>
      <c r="I66" s="235"/>
      <c r="J66" s="235"/>
      <c r="K66" s="235"/>
      <c r="L66" s="285"/>
    </row>
    <row r="67" spans="1:12" ht="24.95" hidden="1" customHeight="1">
      <c r="A67" s="136"/>
      <c r="B67" s="176"/>
      <c r="C67" s="177"/>
      <c r="D67" s="136"/>
      <c r="E67" s="231"/>
      <c r="F67" s="144"/>
      <c r="G67" s="144"/>
      <c r="H67" s="235"/>
      <c r="I67" s="235"/>
      <c r="J67" s="235"/>
      <c r="K67" s="235"/>
      <c r="L67" s="285"/>
    </row>
    <row r="68" spans="1:12" ht="24.95" hidden="1" customHeight="1">
      <c r="A68" s="136"/>
      <c r="B68" s="176"/>
      <c r="C68" s="177"/>
      <c r="D68" s="136"/>
      <c r="E68" s="231"/>
      <c r="F68" s="144"/>
      <c r="G68" s="144"/>
      <c r="H68" s="235"/>
      <c r="I68" s="235"/>
      <c r="J68" s="235"/>
      <c r="K68" s="235"/>
      <c r="L68" s="285"/>
    </row>
    <row r="69" spans="1:12" ht="24.95" hidden="1" customHeight="1">
      <c r="A69" s="136"/>
      <c r="B69" s="176"/>
      <c r="C69" s="177"/>
      <c r="D69" s="136"/>
      <c r="E69" s="231"/>
      <c r="F69" s="144"/>
      <c r="G69" s="144"/>
      <c r="H69" s="235"/>
      <c r="I69" s="235"/>
      <c r="J69" s="235"/>
      <c r="K69" s="235"/>
      <c r="L69" s="285"/>
    </row>
    <row r="70" spans="1:12" ht="24.95" hidden="1" customHeight="1">
      <c r="A70" s="136"/>
      <c r="B70" s="176"/>
      <c r="C70" s="177"/>
      <c r="D70" s="136"/>
      <c r="E70" s="231"/>
      <c r="F70" s="144"/>
      <c r="G70" s="144"/>
      <c r="H70" s="235"/>
      <c r="I70" s="235"/>
      <c r="J70" s="235"/>
      <c r="K70" s="235"/>
      <c r="L70" s="285"/>
    </row>
    <row r="71" spans="1:12" ht="24.95" hidden="1" customHeight="1">
      <c r="A71" s="136"/>
      <c r="B71" s="176"/>
      <c r="C71" s="177"/>
      <c r="D71" s="136"/>
      <c r="E71" s="231"/>
      <c r="F71" s="144"/>
      <c r="G71" s="144"/>
      <c r="H71" s="235"/>
      <c r="I71" s="235"/>
      <c r="J71" s="235"/>
      <c r="K71" s="235"/>
      <c r="L71" s="285"/>
    </row>
    <row r="72" spans="1:12" ht="24.95" hidden="1" customHeight="1">
      <c r="A72" s="136"/>
      <c r="B72" s="176"/>
      <c r="C72" s="177"/>
      <c r="D72" s="136"/>
      <c r="E72" s="231"/>
      <c r="F72" s="144"/>
      <c r="G72" s="144"/>
      <c r="H72" s="235"/>
      <c r="I72" s="235"/>
      <c r="J72" s="235"/>
      <c r="K72" s="235"/>
      <c r="L72" s="285"/>
    </row>
    <row r="73" spans="1:12" ht="24.95" hidden="1" customHeight="1">
      <c r="A73" s="136"/>
      <c r="B73" s="176"/>
      <c r="C73" s="177"/>
      <c r="D73" s="136"/>
      <c r="E73" s="231"/>
      <c r="F73" s="144"/>
      <c r="G73" s="144"/>
      <c r="H73" s="235"/>
      <c r="I73" s="235"/>
      <c r="J73" s="235"/>
      <c r="K73" s="235"/>
      <c r="L73" s="285"/>
    </row>
    <row r="74" spans="1:12" ht="24.95" hidden="1" customHeight="1">
      <c r="A74" s="136"/>
      <c r="B74" s="176"/>
      <c r="C74" s="177"/>
      <c r="D74" s="136"/>
      <c r="E74" s="231"/>
      <c r="F74" s="144"/>
      <c r="G74" s="144"/>
      <c r="H74" s="235"/>
      <c r="I74" s="235"/>
      <c r="J74" s="235"/>
      <c r="K74" s="235"/>
      <c r="L74" s="285"/>
    </row>
    <row r="75" spans="1:12" ht="24.95" hidden="1" customHeight="1">
      <c r="A75" s="136"/>
      <c r="B75" s="176"/>
      <c r="C75" s="177"/>
      <c r="D75" s="136"/>
      <c r="E75" s="231"/>
      <c r="F75" s="144"/>
      <c r="G75" s="144"/>
      <c r="H75" s="235"/>
      <c r="I75" s="235"/>
      <c r="J75" s="235"/>
      <c r="K75" s="235"/>
      <c r="L75" s="285"/>
    </row>
    <row r="76" spans="1:12" ht="24.95" hidden="1" customHeight="1">
      <c r="A76" s="136"/>
      <c r="B76" s="176"/>
      <c r="C76" s="177"/>
      <c r="D76" s="136"/>
      <c r="E76" s="231"/>
      <c r="F76" s="144"/>
      <c r="G76" s="144"/>
      <c r="H76" s="235"/>
      <c r="I76" s="235"/>
      <c r="J76" s="235"/>
      <c r="K76" s="235"/>
      <c r="L76" s="285"/>
    </row>
    <row r="77" spans="1:12" ht="24.95" hidden="1" customHeight="1">
      <c r="A77" s="136"/>
      <c r="B77" s="176"/>
      <c r="C77" s="177"/>
      <c r="D77" s="136"/>
      <c r="E77" s="231"/>
      <c r="F77" s="144"/>
      <c r="G77" s="144"/>
      <c r="H77" s="235"/>
      <c r="I77" s="235"/>
      <c r="J77" s="235"/>
      <c r="K77" s="235"/>
      <c r="L77" s="285"/>
    </row>
    <row r="78" spans="1:12" ht="24.95" hidden="1" customHeight="1">
      <c r="A78" s="136"/>
      <c r="B78" s="176"/>
      <c r="C78" s="177"/>
      <c r="D78" s="136"/>
      <c r="E78" s="231"/>
      <c r="F78" s="144"/>
      <c r="G78" s="144"/>
      <c r="H78" s="235"/>
      <c r="I78" s="235"/>
      <c r="J78" s="235"/>
      <c r="K78" s="235"/>
      <c r="L78" s="285"/>
    </row>
    <row r="79" spans="1:12" ht="24.95" hidden="1" customHeight="1">
      <c r="A79" s="136"/>
      <c r="B79" s="176"/>
      <c r="C79" s="177"/>
      <c r="D79" s="136"/>
      <c r="E79" s="231"/>
      <c r="F79" s="144"/>
      <c r="G79" s="144"/>
      <c r="H79" s="235"/>
      <c r="I79" s="235"/>
      <c r="J79" s="235"/>
      <c r="K79" s="235"/>
      <c r="L79" s="285"/>
    </row>
    <row r="80" spans="1:12" ht="24.95" hidden="1" customHeight="1">
      <c r="A80" s="136"/>
      <c r="B80" s="176"/>
      <c r="C80" s="177"/>
      <c r="D80" s="136"/>
      <c r="E80" s="231"/>
      <c r="F80" s="144"/>
      <c r="G80" s="144"/>
      <c r="H80" s="235"/>
      <c r="I80" s="235"/>
      <c r="J80" s="235"/>
      <c r="K80" s="235"/>
      <c r="L80" s="285"/>
    </row>
    <row r="81" spans="1:12" ht="24.95" hidden="1" customHeight="1">
      <c r="A81" s="136"/>
      <c r="B81" s="176"/>
      <c r="C81" s="177"/>
      <c r="D81" s="136"/>
      <c r="E81" s="231"/>
      <c r="F81" s="144"/>
      <c r="G81" s="144"/>
      <c r="H81" s="235"/>
      <c r="I81" s="235"/>
      <c r="J81" s="235"/>
      <c r="K81" s="235"/>
      <c r="L81" s="285"/>
    </row>
    <row r="82" spans="1:12" ht="24.95" hidden="1" customHeight="1">
      <c r="A82" s="136"/>
      <c r="B82" s="176"/>
      <c r="C82" s="177"/>
      <c r="D82" s="136"/>
      <c r="E82" s="231"/>
      <c r="F82" s="144"/>
      <c r="G82" s="144"/>
      <c r="H82" s="235"/>
      <c r="I82" s="235"/>
      <c r="J82" s="235"/>
      <c r="K82" s="235"/>
      <c r="L82" s="285"/>
    </row>
    <row r="83" spans="1:12" ht="24.95" hidden="1" customHeight="1">
      <c r="A83" s="136"/>
      <c r="B83" s="176"/>
      <c r="C83" s="177"/>
      <c r="D83" s="136"/>
      <c r="E83" s="231"/>
      <c r="F83" s="144"/>
      <c r="G83" s="144"/>
      <c r="H83" s="235"/>
      <c r="I83" s="235"/>
      <c r="J83" s="235"/>
      <c r="K83" s="235"/>
      <c r="L83" s="285"/>
    </row>
    <row r="84" spans="1:12" ht="24.95" hidden="1" customHeight="1">
      <c r="A84" s="136"/>
      <c r="B84" s="176"/>
      <c r="C84" s="177"/>
      <c r="D84" s="136"/>
      <c r="E84" s="231"/>
      <c r="F84" s="144"/>
      <c r="G84" s="144"/>
      <c r="H84" s="235"/>
      <c r="I84" s="235"/>
      <c r="J84" s="235"/>
      <c r="K84" s="235"/>
      <c r="L84" s="285"/>
    </row>
    <row r="85" spans="1:12" ht="24.95" hidden="1" customHeight="1">
      <c r="A85" s="136"/>
      <c r="B85" s="176"/>
      <c r="C85" s="177"/>
      <c r="D85" s="136"/>
      <c r="E85" s="231"/>
      <c r="F85" s="144"/>
      <c r="G85" s="144"/>
      <c r="H85" s="235"/>
      <c r="I85" s="235"/>
      <c r="J85" s="235"/>
      <c r="K85" s="235"/>
      <c r="L85" s="285"/>
    </row>
    <row r="86" spans="1:12" ht="24.95" hidden="1" customHeight="1">
      <c r="A86" s="136"/>
      <c r="B86" s="176"/>
      <c r="C86" s="177"/>
      <c r="D86" s="136"/>
      <c r="E86" s="231"/>
      <c r="F86" s="144"/>
      <c r="G86" s="144"/>
      <c r="H86" s="235"/>
      <c r="I86" s="235"/>
      <c r="J86" s="235"/>
      <c r="K86" s="235"/>
      <c r="L86" s="285"/>
    </row>
    <row r="87" spans="1:12" ht="24.95" hidden="1" customHeight="1">
      <c r="A87" s="136"/>
      <c r="B87" s="176"/>
      <c r="C87" s="177"/>
      <c r="D87" s="136"/>
      <c r="E87" s="231"/>
      <c r="F87" s="144"/>
      <c r="G87" s="144"/>
      <c r="H87" s="235"/>
      <c r="I87" s="235"/>
      <c r="J87" s="235"/>
      <c r="K87" s="235"/>
      <c r="L87" s="285"/>
    </row>
    <row r="88" spans="1:12" ht="24.95" hidden="1" customHeight="1">
      <c r="A88" s="136"/>
      <c r="B88" s="176"/>
      <c r="C88" s="177"/>
      <c r="D88" s="136"/>
      <c r="E88" s="231"/>
      <c r="F88" s="144"/>
      <c r="G88" s="144"/>
      <c r="H88" s="235"/>
      <c r="I88" s="235"/>
      <c r="J88" s="235"/>
      <c r="K88" s="235"/>
      <c r="L88" s="285"/>
    </row>
    <row r="89" spans="1:12" ht="24.95" hidden="1" customHeight="1">
      <c r="A89" s="136"/>
      <c r="B89" s="176"/>
      <c r="C89" s="177"/>
      <c r="D89" s="136"/>
      <c r="E89" s="231"/>
      <c r="F89" s="144"/>
      <c r="G89" s="144"/>
      <c r="H89" s="235"/>
      <c r="I89" s="235"/>
      <c r="J89" s="235"/>
      <c r="K89" s="235"/>
      <c r="L89" s="285"/>
    </row>
    <row r="90" spans="1:12" ht="24.95" hidden="1" customHeight="1">
      <c r="A90" s="136"/>
      <c r="B90" s="176"/>
      <c r="C90" s="177"/>
      <c r="D90" s="136"/>
      <c r="E90" s="231"/>
      <c r="F90" s="144"/>
      <c r="G90" s="144"/>
      <c r="H90" s="235"/>
      <c r="I90" s="235"/>
      <c r="J90" s="235"/>
      <c r="K90" s="235"/>
      <c r="L90" s="285"/>
    </row>
    <row r="91" spans="1:12" ht="24.95" hidden="1" customHeight="1">
      <c r="A91" s="136"/>
      <c r="B91" s="176"/>
      <c r="C91" s="177"/>
      <c r="D91" s="136"/>
      <c r="E91" s="231"/>
      <c r="F91" s="144"/>
      <c r="G91" s="144"/>
      <c r="H91" s="235"/>
      <c r="I91" s="235"/>
      <c r="J91" s="235"/>
      <c r="K91" s="235"/>
      <c r="L91" s="285"/>
    </row>
    <row r="92" spans="1:12" ht="24.95" hidden="1" customHeight="1">
      <c r="A92" s="136"/>
      <c r="B92" s="176"/>
      <c r="C92" s="177"/>
      <c r="D92" s="136"/>
      <c r="E92" s="231"/>
      <c r="F92" s="144"/>
      <c r="G92" s="144"/>
      <c r="H92" s="235"/>
      <c r="I92" s="235"/>
      <c r="J92" s="235"/>
      <c r="K92" s="235"/>
      <c r="L92" s="285"/>
    </row>
    <row r="93" spans="1:12" ht="24.95" hidden="1" customHeight="1">
      <c r="A93" s="136"/>
      <c r="B93" s="176"/>
      <c r="C93" s="177"/>
      <c r="D93" s="136"/>
      <c r="E93" s="231"/>
      <c r="F93" s="144"/>
      <c r="G93" s="144"/>
      <c r="H93" s="235"/>
      <c r="I93" s="235"/>
      <c r="J93" s="235"/>
      <c r="K93" s="235"/>
      <c r="L93" s="285"/>
    </row>
    <row r="94" spans="1:12" ht="24.95" hidden="1" customHeight="1">
      <c r="A94" s="136"/>
      <c r="B94" s="176"/>
      <c r="C94" s="177"/>
      <c r="D94" s="136"/>
      <c r="E94" s="231"/>
      <c r="F94" s="144"/>
      <c r="G94" s="144"/>
      <c r="H94" s="235"/>
      <c r="I94" s="235"/>
      <c r="J94" s="235"/>
      <c r="K94" s="235"/>
      <c r="L94" s="285"/>
    </row>
    <row r="95" spans="1:12" ht="24.95" hidden="1" customHeight="1">
      <c r="A95" s="136"/>
      <c r="B95" s="176"/>
      <c r="C95" s="177"/>
      <c r="D95" s="136"/>
      <c r="E95" s="231"/>
      <c r="F95" s="144"/>
      <c r="G95" s="144"/>
      <c r="H95" s="235"/>
      <c r="I95" s="235"/>
      <c r="J95" s="235"/>
      <c r="K95" s="235"/>
      <c r="L95" s="285"/>
    </row>
    <row r="96" spans="1:12" ht="24.95" hidden="1" customHeight="1">
      <c r="A96" s="136"/>
      <c r="B96" s="176"/>
      <c r="C96" s="177"/>
      <c r="D96" s="136"/>
      <c r="E96" s="231"/>
      <c r="F96" s="144"/>
      <c r="G96" s="144"/>
      <c r="H96" s="235"/>
      <c r="I96" s="235"/>
      <c r="J96" s="235"/>
      <c r="K96" s="235"/>
      <c r="L96" s="285"/>
    </row>
    <row r="97" spans="1:12" ht="24.95" hidden="1" customHeight="1">
      <c r="A97" s="136"/>
      <c r="B97" s="176"/>
      <c r="C97" s="177"/>
      <c r="D97" s="136"/>
      <c r="E97" s="231"/>
      <c r="F97" s="144"/>
      <c r="G97" s="144"/>
      <c r="H97" s="235"/>
      <c r="I97" s="235"/>
      <c r="J97" s="235"/>
      <c r="K97" s="235"/>
      <c r="L97" s="285"/>
    </row>
    <row r="98" spans="1:12" ht="24.95" hidden="1" customHeight="1">
      <c r="A98" s="136"/>
      <c r="B98" s="176"/>
      <c r="C98" s="177"/>
      <c r="D98" s="136"/>
      <c r="E98" s="231"/>
      <c r="F98" s="144"/>
      <c r="G98" s="144"/>
      <c r="H98" s="235"/>
      <c r="I98" s="235"/>
      <c r="J98" s="235"/>
      <c r="K98" s="235"/>
      <c r="L98" s="285"/>
    </row>
    <row r="99" spans="1:12" ht="24.95" hidden="1" customHeight="1">
      <c r="A99" s="136"/>
      <c r="B99" s="176"/>
      <c r="C99" s="177"/>
      <c r="D99" s="136"/>
      <c r="E99" s="231"/>
      <c r="F99" s="144"/>
      <c r="G99" s="144"/>
      <c r="H99" s="235"/>
      <c r="I99" s="235"/>
      <c r="J99" s="235"/>
      <c r="K99" s="235"/>
      <c r="L99" s="285"/>
    </row>
    <row r="100" spans="1:12" ht="24.95" hidden="1" customHeight="1">
      <c r="A100" s="136"/>
      <c r="B100" s="176"/>
      <c r="C100" s="177"/>
      <c r="D100" s="136"/>
      <c r="E100" s="231"/>
      <c r="F100" s="144"/>
      <c r="G100" s="144"/>
      <c r="H100" s="235"/>
      <c r="I100" s="235"/>
      <c r="J100" s="235"/>
      <c r="K100" s="235"/>
      <c r="L100" s="285"/>
    </row>
    <row r="101" spans="1:12" ht="24.95" hidden="1" customHeight="1">
      <c r="A101" s="136"/>
      <c r="B101" s="176"/>
      <c r="C101" s="177"/>
      <c r="D101" s="136"/>
      <c r="E101" s="231"/>
      <c r="F101" s="144"/>
      <c r="G101" s="144"/>
      <c r="H101" s="235"/>
      <c r="I101" s="235"/>
      <c r="J101" s="235"/>
      <c r="K101" s="235"/>
      <c r="L101" s="285"/>
    </row>
    <row r="102" spans="1:12" ht="24.95" hidden="1" customHeight="1">
      <c r="A102" s="136"/>
      <c r="B102" s="176"/>
      <c r="C102" s="177"/>
      <c r="D102" s="136"/>
      <c r="E102" s="231"/>
      <c r="F102" s="144"/>
      <c r="G102" s="144"/>
      <c r="H102" s="235"/>
      <c r="I102" s="235"/>
      <c r="J102" s="235"/>
      <c r="K102" s="235"/>
      <c r="L102" s="285"/>
    </row>
    <row r="103" spans="1:12" ht="24.95" hidden="1" customHeight="1">
      <c r="A103" s="136"/>
      <c r="B103" s="176"/>
      <c r="C103" s="177"/>
      <c r="D103" s="136"/>
      <c r="E103" s="231"/>
      <c r="F103" s="144"/>
      <c r="G103" s="144"/>
      <c r="H103" s="235"/>
      <c r="I103" s="235"/>
      <c r="J103" s="235"/>
      <c r="K103" s="235"/>
      <c r="L103" s="285"/>
    </row>
    <row r="104" spans="1:12" ht="24.95" hidden="1" customHeight="1">
      <c r="A104" s="136"/>
      <c r="B104" s="176"/>
      <c r="C104" s="177"/>
      <c r="D104" s="136"/>
      <c r="E104" s="231"/>
      <c r="F104" s="144"/>
      <c r="G104" s="144"/>
      <c r="H104" s="235"/>
      <c r="I104" s="235"/>
      <c r="J104" s="235"/>
      <c r="K104" s="235"/>
      <c r="L104" s="285"/>
    </row>
    <row r="105" spans="1:12" ht="24.95" hidden="1" customHeight="1">
      <c r="A105" s="136"/>
      <c r="B105" s="176"/>
      <c r="C105" s="177"/>
      <c r="D105" s="136"/>
      <c r="E105" s="231"/>
      <c r="F105" s="144"/>
      <c r="G105" s="144"/>
      <c r="H105" s="235"/>
      <c r="I105" s="235"/>
      <c r="J105" s="235"/>
      <c r="K105" s="235"/>
      <c r="L105" s="285"/>
    </row>
    <row r="106" spans="1:12" ht="24.95" hidden="1" customHeight="1">
      <c r="A106" s="136"/>
      <c r="B106" s="176"/>
      <c r="C106" s="177"/>
      <c r="D106" s="136"/>
      <c r="E106" s="231"/>
      <c r="F106" s="144"/>
      <c r="G106" s="144"/>
      <c r="H106" s="235"/>
      <c r="I106" s="235"/>
      <c r="J106" s="235"/>
      <c r="K106" s="235"/>
      <c r="L106" s="285"/>
    </row>
    <row r="107" spans="1:12" ht="24.95" hidden="1" customHeight="1">
      <c r="A107" s="136"/>
      <c r="B107" s="176"/>
      <c r="C107" s="177"/>
      <c r="D107" s="136"/>
      <c r="E107" s="231"/>
      <c r="F107" s="144"/>
      <c r="G107" s="144"/>
      <c r="H107" s="235"/>
      <c r="I107" s="235"/>
      <c r="J107" s="235"/>
      <c r="K107" s="235"/>
      <c r="L107" s="285"/>
    </row>
    <row r="108" spans="1:12" ht="24.95" hidden="1" customHeight="1">
      <c r="A108" s="136"/>
      <c r="B108" s="176"/>
      <c r="C108" s="177"/>
      <c r="D108" s="136"/>
      <c r="E108" s="231"/>
      <c r="F108" s="144"/>
      <c r="G108" s="144"/>
      <c r="H108" s="235"/>
      <c r="I108" s="235"/>
      <c r="J108" s="235"/>
      <c r="K108" s="235"/>
      <c r="L108" s="285"/>
    </row>
    <row r="109" spans="1:12" ht="24.95" hidden="1" customHeight="1">
      <c r="A109" s="136"/>
      <c r="B109" s="176"/>
      <c r="C109" s="177"/>
      <c r="D109" s="136"/>
      <c r="E109" s="231"/>
      <c r="F109" s="144"/>
      <c r="G109" s="144"/>
      <c r="H109" s="235"/>
      <c r="I109" s="235"/>
      <c r="J109" s="235"/>
      <c r="K109" s="235"/>
      <c r="L109" s="285"/>
    </row>
    <row r="110" spans="1:12" ht="24.95" hidden="1" customHeight="1">
      <c r="A110" s="136"/>
      <c r="B110" s="176"/>
      <c r="C110" s="177"/>
      <c r="D110" s="136"/>
      <c r="E110" s="231"/>
      <c r="F110" s="144"/>
      <c r="G110" s="144"/>
      <c r="H110" s="235"/>
      <c r="I110" s="235"/>
      <c r="J110" s="235"/>
      <c r="K110" s="235"/>
      <c r="L110" s="285"/>
    </row>
    <row r="111" spans="1:12" ht="24.95" hidden="1" customHeight="1">
      <c r="A111" s="136"/>
      <c r="B111" s="176"/>
      <c r="C111" s="177"/>
      <c r="D111" s="136"/>
      <c r="E111" s="231"/>
      <c r="F111" s="144"/>
      <c r="G111" s="144"/>
      <c r="H111" s="235"/>
      <c r="I111" s="235"/>
      <c r="J111" s="235"/>
      <c r="K111" s="235"/>
      <c r="L111" s="285"/>
    </row>
    <row r="112" spans="1:12" ht="24.95" hidden="1" customHeight="1">
      <c r="A112" s="136"/>
      <c r="B112" s="176"/>
      <c r="C112" s="177"/>
      <c r="D112" s="136"/>
      <c r="E112" s="231"/>
      <c r="F112" s="144"/>
      <c r="G112" s="144"/>
      <c r="H112" s="235"/>
      <c r="I112" s="235"/>
      <c r="J112" s="235"/>
      <c r="K112" s="235"/>
      <c r="L112" s="285"/>
    </row>
    <row r="113" spans="1:12" ht="24.95" hidden="1" customHeight="1">
      <c r="A113" s="136"/>
      <c r="B113" s="176"/>
      <c r="C113" s="177"/>
      <c r="D113" s="136"/>
      <c r="E113" s="231"/>
      <c r="F113" s="144"/>
      <c r="G113" s="144"/>
      <c r="H113" s="235"/>
      <c r="I113" s="235"/>
      <c r="J113" s="235"/>
      <c r="K113" s="235"/>
      <c r="L113" s="285"/>
    </row>
    <row r="114" spans="1:12" ht="24.95" hidden="1" customHeight="1">
      <c r="A114" s="136"/>
      <c r="B114" s="176"/>
      <c r="C114" s="177"/>
      <c r="D114" s="136"/>
      <c r="E114" s="231"/>
      <c r="F114" s="144"/>
      <c r="G114" s="144"/>
      <c r="H114" s="235"/>
      <c r="I114" s="235"/>
      <c r="J114" s="235"/>
      <c r="K114" s="235"/>
      <c r="L114" s="285"/>
    </row>
    <row r="115" spans="1:12" ht="24.95" hidden="1" customHeight="1">
      <c r="A115" s="136"/>
      <c r="B115" s="176"/>
      <c r="C115" s="177"/>
      <c r="D115" s="136"/>
      <c r="E115" s="231"/>
      <c r="F115" s="144"/>
      <c r="G115" s="144"/>
      <c r="H115" s="235"/>
      <c r="I115" s="235"/>
      <c r="J115" s="235"/>
      <c r="K115" s="235"/>
      <c r="L115" s="285"/>
    </row>
    <row r="116" spans="1:12" ht="24.95" hidden="1" customHeight="1">
      <c r="A116" s="136"/>
      <c r="B116" s="176"/>
      <c r="C116" s="177"/>
      <c r="D116" s="136"/>
      <c r="E116" s="231"/>
      <c r="F116" s="144"/>
      <c r="G116" s="144"/>
      <c r="H116" s="235"/>
      <c r="I116" s="235"/>
      <c r="J116" s="235"/>
      <c r="K116" s="235"/>
      <c r="L116" s="285"/>
    </row>
    <row r="117" spans="1:12" ht="24.95" hidden="1" customHeight="1">
      <c r="A117" s="136"/>
      <c r="B117" s="176"/>
      <c r="C117" s="177"/>
      <c r="D117" s="136"/>
      <c r="E117" s="231"/>
      <c r="F117" s="144"/>
      <c r="G117" s="144"/>
      <c r="H117" s="235"/>
      <c r="I117" s="235"/>
      <c r="J117" s="235"/>
      <c r="K117" s="235"/>
      <c r="L117" s="285"/>
    </row>
    <row r="118" spans="1:12" ht="24.95" hidden="1" customHeight="1">
      <c r="A118" s="136"/>
      <c r="B118" s="176"/>
      <c r="C118" s="177"/>
      <c r="D118" s="136"/>
      <c r="E118" s="231"/>
      <c r="F118" s="144"/>
      <c r="G118" s="144"/>
      <c r="H118" s="235"/>
      <c r="I118" s="235"/>
      <c r="J118" s="235"/>
      <c r="K118" s="235"/>
      <c r="L118" s="285"/>
    </row>
    <row r="119" spans="1:12" ht="24.95" hidden="1" customHeight="1">
      <c r="A119" s="136"/>
      <c r="B119" s="176"/>
      <c r="C119" s="177"/>
      <c r="D119" s="136"/>
      <c r="E119" s="231"/>
      <c r="F119" s="144"/>
      <c r="G119" s="144"/>
      <c r="H119" s="235"/>
      <c r="I119" s="235"/>
      <c r="J119" s="235"/>
      <c r="K119" s="235"/>
      <c r="L119" s="285"/>
    </row>
    <row r="120" spans="1:12" ht="24.95" hidden="1" customHeight="1">
      <c r="A120" s="136"/>
      <c r="B120" s="176"/>
      <c r="C120" s="177"/>
      <c r="D120" s="136"/>
      <c r="E120" s="231"/>
      <c r="F120" s="144"/>
      <c r="G120" s="144"/>
      <c r="H120" s="235"/>
      <c r="I120" s="235"/>
      <c r="J120" s="235"/>
      <c r="K120" s="235"/>
      <c r="L120" s="285"/>
    </row>
    <row r="121" spans="1:12" ht="24.95" hidden="1" customHeight="1">
      <c r="A121" s="136"/>
      <c r="B121" s="176"/>
      <c r="C121" s="177"/>
      <c r="D121" s="136"/>
      <c r="E121" s="231"/>
      <c r="F121" s="144"/>
      <c r="G121" s="144"/>
      <c r="H121" s="235"/>
      <c r="I121" s="235"/>
      <c r="J121" s="235"/>
      <c r="K121" s="235"/>
      <c r="L121" s="285"/>
    </row>
    <row r="122" spans="1:12" ht="24.95" hidden="1" customHeight="1">
      <c r="A122" s="136"/>
      <c r="B122" s="176"/>
      <c r="C122" s="177"/>
      <c r="D122" s="136"/>
      <c r="E122" s="231"/>
      <c r="F122" s="144"/>
      <c r="G122" s="144"/>
      <c r="H122" s="235"/>
      <c r="I122" s="235"/>
      <c r="J122" s="235"/>
      <c r="K122" s="235"/>
      <c r="L122" s="285"/>
    </row>
    <row r="123" spans="1:12" ht="24.95" hidden="1" customHeight="1">
      <c r="A123" s="136"/>
      <c r="B123" s="176"/>
      <c r="C123" s="177"/>
      <c r="D123" s="136"/>
      <c r="E123" s="231"/>
      <c r="F123" s="144"/>
      <c r="G123" s="144"/>
      <c r="H123" s="235"/>
      <c r="I123" s="235"/>
      <c r="J123" s="235"/>
      <c r="K123" s="235"/>
      <c r="L123" s="285"/>
    </row>
    <row r="124" spans="1:12" ht="24.95" hidden="1" customHeight="1">
      <c r="A124" s="136"/>
      <c r="B124" s="176"/>
      <c r="C124" s="177"/>
      <c r="D124" s="136"/>
      <c r="E124" s="231"/>
      <c r="F124" s="144"/>
      <c r="G124" s="144"/>
      <c r="H124" s="235"/>
      <c r="I124" s="235"/>
      <c r="J124" s="235"/>
      <c r="K124" s="235"/>
      <c r="L124" s="285"/>
    </row>
    <row r="125" spans="1:12" ht="24.95" hidden="1" customHeight="1">
      <c r="A125" s="136"/>
      <c r="B125" s="176"/>
      <c r="C125" s="177"/>
      <c r="D125" s="136"/>
      <c r="E125" s="231"/>
      <c r="F125" s="144"/>
      <c r="G125" s="144"/>
      <c r="H125" s="235"/>
      <c r="I125" s="235"/>
      <c r="J125" s="235"/>
      <c r="K125" s="235"/>
      <c r="L125" s="285"/>
    </row>
    <row r="126" spans="1:12" ht="24.95" hidden="1" customHeight="1">
      <c r="A126" s="136"/>
      <c r="B126" s="176"/>
      <c r="C126" s="177"/>
      <c r="D126" s="136"/>
      <c r="E126" s="231"/>
      <c r="F126" s="144"/>
      <c r="G126" s="144"/>
      <c r="H126" s="235"/>
      <c r="I126" s="235"/>
      <c r="J126" s="235"/>
      <c r="K126" s="235"/>
      <c r="L126" s="285"/>
    </row>
    <row r="127" spans="1:12" ht="24.95" hidden="1" customHeight="1">
      <c r="A127" s="136"/>
      <c r="B127" s="176"/>
      <c r="C127" s="177"/>
      <c r="D127" s="136"/>
      <c r="E127" s="231"/>
      <c r="F127" s="144"/>
      <c r="G127" s="144"/>
      <c r="H127" s="235"/>
      <c r="I127" s="235"/>
      <c r="J127" s="235"/>
      <c r="K127" s="235"/>
      <c r="L127" s="285"/>
    </row>
    <row r="128" spans="1:12" ht="24.95" hidden="1" customHeight="1">
      <c r="A128" s="136"/>
      <c r="B128" s="176"/>
      <c r="C128" s="177"/>
      <c r="D128" s="136"/>
      <c r="E128" s="231"/>
      <c r="F128" s="144"/>
      <c r="G128" s="144"/>
      <c r="H128" s="235"/>
      <c r="I128" s="235"/>
      <c r="J128" s="235"/>
      <c r="K128" s="235"/>
      <c r="L128" s="285"/>
    </row>
    <row r="129" spans="1:12" ht="24.95" hidden="1" customHeight="1">
      <c r="A129" s="136"/>
      <c r="B129" s="176"/>
      <c r="C129" s="177"/>
      <c r="D129" s="136"/>
      <c r="E129" s="231"/>
      <c r="F129" s="144"/>
      <c r="G129" s="144"/>
      <c r="H129" s="235"/>
      <c r="I129" s="235"/>
      <c r="J129" s="235"/>
      <c r="K129" s="235"/>
      <c r="L129" s="285"/>
    </row>
    <row r="130" spans="1:12" ht="24.95" hidden="1" customHeight="1">
      <c r="A130" s="136"/>
      <c r="B130" s="176"/>
      <c r="C130" s="177"/>
      <c r="D130" s="136"/>
      <c r="E130" s="231"/>
      <c r="F130" s="144"/>
      <c r="G130" s="144"/>
      <c r="H130" s="235"/>
      <c r="I130" s="235"/>
      <c r="J130" s="235"/>
      <c r="K130" s="235"/>
      <c r="L130" s="285"/>
    </row>
    <row r="131" spans="1:12" ht="24.95" hidden="1" customHeight="1">
      <c r="A131" s="136"/>
      <c r="B131" s="176"/>
      <c r="C131" s="177"/>
      <c r="D131" s="136"/>
      <c r="E131" s="231"/>
      <c r="F131" s="144"/>
      <c r="G131" s="144"/>
      <c r="H131" s="235"/>
      <c r="I131" s="235"/>
      <c r="J131" s="235"/>
      <c r="K131" s="235"/>
      <c r="L131" s="285"/>
    </row>
    <row r="132" spans="1:12" ht="24.95" hidden="1" customHeight="1">
      <c r="A132" s="136"/>
      <c r="B132" s="176"/>
      <c r="C132" s="177"/>
      <c r="D132" s="136"/>
      <c r="E132" s="231"/>
      <c r="F132" s="144"/>
      <c r="G132" s="144"/>
      <c r="H132" s="235"/>
      <c r="I132" s="235"/>
      <c r="J132" s="235"/>
      <c r="K132" s="235"/>
      <c r="L132" s="285"/>
    </row>
    <row r="133" spans="1:12" ht="24.95" hidden="1" customHeight="1">
      <c r="A133" s="136"/>
      <c r="B133" s="176"/>
      <c r="C133" s="177"/>
      <c r="D133" s="136"/>
      <c r="E133" s="231"/>
      <c r="F133" s="144"/>
      <c r="G133" s="144"/>
      <c r="H133" s="235"/>
      <c r="I133" s="235"/>
      <c r="J133" s="235"/>
      <c r="K133" s="235"/>
      <c r="L133" s="285"/>
    </row>
    <row r="134" spans="1:12" ht="24.95" hidden="1" customHeight="1">
      <c r="A134" s="136"/>
      <c r="B134" s="176"/>
      <c r="C134" s="177"/>
      <c r="D134" s="136"/>
      <c r="E134" s="231"/>
      <c r="F134" s="144"/>
      <c r="G134" s="144"/>
      <c r="H134" s="235"/>
      <c r="I134" s="235"/>
      <c r="J134" s="235"/>
      <c r="K134" s="235"/>
      <c r="L134" s="285"/>
    </row>
    <row r="135" spans="1:12" ht="24.95" hidden="1" customHeight="1">
      <c r="A135" s="136"/>
      <c r="B135" s="176"/>
      <c r="C135" s="177"/>
      <c r="D135" s="136"/>
      <c r="E135" s="231"/>
      <c r="F135" s="144"/>
      <c r="G135" s="144"/>
      <c r="H135" s="235"/>
      <c r="I135" s="235"/>
      <c r="J135" s="235"/>
      <c r="K135" s="235"/>
      <c r="L135" s="285"/>
    </row>
    <row r="136" spans="1:12" ht="24.95" hidden="1" customHeight="1">
      <c r="A136" s="136"/>
      <c r="B136" s="176"/>
      <c r="C136" s="177"/>
      <c r="D136" s="136"/>
      <c r="E136" s="231"/>
      <c r="F136" s="144"/>
      <c r="G136" s="144"/>
      <c r="H136" s="235"/>
      <c r="I136" s="235"/>
      <c r="J136" s="235"/>
      <c r="K136" s="235"/>
      <c r="L136" s="285"/>
    </row>
    <row r="137" spans="1:12" ht="24.95" hidden="1" customHeight="1">
      <c r="A137" s="136"/>
      <c r="B137" s="176"/>
      <c r="C137" s="177"/>
      <c r="D137" s="136"/>
      <c r="E137" s="231"/>
      <c r="F137" s="144"/>
      <c r="G137" s="144"/>
      <c r="H137" s="235"/>
      <c r="I137" s="235"/>
      <c r="J137" s="235"/>
      <c r="K137" s="235"/>
      <c r="L137" s="285"/>
    </row>
    <row r="138" spans="1:12" ht="24.95" hidden="1" customHeight="1">
      <c r="A138" s="136"/>
      <c r="B138" s="176"/>
      <c r="C138" s="177"/>
      <c r="D138" s="136"/>
      <c r="E138" s="231"/>
      <c r="F138" s="144"/>
      <c r="G138" s="144"/>
      <c r="H138" s="235"/>
      <c r="I138" s="235"/>
      <c r="J138" s="235"/>
      <c r="K138" s="235"/>
      <c r="L138" s="285"/>
    </row>
    <row r="139" spans="1:12" ht="24.95" hidden="1" customHeight="1">
      <c r="A139" s="136"/>
      <c r="B139" s="176"/>
      <c r="C139" s="177"/>
      <c r="D139" s="136"/>
      <c r="E139" s="231"/>
      <c r="F139" s="144"/>
      <c r="G139" s="144"/>
      <c r="H139" s="235"/>
      <c r="I139" s="235"/>
      <c r="J139" s="235"/>
      <c r="K139" s="235"/>
      <c r="L139" s="285"/>
    </row>
    <row r="140" spans="1:12" ht="24.95" hidden="1" customHeight="1">
      <c r="A140" s="136"/>
      <c r="B140" s="176"/>
      <c r="C140" s="177"/>
      <c r="D140" s="136"/>
      <c r="E140" s="231"/>
      <c r="F140" s="144"/>
      <c r="G140" s="144"/>
      <c r="H140" s="235"/>
      <c r="I140" s="235"/>
      <c r="J140" s="235"/>
      <c r="K140" s="235"/>
      <c r="L140" s="285"/>
    </row>
    <row r="141" spans="1:12" ht="24.95" hidden="1" customHeight="1">
      <c r="A141" s="136"/>
      <c r="B141" s="176"/>
      <c r="C141" s="177"/>
      <c r="D141" s="136"/>
      <c r="E141" s="231"/>
      <c r="F141" s="144"/>
      <c r="G141" s="144"/>
      <c r="H141" s="235"/>
      <c r="I141" s="235"/>
      <c r="J141" s="235"/>
      <c r="K141" s="235"/>
      <c r="L141" s="285"/>
    </row>
    <row r="142" spans="1:12" ht="24.95" hidden="1" customHeight="1">
      <c r="A142" s="136"/>
      <c r="B142" s="176"/>
      <c r="C142" s="177"/>
      <c r="D142" s="136"/>
      <c r="E142" s="231"/>
      <c r="F142" s="144"/>
      <c r="G142" s="144"/>
      <c r="H142" s="235"/>
      <c r="I142" s="235"/>
      <c r="J142" s="235"/>
      <c r="K142" s="235"/>
      <c r="L142" s="285"/>
    </row>
    <row r="143" spans="1:12" ht="24.95" hidden="1" customHeight="1">
      <c r="A143" s="136"/>
      <c r="B143" s="176"/>
      <c r="C143" s="177"/>
      <c r="D143" s="136"/>
      <c r="E143" s="231"/>
      <c r="F143" s="144"/>
      <c r="G143" s="144"/>
      <c r="H143" s="235"/>
      <c r="I143" s="235"/>
      <c r="J143" s="235"/>
      <c r="K143" s="235"/>
      <c r="L143" s="285"/>
    </row>
    <row r="144" spans="1:12" ht="24.95" hidden="1" customHeight="1">
      <c r="A144" s="136"/>
      <c r="B144" s="176"/>
      <c r="C144" s="177"/>
      <c r="D144" s="136"/>
      <c r="E144" s="231"/>
      <c r="F144" s="144"/>
      <c r="G144" s="144"/>
      <c r="H144" s="235"/>
      <c r="I144" s="235"/>
      <c r="J144" s="235"/>
      <c r="K144" s="235"/>
      <c r="L144" s="285"/>
    </row>
    <row r="145" spans="1:12" ht="24.95" hidden="1" customHeight="1">
      <c r="A145" s="136"/>
      <c r="B145" s="176"/>
      <c r="C145" s="177"/>
      <c r="D145" s="136"/>
      <c r="E145" s="231"/>
      <c r="F145" s="144"/>
      <c r="G145" s="144"/>
      <c r="H145" s="235"/>
      <c r="I145" s="235"/>
      <c r="J145" s="235"/>
      <c r="K145" s="235"/>
      <c r="L145" s="285"/>
    </row>
    <row r="146" spans="1:12" ht="24.95" hidden="1" customHeight="1">
      <c r="A146" s="136"/>
      <c r="B146" s="176"/>
      <c r="C146" s="177"/>
      <c r="D146" s="136"/>
      <c r="E146" s="231"/>
      <c r="F146" s="144"/>
      <c r="G146" s="144"/>
      <c r="H146" s="235"/>
      <c r="I146" s="235"/>
      <c r="J146" s="235"/>
      <c r="K146" s="235"/>
      <c r="L146" s="285"/>
    </row>
    <row r="147" spans="1:12" ht="24.95" hidden="1" customHeight="1">
      <c r="A147" s="136"/>
      <c r="B147" s="176"/>
      <c r="C147" s="177"/>
      <c r="D147" s="136"/>
      <c r="E147" s="231"/>
      <c r="F147" s="144"/>
      <c r="G147" s="144"/>
      <c r="H147" s="235"/>
      <c r="I147" s="235"/>
      <c r="J147" s="235"/>
      <c r="K147" s="235"/>
      <c r="L147" s="285"/>
    </row>
    <row r="148" spans="1:12" ht="24.95" hidden="1" customHeight="1">
      <c r="A148" s="136"/>
      <c r="B148" s="176"/>
      <c r="C148" s="177"/>
      <c r="D148" s="136"/>
      <c r="E148" s="231"/>
      <c r="F148" s="144"/>
      <c r="G148" s="144"/>
      <c r="H148" s="235"/>
      <c r="I148" s="235"/>
      <c r="J148" s="235"/>
      <c r="K148" s="235"/>
      <c r="L148" s="285"/>
    </row>
    <row r="149" spans="1:12" ht="24.95" hidden="1" customHeight="1">
      <c r="A149" s="136"/>
      <c r="B149" s="176"/>
      <c r="C149" s="177"/>
      <c r="D149" s="136"/>
      <c r="E149" s="231"/>
      <c r="F149" s="144"/>
      <c r="G149" s="144"/>
      <c r="H149" s="235"/>
      <c r="I149" s="235"/>
      <c r="J149" s="235"/>
      <c r="K149" s="235"/>
      <c r="L149" s="285"/>
    </row>
    <row r="150" spans="1:12" ht="24.95" hidden="1" customHeight="1">
      <c r="A150" s="136"/>
      <c r="B150" s="176"/>
      <c r="C150" s="177"/>
      <c r="D150" s="136"/>
      <c r="E150" s="231"/>
      <c r="F150" s="144"/>
      <c r="G150" s="144"/>
      <c r="H150" s="235"/>
      <c r="I150" s="235"/>
      <c r="J150" s="235"/>
      <c r="K150" s="235"/>
      <c r="L150" s="285"/>
    </row>
    <row r="151" spans="1:12" ht="24.95" hidden="1" customHeight="1">
      <c r="A151" s="136"/>
      <c r="B151" s="176"/>
      <c r="C151" s="177"/>
      <c r="D151" s="136"/>
      <c r="E151" s="231"/>
      <c r="F151" s="144"/>
      <c r="G151" s="144"/>
      <c r="H151" s="235"/>
      <c r="I151" s="235"/>
      <c r="J151" s="235"/>
      <c r="K151" s="235"/>
      <c r="L151" s="285"/>
    </row>
    <row r="152" spans="1:12" ht="24.95" hidden="1" customHeight="1">
      <c r="A152" s="136"/>
      <c r="B152" s="176"/>
      <c r="C152" s="177"/>
      <c r="D152" s="136"/>
      <c r="E152" s="231"/>
      <c r="F152" s="144"/>
      <c r="G152" s="144"/>
      <c r="H152" s="235"/>
      <c r="I152" s="235"/>
      <c r="J152" s="235"/>
      <c r="K152" s="235"/>
      <c r="L152" s="285"/>
    </row>
    <row r="153" spans="1:12" ht="24.95" hidden="1" customHeight="1">
      <c r="A153" s="136"/>
      <c r="B153" s="176"/>
      <c r="C153" s="177"/>
      <c r="D153" s="136"/>
      <c r="E153" s="231"/>
      <c r="F153" s="144"/>
      <c r="G153" s="144"/>
      <c r="H153" s="235"/>
      <c r="I153" s="235"/>
      <c r="J153" s="235"/>
      <c r="K153" s="235"/>
      <c r="L153" s="285"/>
    </row>
    <row r="154" spans="1:12" ht="24.95" hidden="1" customHeight="1">
      <c r="A154" s="136"/>
      <c r="B154" s="176"/>
      <c r="C154" s="177"/>
      <c r="D154" s="136"/>
      <c r="E154" s="231"/>
      <c r="F154" s="144"/>
      <c r="G154" s="144"/>
      <c r="H154" s="235"/>
      <c r="I154" s="235"/>
      <c r="J154" s="235"/>
      <c r="K154" s="235"/>
      <c r="L154" s="285"/>
    </row>
    <row r="155" spans="1:12" ht="24.95" hidden="1" customHeight="1">
      <c r="A155" s="136"/>
      <c r="B155" s="176"/>
      <c r="C155" s="177"/>
      <c r="D155" s="136"/>
      <c r="E155" s="231"/>
      <c r="F155" s="144"/>
      <c r="G155" s="144"/>
      <c r="H155" s="235"/>
      <c r="I155" s="235"/>
      <c r="J155" s="235"/>
      <c r="K155" s="235"/>
      <c r="L155" s="285"/>
    </row>
    <row r="156" spans="1:12" ht="24.95" hidden="1" customHeight="1">
      <c r="A156" s="136"/>
      <c r="B156" s="176"/>
      <c r="C156" s="177"/>
      <c r="D156" s="136"/>
      <c r="E156" s="231"/>
      <c r="F156" s="144"/>
      <c r="G156" s="144"/>
      <c r="H156" s="235"/>
      <c r="I156" s="235"/>
      <c r="J156" s="235"/>
      <c r="K156" s="235"/>
      <c r="L156" s="285"/>
    </row>
    <row r="157" spans="1:12" ht="24.95" hidden="1" customHeight="1">
      <c r="A157" s="136"/>
      <c r="B157" s="176"/>
      <c r="C157" s="177"/>
      <c r="D157" s="136"/>
      <c r="E157" s="231"/>
      <c r="F157" s="144"/>
      <c r="G157" s="144"/>
      <c r="H157" s="235"/>
      <c r="I157" s="235"/>
      <c r="J157" s="235"/>
      <c r="K157" s="235"/>
      <c r="L157" s="285"/>
    </row>
    <row r="158" spans="1:12" ht="24.95" hidden="1" customHeight="1">
      <c r="A158" s="136"/>
      <c r="B158" s="176"/>
      <c r="C158" s="177"/>
      <c r="D158" s="136"/>
      <c r="E158" s="231"/>
      <c r="F158" s="144"/>
      <c r="G158" s="144"/>
      <c r="H158" s="235"/>
      <c r="I158" s="235"/>
      <c r="J158" s="235"/>
      <c r="K158" s="235"/>
      <c r="L158" s="285"/>
    </row>
    <row r="159" spans="1:12" ht="24.95" hidden="1" customHeight="1">
      <c r="A159" s="136"/>
      <c r="B159" s="176"/>
      <c r="C159" s="177"/>
      <c r="D159" s="136"/>
      <c r="E159" s="231"/>
      <c r="F159" s="144"/>
      <c r="G159" s="144"/>
      <c r="H159" s="235"/>
      <c r="I159" s="235"/>
      <c r="J159" s="235"/>
      <c r="K159" s="235"/>
      <c r="L159" s="285"/>
    </row>
    <row r="160" spans="1:12" ht="24.95" hidden="1" customHeight="1">
      <c r="A160" s="136"/>
      <c r="B160" s="176"/>
      <c r="C160" s="177"/>
      <c r="D160" s="136"/>
      <c r="E160" s="231"/>
      <c r="F160" s="144"/>
      <c r="G160" s="144"/>
      <c r="H160" s="235"/>
      <c r="I160" s="235"/>
      <c r="J160" s="235"/>
      <c r="K160" s="235"/>
      <c r="L160" s="285"/>
    </row>
    <row r="161" spans="1:12" ht="24.95" hidden="1" customHeight="1">
      <c r="A161" s="136"/>
      <c r="B161" s="176"/>
      <c r="C161" s="177"/>
      <c r="D161" s="136"/>
      <c r="E161" s="231"/>
      <c r="F161" s="144"/>
      <c r="G161" s="144"/>
      <c r="H161" s="235"/>
      <c r="I161" s="235"/>
      <c r="J161" s="235"/>
      <c r="K161" s="235"/>
      <c r="L161" s="285"/>
    </row>
    <row r="162" spans="1:12" ht="24.95" hidden="1" customHeight="1">
      <c r="A162" s="136"/>
      <c r="B162" s="176"/>
      <c r="C162" s="177"/>
      <c r="D162" s="136"/>
      <c r="E162" s="231"/>
      <c r="F162" s="144"/>
      <c r="G162" s="144"/>
      <c r="H162" s="235"/>
      <c r="I162" s="235"/>
      <c r="J162" s="235"/>
      <c r="K162" s="235"/>
      <c r="L162" s="285"/>
    </row>
    <row r="163" spans="1:12" ht="24.95" hidden="1" customHeight="1">
      <c r="A163" s="136"/>
      <c r="B163" s="176"/>
      <c r="C163" s="177"/>
      <c r="D163" s="136"/>
      <c r="E163" s="231"/>
      <c r="F163" s="144"/>
      <c r="G163" s="144"/>
      <c r="H163" s="235"/>
      <c r="I163" s="235"/>
      <c r="J163" s="235"/>
      <c r="K163" s="235"/>
      <c r="L163" s="285"/>
    </row>
    <row r="164" spans="1:12" ht="24.95" hidden="1" customHeight="1">
      <c r="A164" s="136"/>
      <c r="B164" s="176"/>
      <c r="C164" s="177"/>
      <c r="D164" s="136"/>
      <c r="E164" s="231"/>
      <c r="F164" s="144"/>
      <c r="G164" s="144"/>
      <c r="H164" s="235"/>
      <c r="I164" s="235"/>
      <c r="J164" s="235"/>
      <c r="K164" s="235"/>
      <c r="L164" s="285"/>
    </row>
    <row r="165" spans="1:12" ht="24.95" hidden="1" customHeight="1">
      <c r="A165" s="136"/>
      <c r="B165" s="176"/>
      <c r="C165" s="177"/>
      <c r="D165" s="136"/>
      <c r="E165" s="231"/>
      <c r="F165" s="144"/>
      <c r="G165" s="144"/>
      <c r="H165" s="235"/>
      <c r="I165" s="235"/>
      <c r="J165" s="235"/>
      <c r="K165" s="235"/>
      <c r="L165" s="285"/>
    </row>
    <row r="166" spans="1:12" ht="24.95" hidden="1" customHeight="1">
      <c r="A166" s="136"/>
      <c r="B166" s="176"/>
      <c r="C166" s="177"/>
      <c r="D166" s="136"/>
      <c r="E166" s="231"/>
      <c r="F166" s="144"/>
      <c r="G166" s="144"/>
      <c r="H166" s="235"/>
      <c r="I166" s="235"/>
      <c r="J166" s="235"/>
      <c r="K166" s="235"/>
      <c r="L166" s="285"/>
    </row>
    <row r="167" spans="1:12" ht="24.95" hidden="1" customHeight="1">
      <c r="A167" s="136"/>
      <c r="B167" s="176"/>
      <c r="C167" s="177"/>
      <c r="D167" s="136"/>
      <c r="E167" s="231"/>
      <c r="F167" s="144"/>
      <c r="G167" s="144"/>
      <c r="H167" s="235"/>
      <c r="I167" s="235"/>
      <c r="J167" s="235"/>
      <c r="K167" s="235"/>
      <c r="L167" s="285"/>
    </row>
    <row r="168" spans="1:12" ht="24.95" hidden="1" customHeight="1">
      <c r="A168" s="136"/>
      <c r="B168" s="176"/>
      <c r="C168" s="177"/>
      <c r="D168" s="136"/>
      <c r="E168" s="231"/>
      <c r="F168" s="144"/>
      <c r="G168" s="144"/>
      <c r="H168" s="235"/>
      <c r="I168" s="235"/>
      <c r="J168" s="235"/>
      <c r="K168" s="235"/>
      <c r="L168" s="285"/>
    </row>
    <row r="169" spans="1:12" ht="24.95" hidden="1" customHeight="1">
      <c r="A169" s="136"/>
      <c r="B169" s="176"/>
      <c r="C169" s="177"/>
      <c r="D169" s="136"/>
      <c r="E169" s="231"/>
      <c r="F169" s="144"/>
      <c r="G169" s="144"/>
      <c r="H169" s="235"/>
      <c r="I169" s="235"/>
      <c r="J169" s="235"/>
      <c r="K169" s="235"/>
      <c r="L169" s="285"/>
    </row>
    <row r="170" spans="1:12" ht="24.95" hidden="1" customHeight="1">
      <c r="A170" s="136"/>
      <c r="B170" s="176"/>
      <c r="C170" s="177"/>
      <c r="D170" s="136"/>
      <c r="E170" s="231"/>
      <c r="F170" s="144"/>
      <c r="G170" s="144"/>
      <c r="H170" s="235"/>
      <c r="I170" s="235"/>
      <c r="J170" s="235"/>
      <c r="K170" s="235"/>
      <c r="L170" s="285"/>
    </row>
    <row r="171" spans="1:12" ht="24.95" hidden="1" customHeight="1">
      <c r="A171" s="136"/>
      <c r="B171" s="176"/>
      <c r="C171" s="177"/>
      <c r="D171" s="136"/>
      <c r="E171" s="231"/>
      <c r="F171" s="144"/>
      <c r="G171" s="144"/>
      <c r="H171" s="235"/>
      <c r="I171" s="235"/>
      <c r="J171" s="235"/>
      <c r="K171" s="235"/>
      <c r="L171" s="285"/>
    </row>
    <row r="172" spans="1:12" ht="24.95" hidden="1" customHeight="1">
      <c r="A172" s="136"/>
      <c r="B172" s="176"/>
      <c r="C172" s="177"/>
      <c r="D172" s="136"/>
      <c r="E172" s="231"/>
      <c r="F172" s="144"/>
      <c r="G172" s="144"/>
      <c r="H172" s="235"/>
      <c r="I172" s="235"/>
      <c r="J172" s="235"/>
      <c r="K172" s="235"/>
      <c r="L172" s="285"/>
    </row>
    <row r="173" spans="1:12" ht="24.95" hidden="1" customHeight="1">
      <c r="A173" s="136"/>
      <c r="B173" s="176"/>
      <c r="C173" s="177"/>
      <c r="D173" s="136"/>
      <c r="E173" s="231"/>
      <c r="F173" s="144"/>
      <c r="G173" s="144"/>
      <c r="H173" s="235"/>
      <c r="I173" s="235"/>
      <c r="J173" s="235"/>
      <c r="K173" s="235"/>
      <c r="L173" s="285"/>
    </row>
    <row r="174" spans="1:12" ht="24.95" hidden="1" customHeight="1">
      <c r="A174" s="136"/>
      <c r="B174" s="176"/>
      <c r="C174" s="177"/>
      <c r="D174" s="136"/>
      <c r="E174" s="231"/>
      <c r="F174" s="144"/>
      <c r="G174" s="144"/>
      <c r="H174" s="235"/>
      <c r="I174" s="235"/>
      <c r="J174" s="235"/>
      <c r="K174" s="235"/>
      <c r="L174" s="285"/>
    </row>
    <row r="175" spans="1:12" ht="24.95" hidden="1" customHeight="1">
      <c r="A175" s="136"/>
      <c r="B175" s="176"/>
      <c r="C175" s="177"/>
      <c r="D175" s="136"/>
      <c r="E175" s="231"/>
      <c r="F175" s="144"/>
      <c r="G175" s="144"/>
      <c r="H175" s="235"/>
      <c r="I175" s="235"/>
      <c r="J175" s="235"/>
      <c r="K175" s="235"/>
      <c r="L175" s="285"/>
    </row>
    <row r="176" spans="1:12" ht="24.95" hidden="1" customHeight="1">
      <c r="A176" s="136"/>
      <c r="B176" s="176"/>
      <c r="C176" s="177"/>
      <c r="D176" s="136"/>
      <c r="E176" s="231"/>
      <c r="F176" s="144"/>
      <c r="G176" s="144"/>
      <c r="H176" s="235"/>
      <c r="I176" s="235"/>
      <c r="J176" s="235"/>
      <c r="K176" s="235"/>
      <c r="L176" s="285"/>
    </row>
    <row r="177" spans="1:12" ht="24.95" hidden="1" customHeight="1">
      <c r="A177" s="136"/>
      <c r="B177" s="176"/>
      <c r="C177" s="177"/>
      <c r="D177" s="136"/>
      <c r="E177" s="231"/>
      <c r="F177" s="144"/>
      <c r="G177" s="144"/>
      <c r="H177" s="235"/>
      <c r="I177" s="235"/>
      <c r="J177" s="235"/>
      <c r="K177" s="235"/>
      <c r="L177" s="285"/>
    </row>
    <row r="178" spans="1:12" ht="24.95" hidden="1" customHeight="1">
      <c r="A178" s="136"/>
      <c r="B178" s="176"/>
      <c r="C178" s="177"/>
      <c r="D178" s="136"/>
      <c r="E178" s="231"/>
      <c r="F178" s="144"/>
      <c r="G178" s="144"/>
      <c r="H178" s="235"/>
      <c r="I178" s="235"/>
      <c r="J178" s="235"/>
      <c r="K178" s="235"/>
      <c r="L178" s="285"/>
    </row>
    <row r="179" spans="1:12" ht="24.95" hidden="1" customHeight="1">
      <c r="A179" s="136"/>
      <c r="B179" s="176"/>
      <c r="C179" s="177"/>
      <c r="D179" s="136"/>
      <c r="E179" s="231"/>
      <c r="F179" s="144"/>
      <c r="G179" s="144"/>
      <c r="H179" s="235"/>
      <c r="I179" s="235"/>
      <c r="J179" s="235"/>
      <c r="K179" s="235"/>
      <c r="L179" s="285"/>
    </row>
    <row r="180" spans="1:12" ht="24.95" hidden="1" customHeight="1">
      <c r="A180" s="136"/>
      <c r="B180" s="176"/>
      <c r="C180" s="177"/>
      <c r="D180" s="136"/>
      <c r="E180" s="231"/>
      <c r="F180" s="144"/>
      <c r="G180" s="144"/>
      <c r="H180" s="235"/>
      <c r="I180" s="235"/>
      <c r="J180" s="235"/>
      <c r="K180" s="235"/>
      <c r="L180" s="285"/>
    </row>
    <row r="181" spans="1:12" ht="24.95" hidden="1" customHeight="1">
      <c r="A181" s="136"/>
      <c r="B181" s="176"/>
      <c r="C181" s="177"/>
      <c r="D181" s="136"/>
      <c r="E181" s="231"/>
      <c r="F181" s="144"/>
      <c r="G181" s="144"/>
      <c r="H181" s="235"/>
      <c r="I181" s="235"/>
      <c r="J181" s="235"/>
      <c r="K181" s="235"/>
      <c r="L181" s="285"/>
    </row>
    <row r="182" spans="1:12" ht="24.95" hidden="1" customHeight="1">
      <c r="A182" s="136"/>
      <c r="B182" s="176"/>
      <c r="C182" s="177"/>
      <c r="D182" s="136"/>
      <c r="E182" s="231"/>
      <c r="F182" s="144"/>
      <c r="G182" s="144"/>
      <c r="H182" s="235"/>
      <c r="I182" s="235"/>
      <c r="J182" s="235"/>
      <c r="K182" s="235"/>
      <c r="L182" s="285"/>
    </row>
    <row r="183" spans="1:12" ht="24.95" hidden="1" customHeight="1">
      <c r="A183" s="136"/>
      <c r="B183" s="176"/>
      <c r="C183" s="177"/>
      <c r="D183" s="136"/>
      <c r="E183" s="231"/>
      <c r="F183" s="144"/>
      <c r="G183" s="144"/>
      <c r="H183" s="235"/>
      <c r="I183" s="235"/>
      <c r="J183" s="235"/>
      <c r="K183" s="235"/>
      <c r="L183" s="285"/>
    </row>
    <row r="184" spans="1:12" ht="24.95" hidden="1" customHeight="1">
      <c r="A184" s="136"/>
      <c r="B184" s="176"/>
      <c r="C184" s="177"/>
      <c r="D184" s="136"/>
      <c r="E184" s="231"/>
      <c r="F184" s="144"/>
      <c r="G184" s="144"/>
      <c r="H184" s="235"/>
      <c r="I184" s="235"/>
      <c r="J184" s="235"/>
      <c r="K184" s="235"/>
      <c r="L184" s="285"/>
    </row>
    <row r="185" spans="1:12" ht="24.95" hidden="1" customHeight="1">
      <c r="A185" s="136"/>
      <c r="B185" s="176"/>
      <c r="C185" s="177"/>
      <c r="D185" s="136"/>
      <c r="E185" s="231"/>
      <c r="F185" s="144"/>
      <c r="G185" s="144"/>
      <c r="H185" s="235"/>
      <c r="I185" s="235"/>
      <c r="J185" s="235"/>
      <c r="K185" s="235"/>
      <c r="L185" s="285"/>
    </row>
    <row r="186" spans="1:12" ht="24.95" hidden="1" customHeight="1">
      <c r="A186" s="136"/>
      <c r="B186" s="176"/>
      <c r="C186" s="177"/>
      <c r="D186" s="136"/>
      <c r="E186" s="231"/>
      <c r="F186" s="144"/>
      <c r="G186" s="144"/>
      <c r="H186" s="235"/>
      <c r="I186" s="235"/>
      <c r="J186" s="235"/>
      <c r="K186" s="235"/>
      <c r="L186" s="285"/>
    </row>
    <row r="187" spans="1:12" ht="24.95" hidden="1" customHeight="1">
      <c r="A187" s="136"/>
      <c r="B187" s="176"/>
      <c r="C187" s="177"/>
      <c r="D187" s="136"/>
      <c r="E187" s="231"/>
      <c r="F187" s="144"/>
      <c r="G187" s="144"/>
      <c r="H187" s="235"/>
      <c r="I187" s="235"/>
      <c r="J187" s="235"/>
      <c r="K187" s="235"/>
      <c r="L187" s="285"/>
    </row>
    <row r="188" spans="1:12" ht="24.95" hidden="1" customHeight="1">
      <c r="A188" s="136"/>
      <c r="B188" s="176"/>
      <c r="C188" s="177"/>
      <c r="D188" s="136"/>
      <c r="E188" s="231"/>
      <c r="F188" s="144"/>
      <c r="G188" s="144"/>
      <c r="H188" s="235"/>
      <c r="I188" s="235"/>
      <c r="J188" s="235"/>
      <c r="K188" s="235"/>
      <c r="L188" s="285"/>
    </row>
    <row r="189" spans="1:12" ht="24.95" hidden="1" customHeight="1">
      <c r="A189" s="136"/>
      <c r="B189" s="176"/>
      <c r="C189" s="177"/>
      <c r="D189" s="136"/>
      <c r="E189" s="231"/>
      <c r="F189" s="144"/>
      <c r="G189" s="144"/>
      <c r="H189" s="235"/>
      <c r="I189" s="235"/>
      <c r="J189" s="235"/>
      <c r="K189" s="235"/>
      <c r="L189" s="285"/>
    </row>
    <row r="190" spans="1:12" ht="24.95" hidden="1" customHeight="1">
      <c r="A190" s="136"/>
      <c r="B190" s="176"/>
      <c r="C190" s="177"/>
      <c r="D190" s="136"/>
      <c r="E190" s="231"/>
      <c r="F190" s="144"/>
      <c r="G190" s="144"/>
      <c r="H190" s="235"/>
      <c r="I190" s="235"/>
      <c r="J190" s="235"/>
      <c r="K190" s="235"/>
      <c r="L190" s="285"/>
    </row>
    <row r="191" spans="1:12" ht="24.95" hidden="1" customHeight="1">
      <c r="A191" s="136"/>
      <c r="B191" s="176"/>
      <c r="C191" s="177"/>
      <c r="D191" s="136"/>
      <c r="E191" s="231"/>
      <c r="F191" s="144"/>
      <c r="G191" s="144"/>
      <c r="H191" s="235"/>
      <c r="I191" s="235"/>
      <c r="J191" s="235"/>
      <c r="K191" s="235"/>
      <c r="L191" s="285"/>
    </row>
    <row r="192" spans="1:12" ht="24.95" hidden="1" customHeight="1">
      <c r="A192" s="136"/>
      <c r="B192" s="176"/>
      <c r="C192" s="177"/>
      <c r="D192" s="136"/>
      <c r="E192" s="231"/>
      <c r="F192" s="144"/>
      <c r="G192" s="144"/>
      <c r="H192" s="235"/>
      <c r="I192" s="235"/>
      <c r="J192" s="235"/>
      <c r="K192" s="235"/>
      <c r="L192" s="285"/>
    </row>
    <row r="193" spans="1:12" ht="24.95" hidden="1" customHeight="1">
      <c r="A193" s="136"/>
      <c r="B193" s="176"/>
      <c r="C193" s="177"/>
      <c r="D193" s="136"/>
      <c r="E193" s="231"/>
      <c r="F193" s="144"/>
      <c r="G193" s="144"/>
      <c r="H193" s="235"/>
      <c r="I193" s="235"/>
      <c r="J193" s="235"/>
      <c r="K193" s="235"/>
      <c r="L193" s="285"/>
    </row>
    <row r="194" spans="1:12" ht="24.95" hidden="1" customHeight="1">
      <c r="A194" s="136"/>
      <c r="B194" s="176"/>
      <c r="C194" s="177"/>
      <c r="D194" s="136"/>
      <c r="E194" s="231"/>
      <c r="F194" s="144"/>
      <c r="G194" s="144"/>
      <c r="H194" s="235"/>
      <c r="I194" s="235"/>
      <c r="J194" s="235"/>
      <c r="K194" s="235"/>
      <c r="L194" s="285"/>
    </row>
    <row r="195" spans="1:12" ht="24.95" hidden="1" customHeight="1">
      <c r="A195" s="136"/>
      <c r="B195" s="176"/>
      <c r="C195" s="177"/>
      <c r="D195" s="136"/>
      <c r="E195" s="231"/>
      <c r="F195" s="144"/>
      <c r="G195" s="144"/>
      <c r="H195" s="235"/>
      <c r="I195" s="235"/>
      <c r="J195" s="235"/>
      <c r="K195" s="235"/>
      <c r="L195" s="285"/>
    </row>
    <row r="196" spans="1:12" ht="24.95" hidden="1" customHeight="1">
      <c r="A196" s="136"/>
      <c r="B196" s="176"/>
      <c r="C196" s="177"/>
      <c r="D196" s="136"/>
      <c r="E196" s="231"/>
      <c r="F196" s="144"/>
      <c r="G196" s="144"/>
      <c r="H196" s="235"/>
      <c r="I196" s="235"/>
      <c r="J196" s="235"/>
      <c r="K196" s="235"/>
      <c r="L196" s="285"/>
    </row>
    <row r="197" spans="1:12" ht="24.95" hidden="1" customHeight="1">
      <c r="A197" s="136"/>
      <c r="B197" s="176"/>
      <c r="C197" s="177"/>
      <c r="D197" s="136"/>
      <c r="E197" s="231"/>
      <c r="F197" s="144"/>
      <c r="G197" s="144"/>
      <c r="H197" s="235"/>
      <c r="I197" s="235"/>
      <c r="J197" s="235"/>
      <c r="K197" s="235"/>
      <c r="L197" s="285"/>
    </row>
    <row r="198" spans="1:12" ht="24.95" hidden="1" customHeight="1">
      <c r="A198" s="136"/>
      <c r="B198" s="176"/>
      <c r="C198" s="177"/>
      <c r="D198" s="136"/>
      <c r="E198" s="231"/>
      <c r="F198" s="144"/>
      <c r="G198" s="144"/>
      <c r="H198" s="235"/>
      <c r="I198" s="235"/>
      <c r="J198" s="235"/>
      <c r="K198" s="235"/>
      <c r="L198" s="285"/>
    </row>
    <row r="199" spans="1:12" ht="24.95" hidden="1" customHeight="1">
      <c r="A199" s="136"/>
      <c r="B199" s="176"/>
      <c r="C199" s="177"/>
      <c r="D199" s="136"/>
      <c r="E199" s="231"/>
      <c r="F199" s="144"/>
      <c r="G199" s="144"/>
      <c r="H199" s="235"/>
      <c r="I199" s="235"/>
      <c r="J199" s="235"/>
      <c r="K199" s="235"/>
      <c r="L199" s="285"/>
    </row>
    <row r="200" spans="1:12" ht="24.95" hidden="1" customHeight="1">
      <c r="A200" s="136"/>
      <c r="B200" s="176"/>
      <c r="C200" s="177"/>
      <c r="D200" s="136"/>
      <c r="E200" s="231"/>
      <c r="F200" s="144"/>
      <c r="G200" s="144"/>
      <c r="H200" s="235"/>
      <c r="I200" s="235"/>
      <c r="J200" s="235"/>
      <c r="K200" s="235"/>
      <c r="L200" s="285"/>
    </row>
    <row r="201" spans="1:12" ht="24.95" hidden="1" customHeight="1">
      <c r="A201" s="136"/>
      <c r="B201" s="176"/>
      <c r="C201" s="177"/>
      <c r="D201" s="136"/>
      <c r="E201" s="231"/>
      <c r="F201" s="144"/>
      <c r="G201" s="144"/>
      <c r="H201" s="235"/>
      <c r="I201" s="235"/>
      <c r="J201" s="235"/>
      <c r="K201" s="235"/>
      <c r="L201" s="285"/>
    </row>
    <row r="202" spans="1:12" ht="24.95" hidden="1" customHeight="1">
      <c r="A202" s="136"/>
      <c r="B202" s="176"/>
      <c r="C202" s="177"/>
      <c r="D202" s="136"/>
      <c r="E202" s="231"/>
      <c r="F202" s="144"/>
      <c r="G202" s="144"/>
      <c r="H202" s="235"/>
      <c r="I202" s="235"/>
      <c r="J202" s="235"/>
      <c r="K202" s="235"/>
      <c r="L202" s="285"/>
    </row>
    <row r="203" spans="1:12" ht="24.95" hidden="1" customHeight="1">
      <c r="A203" s="136"/>
      <c r="B203" s="176"/>
      <c r="C203" s="177"/>
      <c r="D203" s="136"/>
      <c r="E203" s="231"/>
      <c r="F203" s="144"/>
      <c r="G203" s="144"/>
      <c r="H203" s="235"/>
      <c r="I203" s="235"/>
      <c r="J203" s="235"/>
      <c r="K203" s="235"/>
      <c r="L203" s="285"/>
    </row>
    <row r="204" spans="1:12" ht="24.95" hidden="1" customHeight="1">
      <c r="A204" s="136"/>
      <c r="B204" s="176"/>
      <c r="C204" s="177"/>
      <c r="D204" s="136"/>
      <c r="E204" s="231"/>
      <c r="F204" s="144"/>
      <c r="G204" s="144"/>
      <c r="H204" s="235"/>
      <c r="I204" s="235"/>
      <c r="J204" s="235"/>
      <c r="K204" s="235"/>
      <c r="L204" s="285"/>
    </row>
    <row r="205" spans="1:12" ht="24.95" hidden="1" customHeight="1">
      <c r="A205" s="136"/>
      <c r="B205" s="176"/>
      <c r="C205" s="177"/>
      <c r="D205" s="136"/>
      <c r="E205" s="231"/>
      <c r="F205" s="144"/>
      <c r="G205" s="144"/>
      <c r="H205" s="235"/>
      <c r="I205" s="235"/>
      <c r="J205" s="235"/>
      <c r="K205" s="235"/>
      <c r="L205" s="285"/>
    </row>
    <row r="206" spans="1:12" ht="24.95" hidden="1" customHeight="1">
      <c r="A206" s="136"/>
      <c r="B206" s="176"/>
      <c r="C206" s="177"/>
      <c r="D206" s="136"/>
      <c r="E206" s="231"/>
      <c r="F206" s="144"/>
      <c r="G206" s="144"/>
      <c r="H206" s="235"/>
      <c r="I206" s="235"/>
      <c r="J206" s="235"/>
      <c r="K206" s="235"/>
      <c r="L206" s="285"/>
    </row>
    <row r="207" spans="1:12" ht="24.95" hidden="1" customHeight="1">
      <c r="A207" s="136"/>
      <c r="B207" s="176"/>
      <c r="C207" s="177"/>
      <c r="D207" s="136"/>
      <c r="E207" s="231"/>
      <c r="F207" s="144"/>
      <c r="G207" s="144"/>
      <c r="H207" s="235"/>
      <c r="I207" s="235"/>
      <c r="J207" s="235"/>
      <c r="K207" s="235"/>
      <c r="L207" s="285"/>
    </row>
    <row r="208" spans="1:12" ht="24.95" hidden="1" customHeight="1">
      <c r="A208" s="136"/>
      <c r="B208" s="176"/>
      <c r="C208" s="177"/>
      <c r="D208" s="136"/>
      <c r="E208" s="231"/>
      <c r="F208" s="144"/>
      <c r="G208" s="144"/>
      <c r="H208" s="235"/>
      <c r="I208" s="235"/>
      <c r="J208" s="235"/>
      <c r="K208" s="235"/>
      <c r="L208" s="285"/>
    </row>
    <row r="209" spans="1:12" ht="24.95" hidden="1" customHeight="1">
      <c r="A209" s="136"/>
      <c r="B209" s="176"/>
      <c r="C209" s="177"/>
      <c r="D209" s="136"/>
      <c r="E209" s="231"/>
      <c r="F209" s="144"/>
      <c r="G209" s="144"/>
      <c r="H209" s="235"/>
      <c r="I209" s="235"/>
      <c r="J209" s="235"/>
      <c r="K209" s="235"/>
      <c r="L209" s="285"/>
    </row>
    <row r="210" spans="1:12" ht="24.95" hidden="1" customHeight="1">
      <c r="A210" s="136"/>
      <c r="B210" s="176"/>
      <c r="C210" s="177"/>
      <c r="D210" s="136"/>
      <c r="E210" s="231"/>
      <c r="F210" s="144"/>
      <c r="G210" s="144"/>
      <c r="H210" s="235"/>
      <c r="I210" s="235"/>
      <c r="J210" s="235"/>
      <c r="K210" s="235"/>
      <c r="L210" s="285"/>
    </row>
    <row r="211" spans="1:12" ht="24.95" hidden="1" customHeight="1">
      <c r="A211" s="136"/>
      <c r="B211" s="176"/>
      <c r="C211" s="177"/>
      <c r="D211" s="136"/>
      <c r="E211" s="231"/>
      <c r="F211" s="144"/>
      <c r="G211" s="144"/>
      <c r="H211" s="235"/>
      <c r="I211" s="235"/>
      <c r="J211" s="235"/>
      <c r="K211" s="235"/>
      <c r="L211" s="285"/>
    </row>
    <row r="212" spans="1:12" ht="24.95" hidden="1" customHeight="1">
      <c r="A212" s="136"/>
      <c r="B212" s="176"/>
      <c r="C212" s="177"/>
      <c r="D212" s="136"/>
      <c r="E212" s="231"/>
      <c r="F212" s="144"/>
      <c r="G212" s="144"/>
      <c r="H212" s="235"/>
      <c r="I212" s="235"/>
      <c r="J212" s="235"/>
      <c r="K212" s="235"/>
      <c r="L212" s="285"/>
    </row>
    <row r="213" spans="1:12" ht="24.95" hidden="1" customHeight="1">
      <c r="A213" s="136"/>
      <c r="B213" s="176"/>
      <c r="C213" s="177"/>
      <c r="D213" s="136"/>
      <c r="E213" s="231"/>
      <c r="F213" s="144"/>
      <c r="G213" s="144"/>
      <c r="H213" s="235"/>
      <c r="I213" s="235"/>
      <c r="J213" s="235"/>
      <c r="K213" s="235"/>
      <c r="L213" s="285"/>
    </row>
    <row r="214" spans="1:12" ht="24.95" hidden="1" customHeight="1">
      <c r="A214" s="136"/>
      <c r="B214" s="176"/>
      <c r="C214" s="177"/>
      <c r="D214" s="136"/>
      <c r="E214" s="231"/>
      <c r="F214" s="144"/>
      <c r="G214" s="144"/>
      <c r="H214" s="235"/>
      <c r="I214" s="235"/>
      <c r="J214" s="235"/>
      <c r="K214" s="235"/>
      <c r="L214" s="285"/>
    </row>
    <row r="215" spans="1:12" ht="24.95" hidden="1" customHeight="1">
      <c r="A215" s="136"/>
      <c r="B215" s="176"/>
      <c r="C215" s="177"/>
      <c r="D215" s="136"/>
      <c r="E215" s="231"/>
      <c r="F215" s="144"/>
      <c r="G215" s="144"/>
      <c r="H215" s="235"/>
      <c r="I215" s="235"/>
      <c r="J215" s="235"/>
      <c r="K215" s="235"/>
      <c r="L215" s="285"/>
    </row>
    <row r="216" spans="1:12" ht="24.95" hidden="1" customHeight="1">
      <c r="A216" s="136"/>
      <c r="B216" s="176"/>
      <c r="C216" s="177"/>
      <c r="D216" s="136"/>
      <c r="E216" s="231"/>
      <c r="F216" s="144"/>
      <c r="G216" s="144"/>
      <c r="H216" s="235"/>
      <c r="I216" s="235"/>
      <c r="J216" s="235"/>
      <c r="K216" s="235"/>
      <c r="L216" s="285"/>
    </row>
    <row r="217" spans="1:12" ht="24.95" hidden="1" customHeight="1">
      <c r="A217" s="136"/>
      <c r="B217" s="176"/>
      <c r="C217" s="177"/>
      <c r="D217" s="136"/>
      <c r="E217" s="231"/>
      <c r="F217" s="144"/>
      <c r="G217" s="144"/>
      <c r="H217" s="235"/>
      <c r="I217" s="235"/>
      <c r="J217" s="235"/>
      <c r="K217" s="235"/>
      <c r="L217" s="285"/>
    </row>
    <row r="218" spans="1:12" ht="24.95" hidden="1" customHeight="1">
      <c r="A218" s="136"/>
      <c r="B218" s="176"/>
      <c r="C218" s="177"/>
      <c r="D218" s="136"/>
      <c r="E218" s="231"/>
      <c r="F218" s="144"/>
      <c r="G218" s="144"/>
      <c r="H218" s="235"/>
      <c r="I218" s="235"/>
      <c r="J218" s="235"/>
      <c r="K218" s="235"/>
      <c r="L218" s="285"/>
    </row>
    <row r="219" spans="1:12" ht="24.95" hidden="1" customHeight="1">
      <c r="A219" s="136"/>
      <c r="B219" s="176"/>
      <c r="C219" s="177"/>
      <c r="D219" s="136"/>
      <c r="E219" s="231"/>
      <c r="F219" s="144"/>
      <c r="G219" s="144"/>
      <c r="H219" s="235"/>
      <c r="I219" s="235"/>
      <c r="J219" s="235"/>
      <c r="K219" s="235"/>
      <c r="L219" s="285"/>
    </row>
    <row r="220" spans="1:12" ht="24.95" hidden="1" customHeight="1">
      <c r="A220" s="136"/>
      <c r="B220" s="176"/>
      <c r="C220" s="177"/>
      <c r="D220" s="136"/>
      <c r="E220" s="231"/>
      <c r="F220" s="144"/>
      <c r="G220" s="144"/>
      <c r="H220" s="235"/>
      <c r="I220" s="235"/>
      <c r="J220" s="235"/>
      <c r="K220" s="235"/>
      <c r="L220" s="285"/>
    </row>
    <row r="221" spans="1:12" ht="24.95" hidden="1" customHeight="1">
      <c r="A221" s="136"/>
      <c r="B221" s="176"/>
      <c r="C221" s="177"/>
      <c r="D221" s="136"/>
      <c r="E221" s="231"/>
      <c r="F221" s="144"/>
      <c r="G221" s="144"/>
      <c r="H221" s="235"/>
      <c r="I221" s="235"/>
      <c r="J221" s="235"/>
      <c r="K221" s="235"/>
      <c r="L221" s="285"/>
    </row>
    <row r="222" spans="1:12" ht="24.95" hidden="1" customHeight="1">
      <c r="A222" s="136"/>
      <c r="B222" s="176"/>
      <c r="C222" s="177"/>
      <c r="D222" s="136"/>
      <c r="E222" s="231"/>
      <c r="F222" s="144"/>
      <c r="G222" s="144"/>
      <c r="H222" s="235"/>
      <c r="I222" s="235"/>
      <c r="J222" s="235"/>
      <c r="K222" s="235"/>
      <c r="L222" s="285"/>
    </row>
    <row r="223" spans="1:12" ht="24.95" hidden="1" customHeight="1">
      <c r="A223" s="136"/>
      <c r="B223" s="176"/>
      <c r="C223" s="177"/>
      <c r="D223" s="136"/>
      <c r="E223" s="231"/>
      <c r="F223" s="144"/>
      <c r="G223" s="144"/>
      <c r="H223" s="235"/>
      <c r="I223" s="235"/>
      <c r="J223" s="235"/>
      <c r="K223" s="235"/>
      <c r="L223" s="285"/>
    </row>
    <row r="224" spans="1:12" ht="24.95" hidden="1" customHeight="1">
      <c r="A224" s="136"/>
      <c r="B224" s="176"/>
      <c r="C224" s="177"/>
      <c r="D224" s="136"/>
      <c r="E224" s="231"/>
      <c r="F224" s="144"/>
      <c r="G224" s="144"/>
      <c r="H224" s="235"/>
      <c r="I224" s="235"/>
      <c r="J224" s="235"/>
      <c r="K224" s="235"/>
      <c r="L224" s="285"/>
    </row>
    <row r="225" spans="1:12" ht="24.95" hidden="1" customHeight="1">
      <c r="A225" s="136"/>
      <c r="B225" s="176"/>
      <c r="C225" s="177"/>
      <c r="D225" s="136"/>
      <c r="E225" s="231"/>
      <c r="F225" s="144"/>
      <c r="G225" s="144"/>
      <c r="H225" s="235"/>
      <c r="I225" s="235"/>
      <c r="J225" s="235"/>
      <c r="K225" s="235"/>
      <c r="L225" s="285"/>
    </row>
    <row r="226" spans="1:12" ht="24.95" hidden="1" customHeight="1">
      <c r="A226" s="136"/>
      <c r="B226" s="176"/>
      <c r="C226" s="177"/>
      <c r="D226" s="136"/>
      <c r="E226" s="231"/>
      <c r="F226" s="144"/>
      <c r="G226" s="144"/>
      <c r="H226" s="235"/>
      <c r="I226" s="235"/>
      <c r="J226" s="235"/>
      <c r="K226" s="235"/>
      <c r="L226" s="285"/>
    </row>
    <row r="227" spans="1:12" ht="24.95" hidden="1" customHeight="1">
      <c r="A227" s="136"/>
      <c r="B227" s="176"/>
      <c r="C227" s="177"/>
      <c r="D227" s="136"/>
      <c r="E227" s="231"/>
      <c r="F227" s="144"/>
      <c r="G227" s="144"/>
      <c r="H227" s="235"/>
      <c r="I227" s="235"/>
      <c r="J227" s="235"/>
      <c r="K227" s="235"/>
      <c r="L227" s="285"/>
    </row>
    <row r="228" spans="1:12" ht="24.95" hidden="1" customHeight="1">
      <c r="A228" s="136"/>
      <c r="B228" s="176"/>
      <c r="C228" s="177"/>
      <c r="D228" s="136"/>
      <c r="E228" s="231"/>
      <c r="F228" s="144"/>
      <c r="G228" s="144"/>
      <c r="H228" s="235"/>
      <c r="I228" s="235"/>
      <c r="J228" s="235"/>
      <c r="K228" s="235"/>
      <c r="L228" s="285"/>
    </row>
    <row r="229" spans="1:12" ht="24.95" hidden="1" customHeight="1">
      <c r="A229" s="136"/>
      <c r="B229" s="176"/>
      <c r="C229" s="177"/>
      <c r="D229" s="136"/>
      <c r="E229" s="231"/>
      <c r="F229" s="144"/>
      <c r="G229" s="144"/>
      <c r="H229" s="235"/>
      <c r="I229" s="235"/>
      <c r="J229" s="235"/>
      <c r="K229" s="235"/>
      <c r="L229" s="285"/>
    </row>
    <row r="230" spans="1:12" ht="24.95" hidden="1" customHeight="1">
      <c r="A230" s="136"/>
      <c r="B230" s="176"/>
      <c r="C230" s="177"/>
      <c r="D230" s="136"/>
      <c r="E230" s="231"/>
      <c r="F230" s="144"/>
      <c r="G230" s="144"/>
      <c r="H230" s="235"/>
      <c r="I230" s="235"/>
      <c r="J230" s="235"/>
      <c r="K230" s="235"/>
      <c r="L230" s="285"/>
    </row>
    <row r="231" spans="1:12" ht="24.95" hidden="1" customHeight="1">
      <c r="A231" s="136"/>
      <c r="B231" s="176"/>
      <c r="C231" s="177"/>
      <c r="D231" s="136"/>
      <c r="E231" s="231"/>
      <c r="F231" s="144"/>
      <c r="G231" s="144"/>
      <c r="H231" s="235"/>
      <c r="I231" s="235"/>
      <c r="J231" s="235"/>
      <c r="K231" s="235"/>
      <c r="L231" s="285"/>
    </row>
    <row r="232" spans="1:12" ht="24.95" hidden="1" customHeight="1">
      <c r="A232" s="136"/>
      <c r="B232" s="176"/>
      <c r="C232" s="177"/>
      <c r="D232" s="136"/>
      <c r="E232" s="231"/>
      <c r="F232" s="144"/>
      <c r="G232" s="144"/>
      <c r="H232" s="235"/>
      <c r="I232" s="235"/>
      <c r="J232" s="235"/>
      <c r="K232" s="235"/>
      <c r="L232" s="285"/>
    </row>
    <row r="233" spans="1:12" ht="24.95" hidden="1" customHeight="1">
      <c r="A233" s="136"/>
      <c r="B233" s="176"/>
      <c r="C233" s="177"/>
      <c r="D233" s="136"/>
      <c r="E233" s="231"/>
      <c r="F233" s="144"/>
      <c r="G233" s="144"/>
      <c r="H233" s="235"/>
      <c r="I233" s="235"/>
      <c r="J233" s="235"/>
      <c r="K233" s="235"/>
      <c r="L233" s="285"/>
    </row>
    <row r="234" spans="1:12" ht="24.95" hidden="1" customHeight="1">
      <c r="A234" s="136"/>
      <c r="B234" s="176"/>
      <c r="C234" s="177"/>
      <c r="D234" s="136"/>
      <c r="E234" s="231"/>
      <c r="F234" s="144"/>
      <c r="G234" s="144"/>
      <c r="H234" s="235"/>
      <c r="I234" s="235"/>
      <c r="J234" s="235"/>
      <c r="K234" s="235"/>
      <c r="L234" s="285"/>
    </row>
    <row r="235" spans="1:12" ht="24.95" hidden="1" customHeight="1">
      <c r="A235" s="136"/>
      <c r="B235" s="176"/>
      <c r="C235" s="177"/>
      <c r="D235" s="136"/>
      <c r="E235" s="231"/>
      <c r="F235" s="144"/>
      <c r="G235" s="144"/>
      <c r="H235" s="235"/>
      <c r="I235" s="235"/>
      <c r="J235" s="235"/>
      <c r="K235" s="235"/>
      <c r="L235" s="285"/>
    </row>
    <row r="236" spans="1:12" ht="24.95" hidden="1" customHeight="1">
      <c r="A236" s="136"/>
      <c r="B236" s="176"/>
      <c r="C236" s="177"/>
      <c r="D236" s="136"/>
      <c r="E236" s="231"/>
      <c r="F236" s="144"/>
      <c r="G236" s="144"/>
      <c r="H236" s="235"/>
      <c r="I236" s="235"/>
      <c r="J236" s="235"/>
      <c r="K236" s="235"/>
      <c r="L236" s="285"/>
    </row>
    <row r="237" spans="1:12" ht="24.95" hidden="1" customHeight="1">
      <c r="A237" s="136"/>
      <c r="B237" s="176"/>
      <c r="C237" s="177"/>
      <c r="D237" s="136"/>
      <c r="E237" s="231"/>
      <c r="F237" s="144"/>
      <c r="G237" s="144"/>
      <c r="H237" s="235"/>
      <c r="I237" s="235"/>
      <c r="J237" s="235"/>
      <c r="K237" s="235"/>
      <c r="L237" s="285"/>
    </row>
    <row r="238" spans="1:12" ht="24.95" hidden="1" customHeight="1">
      <c r="A238" s="136"/>
      <c r="B238" s="176"/>
      <c r="C238" s="177"/>
      <c r="D238" s="136"/>
      <c r="E238" s="231"/>
      <c r="F238" s="144"/>
      <c r="G238" s="144"/>
      <c r="H238" s="235"/>
      <c r="I238" s="235"/>
      <c r="J238" s="235"/>
      <c r="K238" s="235"/>
      <c r="L238" s="285"/>
    </row>
    <row r="239" spans="1:12" ht="24.95" hidden="1" customHeight="1">
      <c r="A239" s="136"/>
      <c r="B239" s="176"/>
      <c r="C239" s="177"/>
      <c r="D239" s="136"/>
      <c r="E239" s="231"/>
      <c r="F239" s="144"/>
      <c r="G239" s="144"/>
      <c r="H239" s="235"/>
      <c r="I239" s="235"/>
      <c r="J239" s="235"/>
      <c r="K239" s="235"/>
      <c r="L239" s="285"/>
    </row>
    <row r="240" spans="1:12" ht="24.95" hidden="1" customHeight="1">
      <c r="A240" s="136"/>
      <c r="B240" s="176"/>
      <c r="C240" s="177"/>
      <c r="D240" s="136"/>
      <c r="E240" s="231"/>
      <c r="F240" s="144"/>
      <c r="G240" s="144"/>
      <c r="H240" s="235"/>
      <c r="I240" s="235"/>
      <c r="J240" s="235"/>
      <c r="K240" s="235"/>
      <c r="L240" s="285"/>
    </row>
    <row r="241" spans="1:12" ht="24.95" hidden="1" customHeight="1">
      <c r="A241" s="136"/>
      <c r="B241" s="176"/>
      <c r="C241" s="177"/>
      <c r="D241" s="136"/>
      <c r="E241" s="231"/>
      <c r="F241" s="144"/>
      <c r="G241" s="144"/>
      <c r="H241" s="235"/>
      <c r="I241" s="235"/>
      <c r="J241" s="235"/>
      <c r="K241" s="235"/>
      <c r="L241" s="285"/>
    </row>
    <row r="242" spans="1:12" ht="24.95" hidden="1" customHeight="1">
      <c r="A242" s="136"/>
      <c r="B242" s="176"/>
      <c r="C242" s="177"/>
      <c r="D242" s="136"/>
      <c r="E242" s="231"/>
      <c r="F242" s="144"/>
      <c r="G242" s="144"/>
      <c r="H242" s="235"/>
      <c r="I242" s="235"/>
      <c r="J242" s="235"/>
      <c r="K242" s="235"/>
      <c r="L242" s="285"/>
    </row>
    <row r="243" spans="1:12" ht="24.95" hidden="1" customHeight="1">
      <c r="A243" s="136"/>
      <c r="B243" s="176"/>
      <c r="C243" s="177"/>
      <c r="D243" s="136"/>
      <c r="E243" s="231"/>
      <c r="F243" s="144"/>
      <c r="G243" s="144"/>
      <c r="H243" s="235"/>
      <c r="I243" s="235"/>
      <c r="J243" s="235"/>
      <c r="K243" s="235"/>
      <c r="L243" s="285"/>
    </row>
    <row r="244" spans="1:12" ht="24.95" hidden="1" customHeight="1">
      <c r="A244" s="136"/>
      <c r="B244" s="176"/>
      <c r="C244" s="177"/>
      <c r="D244" s="136"/>
      <c r="E244" s="231"/>
      <c r="F244" s="144"/>
      <c r="G244" s="144"/>
      <c r="H244" s="235"/>
      <c r="I244" s="235"/>
      <c r="J244" s="235"/>
      <c r="K244" s="235"/>
      <c r="L244" s="285"/>
    </row>
    <row r="245" spans="1:12" ht="24.95" hidden="1" customHeight="1">
      <c r="A245" s="136"/>
      <c r="B245" s="176"/>
      <c r="C245" s="177"/>
      <c r="D245" s="136"/>
      <c r="E245" s="231"/>
      <c r="F245" s="144"/>
      <c r="G245" s="144"/>
      <c r="H245" s="235"/>
      <c r="I245" s="235"/>
      <c r="J245" s="235"/>
      <c r="K245" s="235"/>
      <c r="L245" s="285"/>
    </row>
    <row r="246" spans="1:12" ht="24.95" hidden="1" customHeight="1">
      <c r="A246" s="136"/>
      <c r="B246" s="176"/>
      <c r="C246" s="177"/>
      <c r="D246" s="136"/>
      <c r="E246" s="231"/>
      <c r="F246" s="144"/>
      <c r="G246" s="144"/>
      <c r="H246" s="235"/>
      <c r="I246" s="235"/>
      <c r="J246" s="235"/>
      <c r="K246" s="235"/>
      <c r="L246" s="285"/>
    </row>
    <row r="247" spans="1:12" ht="24.95" hidden="1" customHeight="1">
      <c r="A247" s="136"/>
      <c r="B247" s="176"/>
      <c r="C247" s="177"/>
      <c r="D247" s="136"/>
      <c r="E247" s="231"/>
      <c r="F247" s="144"/>
      <c r="G247" s="144"/>
      <c r="H247" s="235"/>
      <c r="I247" s="235"/>
      <c r="J247" s="235"/>
      <c r="K247" s="235"/>
      <c r="L247" s="285"/>
    </row>
    <row r="248" spans="1:12" ht="24.95" hidden="1" customHeight="1">
      <c r="A248" s="136"/>
      <c r="B248" s="176"/>
      <c r="C248" s="177"/>
      <c r="D248" s="136"/>
      <c r="E248" s="231"/>
      <c r="F248" s="144"/>
      <c r="G248" s="144"/>
      <c r="H248" s="235"/>
      <c r="I248" s="235"/>
      <c r="J248" s="235"/>
      <c r="K248" s="235"/>
      <c r="L248" s="285"/>
    </row>
    <row r="249" spans="1:12" ht="24.95" hidden="1" customHeight="1">
      <c r="A249" s="136"/>
      <c r="B249" s="176"/>
      <c r="C249" s="177"/>
      <c r="D249" s="136"/>
      <c r="E249" s="231"/>
      <c r="F249" s="144"/>
      <c r="G249" s="144"/>
      <c r="H249" s="235"/>
      <c r="I249" s="235"/>
      <c r="J249" s="235"/>
      <c r="K249" s="235"/>
      <c r="L249" s="285"/>
    </row>
    <row r="250" spans="1:12" ht="24.95" hidden="1" customHeight="1">
      <c r="A250" s="136"/>
      <c r="B250" s="176"/>
      <c r="C250" s="177"/>
      <c r="D250" s="136"/>
      <c r="E250" s="231"/>
      <c r="F250" s="144"/>
      <c r="G250" s="144"/>
      <c r="H250" s="235"/>
      <c r="I250" s="235"/>
      <c r="J250" s="235"/>
      <c r="K250" s="235"/>
      <c r="L250" s="285"/>
    </row>
    <row r="251" spans="1:12" ht="24.95" hidden="1" customHeight="1">
      <c r="A251" s="136"/>
      <c r="B251" s="176"/>
      <c r="C251" s="177"/>
      <c r="D251" s="136"/>
      <c r="E251" s="231"/>
      <c r="F251" s="144"/>
      <c r="G251" s="144"/>
      <c r="H251" s="235"/>
      <c r="I251" s="235"/>
      <c r="J251" s="235"/>
      <c r="K251" s="235"/>
      <c r="L251" s="285"/>
    </row>
    <row r="252" spans="1:12" ht="24.95" hidden="1" customHeight="1">
      <c r="A252" s="136"/>
      <c r="B252" s="176"/>
      <c r="C252" s="177"/>
      <c r="D252" s="136"/>
      <c r="E252" s="231"/>
      <c r="F252" s="144"/>
      <c r="G252" s="144"/>
      <c r="H252" s="235"/>
      <c r="I252" s="235"/>
      <c r="J252" s="235"/>
      <c r="K252" s="235"/>
      <c r="L252" s="285"/>
    </row>
    <row r="253" spans="1:12" ht="24.95" hidden="1" customHeight="1">
      <c r="A253" s="136"/>
      <c r="B253" s="176"/>
      <c r="C253" s="177"/>
      <c r="D253" s="136"/>
      <c r="E253" s="231"/>
      <c r="F253" s="144"/>
      <c r="G253" s="144"/>
      <c r="H253" s="235"/>
      <c r="I253" s="235"/>
      <c r="J253" s="235"/>
      <c r="K253" s="235"/>
      <c r="L253" s="285"/>
    </row>
    <row r="254" spans="1:12" ht="24.95" hidden="1" customHeight="1">
      <c r="A254" s="136"/>
      <c r="B254" s="176"/>
      <c r="C254" s="177"/>
      <c r="D254" s="136"/>
      <c r="E254" s="231"/>
      <c r="F254" s="144"/>
      <c r="G254" s="144"/>
      <c r="H254" s="235"/>
      <c r="I254" s="235"/>
      <c r="J254" s="235"/>
      <c r="K254" s="235"/>
      <c r="L254" s="285"/>
    </row>
    <row r="255" spans="1:12" ht="24.95" hidden="1" customHeight="1">
      <c r="A255" s="136"/>
      <c r="B255" s="176"/>
      <c r="C255" s="177"/>
      <c r="D255" s="136"/>
      <c r="E255" s="231"/>
      <c r="F255" s="144"/>
      <c r="G255" s="144"/>
      <c r="H255" s="235"/>
      <c r="I255" s="235"/>
      <c r="J255" s="235"/>
      <c r="K255" s="235"/>
      <c r="L255" s="285"/>
    </row>
    <row r="256" spans="1:12" ht="24.95" hidden="1" customHeight="1">
      <c r="A256" s="136"/>
      <c r="B256" s="176"/>
      <c r="C256" s="177"/>
      <c r="D256" s="136"/>
      <c r="E256" s="231"/>
      <c r="F256" s="144"/>
      <c r="G256" s="144"/>
      <c r="H256" s="235"/>
      <c r="I256" s="235"/>
      <c r="J256" s="235"/>
      <c r="K256" s="235"/>
      <c r="L256" s="285"/>
    </row>
    <row r="257" spans="1:12" ht="24.95" hidden="1" customHeight="1">
      <c r="A257" s="136"/>
      <c r="B257" s="176"/>
      <c r="C257" s="177"/>
      <c r="D257" s="136"/>
      <c r="E257" s="231"/>
      <c r="F257" s="144"/>
      <c r="G257" s="144"/>
      <c r="H257" s="235"/>
      <c r="I257" s="235"/>
      <c r="J257" s="235"/>
      <c r="K257" s="235"/>
      <c r="L257" s="285"/>
    </row>
    <row r="258" spans="1:12" ht="24.95" hidden="1" customHeight="1">
      <c r="A258" s="136"/>
      <c r="B258" s="176"/>
      <c r="C258" s="177"/>
      <c r="D258" s="136"/>
      <c r="E258" s="231"/>
      <c r="F258" s="144"/>
      <c r="G258" s="144"/>
      <c r="H258" s="235"/>
      <c r="I258" s="235"/>
      <c r="J258" s="235"/>
      <c r="K258" s="235"/>
      <c r="L258" s="285"/>
    </row>
    <row r="259" spans="1:12" ht="24.95" hidden="1" customHeight="1">
      <c r="A259" s="136"/>
      <c r="B259" s="176"/>
      <c r="C259" s="177"/>
      <c r="D259" s="136"/>
      <c r="E259" s="231"/>
      <c r="F259" s="144"/>
      <c r="G259" s="144"/>
      <c r="H259" s="235"/>
      <c r="I259" s="235"/>
      <c r="J259" s="235"/>
      <c r="K259" s="235"/>
      <c r="L259" s="285"/>
    </row>
    <row r="260" spans="1:12" ht="24.95" hidden="1" customHeight="1">
      <c r="A260" s="136"/>
      <c r="B260" s="176"/>
      <c r="C260" s="177"/>
      <c r="D260" s="136"/>
      <c r="E260" s="231"/>
      <c r="F260" s="144"/>
      <c r="G260" s="144"/>
      <c r="H260" s="235"/>
      <c r="I260" s="235"/>
      <c r="J260" s="235"/>
      <c r="K260" s="235"/>
      <c r="L260" s="285"/>
    </row>
    <row r="261" spans="1:12" ht="24.95" hidden="1" customHeight="1">
      <c r="A261" s="136"/>
      <c r="B261" s="176"/>
      <c r="C261" s="177"/>
      <c r="D261" s="136"/>
      <c r="E261" s="231"/>
      <c r="F261" s="144"/>
      <c r="G261" s="144"/>
      <c r="H261" s="235"/>
      <c r="I261" s="235"/>
      <c r="J261" s="235"/>
      <c r="K261" s="235"/>
      <c r="L261" s="285"/>
    </row>
    <row r="262" spans="1:12" ht="24.95" hidden="1" customHeight="1">
      <c r="A262" s="136"/>
      <c r="B262" s="176"/>
      <c r="C262" s="177"/>
      <c r="D262" s="136"/>
      <c r="E262" s="231"/>
      <c r="F262" s="144"/>
      <c r="G262" s="144"/>
      <c r="H262" s="235"/>
      <c r="I262" s="235"/>
      <c r="J262" s="235"/>
      <c r="K262" s="235"/>
      <c r="L262" s="285"/>
    </row>
    <row r="263" spans="1:12" ht="24.95" hidden="1" customHeight="1">
      <c r="A263" s="136"/>
      <c r="B263" s="176"/>
      <c r="C263" s="177"/>
      <c r="D263" s="136"/>
      <c r="E263" s="231"/>
      <c r="F263" s="144"/>
      <c r="G263" s="144"/>
      <c r="H263" s="235"/>
      <c r="I263" s="235"/>
      <c r="J263" s="235"/>
      <c r="K263" s="235"/>
      <c r="L263" s="285"/>
    </row>
    <row r="264" spans="1:12" ht="24.95" hidden="1" customHeight="1">
      <c r="A264" s="136"/>
      <c r="B264" s="176"/>
      <c r="C264" s="177"/>
      <c r="D264" s="136"/>
      <c r="E264" s="231"/>
      <c r="F264" s="144"/>
      <c r="G264" s="144"/>
      <c r="H264" s="235"/>
      <c r="I264" s="235"/>
      <c r="J264" s="235"/>
      <c r="K264" s="235"/>
      <c r="L264" s="285"/>
    </row>
    <row r="265" spans="1:12" ht="24.95" hidden="1" customHeight="1">
      <c r="A265" s="136"/>
      <c r="B265" s="176"/>
      <c r="C265" s="177"/>
      <c r="D265" s="136"/>
      <c r="E265" s="231"/>
      <c r="F265" s="144"/>
      <c r="G265" s="144"/>
      <c r="H265" s="235"/>
      <c r="I265" s="235"/>
      <c r="J265" s="235"/>
      <c r="K265" s="235"/>
      <c r="L265" s="285"/>
    </row>
    <row r="266" spans="1:12" ht="24.95" hidden="1" customHeight="1">
      <c r="A266" s="136"/>
      <c r="B266" s="176"/>
      <c r="C266" s="177"/>
      <c r="D266" s="136"/>
      <c r="E266" s="231"/>
      <c r="F266" s="144"/>
      <c r="G266" s="144"/>
      <c r="H266" s="235"/>
      <c r="I266" s="235"/>
      <c r="J266" s="235"/>
      <c r="K266" s="235"/>
      <c r="L266" s="285"/>
    </row>
    <row r="267" spans="1:12" ht="24.95" hidden="1" customHeight="1">
      <c r="A267" s="136"/>
      <c r="B267" s="176"/>
      <c r="C267" s="177"/>
      <c r="D267" s="136"/>
      <c r="E267" s="231"/>
      <c r="F267" s="144"/>
      <c r="G267" s="144"/>
      <c r="H267" s="235"/>
      <c r="I267" s="235"/>
      <c r="J267" s="235"/>
      <c r="K267" s="235"/>
      <c r="L267" s="285"/>
    </row>
    <row r="268" spans="1:12" ht="24.95" hidden="1" customHeight="1">
      <c r="A268" s="136"/>
      <c r="B268" s="176"/>
      <c r="C268" s="177"/>
      <c r="D268" s="136"/>
      <c r="E268" s="231"/>
      <c r="F268" s="144"/>
      <c r="G268" s="144"/>
      <c r="H268" s="235"/>
      <c r="I268" s="235"/>
      <c r="J268" s="235"/>
      <c r="K268" s="235"/>
      <c r="L268" s="285"/>
    </row>
    <row r="269" spans="1:12" ht="24.95" hidden="1" customHeight="1">
      <c r="A269" s="136"/>
      <c r="B269" s="176"/>
      <c r="C269" s="177"/>
      <c r="D269" s="136"/>
      <c r="E269" s="231"/>
      <c r="F269" s="144"/>
      <c r="G269" s="144"/>
      <c r="H269" s="235"/>
      <c r="I269" s="235"/>
      <c r="J269" s="235"/>
      <c r="K269" s="235"/>
      <c r="L269" s="285"/>
    </row>
    <row r="270" spans="1:12" ht="24.95" hidden="1" customHeight="1">
      <c r="A270" s="136"/>
      <c r="B270" s="176"/>
      <c r="C270" s="177"/>
      <c r="D270" s="136"/>
      <c r="E270" s="231"/>
      <c r="F270" s="144"/>
      <c r="G270" s="144"/>
      <c r="H270" s="235"/>
      <c r="I270" s="235"/>
      <c r="J270" s="235"/>
      <c r="K270" s="235"/>
      <c r="L270" s="285"/>
    </row>
    <row r="271" spans="1:12" ht="24.95" hidden="1" customHeight="1">
      <c r="A271" s="136"/>
      <c r="B271" s="176"/>
      <c r="C271" s="177"/>
      <c r="D271" s="136"/>
      <c r="E271" s="231"/>
      <c r="F271" s="144"/>
      <c r="G271" s="144"/>
      <c r="H271" s="235"/>
      <c r="I271" s="235"/>
      <c r="J271" s="235"/>
      <c r="K271" s="235"/>
      <c r="L271" s="285"/>
    </row>
    <row r="272" spans="1:12" ht="24.95" hidden="1" customHeight="1">
      <c r="A272" s="136"/>
      <c r="B272" s="176"/>
      <c r="C272" s="177"/>
      <c r="D272" s="136"/>
      <c r="E272" s="231"/>
      <c r="F272" s="144"/>
      <c r="G272" s="144"/>
      <c r="H272" s="235"/>
      <c r="I272" s="235"/>
      <c r="J272" s="235"/>
      <c r="K272" s="235"/>
      <c r="L272" s="285"/>
    </row>
    <row r="273" spans="1:12" ht="24.95" hidden="1" customHeight="1">
      <c r="A273" s="136"/>
      <c r="B273" s="176"/>
      <c r="C273" s="177"/>
      <c r="D273" s="136"/>
      <c r="E273" s="231"/>
      <c r="F273" s="144"/>
      <c r="G273" s="144"/>
      <c r="H273" s="235"/>
      <c r="I273" s="235"/>
      <c r="J273" s="235"/>
      <c r="K273" s="235"/>
      <c r="L273" s="285"/>
    </row>
    <row r="274" spans="1:12" ht="24.95" hidden="1" customHeight="1">
      <c r="A274" s="136"/>
      <c r="B274" s="176"/>
      <c r="C274" s="177"/>
      <c r="D274" s="136"/>
      <c r="E274" s="231"/>
      <c r="F274" s="144"/>
      <c r="G274" s="144"/>
      <c r="H274" s="235"/>
      <c r="I274" s="235"/>
      <c r="J274" s="235"/>
      <c r="K274" s="235"/>
      <c r="L274" s="285"/>
    </row>
    <row r="275" spans="1:12" ht="24.95" hidden="1" customHeight="1">
      <c r="A275" s="136"/>
      <c r="B275" s="176"/>
      <c r="C275" s="177"/>
      <c r="D275" s="136"/>
      <c r="E275" s="231"/>
      <c r="F275" s="144"/>
      <c r="G275" s="144"/>
      <c r="H275" s="235"/>
      <c r="I275" s="235"/>
      <c r="J275" s="235"/>
      <c r="K275" s="235"/>
      <c r="L275" s="285"/>
    </row>
    <row r="276" spans="1:12" ht="24.95" hidden="1" customHeight="1">
      <c r="A276" s="136"/>
      <c r="B276" s="176"/>
      <c r="C276" s="177"/>
      <c r="D276" s="136"/>
      <c r="E276" s="231"/>
      <c r="F276" s="144"/>
      <c r="G276" s="144"/>
      <c r="H276" s="235"/>
      <c r="I276" s="235"/>
      <c r="J276" s="235"/>
      <c r="K276" s="235"/>
      <c r="L276" s="285"/>
    </row>
    <row r="277" spans="1:12" ht="24.95" hidden="1" customHeight="1">
      <c r="A277" s="136"/>
      <c r="B277" s="176"/>
      <c r="C277" s="177"/>
      <c r="D277" s="136"/>
      <c r="E277" s="231"/>
      <c r="F277" s="144"/>
      <c r="G277" s="144"/>
      <c r="H277" s="235"/>
      <c r="I277" s="235"/>
      <c r="J277" s="235"/>
      <c r="K277" s="235"/>
      <c r="L277" s="285"/>
    </row>
    <row r="278" spans="1:12" ht="24.95" hidden="1" customHeight="1">
      <c r="A278" s="136"/>
      <c r="B278" s="176"/>
      <c r="C278" s="177"/>
      <c r="D278" s="136"/>
      <c r="E278" s="231"/>
      <c r="F278" s="144"/>
      <c r="G278" s="144"/>
      <c r="H278" s="235"/>
      <c r="I278" s="235"/>
      <c r="J278" s="235"/>
      <c r="K278" s="235"/>
      <c r="L278" s="285"/>
    </row>
    <row r="279" spans="1:12" ht="24.95" hidden="1" customHeight="1">
      <c r="A279" s="136"/>
      <c r="B279" s="176"/>
      <c r="C279" s="177"/>
      <c r="D279" s="136"/>
      <c r="E279" s="231"/>
      <c r="F279" s="144"/>
      <c r="G279" s="144"/>
      <c r="H279" s="235"/>
      <c r="I279" s="235"/>
      <c r="J279" s="235"/>
      <c r="K279" s="235"/>
      <c r="L279" s="285"/>
    </row>
    <row r="280" spans="1:12" ht="24.95" hidden="1" customHeight="1">
      <c r="A280" s="136"/>
      <c r="B280" s="176"/>
      <c r="C280" s="177"/>
      <c r="D280" s="136"/>
      <c r="E280" s="231"/>
      <c r="F280" s="144"/>
      <c r="G280" s="144"/>
      <c r="H280" s="235"/>
      <c r="I280" s="235"/>
      <c r="J280" s="235"/>
      <c r="K280" s="235"/>
      <c r="L280" s="285"/>
    </row>
    <row r="281" spans="1:12" ht="24.95" hidden="1" customHeight="1">
      <c r="A281" s="136"/>
      <c r="B281" s="176"/>
      <c r="C281" s="177"/>
      <c r="D281" s="136"/>
      <c r="E281" s="231"/>
      <c r="F281" s="144"/>
      <c r="G281" s="144"/>
      <c r="H281" s="235"/>
      <c r="I281" s="235"/>
      <c r="J281" s="235"/>
      <c r="K281" s="235"/>
      <c r="L281" s="285"/>
    </row>
    <row r="282" spans="1:12" ht="24.95" hidden="1" customHeight="1">
      <c r="A282" s="136"/>
      <c r="B282" s="176"/>
      <c r="C282" s="177"/>
      <c r="D282" s="136"/>
      <c r="E282" s="231"/>
      <c r="F282" s="144"/>
      <c r="G282" s="144"/>
      <c r="H282" s="235"/>
      <c r="I282" s="235"/>
      <c r="J282" s="235"/>
      <c r="K282" s="235"/>
      <c r="L282" s="285"/>
    </row>
    <row r="283" spans="1:12" ht="24.95" hidden="1" customHeight="1">
      <c r="A283" s="136"/>
      <c r="B283" s="176"/>
      <c r="C283" s="177"/>
      <c r="D283" s="136"/>
      <c r="E283" s="231"/>
      <c r="F283" s="144"/>
      <c r="G283" s="144"/>
      <c r="H283" s="235"/>
      <c r="I283" s="235"/>
      <c r="J283" s="235"/>
      <c r="K283" s="235"/>
      <c r="L283" s="285"/>
    </row>
    <row r="284" spans="1:12" ht="24.95" hidden="1" customHeight="1">
      <c r="A284" s="136"/>
      <c r="B284" s="176"/>
      <c r="C284" s="177"/>
      <c r="D284" s="136"/>
      <c r="E284" s="231"/>
      <c r="F284" s="144"/>
      <c r="G284" s="144"/>
      <c r="H284" s="235"/>
      <c r="I284" s="235"/>
      <c r="J284" s="235"/>
      <c r="K284" s="235"/>
      <c r="L284" s="285"/>
    </row>
    <row r="285" spans="1:12" ht="24.95" hidden="1" customHeight="1">
      <c r="A285" s="136"/>
      <c r="B285" s="176"/>
      <c r="C285" s="177"/>
      <c r="D285" s="136"/>
      <c r="E285" s="231"/>
      <c r="F285" s="144"/>
      <c r="G285" s="144"/>
      <c r="H285" s="235"/>
      <c r="I285" s="235"/>
      <c r="J285" s="235"/>
      <c r="K285" s="235"/>
      <c r="L285" s="285"/>
    </row>
    <row r="286" spans="1:12" ht="24.95" hidden="1" customHeight="1">
      <c r="A286" s="136"/>
      <c r="B286" s="176"/>
      <c r="C286" s="177"/>
      <c r="D286" s="136"/>
      <c r="E286" s="231"/>
      <c r="F286" s="144"/>
      <c r="G286" s="144"/>
      <c r="H286" s="235"/>
      <c r="I286" s="235"/>
      <c r="J286" s="235"/>
      <c r="K286" s="235"/>
      <c r="L286" s="285"/>
    </row>
    <row r="287" spans="1:12" ht="24.95" hidden="1" customHeight="1">
      <c r="A287" s="136"/>
      <c r="B287" s="176"/>
      <c r="C287" s="177"/>
      <c r="D287" s="136"/>
      <c r="E287" s="231"/>
      <c r="F287" s="144"/>
      <c r="G287" s="144"/>
      <c r="H287" s="235"/>
      <c r="I287" s="235"/>
      <c r="J287" s="235"/>
      <c r="K287" s="235"/>
      <c r="L287" s="285"/>
    </row>
    <row r="288" spans="1:12" ht="24.95" hidden="1" customHeight="1">
      <c r="A288" s="136"/>
      <c r="B288" s="176"/>
      <c r="C288" s="177"/>
      <c r="D288" s="136"/>
      <c r="E288" s="231"/>
      <c r="F288" s="144"/>
      <c r="G288" s="144"/>
      <c r="H288" s="235"/>
      <c r="I288" s="235"/>
      <c r="J288" s="235"/>
      <c r="K288" s="235"/>
      <c r="L288" s="285"/>
    </row>
    <row r="289" spans="1:12" ht="24.95" hidden="1" customHeight="1">
      <c r="A289" s="136"/>
      <c r="B289" s="176"/>
      <c r="C289" s="177"/>
      <c r="D289" s="136"/>
      <c r="E289" s="231"/>
      <c r="F289" s="144"/>
      <c r="G289" s="144"/>
      <c r="H289" s="235"/>
      <c r="I289" s="235"/>
      <c r="J289" s="235"/>
      <c r="K289" s="235"/>
      <c r="L289" s="285"/>
    </row>
    <row r="290" spans="1:12" ht="24.95" hidden="1" customHeight="1">
      <c r="A290" s="136"/>
      <c r="B290" s="176"/>
      <c r="C290" s="177"/>
      <c r="D290" s="136"/>
      <c r="E290" s="231"/>
      <c r="F290" s="144"/>
      <c r="G290" s="144"/>
      <c r="H290" s="235"/>
      <c r="I290" s="235"/>
      <c r="J290" s="235"/>
      <c r="K290" s="235"/>
      <c r="L290" s="285"/>
    </row>
    <row r="291" spans="1:12" ht="24.95" hidden="1" customHeight="1">
      <c r="A291" s="136"/>
      <c r="B291" s="176"/>
      <c r="C291" s="177"/>
      <c r="D291" s="136"/>
      <c r="E291" s="231"/>
      <c r="F291" s="144"/>
      <c r="G291" s="144"/>
      <c r="H291" s="235"/>
      <c r="I291" s="235"/>
      <c r="J291" s="235"/>
      <c r="K291" s="235"/>
      <c r="L291" s="285"/>
    </row>
    <row r="292" spans="1:12" ht="24.95" hidden="1" customHeight="1">
      <c r="A292" s="136"/>
      <c r="B292" s="176"/>
      <c r="C292" s="177"/>
      <c r="D292" s="136"/>
      <c r="E292" s="231"/>
      <c r="F292" s="144"/>
      <c r="G292" s="144"/>
      <c r="H292" s="235"/>
      <c r="I292" s="235"/>
      <c r="J292" s="235"/>
      <c r="K292" s="235"/>
      <c r="L292" s="285"/>
    </row>
    <row r="293" spans="1:12" ht="24.95" hidden="1" customHeight="1">
      <c r="A293" s="136"/>
      <c r="B293" s="176"/>
      <c r="C293" s="177"/>
      <c r="D293" s="136"/>
      <c r="E293" s="231"/>
      <c r="F293" s="144"/>
      <c r="G293" s="144"/>
      <c r="H293" s="235"/>
      <c r="I293" s="235"/>
      <c r="J293" s="235"/>
      <c r="K293" s="235"/>
      <c r="L293" s="285"/>
    </row>
    <row r="294" spans="1:12" ht="24.95" hidden="1" customHeight="1">
      <c r="A294" s="136"/>
      <c r="B294" s="176"/>
      <c r="C294" s="177"/>
      <c r="D294" s="136"/>
      <c r="E294" s="231"/>
      <c r="F294" s="144"/>
      <c r="G294" s="144"/>
      <c r="H294" s="235"/>
      <c r="I294" s="235"/>
      <c r="J294" s="235"/>
      <c r="K294" s="235"/>
      <c r="L294" s="285"/>
    </row>
    <row r="295" spans="1:12" ht="24.95" hidden="1" customHeight="1">
      <c r="A295" s="136"/>
      <c r="B295" s="176"/>
      <c r="C295" s="177"/>
      <c r="D295" s="136"/>
      <c r="E295" s="231"/>
      <c r="F295" s="144"/>
      <c r="G295" s="144"/>
      <c r="H295" s="235"/>
      <c r="I295" s="235"/>
      <c r="J295" s="235"/>
      <c r="K295" s="235"/>
      <c r="L295" s="285"/>
    </row>
    <row r="296" spans="1:12" ht="24.95" hidden="1" customHeight="1">
      <c r="A296" s="136"/>
      <c r="B296" s="176"/>
      <c r="C296" s="177"/>
      <c r="D296" s="136"/>
      <c r="E296" s="231"/>
      <c r="F296" s="144"/>
      <c r="G296" s="144"/>
      <c r="H296" s="235"/>
      <c r="I296" s="235"/>
      <c r="J296" s="235"/>
      <c r="K296" s="235"/>
      <c r="L296" s="285"/>
    </row>
    <row r="297" spans="1:12" ht="24.95" hidden="1" customHeight="1">
      <c r="A297" s="136"/>
      <c r="B297" s="176"/>
      <c r="C297" s="177"/>
      <c r="D297" s="136"/>
      <c r="E297" s="231"/>
      <c r="F297" s="144"/>
      <c r="G297" s="144"/>
      <c r="H297" s="235"/>
      <c r="I297" s="235"/>
      <c r="J297" s="235"/>
      <c r="K297" s="235"/>
      <c r="L297" s="285"/>
    </row>
    <row r="298" spans="1:12" ht="24.95" hidden="1" customHeight="1">
      <c r="A298" s="136"/>
      <c r="B298" s="176"/>
      <c r="C298" s="177"/>
      <c r="D298" s="136"/>
      <c r="E298" s="231"/>
      <c r="F298" s="144"/>
      <c r="G298" s="144"/>
      <c r="H298" s="235"/>
      <c r="I298" s="235"/>
      <c r="J298" s="235"/>
      <c r="K298" s="235"/>
      <c r="L298" s="285"/>
    </row>
    <row r="299" spans="1:12" ht="24.95" hidden="1" customHeight="1">
      <c r="A299" s="136"/>
      <c r="B299" s="176"/>
      <c r="C299" s="177"/>
      <c r="D299" s="136"/>
      <c r="E299" s="231"/>
      <c r="F299" s="144"/>
      <c r="G299" s="144"/>
      <c r="H299" s="235"/>
      <c r="I299" s="235"/>
      <c r="J299" s="235"/>
      <c r="K299" s="235"/>
      <c r="L299" s="285"/>
    </row>
    <row r="300" spans="1:12" ht="24.95" hidden="1" customHeight="1">
      <c r="A300" s="136"/>
      <c r="B300" s="176"/>
      <c r="C300" s="177"/>
      <c r="D300" s="136"/>
      <c r="E300" s="231"/>
      <c r="F300" s="144"/>
      <c r="G300" s="144"/>
      <c r="H300" s="235"/>
      <c r="I300" s="235"/>
      <c r="J300" s="235"/>
      <c r="K300" s="235"/>
      <c r="L300" s="285"/>
    </row>
    <row r="301" spans="1:12" ht="24.95" hidden="1" customHeight="1">
      <c r="A301" s="136"/>
      <c r="B301" s="176"/>
      <c r="C301" s="177"/>
      <c r="D301" s="136"/>
      <c r="E301" s="231"/>
      <c r="F301" s="144"/>
      <c r="G301" s="144"/>
      <c r="H301" s="235"/>
      <c r="I301" s="235"/>
      <c r="J301" s="235"/>
      <c r="K301" s="235"/>
      <c r="L301" s="285"/>
    </row>
    <row r="302" spans="1:12" ht="24.95" hidden="1" customHeight="1">
      <c r="A302" s="136"/>
      <c r="B302" s="176"/>
      <c r="C302" s="177"/>
      <c r="D302" s="136"/>
      <c r="E302" s="231"/>
      <c r="F302" s="144"/>
      <c r="G302" s="144"/>
      <c r="H302" s="235"/>
      <c r="I302" s="235"/>
      <c r="J302" s="235"/>
      <c r="K302" s="235"/>
      <c r="L302" s="285"/>
    </row>
    <row r="303" spans="1:12" ht="24.95" hidden="1" customHeight="1">
      <c r="A303" s="136"/>
      <c r="B303" s="176"/>
      <c r="C303" s="177"/>
      <c r="D303" s="136"/>
      <c r="E303" s="231"/>
      <c r="F303" s="144"/>
      <c r="G303" s="144"/>
      <c r="H303" s="235"/>
      <c r="I303" s="235"/>
      <c r="J303" s="235"/>
      <c r="K303" s="235"/>
      <c r="L303" s="285"/>
    </row>
    <row r="304" spans="1:12" ht="24.95" hidden="1" customHeight="1">
      <c r="A304" s="136"/>
      <c r="B304" s="176"/>
      <c r="C304" s="177"/>
      <c r="D304" s="136"/>
      <c r="E304" s="231"/>
      <c r="F304" s="144"/>
      <c r="G304" s="144"/>
      <c r="H304" s="235"/>
      <c r="I304" s="235"/>
      <c r="J304" s="235"/>
      <c r="K304" s="235"/>
      <c r="L304" s="285"/>
    </row>
    <row r="305" spans="1:12" ht="24.95" hidden="1" customHeight="1">
      <c r="A305" s="136"/>
      <c r="B305" s="176"/>
      <c r="C305" s="177"/>
      <c r="D305" s="136"/>
      <c r="E305" s="231"/>
      <c r="F305" s="144"/>
      <c r="G305" s="144"/>
      <c r="H305" s="235"/>
      <c r="I305" s="235"/>
      <c r="J305" s="235"/>
      <c r="K305" s="235"/>
      <c r="L305" s="285"/>
    </row>
    <row r="306" spans="1:12" ht="24.95" hidden="1" customHeight="1">
      <c r="A306" s="136"/>
      <c r="B306" s="176"/>
      <c r="C306" s="177"/>
      <c r="D306" s="136"/>
      <c r="E306" s="231"/>
      <c r="F306" s="144"/>
      <c r="G306" s="144"/>
      <c r="H306" s="235"/>
      <c r="I306" s="235"/>
      <c r="J306" s="235"/>
      <c r="K306" s="235"/>
      <c r="L306" s="285"/>
    </row>
    <row r="307" spans="1:12" ht="24.95" hidden="1" customHeight="1">
      <c r="A307" s="136"/>
      <c r="B307" s="176"/>
      <c r="C307" s="177"/>
      <c r="D307" s="136"/>
      <c r="E307" s="231"/>
      <c r="F307" s="144"/>
      <c r="G307" s="144"/>
      <c r="H307" s="235"/>
      <c r="I307" s="235"/>
      <c r="J307" s="235"/>
      <c r="K307" s="235"/>
      <c r="L307" s="285"/>
    </row>
    <row r="308" spans="1:12" ht="24.95" hidden="1" customHeight="1">
      <c r="A308" s="136"/>
      <c r="B308" s="176"/>
      <c r="C308" s="177"/>
      <c r="D308" s="136"/>
      <c r="E308" s="231"/>
      <c r="F308" s="144"/>
      <c r="G308" s="144"/>
      <c r="H308" s="235"/>
      <c r="I308" s="235"/>
      <c r="J308" s="235"/>
      <c r="K308" s="235"/>
      <c r="L308" s="285"/>
    </row>
    <row r="309" spans="1:12" ht="24.95" hidden="1" customHeight="1">
      <c r="A309" s="136"/>
      <c r="B309" s="176"/>
      <c r="C309" s="177"/>
      <c r="D309" s="136"/>
      <c r="E309" s="231"/>
      <c r="F309" s="144"/>
      <c r="G309" s="144"/>
      <c r="H309" s="235"/>
      <c r="I309" s="235"/>
      <c r="J309" s="235"/>
      <c r="K309" s="235"/>
      <c r="L309" s="285"/>
    </row>
    <row r="310" spans="1:12" ht="24.95" hidden="1" customHeight="1">
      <c r="A310" s="136"/>
      <c r="B310" s="176"/>
      <c r="C310" s="177"/>
      <c r="D310" s="136"/>
      <c r="E310" s="231"/>
      <c r="F310" s="144"/>
      <c r="G310" s="144"/>
      <c r="H310" s="235"/>
      <c r="I310" s="235"/>
      <c r="J310" s="235"/>
      <c r="K310" s="235"/>
      <c r="L310" s="285"/>
    </row>
    <row r="311" spans="1:12" ht="24.95" hidden="1" customHeight="1">
      <c r="A311" s="136"/>
      <c r="B311" s="176"/>
      <c r="C311" s="177"/>
      <c r="D311" s="136"/>
      <c r="E311" s="231"/>
      <c r="F311" s="144"/>
      <c r="G311" s="144"/>
      <c r="H311" s="235"/>
      <c r="I311" s="235"/>
      <c r="J311" s="235"/>
      <c r="K311" s="235"/>
      <c r="L311" s="285"/>
    </row>
    <row r="312" spans="1:12" ht="24.95" hidden="1" customHeight="1">
      <c r="A312" s="136"/>
      <c r="B312" s="176"/>
      <c r="C312" s="177"/>
      <c r="D312" s="136"/>
      <c r="E312" s="231"/>
      <c r="F312" s="144"/>
      <c r="G312" s="144"/>
      <c r="H312" s="235"/>
      <c r="I312" s="235"/>
      <c r="J312" s="235"/>
      <c r="K312" s="235"/>
      <c r="L312" s="285"/>
    </row>
    <row r="313" spans="1:12" ht="24.95" hidden="1" customHeight="1">
      <c r="A313" s="136"/>
      <c r="B313" s="176"/>
      <c r="C313" s="177"/>
      <c r="D313" s="136"/>
      <c r="E313" s="231"/>
      <c r="F313" s="144"/>
      <c r="G313" s="144"/>
      <c r="H313" s="235"/>
      <c r="I313" s="235"/>
      <c r="J313" s="235"/>
      <c r="K313" s="235"/>
      <c r="L313" s="285"/>
    </row>
    <row r="314" spans="1:12" ht="24.95" hidden="1" customHeight="1">
      <c r="A314" s="136"/>
      <c r="B314" s="176"/>
      <c r="C314" s="177"/>
      <c r="D314" s="136"/>
      <c r="E314" s="231"/>
      <c r="F314" s="144"/>
      <c r="G314" s="144"/>
      <c r="H314" s="235"/>
      <c r="I314" s="235"/>
      <c r="J314" s="235"/>
      <c r="K314" s="235"/>
      <c r="L314" s="285"/>
    </row>
    <row r="315" spans="1:12" ht="24.95" hidden="1" customHeight="1">
      <c r="A315" s="136"/>
      <c r="B315" s="176"/>
      <c r="C315" s="177"/>
      <c r="D315" s="136"/>
      <c r="E315" s="231"/>
      <c r="F315" s="144"/>
      <c r="G315" s="144"/>
      <c r="H315" s="235"/>
      <c r="I315" s="235"/>
      <c r="J315" s="235"/>
      <c r="K315" s="235"/>
      <c r="L315" s="285"/>
    </row>
    <row r="316" spans="1:12" ht="24.95" hidden="1" customHeight="1">
      <c r="A316" s="136"/>
      <c r="B316" s="176"/>
      <c r="C316" s="177"/>
      <c r="D316" s="136"/>
      <c r="E316" s="231"/>
      <c r="F316" s="144"/>
      <c r="G316" s="144"/>
      <c r="H316" s="235"/>
      <c r="I316" s="235"/>
      <c r="J316" s="235"/>
      <c r="K316" s="235"/>
      <c r="L316" s="285"/>
    </row>
    <row r="317" spans="1:12" ht="24.95" hidden="1" customHeight="1">
      <c r="A317" s="136"/>
      <c r="B317" s="176"/>
      <c r="C317" s="177"/>
      <c r="D317" s="136"/>
      <c r="E317" s="231"/>
      <c r="F317" s="144"/>
      <c r="G317" s="144"/>
      <c r="H317" s="235"/>
      <c r="I317" s="235"/>
      <c r="J317" s="235"/>
      <c r="K317" s="235"/>
      <c r="L317" s="285"/>
    </row>
    <row r="318" spans="1:12" ht="24.95" hidden="1" customHeight="1">
      <c r="A318" s="136"/>
      <c r="B318" s="176"/>
      <c r="C318" s="177"/>
      <c r="D318" s="136"/>
      <c r="E318" s="231"/>
      <c r="F318" s="144"/>
      <c r="G318" s="144"/>
      <c r="H318" s="235"/>
      <c r="I318" s="235"/>
      <c r="J318" s="235"/>
      <c r="K318" s="235"/>
      <c r="L318" s="285"/>
    </row>
    <row r="319" spans="1:12" ht="24.95" hidden="1" customHeight="1">
      <c r="A319" s="136"/>
      <c r="B319" s="176"/>
      <c r="C319" s="177"/>
      <c r="D319" s="136"/>
      <c r="E319" s="231"/>
      <c r="F319" s="144"/>
      <c r="G319" s="144"/>
      <c r="H319" s="235"/>
      <c r="I319" s="235"/>
      <c r="J319" s="235"/>
      <c r="K319" s="235"/>
      <c r="L319" s="285"/>
    </row>
    <row r="320" spans="1:12" ht="24.95" hidden="1" customHeight="1">
      <c r="A320" s="136"/>
      <c r="B320" s="176"/>
      <c r="C320" s="177"/>
      <c r="D320" s="136"/>
      <c r="E320" s="231"/>
      <c r="F320" s="144"/>
      <c r="G320" s="144"/>
      <c r="H320" s="235"/>
      <c r="I320" s="235"/>
      <c r="J320" s="235"/>
      <c r="K320" s="235"/>
      <c r="L320" s="285"/>
    </row>
    <row r="321" spans="1:12" ht="24.95" hidden="1" customHeight="1">
      <c r="A321" s="136"/>
      <c r="B321" s="176"/>
      <c r="C321" s="177"/>
      <c r="D321" s="136"/>
      <c r="E321" s="231"/>
      <c r="F321" s="144"/>
      <c r="G321" s="144"/>
      <c r="H321" s="235"/>
      <c r="I321" s="235"/>
      <c r="J321" s="235"/>
      <c r="K321" s="235"/>
      <c r="L321" s="285"/>
    </row>
    <row r="322" spans="1:12" ht="24.95" hidden="1" customHeight="1">
      <c r="A322" s="136"/>
      <c r="B322" s="176"/>
      <c r="C322" s="177"/>
      <c r="D322" s="136"/>
      <c r="E322" s="231"/>
      <c r="F322" s="144"/>
      <c r="G322" s="144"/>
      <c r="H322" s="235"/>
      <c r="I322" s="235"/>
      <c r="J322" s="235"/>
      <c r="K322" s="235"/>
      <c r="L322" s="285"/>
    </row>
    <row r="323" spans="1:12" ht="24.95" hidden="1" customHeight="1">
      <c r="A323" s="136"/>
      <c r="B323" s="176"/>
      <c r="C323" s="177"/>
      <c r="D323" s="136"/>
      <c r="E323" s="231"/>
      <c r="F323" s="144"/>
      <c r="G323" s="144"/>
      <c r="H323" s="235"/>
      <c r="I323" s="235"/>
      <c r="J323" s="235"/>
      <c r="K323" s="235"/>
      <c r="L323" s="285"/>
    </row>
    <row r="324" spans="1:12" ht="24.95" hidden="1" customHeight="1">
      <c r="A324" s="136"/>
      <c r="B324" s="176"/>
      <c r="C324" s="177"/>
      <c r="D324" s="136"/>
      <c r="E324" s="231"/>
      <c r="F324" s="144"/>
      <c r="G324" s="144"/>
      <c r="H324" s="235"/>
      <c r="I324" s="235"/>
      <c r="J324" s="235"/>
      <c r="K324" s="235"/>
      <c r="L324" s="285"/>
    </row>
    <row r="325" spans="1:12" ht="24.95" hidden="1" customHeight="1">
      <c r="A325" s="136"/>
      <c r="B325" s="176"/>
      <c r="C325" s="177"/>
      <c r="D325" s="136"/>
      <c r="E325" s="231"/>
      <c r="F325" s="144"/>
      <c r="G325" s="144"/>
      <c r="H325" s="235"/>
      <c r="I325" s="235"/>
      <c r="J325" s="235"/>
      <c r="K325" s="235"/>
      <c r="L325" s="285"/>
    </row>
    <row r="326" spans="1:12" ht="24.95" hidden="1" customHeight="1">
      <c r="A326" s="136"/>
      <c r="B326" s="176"/>
      <c r="C326" s="177"/>
      <c r="D326" s="136"/>
      <c r="E326" s="231"/>
      <c r="F326" s="144"/>
      <c r="G326" s="144"/>
      <c r="H326" s="235"/>
      <c r="I326" s="235"/>
      <c r="J326" s="235"/>
      <c r="K326" s="235"/>
      <c r="L326" s="285"/>
    </row>
    <row r="327" spans="1:12" ht="24.95" hidden="1" customHeight="1">
      <c r="A327" s="136"/>
      <c r="B327" s="176"/>
      <c r="C327" s="177"/>
      <c r="D327" s="136"/>
      <c r="E327" s="231"/>
      <c r="F327" s="144"/>
      <c r="G327" s="144"/>
      <c r="H327" s="235"/>
      <c r="I327" s="235"/>
      <c r="J327" s="235"/>
      <c r="K327" s="235"/>
      <c r="L327" s="285"/>
    </row>
    <row r="328" spans="1:12" ht="24.95" hidden="1" customHeight="1">
      <c r="A328" s="136"/>
      <c r="B328" s="176"/>
      <c r="C328" s="177"/>
      <c r="D328" s="136"/>
      <c r="E328" s="231"/>
      <c r="F328" s="144"/>
      <c r="G328" s="144"/>
      <c r="H328" s="235"/>
      <c r="I328" s="235"/>
      <c r="J328" s="235"/>
      <c r="K328" s="235"/>
      <c r="L328" s="285"/>
    </row>
    <row r="329" spans="1:12" ht="24.95" hidden="1" customHeight="1">
      <c r="A329" s="136"/>
      <c r="B329" s="176"/>
      <c r="C329" s="177"/>
      <c r="D329" s="136"/>
      <c r="E329" s="231"/>
      <c r="F329" s="144"/>
      <c r="G329" s="144"/>
      <c r="H329" s="235"/>
      <c r="I329" s="235"/>
      <c r="J329" s="235"/>
      <c r="K329" s="235"/>
      <c r="L329" s="285"/>
    </row>
    <row r="330" spans="1:12" ht="24.95" hidden="1" customHeight="1">
      <c r="A330" s="136"/>
      <c r="B330" s="176"/>
      <c r="C330" s="177"/>
      <c r="D330" s="136"/>
      <c r="E330" s="231"/>
      <c r="F330" s="144"/>
      <c r="G330" s="144"/>
      <c r="H330" s="235"/>
      <c r="I330" s="235"/>
      <c r="J330" s="235"/>
      <c r="K330" s="235"/>
      <c r="L330" s="285"/>
    </row>
    <row r="331" spans="1:12" ht="24.95" hidden="1" customHeight="1">
      <c r="A331" s="136"/>
      <c r="B331" s="176"/>
      <c r="C331" s="177"/>
      <c r="D331" s="136"/>
      <c r="E331" s="231"/>
      <c r="F331" s="144"/>
      <c r="G331" s="144"/>
      <c r="H331" s="235"/>
      <c r="I331" s="235"/>
      <c r="J331" s="235"/>
      <c r="K331" s="235"/>
      <c r="L331" s="285"/>
    </row>
    <row r="332" spans="1:12" ht="24.95" hidden="1" customHeight="1">
      <c r="A332" s="136"/>
      <c r="B332" s="176"/>
      <c r="C332" s="177"/>
      <c r="D332" s="136"/>
      <c r="E332" s="231"/>
      <c r="F332" s="144"/>
      <c r="G332" s="144"/>
      <c r="H332" s="235"/>
      <c r="I332" s="235"/>
      <c r="J332" s="235"/>
      <c r="K332" s="235"/>
      <c r="L332" s="285"/>
    </row>
    <row r="333" spans="1:12" ht="24.95" hidden="1" customHeight="1">
      <c r="A333" s="136"/>
      <c r="B333" s="176"/>
      <c r="C333" s="177"/>
      <c r="D333" s="136"/>
      <c r="E333" s="231"/>
      <c r="F333" s="144"/>
      <c r="G333" s="144"/>
      <c r="H333" s="235"/>
      <c r="I333" s="235"/>
      <c r="J333" s="235"/>
      <c r="K333" s="235"/>
      <c r="L333" s="285"/>
    </row>
    <row r="334" spans="1:12" ht="24.95" hidden="1" customHeight="1">
      <c r="A334" s="136"/>
      <c r="B334" s="176"/>
      <c r="C334" s="177"/>
      <c r="D334" s="136"/>
      <c r="E334" s="231"/>
      <c r="F334" s="144"/>
      <c r="G334" s="144"/>
      <c r="H334" s="235"/>
      <c r="I334" s="235"/>
      <c r="J334" s="235"/>
      <c r="K334" s="235"/>
      <c r="L334" s="285"/>
    </row>
    <row r="335" spans="1:12" ht="24.95" hidden="1" customHeight="1">
      <c r="A335" s="136"/>
      <c r="B335" s="176"/>
      <c r="C335" s="177"/>
      <c r="D335" s="136"/>
      <c r="E335" s="231"/>
      <c r="F335" s="144"/>
      <c r="G335" s="144"/>
      <c r="H335" s="235"/>
      <c r="I335" s="235"/>
      <c r="J335" s="235"/>
      <c r="K335" s="235"/>
      <c r="L335" s="285"/>
    </row>
    <row r="336" spans="1:12" ht="24.95" hidden="1" customHeight="1">
      <c r="A336" s="136"/>
      <c r="B336" s="176"/>
      <c r="C336" s="177"/>
      <c r="D336" s="136"/>
      <c r="E336" s="231"/>
      <c r="F336" s="144"/>
      <c r="G336" s="144"/>
      <c r="H336" s="235"/>
      <c r="I336" s="235"/>
      <c r="J336" s="235"/>
      <c r="K336" s="235"/>
      <c r="L336" s="285"/>
    </row>
    <row r="337" spans="1:12" ht="24.95" hidden="1" customHeight="1">
      <c r="A337" s="136"/>
      <c r="B337" s="176"/>
      <c r="C337" s="177"/>
      <c r="D337" s="136"/>
      <c r="E337" s="231"/>
      <c r="F337" s="144"/>
      <c r="G337" s="144"/>
      <c r="H337" s="235"/>
      <c r="I337" s="235"/>
      <c r="J337" s="235"/>
      <c r="K337" s="235"/>
      <c r="L337" s="285"/>
    </row>
    <row r="338" spans="1:12" ht="24.95" hidden="1" customHeight="1">
      <c r="A338" s="136"/>
      <c r="B338" s="176"/>
      <c r="C338" s="177"/>
      <c r="D338" s="136"/>
      <c r="E338" s="231"/>
      <c r="F338" s="144"/>
      <c r="G338" s="144"/>
      <c r="H338" s="235"/>
      <c r="I338" s="235"/>
      <c r="J338" s="235"/>
      <c r="K338" s="235"/>
      <c r="L338" s="285"/>
    </row>
    <row r="339" spans="1:12" ht="24.95" hidden="1" customHeight="1">
      <c r="A339" s="136"/>
      <c r="B339" s="176"/>
      <c r="C339" s="177"/>
      <c r="D339" s="136"/>
      <c r="E339" s="231"/>
      <c r="F339" s="144"/>
      <c r="G339" s="144"/>
      <c r="H339" s="235"/>
      <c r="I339" s="235"/>
      <c r="J339" s="235"/>
      <c r="K339" s="235"/>
      <c r="L339" s="285"/>
    </row>
    <row r="340" spans="1:12" ht="24.95" hidden="1" customHeight="1">
      <c r="A340" s="136"/>
      <c r="B340" s="176"/>
      <c r="C340" s="177"/>
      <c r="D340" s="136"/>
      <c r="E340" s="231"/>
      <c r="F340" s="144"/>
      <c r="G340" s="144"/>
      <c r="H340" s="235"/>
      <c r="I340" s="235"/>
      <c r="J340" s="235"/>
      <c r="K340" s="235"/>
      <c r="L340" s="285"/>
    </row>
    <row r="341" spans="1:12" ht="24.95" hidden="1" customHeight="1">
      <c r="A341" s="136"/>
      <c r="B341" s="176"/>
      <c r="C341" s="177"/>
      <c r="D341" s="136"/>
      <c r="E341" s="231"/>
      <c r="F341" s="144"/>
      <c r="G341" s="144"/>
      <c r="H341" s="235"/>
      <c r="I341" s="235"/>
      <c r="J341" s="235"/>
      <c r="K341" s="235"/>
      <c r="L341" s="285"/>
    </row>
    <row r="342" spans="1:12" ht="24.95" hidden="1" customHeight="1">
      <c r="A342" s="136"/>
      <c r="B342" s="176"/>
      <c r="C342" s="177"/>
      <c r="D342" s="136"/>
      <c r="E342" s="231"/>
      <c r="F342" s="144"/>
      <c r="G342" s="144"/>
      <c r="H342" s="235"/>
      <c r="I342" s="235"/>
      <c r="J342" s="235"/>
      <c r="K342" s="235"/>
      <c r="L342" s="285"/>
    </row>
    <row r="343" spans="1:12" ht="24.95" hidden="1" customHeight="1">
      <c r="A343" s="136"/>
      <c r="B343" s="176"/>
      <c r="C343" s="177"/>
      <c r="D343" s="136"/>
      <c r="E343" s="231"/>
      <c r="F343" s="144"/>
      <c r="G343" s="144"/>
      <c r="H343" s="235"/>
      <c r="I343" s="235"/>
      <c r="J343" s="235"/>
      <c r="K343" s="235"/>
      <c r="L343" s="285"/>
    </row>
    <row r="344" spans="1:12" ht="24.95" hidden="1" customHeight="1">
      <c r="A344" s="136"/>
      <c r="B344" s="176"/>
      <c r="C344" s="177"/>
      <c r="D344" s="136"/>
      <c r="E344" s="231"/>
      <c r="F344" s="144"/>
      <c r="G344" s="144"/>
      <c r="H344" s="235"/>
      <c r="I344" s="235"/>
      <c r="J344" s="235"/>
      <c r="K344" s="235"/>
      <c r="L344" s="285"/>
    </row>
    <row r="345" spans="1:12" ht="24.95" hidden="1" customHeight="1">
      <c r="A345" s="136"/>
      <c r="B345" s="176"/>
      <c r="C345" s="177"/>
      <c r="D345" s="136"/>
      <c r="E345" s="231"/>
      <c r="F345" s="144"/>
      <c r="G345" s="144"/>
      <c r="H345" s="235"/>
      <c r="I345" s="235"/>
      <c r="J345" s="235"/>
      <c r="K345" s="235"/>
      <c r="L345" s="285"/>
    </row>
    <row r="346" spans="1:12" ht="24.95" hidden="1" customHeight="1">
      <c r="A346" s="136"/>
      <c r="B346" s="176"/>
      <c r="C346" s="177"/>
      <c r="D346" s="136"/>
      <c r="E346" s="231"/>
      <c r="F346" s="144"/>
      <c r="G346" s="144"/>
      <c r="H346" s="235"/>
      <c r="I346" s="235"/>
      <c r="J346" s="235"/>
      <c r="K346" s="235"/>
      <c r="L346" s="285"/>
    </row>
    <row r="347" spans="1:12" ht="24.95" hidden="1" customHeight="1">
      <c r="A347" s="136"/>
      <c r="B347" s="176"/>
      <c r="C347" s="177"/>
      <c r="D347" s="136"/>
      <c r="E347" s="231"/>
      <c r="F347" s="144"/>
      <c r="G347" s="144"/>
      <c r="H347" s="235"/>
      <c r="I347" s="235"/>
      <c r="J347" s="235"/>
      <c r="K347" s="235"/>
      <c r="L347" s="285"/>
    </row>
    <row r="348" spans="1:12" ht="24.95" hidden="1" customHeight="1">
      <c r="A348" s="136"/>
      <c r="B348" s="176"/>
      <c r="C348" s="177"/>
      <c r="D348" s="136"/>
      <c r="E348" s="231"/>
      <c r="F348" s="144"/>
      <c r="G348" s="144"/>
      <c r="H348" s="235"/>
      <c r="I348" s="235"/>
      <c r="J348" s="235"/>
      <c r="K348" s="235"/>
      <c r="L348" s="285"/>
    </row>
    <row r="349" spans="1:12" ht="24.95" hidden="1" customHeight="1">
      <c r="A349" s="136"/>
      <c r="B349" s="176"/>
      <c r="C349" s="177"/>
      <c r="D349" s="136"/>
      <c r="E349" s="231"/>
      <c r="F349" s="144"/>
      <c r="G349" s="144"/>
      <c r="H349" s="235"/>
      <c r="I349" s="235"/>
      <c r="J349" s="235"/>
      <c r="K349" s="235"/>
      <c r="L349" s="285"/>
    </row>
    <row r="350" spans="1:12" ht="24.95" hidden="1" customHeight="1">
      <c r="A350" s="136"/>
      <c r="B350" s="176"/>
      <c r="C350" s="177"/>
      <c r="D350" s="136"/>
      <c r="E350" s="231"/>
      <c r="F350" s="144"/>
      <c r="G350" s="144"/>
      <c r="H350" s="235"/>
      <c r="I350" s="235"/>
      <c r="J350" s="235"/>
      <c r="K350" s="235"/>
      <c r="L350" s="285"/>
    </row>
    <row r="351" spans="1:12" ht="24.95" hidden="1" customHeight="1">
      <c r="A351" s="136"/>
      <c r="B351" s="176"/>
      <c r="C351" s="177"/>
      <c r="D351" s="136"/>
      <c r="E351" s="231"/>
      <c r="F351" s="144"/>
      <c r="G351" s="144"/>
      <c r="H351" s="235"/>
      <c r="I351" s="235"/>
      <c r="J351" s="235"/>
      <c r="K351" s="235"/>
      <c r="L351" s="285"/>
    </row>
    <row r="352" spans="1:12" ht="24.95" hidden="1" customHeight="1">
      <c r="A352" s="136"/>
      <c r="B352" s="176"/>
      <c r="C352" s="177"/>
      <c r="D352" s="136"/>
      <c r="E352" s="231"/>
      <c r="F352" s="144"/>
      <c r="G352" s="144"/>
      <c r="H352" s="235"/>
      <c r="I352" s="235"/>
      <c r="J352" s="235"/>
      <c r="K352" s="235"/>
      <c r="L352" s="285"/>
    </row>
    <row r="353" spans="1:12" ht="24.95" hidden="1" customHeight="1">
      <c r="A353" s="136"/>
      <c r="B353" s="176"/>
      <c r="C353" s="177"/>
      <c r="D353" s="136"/>
      <c r="E353" s="231"/>
      <c r="F353" s="144"/>
      <c r="G353" s="144"/>
      <c r="H353" s="235"/>
      <c r="I353" s="235"/>
      <c r="J353" s="235"/>
      <c r="K353" s="235"/>
      <c r="L353" s="285"/>
    </row>
    <row r="354" spans="1:12" ht="24.95" hidden="1" customHeight="1">
      <c r="A354" s="136"/>
      <c r="B354" s="176"/>
      <c r="C354" s="177"/>
      <c r="D354" s="136"/>
      <c r="E354" s="231"/>
      <c r="F354" s="144"/>
      <c r="G354" s="144"/>
      <c r="H354" s="235"/>
      <c r="I354" s="235"/>
      <c r="J354" s="235"/>
      <c r="K354" s="235"/>
      <c r="L354" s="285"/>
    </row>
    <row r="355" spans="1:12" ht="24.95" hidden="1" customHeight="1">
      <c r="A355" s="136"/>
      <c r="B355" s="176"/>
      <c r="C355" s="177"/>
      <c r="D355" s="136"/>
      <c r="E355" s="231"/>
      <c r="F355" s="144"/>
      <c r="G355" s="144"/>
      <c r="H355" s="235"/>
      <c r="I355" s="235"/>
      <c r="J355" s="235"/>
      <c r="K355" s="235"/>
      <c r="L355" s="285"/>
    </row>
    <row r="356" spans="1:12" ht="24.95" hidden="1" customHeight="1">
      <c r="A356" s="136"/>
      <c r="B356" s="176"/>
      <c r="C356" s="177"/>
      <c r="D356" s="136"/>
      <c r="E356" s="231"/>
      <c r="F356" s="144"/>
      <c r="G356" s="144"/>
      <c r="H356" s="235"/>
      <c r="I356" s="235"/>
      <c r="J356" s="235"/>
      <c r="K356" s="235"/>
      <c r="L356" s="285"/>
    </row>
    <row r="357" spans="1:12" ht="24.95" hidden="1" customHeight="1">
      <c r="A357" s="136"/>
      <c r="B357" s="176"/>
      <c r="C357" s="177"/>
      <c r="D357" s="136"/>
      <c r="E357" s="231"/>
      <c r="F357" s="144"/>
      <c r="G357" s="144"/>
      <c r="H357" s="235"/>
      <c r="I357" s="235"/>
      <c r="J357" s="235"/>
      <c r="K357" s="235"/>
      <c r="L357" s="285"/>
    </row>
    <row r="358" spans="1:12" ht="24.95" hidden="1" customHeight="1">
      <c r="A358" s="136"/>
      <c r="B358" s="176"/>
      <c r="C358" s="177"/>
      <c r="D358" s="136"/>
      <c r="E358" s="231"/>
      <c r="F358" s="144"/>
      <c r="G358" s="144"/>
      <c r="H358" s="235"/>
      <c r="I358" s="235"/>
      <c r="J358" s="235"/>
      <c r="K358" s="235"/>
      <c r="L358" s="285"/>
    </row>
    <row r="359" spans="1:12" ht="24.95" hidden="1" customHeight="1">
      <c r="A359" s="136"/>
      <c r="B359" s="176"/>
      <c r="C359" s="177"/>
      <c r="D359" s="136"/>
      <c r="E359" s="231"/>
      <c r="F359" s="144"/>
      <c r="G359" s="144"/>
      <c r="H359" s="235"/>
      <c r="I359" s="235"/>
      <c r="J359" s="235"/>
      <c r="K359" s="235"/>
      <c r="L359" s="285"/>
    </row>
    <row r="360" spans="1:12" ht="24.95" hidden="1" customHeight="1">
      <c r="A360" s="136"/>
      <c r="B360" s="176"/>
      <c r="C360" s="177"/>
      <c r="D360" s="136"/>
      <c r="E360" s="231"/>
      <c r="F360" s="144"/>
      <c r="G360" s="144"/>
      <c r="H360" s="235"/>
      <c r="I360" s="235"/>
      <c r="J360" s="235"/>
      <c r="K360" s="235"/>
      <c r="L360" s="285"/>
    </row>
    <row r="361" spans="1:12" ht="24.95" hidden="1" customHeight="1">
      <c r="A361" s="136"/>
      <c r="B361" s="176"/>
      <c r="C361" s="177"/>
      <c r="D361" s="136"/>
      <c r="E361" s="231"/>
      <c r="F361" s="144"/>
      <c r="G361" s="144"/>
      <c r="H361" s="235"/>
      <c r="I361" s="235"/>
      <c r="J361" s="235"/>
      <c r="K361" s="235"/>
      <c r="L361" s="285"/>
    </row>
    <row r="362" spans="1:12" ht="24.95" hidden="1" customHeight="1">
      <c r="A362" s="136"/>
      <c r="B362" s="176"/>
      <c r="C362" s="177"/>
      <c r="D362" s="136"/>
      <c r="E362" s="231"/>
      <c r="F362" s="144"/>
      <c r="G362" s="144"/>
      <c r="H362" s="235"/>
      <c r="I362" s="235"/>
      <c r="J362" s="235"/>
      <c r="K362" s="235"/>
      <c r="L362" s="285"/>
    </row>
    <row r="363" spans="1:12" ht="24.95" hidden="1" customHeight="1">
      <c r="A363" s="136"/>
      <c r="B363" s="176"/>
      <c r="C363" s="177"/>
      <c r="D363" s="136"/>
      <c r="E363" s="231"/>
      <c r="F363" s="144"/>
      <c r="G363" s="144"/>
      <c r="H363" s="235"/>
      <c r="I363" s="235"/>
      <c r="J363" s="235"/>
      <c r="K363" s="235"/>
      <c r="L363" s="285"/>
    </row>
    <row r="364" spans="1:12" ht="24.95" hidden="1" customHeight="1">
      <c r="A364" s="136"/>
      <c r="B364" s="176"/>
      <c r="C364" s="177"/>
      <c r="D364" s="136"/>
      <c r="E364" s="231"/>
      <c r="F364" s="144"/>
      <c r="G364" s="144"/>
      <c r="H364" s="235"/>
      <c r="I364" s="235"/>
      <c r="J364" s="235"/>
      <c r="K364" s="235"/>
      <c r="L364" s="285"/>
    </row>
    <row r="365" spans="1:12" ht="24.95" hidden="1" customHeight="1">
      <c r="A365" s="136"/>
      <c r="B365" s="176"/>
      <c r="C365" s="177"/>
      <c r="D365" s="136"/>
      <c r="E365" s="231"/>
      <c r="F365" s="144"/>
      <c r="G365" s="144"/>
      <c r="H365" s="235"/>
      <c r="I365" s="235"/>
      <c r="J365" s="235"/>
      <c r="K365" s="235"/>
      <c r="L365" s="285"/>
    </row>
    <row r="366" spans="1:12" ht="24.95" hidden="1" customHeight="1">
      <c r="A366" s="136"/>
      <c r="B366" s="176"/>
      <c r="C366" s="177"/>
      <c r="D366" s="136"/>
      <c r="E366" s="231"/>
      <c r="F366" s="144"/>
      <c r="G366" s="144"/>
      <c r="H366" s="235"/>
      <c r="I366" s="235"/>
      <c r="J366" s="235"/>
      <c r="K366" s="235"/>
      <c r="L366" s="285"/>
    </row>
    <row r="367" spans="1:12" ht="24.95" hidden="1" customHeight="1">
      <c r="A367" s="136"/>
      <c r="B367" s="176"/>
      <c r="C367" s="177"/>
      <c r="D367" s="136"/>
      <c r="E367" s="231"/>
      <c r="F367" s="144"/>
      <c r="G367" s="144"/>
      <c r="H367" s="235"/>
      <c r="I367" s="235"/>
      <c r="J367" s="235"/>
      <c r="K367" s="235"/>
      <c r="L367" s="285"/>
    </row>
    <row r="368" spans="1:12" ht="24.95" hidden="1" customHeight="1">
      <c r="A368" s="136"/>
      <c r="B368" s="176"/>
      <c r="C368" s="177"/>
      <c r="D368" s="136"/>
      <c r="E368" s="231"/>
      <c r="F368" s="144"/>
      <c r="G368" s="144"/>
      <c r="H368" s="235"/>
      <c r="I368" s="235"/>
      <c r="J368" s="235"/>
      <c r="K368" s="235"/>
      <c r="L368" s="285"/>
    </row>
    <row r="369" spans="1:12" ht="24.95" hidden="1" customHeight="1">
      <c r="A369" s="136"/>
      <c r="B369" s="176"/>
      <c r="C369" s="177"/>
      <c r="D369" s="136"/>
      <c r="E369" s="231"/>
      <c r="F369" s="144"/>
      <c r="G369" s="144"/>
      <c r="H369" s="235"/>
      <c r="I369" s="235"/>
      <c r="J369" s="235"/>
      <c r="K369" s="235"/>
      <c r="L369" s="285"/>
    </row>
    <row r="370" spans="1:12" ht="24.95" hidden="1" customHeight="1">
      <c r="A370" s="136"/>
      <c r="B370" s="176"/>
      <c r="C370" s="177"/>
      <c r="D370" s="136"/>
      <c r="E370" s="231"/>
      <c r="F370" s="144"/>
      <c r="G370" s="144"/>
      <c r="H370" s="235"/>
      <c r="I370" s="235"/>
      <c r="J370" s="235"/>
      <c r="K370" s="235"/>
      <c r="L370" s="285"/>
    </row>
    <row r="371" spans="1:12" ht="24.95" hidden="1" customHeight="1">
      <c r="A371" s="136"/>
      <c r="B371" s="176"/>
      <c r="C371" s="177"/>
      <c r="D371" s="136"/>
      <c r="E371" s="231"/>
      <c r="F371" s="144"/>
      <c r="G371" s="144"/>
      <c r="H371" s="235"/>
      <c r="I371" s="235"/>
      <c r="J371" s="235"/>
      <c r="K371" s="235"/>
      <c r="L371" s="285"/>
    </row>
    <row r="372" spans="1:12" ht="24.95" hidden="1" customHeight="1">
      <c r="A372" s="136"/>
      <c r="B372" s="176"/>
      <c r="C372" s="177"/>
      <c r="D372" s="136"/>
      <c r="E372" s="231"/>
      <c r="F372" s="144"/>
      <c r="G372" s="144"/>
      <c r="H372" s="235"/>
      <c r="I372" s="235"/>
      <c r="J372" s="235"/>
      <c r="K372" s="235"/>
      <c r="L372" s="285"/>
    </row>
    <row r="373" spans="1:12" ht="24.95" hidden="1" customHeight="1">
      <c r="A373" s="136"/>
      <c r="B373" s="176"/>
      <c r="C373" s="177"/>
      <c r="D373" s="136"/>
      <c r="E373" s="231"/>
      <c r="F373" s="144"/>
      <c r="G373" s="144"/>
      <c r="H373" s="235"/>
      <c r="I373" s="235"/>
      <c r="J373" s="235"/>
      <c r="K373" s="235"/>
      <c r="L373" s="285"/>
    </row>
    <row r="374" spans="1:12" ht="24.95" hidden="1" customHeight="1">
      <c r="A374" s="136"/>
      <c r="B374" s="176"/>
      <c r="C374" s="177"/>
      <c r="D374" s="136"/>
      <c r="E374" s="231"/>
      <c r="F374" s="144"/>
      <c r="G374" s="144"/>
      <c r="H374" s="235"/>
      <c r="I374" s="235"/>
      <c r="J374" s="235"/>
      <c r="K374" s="235"/>
      <c r="L374" s="285"/>
    </row>
    <row r="375" spans="1:12" ht="24.95" hidden="1" customHeight="1">
      <c r="A375" s="136"/>
      <c r="B375" s="176"/>
      <c r="C375" s="177"/>
      <c r="D375" s="136"/>
      <c r="E375" s="231"/>
      <c r="F375" s="144"/>
      <c r="G375" s="144"/>
      <c r="H375" s="235"/>
      <c r="I375" s="235"/>
      <c r="J375" s="235"/>
      <c r="K375" s="235"/>
      <c r="L375" s="285"/>
    </row>
    <row r="376" spans="1:12" ht="24.95" hidden="1" customHeight="1">
      <c r="A376" s="136"/>
      <c r="B376" s="176"/>
      <c r="C376" s="177"/>
      <c r="D376" s="136"/>
      <c r="E376" s="231"/>
      <c r="F376" s="144"/>
      <c r="G376" s="144"/>
      <c r="H376" s="235"/>
      <c r="I376" s="235"/>
      <c r="J376" s="235"/>
      <c r="K376" s="235"/>
      <c r="L376" s="285"/>
    </row>
    <row r="377" spans="1:12" ht="24.95" hidden="1" customHeight="1">
      <c r="A377" s="136"/>
      <c r="B377" s="176"/>
      <c r="C377" s="177"/>
      <c r="D377" s="136"/>
      <c r="E377" s="231"/>
      <c r="F377" s="144"/>
      <c r="G377" s="144"/>
      <c r="H377" s="235"/>
      <c r="I377" s="235"/>
      <c r="J377" s="235"/>
      <c r="K377" s="235"/>
      <c r="L377" s="285"/>
    </row>
    <row r="378" spans="1:12" ht="24.95" hidden="1" customHeight="1">
      <c r="A378" s="136"/>
      <c r="B378" s="176"/>
      <c r="C378" s="177"/>
      <c r="D378" s="136"/>
      <c r="E378" s="231"/>
      <c r="F378" s="144"/>
      <c r="G378" s="144"/>
      <c r="H378" s="235"/>
      <c r="I378" s="235"/>
      <c r="J378" s="235"/>
      <c r="K378" s="235"/>
      <c r="L378" s="285"/>
    </row>
    <row r="379" spans="1:12" ht="24.95" hidden="1" customHeight="1">
      <c r="A379" s="136"/>
      <c r="B379" s="176"/>
      <c r="C379" s="177"/>
      <c r="D379" s="136"/>
      <c r="E379" s="231"/>
      <c r="F379" s="144"/>
      <c r="G379" s="144"/>
      <c r="H379" s="235"/>
      <c r="I379" s="235"/>
      <c r="J379" s="235"/>
      <c r="K379" s="235"/>
      <c r="L379" s="285"/>
    </row>
    <row r="380" spans="1:12" ht="24.95" hidden="1" customHeight="1">
      <c r="A380" s="136"/>
      <c r="B380" s="176"/>
      <c r="C380" s="177"/>
      <c r="D380" s="136"/>
      <c r="E380" s="231"/>
      <c r="F380" s="144"/>
      <c r="G380" s="144"/>
      <c r="H380" s="235"/>
      <c r="I380" s="235"/>
      <c r="J380" s="235"/>
      <c r="K380" s="235"/>
      <c r="L380" s="285"/>
    </row>
    <row r="381" spans="1:12" ht="24.95" hidden="1" customHeight="1">
      <c r="A381" s="136"/>
      <c r="B381" s="176"/>
      <c r="C381" s="177"/>
      <c r="D381" s="136"/>
      <c r="E381" s="231"/>
      <c r="F381" s="144"/>
      <c r="G381" s="144"/>
      <c r="H381" s="235"/>
      <c r="I381" s="235"/>
      <c r="J381" s="235"/>
      <c r="K381" s="235"/>
      <c r="L381" s="285"/>
    </row>
    <row r="382" spans="1:12" ht="24.95" hidden="1" customHeight="1">
      <c r="A382" s="136"/>
      <c r="B382" s="176"/>
      <c r="C382" s="177"/>
      <c r="D382" s="136"/>
      <c r="E382" s="231"/>
      <c r="F382" s="144"/>
      <c r="G382" s="144"/>
      <c r="H382" s="235"/>
      <c r="I382" s="235"/>
      <c r="J382" s="235"/>
      <c r="K382" s="235"/>
      <c r="L382" s="285"/>
    </row>
    <row r="383" spans="1:12" ht="24.95" hidden="1" customHeight="1">
      <c r="A383" s="136"/>
      <c r="B383" s="176"/>
      <c r="C383" s="177"/>
      <c r="D383" s="136"/>
      <c r="E383" s="231"/>
      <c r="F383" s="144"/>
      <c r="G383" s="144"/>
      <c r="H383" s="235"/>
      <c r="I383" s="235"/>
      <c r="J383" s="235"/>
      <c r="K383" s="235"/>
      <c r="L383" s="285"/>
    </row>
    <row r="384" spans="1:12" ht="24.95" hidden="1" customHeight="1">
      <c r="A384" s="136"/>
      <c r="B384" s="176"/>
      <c r="C384" s="177"/>
      <c r="D384" s="136"/>
      <c r="E384" s="231"/>
      <c r="F384" s="144"/>
      <c r="G384" s="144"/>
      <c r="H384" s="235"/>
      <c r="I384" s="235"/>
      <c r="J384" s="235"/>
      <c r="K384" s="235"/>
      <c r="L384" s="285"/>
    </row>
    <row r="385" spans="1:12" ht="24.95" hidden="1" customHeight="1">
      <c r="A385" s="136"/>
      <c r="B385" s="176"/>
      <c r="C385" s="177"/>
      <c r="D385" s="136"/>
      <c r="E385" s="231"/>
      <c r="F385" s="144"/>
      <c r="G385" s="144"/>
      <c r="H385" s="235"/>
      <c r="I385" s="235"/>
      <c r="J385" s="235"/>
      <c r="K385" s="235"/>
      <c r="L385" s="285"/>
    </row>
    <row r="386" spans="1:12" ht="24.95" hidden="1" customHeight="1">
      <c r="A386" s="136"/>
      <c r="B386" s="176"/>
      <c r="C386" s="177"/>
      <c r="D386" s="136"/>
      <c r="E386" s="231"/>
      <c r="F386" s="144"/>
      <c r="G386" s="144"/>
      <c r="H386" s="235"/>
      <c r="I386" s="235"/>
      <c r="J386" s="235"/>
      <c r="K386" s="235"/>
      <c r="L386" s="285"/>
    </row>
    <row r="387" spans="1:12" ht="24.95" hidden="1" customHeight="1">
      <c r="A387" s="136"/>
      <c r="B387" s="176"/>
      <c r="C387" s="177"/>
      <c r="D387" s="136"/>
      <c r="E387" s="231"/>
      <c r="F387" s="144"/>
      <c r="G387" s="144"/>
      <c r="H387" s="235"/>
      <c r="I387" s="235"/>
      <c r="J387" s="235"/>
      <c r="K387" s="235"/>
      <c r="L387" s="285"/>
    </row>
    <row r="388" spans="1:12" ht="24.95" hidden="1" customHeight="1">
      <c r="A388" s="136"/>
      <c r="B388" s="176"/>
      <c r="C388" s="177"/>
      <c r="D388" s="136"/>
      <c r="E388" s="231"/>
      <c r="F388" s="144"/>
      <c r="G388" s="144"/>
      <c r="H388" s="235"/>
      <c r="I388" s="235"/>
      <c r="J388" s="235"/>
      <c r="K388" s="235"/>
      <c r="L388" s="285"/>
    </row>
    <row r="389" spans="1:12" ht="24.95" hidden="1" customHeight="1">
      <c r="A389" s="136"/>
      <c r="B389" s="176"/>
      <c r="C389" s="177"/>
      <c r="D389" s="136"/>
      <c r="E389" s="231"/>
      <c r="F389" s="144"/>
      <c r="G389" s="144"/>
      <c r="H389" s="235"/>
      <c r="I389" s="235"/>
      <c r="J389" s="235"/>
      <c r="K389" s="235"/>
      <c r="L389" s="285"/>
    </row>
    <row r="390" spans="1:12" ht="24.95" hidden="1" customHeight="1">
      <c r="A390" s="136"/>
      <c r="B390" s="176"/>
      <c r="C390" s="177"/>
      <c r="D390" s="136"/>
      <c r="E390" s="231"/>
      <c r="F390" s="144"/>
      <c r="G390" s="144"/>
      <c r="H390" s="235"/>
      <c r="I390" s="235"/>
      <c r="J390" s="235"/>
      <c r="K390" s="235"/>
      <c r="L390" s="285"/>
    </row>
    <row r="391" spans="1:12" ht="24.95" hidden="1" customHeight="1">
      <c r="A391" s="136"/>
      <c r="B391" s="176"/>
      <c r="C391" s="177"/>
      <c r="D391" s="136"/>
      <c r="E391" s="231"/>
      <c r="F391" s="144"/>
      <c r="G391" s="144"/>
      <c r="H391" s="235"/>
      <c r="I391" s="235"/>
      <c r="J391" s="235"/>
      <c r="K391" s="235"/>
      <c r="L391" s="285"/>
    </row>
    <row r="392" spans="1:12" ht="24.95" hidden="1" customHeight="1">
      <c r="A392" s="136"/>
      <c r="B392" s="176"/>
      <c r="C392" s="177"/>
      <c r="D392" s="136"/>
      <c r="E392" s="231"/>
      <c r="F392" s="144"/>
      <c r="G392" s="144"/>
      <c r="H392" s="235"/>
      <c r="I392" s="235"/>
      <c r="J392" s="235"/>
      <c r="K392" s="235"/>
      <c r="L392" s="285"/>
    </row>
    <row r="393" spans="1:12" ht="24.95" hidden="1" customHeight="1">
      <c r="A393" s="136"/>
      <c r="B393" s="176"/>
      <c r="C393" s="177"/>
      <c r="D393" s="136"/>
      <c r="E393" s="231"/>
      <c r="F393" s="144"/>
      <c r="G393" s="144"/>
      <c r="H393" s="235"/>
      <c r="I393" s="235"/>
      <c r="J393" s="235"/>
      <c r="K393" s="235"/>
      <c r="L393" s="285"/>
    </row>
    <row r="394" spans="1:12" ht="24.95" hidden="1" customHeight="1">
      <c r="A394" s="136"/>
      <c r="B394" s="176"/>
      <c r="C394" s="177"/>
      <c r="D394" s="136"/>
      <c r="E394" s="231"/>
      <c r="F394" s="144"/>
      <c r="G394" s="144"/>
      <c r="H394" s="235"/>
      <c r="I394" s="235"/>
      <c r="J394" s="235"/>
      <c r="K394" s="235"/>
      <c r="L394" s="285"/>
    </row>
    <row r="395" spans="1:12" ht="24.95" hidden="1" customHeight="1">
      <c r="A395" s="136"/>
      <c r="B395" s="176"/>
      <c r="C395" s="177"/>
      <c r="D395" s="136"/>
      <c r="E395" s="231"/>
      <c r="F395" s="144"/>
      <c r="G395" s="144"/>
      <c r="H395" s="235"/>
      <c r="I395" s="235"/>
      <c r="J395" s="235"/>
      <c r="K395" s="235"/>
      <c r="L395" s="285"/>
    </row>
    <row r="396" spans="1:12" ht="24.95" hidden="1" customHeight="1">
      <c r="A396" s="136"/>
      <c r="B396" s="176"/>
      <c r="C396" s="177"/>
      <c r="D396" s="136"/>
      <c r="E396" s="231"/>
      <c r="F396" s="144"/>
      <c r="G396" s="144"/>
      <c r="H396" s="235"/>
      <c r="I396" s="235"/>
      <c r="J396" s="235"/>
      <c r="K396" s="235"/>
      <c r="L396" s="285"/>
    </row>
    <row r="397" spans="1:12" ht="24.95" hidden="1" customHeight="1">
      <c r="A397" s="136"/>
      <c r="B397" s="176"/>
      <c r="C397" s="177"/>
      <c r="D397" s="136"/>
      <c r="E397" s="231"/>
      <c r="F397" s="144"/>
      <c r="G397" s="144"/>
      <c r="H397" s="235"/>
      <c r="I397" s="235"/>
      <c r="J397" s="235"/>
      <c r="K397" s="235"/>
      <c r="L397" s="285"/>
    </row>
    <row r="398" spans="1:12" ht="24.95" hidden="1" customHeight="1">
      <c r="A398" s="136"/>
      <c r="B398" s="176"/>
      <c r="C398" s="177"/>
      <c r="D398" s="136"/>
      <c r="E398" s="231"/>
      <c r="F398" s="144"/>
      <c r="G398" s="144"/>
      <c r="H398" s="235"/>
      <c r="I398" s="235"/>
      <c r="J398" s="235"/>
      <c r="K398" s="235"/>
      <c r="L398" s="285"/>
    </row>
    <row r="399" spans="1:12" ht="24.95" hidden="1" customHeight="1">
      <c r="A399" s="136"/>
      <c r="B399" s="176"/>
      <c r="C399" s="177"/>
      <c r="D399" s="136"/>
      <c r="E399" s="231"/>
      <c r="F399" s="144"/>
      <c r="G399" s="144"/>
      <c r="H399" s="235"/>
      <c r="I399" s="235"/>
      <c r="J399" s="235"/>
      <c r="K399" s="235"/>
      <c r="L399" s="285"/>
    </row>
    <row r="400" spans="1:12" ht="24.95" hidden="1" customHeight="1">
      <c r="A400" s="136"/>
      <c r="B400" s="176"/>
      <c r="C400" s="177"/>
      <c r="D400" s="136"/>
      <c r="E400" s="231"/>
      <c r="F400" s="144"/>
      <c r="G400" s="144"/>
      <c r="H400" s="235"/>
      <c r="I400" s="235"/>
      <c r="J400" s="235"/>
      <c r="K400" s="235"/>
      <c r="L400" s="285"/>
    </row>
    <row r="401" spans="1:12" ht="24.95" hidden="1" customHeight="1">
      <c r="A401" s="136"/>
      <c r="B401" s="176"/>
      <c r="C401" s="177"/>
      <c r="D401" s="136"/>
      <c r="E401" s="231"/>
      <c r="F401" s="144"/>
      <c r="G401" s="144"/>
      <c r="H401" s="235"/>
      <c r="I401" s="235"/>
      <c r="J401" s="235"/>
      <c r="K401" s="235"/>
      <c r="L401" s="285"/>
    </row>
    <row r="402" spans="1:12" ht="24.95" hidden="1" customHeight="1">
      <c r="A402" s="136"/>
      <c r="B402" s="176"/>
      <c r="C402" s="177"/>
      <c r="D402" s="136"/>
      <c r="E402" s="231"/>
      <c r="F402" s="144"/>
      <c r="G402" s="144"/>
      <c r="H402" s="235"/>
      <c r="I402" s="235"/>
      <c r="J402" s="235"/>
      <c r="K402" s="235"/>
      <c r="L402" s="285"/>
    </row>
    <row r="403" spans="1:12" ht="24.95" hidden="1" customHeight="1">
      <c r="A403" s="136"/>
      <c r="B403" s="176"/>
      <c r="C403" s="177"/>
      <c r="D403" s="136"/>
      <c r="E403" s="231"/>
      <c r="F403" s="144"/>
      <c r="G403" s="144"/>
      <c r="H403" s="235"/>
      <c r="I403" s="235"/>
      <c r="J403" s="235"/>
      <c r="K403" s="235"/>
      <c r="L403" s="285"/>
    </row>
    <row r="404" spans="1:12" ht="24.95" hidden="1" customHeight="1">
      <c r="A404" s="136"/>
      <c r="B404" s="176"/>
      <c r="C404" s="177"/>
      <c r="D404" s="136"/>
      <c r="E404" s="231"/>
      <c r="F404" s="144"/>
      <c r="G404" s="144"/>
      <c r="H404" s="235"/>
      <c r="I404" s="235"/>
      <c r="J404" s="235"/>
      <c r="K404" s="235"/>
      <c r="L404" s="285"/>
    </row>
    <row r="405" spans="1:12" ht="24.95" hidden="1" customHeight="1">
      <c r="A405" s="136"/>
      <c r="B405" s="176"/>
      <c r="C405" s="177"/>
      <c r="D405" s="136"/>
      <c r="E405" s="231"/>
      <c r="F405" s="144"/>
      <c r="G405" s="144"/>
      <c r="H405" s="235"/>
      <c r="I405" s="235"/>
      <c r="J405" s="235"/>
      <c r="K405" s="235"/>
      <c r="L405" s="285"/>
    </row>
    <row r="406" spans="1:12" ht="24.95" hidden="1" customHeight="1">
      <c r="A406" s="136"/>
      <c r="B406" s="176"/>
      <c r="C406" s="177"/>
      <c r="D406" s="136"/>
      <c r="E406" s="231"/>
      <c r="F406" s="144"/>
      <c r="G406" s="144"/>
      <c r="H406" s="235"/>
      <c r="I406" s="235"/>
      <c r="J406" s="235"/>
      <c r="K406" s="235"/>
      <c r="L406" s="285"/>
    </row>
    <row r="407" spans="1:12" ht="24.95" hidden="1" customHeight="1">
      <c r="A407" s="136"/>
      <c r="B407" s="176"/>
      <c r="C407" s="177"/>
      <c r="D407" s="136"/>
      <c r="E407" s="231"/>
      <c r="F407" s="144"/>
      <c r="G407" s="144"/>
      <c r="H407" s="235"/>
      <c r="I407" s="235"/>
      <c r="J407" s="235"/>
      <c r="K407" s="235"/>
      <c r="L407" s="285"/>
    </row>
    <row r="408" spans="1:12" ht="24.95" hidden="1" customHeight="1">
      <c r="A408" s="136"/>
      <c r="B408" s="176"/>
      <c r="C408" s="177"/>
      <c r="D408" s="136"/>
      <c r="E408" s="231"/>
      <c r="F408" s="144"/>
      <c r="G408" s="144"/>
      <c r="H408" s="235"/>
      <c r="I408" s="235"/>
      <c r="J408" s="235"/>
      <c r="K408" s="235"/>
      <c r="L408" s="285"/>
    </row>
    <row r="409" spans="1:12" ht="24.95" hidden="1" customHeight="1">
      <c r="A409" s="136"/>
      <c r="B409" s="176"/>
      <c r="C409" s="177"/>
      <c r="D409" s="136"/>
      <c r="E409" s="231"/>
      <c r="F409" s="144"/>
      <c r="G409" s="144"/>
      <c r="H409" s="235"/>
      <c r="I409" s="235"/>
      <c r="J409" s="235"/>
      <c r="K409" s="235"/>
      <c r="L409" s="285"/>
    </row>
    <row r="410" spans="1:12" ht="24.95" hidden="1" customHeight="1">
      <c r="A410" s="136"/>
      <c r="B410" s="176"/>
      <c r="C410" s="177"/>
      <c r="D410" s="136"/>
      <c r="E410" s="231"/>
      <c r="F410" s="144"/>
      <c r="G410" s="144"/>
      <c r="H410" s="235"/>
      <c r="I410" s="235"/>
      <c r="J410" s="235"/>
      <c r="K410" s="235"/>
      <c r="L410" s="285"/>
    </row>
    <row r="411" spans="1:12" ht="24.95" hidden="1" customHeight="1">
      <c r="A411" s="136"/>
      <c r="B411" s="176"/>
      <c r="C411" s="177"/>
      <c r="D411" s="136"/>
      <c r="E411" s="231"/>
      <c r="F411" s="144"/>
      <c r="G411" s="144"/>
      <c r="H411" s="235"/>
      <c r="I411" s="235"/>
      <c r="J411" s="235"/>
      <c r="K411" s="235"/>
      <c r="L411" s="285"/>
    </row>
    <row r="412" spans="1:12" ht="24.95" hidden="1" customHeight="1">
      <c r="A412" s="136"/>
      <c r="B412" s="176"/>
      <c r="C412" s="177"/>
      <c r="D412" s="136"/>
      <c r="E412" s="231"/>
      <c r="F412" s="144"/>
      <c r="G412" s="144"/>
      <c r="H412" s="235"/>
      <c r="I412" s="235"/>
      <c r="J412" s="235"/>
      <c r="K412" s="235"/>
      <c r="L412" s="285"/>
    </row>
    <row r="413" spans="1:12" ht="24.95" hidden="1" customHeight="1">
      <c r="A413" s="136"/>
      <c r="B413" s="176"/>
      <c r="C413" s="177"/>
      <c r="D413" s="136"/>
      <c r="E413" s="231"/>
      <c r="F413" s="144"/>
      <c r="G413" s="144"/>
      <c r="H413" s="235"/>
      <c r="I413" s="235"/>
      <c r="J413" s="235"/>
      <c r="K413" s="235"/>
      <c r="L413" s="285"/>
    </row>
    <row r="414" spans="1:12" ht="24.95" hidden="1" customHeight="1">
      <c r="A414" s="136"/>
      <c r="B414" s="176"/>
      <c r="C414" s="177"/>
      <c r="D414" s="136"/>
      <c r="E414" s="231"/>
      <c r="F414" s="144"/>
      <c r="G414" s="144"/>
      <c r="H414" s="235"/>
      <c r="I414" s="235"/>
      <c r="J414" s="235"/>
      <c r="K414" s="235"/>
      <c r="L414" s="285"/>
    </row>
    <row r="415" spans="1:12" ht="24.95" hidden="1" customHeight="1">
      <c r="A415" s="136"/>
      <c r="B415" s="176"/>
      <c r="C415" s="177"/>
      <c r="D415" s="177"/>
      <c r="E415" s="231"/>
      <c r="F415" s="144"/>
      <c r="G415" s="144"/>
      <c r="H415" s="235"/>
      <c r="I415" s="235"/>
      <c r="J415" s="235"/>
      <c r="K415" s="235"/>
      <c r="L415" s="285"/>
    </row>
    <row r="416" spans="1:12" ht="24.95" hidden="1" customHeight="1">
      <c r="A416" s="136"/>
      <c r="B416" s="176"/>
      <c r="C416" s="177"/>
      <c r="D416" s="136"/>
      <c r="E416" s="231"/>
      <c r="F416" s="144"/>
      <c r="G416" s="144"/>
      <c r="H416" s="235"/>
      <c r="I416" s="235"/>
      <c r="J416" s="235"/>
      <c r="K416" s="235"/>
      <c r="L416" s="285"/>
    </row>
    <row r="417" spans="1:12" ht="24.95" hidden="1" customHeight="1">
      <c r="A417" s="136"/>
      <c r="B417" s="176"/>
      <c r="C417" s="177"/>
      <c r="D417" s="136"/>
      <c r="E417" s="231"/>
      <c r="F417" s="144"/>
      <c r="G417" s="144"/>
      <c r="H417" s="235"/>
      <c r="I417" s="235"/>
      <c r="J417" s="235"/>
      <c r="K417" s="235"/>
      <c r="L417" s="285"/>
    </row>
    <row r="418" spans="1:12" ht="24.95" hidden="1" customHeight="1">
      <c r="A418" s="136"/>
      <c r="B418" s="176"/>
      <c r="C418" s="177"/>
      <c r="D418" s="136"/>
      <c r="E418" s="231"/>
      <c r="F418" s="144"/>
      <c r="G418" s="144"/>
      <c r="H418" s="235"/>
      <c r="I418" s="235"/>
      <c r="J418" s="235"/>
      <c r="K418" s="235"/>
      <c r="L418" s="285"/>
    </row>
    <row r="419" spans="1:12" ht="24.95" hidden="1" customHeight="1">
      <c r="A419" s="136"/>
      <c r="B419" s="176"/>
      <c r="C419" s="177"/>
      <c r="D419" s="136"/>
      <c r="E419" s="231"/>
      <c r="F419" s="144"/>
      <c r="G419" s="144"/>
      <c r="H419" s="235"/>
      <c r="I419" s="235"/>
      <c r="J419" s="235"/>
      <c r="K419" s="235"/>
      <c r="L419" s="285"/>
    </row>
    <row r="420" spans="1:12" ht="24.95" hidden="1" customHeight="1">
      <c r="A420" s="136"/>
      <c r="B420" s="176"/>
      <c r="C420" s="177"/>
      <c r="D420" s="177"/>
      <c r="E420" s="231"/>
      <c r="F420" s="144"/>
      <c r="G420" s="144"/>
      <c r="H420" s="235"/>
      <c r="I420" s="235"/>
      <c r="J420" s="235"/>
      <c r="K420" s="235"/>
      <c r="L420" s="285"/>
    </row>
    <row r="421" spans="1:12" ht="24.95" hidden="1" customHeight="1">
      <c r="A421" s="136"/>
      <c r="B421" s="176"/>
      <c r="C421" s="177"/>
      <c r="D421" s="136"/>
      <c r="E421" s="231"/>
      <c r="F421" s="144"/>
      <c r="G421" s="144"/>
      <c r="H421" s="235"/>
      <c r="I421" s="235"/>
      <c r="J421" s="235"/>
      <c r="K421" s="235"/>
      <c r="L421" s="285"/>
    </row>
    <row r="422" spans="1:12" ht="24.95" hidden="1" customHeight="1">
      <c r="A422" s="136"/>
      <c r="B422" s="176"/>
      <c r="C422" s="177"/>
      <c r="D422" s="136"/>
      <c r="E422" s="231"/>
      <c r="F422" s="144"/>
      <c r="G422" s="144"/>
      <c r="H422" s="235"/>
      <c r="I422" s="235"/>
      <c r="J422" s="235"/>
      <c r="K422" s="235"/>
      <c r="L422" s="285"/>
    </row>
    <row r="423" spans="1:12" ht="24.95" hidden="1" customHeight="1">
      <c r="A423" s="136"/>
      <c r="B423" s="176"/>
      <c r="C423" s="177"/>
      <c r="D423" s="136"/>
      <c r="E423" s="231"/>
      <c r="F423" s="144"/>
      <c r="G423" s="144"/>
      <c r="H423" s="235"/>
      <c r="I423" s="235"/>
      <c r="J423" s="235"/>
      <c r="K423" s="235"/>
      <c r="L423" s="285"/>
    </row>
    <row r="424" spans="1:12" ht="24.95" hidden="1" customHeight="1">
      <c r="A424" s="136"/>
      <c r="B424" s="176"/>
      <c r="C424" s="177"/>
      <c r="D424" s="136"/>
      <c r="E424" s="231"/>
      <c r="F424" s="144"/>
      <c r="G424" s="144"/>
      <c r="H424" s="235"/>
      <c r="I424" s="235"/>
      <c r="J424" s="235"/>
      <c r="K424" s="235"/>
      <c r="L424" s="285"/>
    </row>
    <row r="425" spans="1:12" ht="24.95" hidden="1" customHeight="1">
      <c r="A425" s="136"/>
      <c r="B425" s="176"/>
      <c r="C425" s="177"/>
      <c r="D425" s="136"/>
      <c r="E425" s="231"/>
      <c r="F425" s="144"/>
      <c r="G425" s="144"/>
      <c r="H425" s="235"/>
      <c r="I425" s="235"/>
      <c r="J425" s="235"/>
      <c r="K425" s="235"/>
      <c r="L425" s="285"/>
    </row>
    <row r="426" spans="1:12" ht="24.95" hidden="1" customHeight="1">
      <c r="A426" s="136"/>
      <c r="B426" s="176"/>
      <c r="C426" s="177"/>
      <c r="D426" s="136"/>
      <c r="E426" s="231"/>
      <c r="F426" s="144"/>
      <c r="G426" s="144"/>
      <c r="H426" s="235"/>
      <c r="I426" s="235"/>
      <c r="J426" s="235"/>
      <c r="K426" s="235"/>
      <c r="L426" s="285"/>
    </row>
    <row r="427" spans="1:12" ht="24.95" hidden="1" customHeight="1">
      <c r="A427" s="136"/>
      <c r="B427" s="176"/>
      <c r="C427" s="177"/>
      <c r="D427" s="136"/>
      <c r="E427" s="231"/>
      <c r="F427" s="144"/>
      <c r="G427" s="144"/>
      <c r="H427" s="235"/>
      <c r="I427" s="235"/>
      <c r="J427" s="235"/>
      <c r="K427" s="235"/>
      <c r="L427" s="285"/>
    </row>
    <row r="428" spans="1:12" ht="24.95" hidden="1" customHeight="1">
      <c r="A428" s="136"/>
      <c r="B428" s="176"/>
      <c r="C428" s="177"/>
      <c r="D428" s="136"/>
      <c r="E428" s="231"/>
      <c r="F428" s="144"/>
      <c r="G428" s="144"/>
      <c r="H428" s="235"/>
      <c r="I428" s="235"/>
      <c r="J428" s="235"/>
      <c r="K428" s="235"/>
      <c r="L428" s="285"/>
    </row>
    <row r="429" spans="1:12" ht="24.95" hidden="1" customHeight="1">
      <c r="A429" s="136"/>
      <c r="B429" s="176"/>
      <c r="C429" s="177"/>
      <c r="D429" s="136"/>
      <c r="E429" s="231"/>
      <c r="F429" s="144"/>
      <c r="G429" s="144"/>
      <c r="H429" s="235"/>
      <c r="I429" s="235"/>
      <c r="J429" s="235"/>
      <c r="K429" s="235"/>
      <c r="L429" s="285"/>
    </row>
    <row r="430" spans="1:12" ht="24.95" hidden="1" customHeight="1">
      <c r="A430" s="136"/>
      <c r="B430" s="176"/>
      <c r="C430" s="177"/>
      <c r="D430" s="136"/>
      <c r="E430" s="231"/>
      <c r="F430" s="144"/>
      <c r="G430" s="144"/>
      <c r="H430" s="235"/>
      <c r="I430" s="235"/>
      <c r="J430" s="235"/>
      <c r="K430" s="235"/>
      <c r="L430" s="285"/>
    </row>
    <row r="431" spans="1:12" ht="24.95" hidden="1" customHeight="1">
      <c r="A431" s="136"/>
      <c r="B431" s="176"/>
      <c r="C431" s="177"/>
      <c r="D431" s="136"/>
      <c r="E431" s="231"/>
      <c r="F431" s="144"/>
      <c r="G431" s="144"/>
      <c r="H431" s="235"/>
      <c r="I431" s="235"/>
      <c r="J431" s="235"/>
      <c r="K431" s="235"/>
      <c r="L431" s="285"/>
    </row>
    <row r="432" spans="1:12" ht="24.95" hidden="1" customHeight="1">
      <c r="A432" s="136"/>
      <c r="B432" s="176"/>
      <c r="C432" s="177"/>
      <c r="D432" s="136"/>
      <c r="E432" s="231"/>
      <c r="F432" s="144"/>
      <c r="G432" s="144"/>
      <c r="H432" s="235"/>
      <c r="I432" s="235"/>
      <c r="J432" s="235"/>
      <c r="K432" s="235"/>
      <c r="L432" s="285"/>
    </row>
    <row r="433" spans="1:12" ht="24.95" hidden="1" customHeight="1">
      <c r="A433" s="136"/>
      <c r="B433" s="176"/>
      <c r="C433" s="177"/>
      <c r="D433" s="136"/>
      <c r="E433" s="231"/>
      <c r="F433" s="144"/>
      <c r="G433" s="144"/>
      <c r="H433" s="235"/>
      <c r="I433" s="235"/>
      <c r="J433" s="235"/>
      <c r="K433" s="235"/>
      <c r="L433" s="285"/>
    </row>
    <row r="434" spans="1:12" ht="24.95" hidden="1" customHeight="1">
      <c r="A434" s="136"/>
      <c r="B434" s="176"/>
      <c r="C434" s="177"/>
      <c r="D434" s="136"/>
      <c r="E434" s="231"/>
      <c r="F434" s="144"/>
      <c r="G434" s="144"/>
      <c r="H434" s="235"/>
      <c r="I434" s="235"/>
      <c r="J434" s="235"/>
      <c r="K434" s="235"/>
      <c r="L434" s="285"/>
    </row>
    <row r="435" spans="1:12" ht="24.95" hidden="1" customHeight="1">
      <c r="A435" s="136"/>
      <c r="B435" s="176"/>
      <c r="C435" s="177"/>
      <c r="D435" s="136"/>
      <c r="E435" s="231"/>
      <c r="F435" s="144"/>
      <c r="G435" s="144"/>
      <c r="H435" s="235"/>
      <c r="I435" s="235"/>
      <c r="J435" s="235"/>
      <c r="K435" s="235"/>
      <c r="L435" s="285"/>
    </row>
    <row r="436" spans="1:12" ht="24.95" hidden="1" customHeight="1">
      <c r="A436" s="136"/>
      <c r="B436" s="176"/>
      <c r="C436" s="177"/>
      <c r="D436" s="136"/>
      <c r="E436" s="231"/>
      <c r="F436" s="144"/>
      <c r="G436" s="144"/>
      <c r="H436" s="235"/>
      <c r="I436" s="235"/>
      <c r="J436" s="235"/>
      <c r="K436" s="235"/>
      <c r="L436" s="285"/>
    </row>
    <row r="437" spans="1:12" ht="24.95" hidden="1" customHeight="1">
      <c r="A437" s="136"/>
      <c r="B437" s="176"/>
      <c r="C437" s="177"/>
      <c r="D437" s="136"/>
      <c r="E437" s="231"/>
      <c r="F437" s="144"/>
      <c r="G437" s="144"/>
      <c r="H437" s="235"/>
      <c r="I437" s="235"/>
      <c r="J437" s="235"/>
      <c r="K437" s="235"/>
      <c r="L437" s="285"/>
    </row>
    <row r="438" spans="1:12" ht="24.95" hidden="1" customHeight="1">
      <c r="A438" s="136"/>
      <c r="B438" s="176"/>
      <c r="C438" s="177"/>
      <c r="D438" s="136"/>
      <c r="E438" s="231"/>
      <c r="F438" s="144"/>
      <c r="G438" s="144"/>
      <c r="H438" s="235"/>
      <c r="I438" s="235"/>
      <c r="J438" s="235"/>
      <c r="K438" s="235"/>
      <c r="L438" s="285"/>
    </row>
    <row r="439" spans="1:12" ht="24.95" hidden="1" customHeight="1">
      <c r="A439" s="136"/>
      <c r="B439" s="176"/>
      <c r="C439" s="177"/>
      <c r="D439" s="136"/>
      <c r="E439" s="231"/>
      <c r="F439" s="144"/>
      <c r="G439" s="144"/>
      <c r="H439" s="235"/>
      <c r="I439" s="235"/>
      <c r="J439" s="235"/>
      <c r="K439" s="235"/>
      <c r="L439" s="285"/>
    </row>
    <row r="440" spans="1:12" ht="24.95" hidden="1" customHeight="1">
      <c r="A440" s="136"/>
      <c r="B440" s="176"/>
      <c r="C440" s="177"/>
      <c r="D440" s="136"/>
      <c r="E440" s="231"/>
      <c r="F440" s="144"/>
      <c r="G440" s="144"/>
      <c r="H440" s="235"/>
      <c r="I440" s="235"/>
      <c r="J440" s="235"/>
      <c r="K440" s="235"/>
      <c r="L440" s="285"/>
    </row>
    <row r="441" spans="1:12" ht="24.95" hidden="1" customHeight="1">
      <c r="A441" s="136"/>
      <c r="B441" s="176"/>
      <c r="C441" s="177"/>
      <c r="D441" s="136"/>
      <c r="E441" s="231"/>
      <c r="F441" s="144"/>
      <c r="G441" s="144"/>
      <c r="H441" s="235"/>
      <c r="I441" s="235"/>
      <c r="J441" s="235"/>
      <c r="K441" s="235"/>
      <c r="L441" s="285"/>
    </row>
    <row r="442" spans="1:12" ht="24.95" hidden="1" customHeight="1">
      <c r="A442" s="136"/>
      <c r="B442" s="176"/>
      <c r="C442" s="177"/>
      <c r="D442" s="136"/>
      <c r="E442" s="231"/>
      <c r="F442" s="144"/>
      <c r="G442" s="144"/>
      <c r="H442" s="235"/>
      <c r="I442" s="235"/>
      <c r="J442" s="235"/>
      <c r="K442" s="235"/>
      <c r="L442" s="285"/>
    </row>
    <row r="443" spans="1:12" ht="24.95" hidden="1" customHeight="1">
      <c r="A443" s="136"/>
      <c r="B443" s="176"/>
      <c r="C443" s="177"/>
      <c r="D443" s="136"/>
      <c r="E443" s="231"/>
      <c r="F443" s="144"/>
      <c r="G443" s="144"/>
      <c r="H443" s="235"/>
      <c r="I443" s="235"/>
      <c r="J443" s="235"/>
      <c r="K443" s="235"/>
      <c r="L443" s="285"/>
    </row>
    <row r="444" spans="1:12" ht="24.95" hidden="1" customHeight="1">
      <c r="A444" s="136"/>
      <c r="B444" s="176"/>
      <c r="C444" s="177"/>
      <c r="D444" s="136"/>
      <c r="E444" s="231"/>
      <c r="F444" s="144"/>
      <c r="G444" s="144"/>
      <c r="H444" s="235"/>
      <c r="I444" s="235"/>
      <c r="J444" s="235"/>
      <c r="K444" s="235"/>
      <c r="L444" s="285"/>
    </row>
    <row r="445" spans="1:12" ht="24.95" hidden="1" customHeight="1">
      <c r="A445" s="136"/>
      <c r="B445" s="176"/>
      <c r="C445" s="177"/>
      <c r="D445" s="136"/>
      <c r="E445" s="231"/>
      <c r="F445" s="144"/>
      <c r="G445" s="144"/>
      <c r="H445" s="235"/>
      <c r="I445" s="235"/>
      <c r="J445" s="235"/>
      <c r="K445" s="235"/>
      <c r="L445" s="285"/>
    </row>
    <row r="446" spans="1:12" ht="24.95" hidden="1" customHeight="1">
      <c r="A446" s="136"/>
      <c r="B446" s="176"/>
      <c r="C446" s="177"/>
      <c r="D446" s="136"/>
      <c r="E446" s="231"/>
      <c r="F446" s="144"/>
      <c r="G446" s="144"/>
      <c r="H446" s="235"/>
      <c r="I446" s="235"/>
      <c r="J446" s="235"/>
      <c r="K446" s="235"/>
      <c r="L446" s="285"/>
    </row>
    <row r="447" spans="1:12" ht="24.95" hidden="1" customHeight="1">
      <c r="A447" s="136"/>
      <c r="B447" s="176"/>
      <c r="C447" s="177"/>
      <c r="D447" s="136"/>
      <c r="E447" s="231"/>
      <c r="F447" s="144"/>
      <c r="G447" s="144"/>
      <c r="H447" s="235"/>
      <c r="I447" s="235"/>
      <c r="J447" s="235"/>
      <c r="K447" s="235"/>
      <c r="L447" s="285"/>
    </row>
    <row r="448" spans="1:12" ht="24.95" hidden="1" customHeight="1">
      <c r="A448" s="136"/>
      <c r="B448" s="176"/>
      <c r="C448" s="177"/>
      <c r="D448" s="136"/>
      <c r="E448" s="231"/>
      <c r="F448" s="144"/>
      <c r="G448" s="144"/>
      <c r="H448" s="235"/>
      <c r="I448" s="235"/>
      <c r="J448" s="235"/>
      <c r="K448" s="235"/>
      <c r="L448" s="285"/>
    </row>
    <row r="449" spans="1:12" ht="24.95" hidden="1" customHeight="1">
      <c r="A449" s="136"/>
      <c r="B449" s="176"/>
      <c r="C449" s="177"/>
      <c r="D449" s="136"/>
      <c r="E449" s="231"/>
      <c r="F449" s="144"/>
      <c r="G449" s="144"/>
      <c r="H449" s="235"/>
      <c r="I449" s="235"/>
      <c r="J449" s="235"/>
      <c r="K449" s="235"/>
      <c r="L449" s="285"/>
    </row>
    <row r="450" spans="1:12" ht="24.95" hidden="1" customHeight="1">
      <c r="A450" s="136"/>
      <c r="B450" s="176"/>
      <c r="C450" s="177"/>
      <c r="D450" s="136"/>
      <c r="E450" s="231"/>
      <c r="F450" s="144"/>
      <c r="G450" s="144"/>
      <c r="H450" s="235"/>
      <c r="I450" s="235"/>
      <c r="J450" s="235"/>
      <c r="K450" s="235"/>
      <c r="L450" s="285"/>
    </row>
    <row r="451" spans="1:12" ht="24.95" hidden="1" customHeight="1">
      <c r="A451" s="136"/>
      <c r="B451" s="176"/>
      <c r="C451" s="177"/>
      <c r="D451" s="136"/>
      <c r="E451" s="231"/>
      <c r="F451" s="144"/>
      <c r="G451" s="144"/>
      <c r="H451" s="235"/>
      <c r="I451" s="235"/>
      <c r="J451" s="235"/>
      <c r="K451" s="235"/>
      <c r="L451" s="285"/>
    </row>
    <row r="452" spans="1:12" ht="24.95" hidden="1" customHeight="1">
      <c r="A452" s="136"/>
      <c r="B452" s="176"/>
      <c r="C452" s="177"/>
      <c r="D452" s="136"/>
      <c r="E452" s="231"/>
      <c r="F452" s="144"/>
      <c r="G452" s="144"/>
      <c r="H452" s="235"/>
      <c r="I452" s="235"/>
      <c r="J452" s="235"/>
      <c r="K452" s="235"/>
      <c r="L452" s="285"/>
    </row>
    <row r="453" spans="1:12" ht="24.95" hidden="1" customHeight="1">
      <c r="A453" s="136"/>
      <c r="B453" s="176"/>
      <c r="C453" s="177"/>
      <c r="D453" s="136"/>
      <c r="E453" s="231"/>
      <c r="F453" s="144"/>
      <c r="G453" s="144"/>
      <c r="H453" s="235"/>
      <c r="I453" s="235"/>
      <c r="J453" s="235"/>
      <c r="K453" s="235"/>
      <c r="L453" s="285"/>
    </row>
    <row r="454" spans="1:12" ht="24.95" hidden="1" customHeight="1">
      <c r="A454" s="136"/>
      <c r="B454" s="176"/>
      <c r="C454" s="177"/>
      <c r="D454" s="136"/>
      <c r="E454" s="231"/>
      <c r="F454" s="144"/>
      <c r="G454" s="144"/>
      <c r="H454" s="235"/>
      <c r="I454" s="235"/>
      <c r="J454" s="235"/>
      <c r="K454" s="235"/>
      <c r="L454" s="285"/>
    </row>
    <row r="455" spans="1:12" ht="24.95" hidden="1" customHeight="1">
      <c r="A455" s="136"/>
      <c r="B455" s="176"/>
      <c r="C455" s="177"/>
      <c r="D455" s="136"/>
      <c r="E455" s="231"/>
      <c r="F455" s="144"/>
      <c r="G455" s="144"/>
      <c r="H455" s="235"/>
      <c r="I455" s="235"/>
      <c r="J455" s="235"/>
      <c r="K455" s="235"/>
      <c r="L455" s="285"/>
    </row>
    <row r="456" spans="1:12" ht="24.95" hidden="1" customHeight="1">
      <c r="A456" s="136"/>
      <c r="B456" s="176"/>
      <c r="C456" s="177"/>
      <c r="D456" s="136"/>
      <c r="E456" s="231"/>
      <c r="F456" s="144"/>
      <c r="G456" s="144"/>
      <c r="H456" s="235"/>
      <c r="I456" s="235"/>
      <c r="J456" s="235"/>
      <c r="K456" s="235"/>
      <c r="L456" s="285"/>
    </row>
    <row r="457" spans="1:12" ht="24.95" hidden="1" customHeight="1">
      <c r="A457" s="136"/>
      <c r="B457" s="176"/>
      <c r="C457" s="177"/>
      <c r="D457" s="136"/>
      <c r="E457" s="231"/>
      <c r="F457" s="144"/>
      <c r="G457" s="144"/>
      <c r="H457" s="235"/>
      <c r="I457" s="235"/>
      <c r="J457" s="235"/>
      <c r="K457" s="235"/>
      <c r="L457" s="285"/>
    </row>
    <row r="458" spans="1:12" ht="24.95" hidden="1" customHeight="1">
      <c r="A458" s="136"/>
      <c r="B458" s="176"/>
      <c r="C458" s="177"/>
      <c r="D458" s="136"/>
      <c r="E458" s="231"/>
      <c r="F458" s="144"/>
      <c r="G458" s="144"/>
      <c r="H458" s="235"/>
      <c r="I458" s="235"/>
      <c r="J458" s="235"/>
      <c r="K458" s="235"/>
      <c r="L458" s="285"/>
    </row>
    <row r="459" spans="1:12" ht="24.95" hidden="1" customHeight="1">
      <c r="A459" s="136"/>
      <c r="B459" s="176"/>
      <c r="C459" s="177"/>
      <c r="D459" s="136"/>
      <c r="E459" s="231"/>
      <c r="F459" s="144"/>
      <c r="G459" s="144"/>
      <c r="H459" s="235"/>
      <c r="I459" s="235"/>
      <c r="J459" s="235"/>
      <c r="K459" s="235"/>
      <c r="L459" s="285"/>
    </row>
    <row r="460" spans="1:12" ht="24.95" hidden="1" customHeight="1">
      <c r="A460" s="136"/>
      <c r="B460" s="176"/>
      <c r="C460" s="177"/>
      <c r="D460" s="136"/>
      <c r="E460" s="231"/>
      <c r="F460" s="144"/>
      <c r="G460" s="144"/>
      <c r="H460" s="235"/>
      <c r="I460" s="235"/>
      <c r="J460" s="235"/>
      <c r="K460" s="235"/>
      <c r="L460" s="285"/>
    </row>
    <row r="461" spans="1:12" ht="24.95" hidden="1" customHeight="1">
      <c r="A461" s="136"/>
      <c r="B461" s="176"/>
      <c r="C461" s="177"/>
      <c r="D461" s="136"/>
      <c r="E461" s="231"/>
      <c r="F461" s="144"/>
      <c r="G461" s="144"/>
      <c r="H461" s="235"/>
      <c r="I461" s="235"/>
      <c r="J461" s="235"/>
      <c r="K461" s="235"/>
      <c r="L461" s="285"/>
    </row>
    <row r="462" spans="1:12" ht="24.95" hidden="1" customHeight="1">
      <c r="A462" s="136"/>
      <c r="B462" s="176"/>
      <c r="C462" s="177"/>
      <c r="D462" s="136"/>
      <c r="E462" s="231"/>
      <c r="F462" s="144"/>
      <c r="G462" s="144"/>
      <c r="H462" s="235"/>
      <c r="I462" s="235"/>
      <c r="J462" s="235"/>
      <c r="K462" s="235"/>
      <c r="L462" s="285"/>
    </row>
    <row r="463" spans="1:12" ht="24.95" hidden="1" customHeight="1">
      <c r="A463" s="136"/>
      <c r="B463" s="176"/>
      <c r="C463" s="177"/>
      <c r="D463" s="136"/>
      <c r="E463" s="231"/>
      <c r="F463" s="144"/>
      <c r="G463" s="144"/>
      <c r="H463" s="235"/>
      <c r="I463" s="235"/>
      <c r="J463" s="235"/>
      <c r="K463" s="235"/>
      <c r="L463" s="285"/>
    </row>
    <row r="464" spans="1:12" ht="24.95" hidden="1" customHeight="1">
      <c r="A464" s="136"/>
      <c r="B464" s="176"/>
      <c r="C464" s="177"/>
      <c r="D464" s="136"/>
      <c r="E464" s="231"/>
      <c r="F464" s="144"/>
      <c r="G464" s="144"/>
      <c r="H464" s="235"/>
      <c r="I464" s="235"/>
      <c r="J464" s="235"/>
      <c r="K464" s="235"/>
      <c r="L464" s="285"/>
    </row>
    <row r="465" spans="1:12" ht="24.95" hidden="1" customHeight="1">
      <c r="A465" s="136"/>
      <c r="B465" s="176"/>
      <c r="C465" s="177"/>
      <c r="D465" s="136"/>
      <c r="E465" s="231"/>
      <c r="F465" s="144"/>
      <c r="G465" s="144"/>
      <c r="H465" s="235"/>
      <c r="I465" s="235"/>
      <c r="J465" s="235"/>
      <c r="K465" s="235"/>
      <c r="L465" s="285"/>
    </row>
    <row r="466" spans="1:12" ht="24.95" hidden="1" customHeight="1">
      <c r="A466" s="136"/>
      <c r="B466" s="176"/>
      <c r="C466" s="177"/>
      <c r="D466" s="136"/>
      <c r="E466" s="231"/>
      <c r="F466" s="144"/>
      <c r="G466" s="144"/>
      <c r="H466" s="235"/>
      <c r="I466" s="235"/>
      <c r="J466" s="235"/>
      <c r="K466" s="235"/>
      <c r="L466" s="285"/>
    </row>
    <row r="467" spans="1:12" ht="24.95" hidden="1" customHeight="1">
      <c r="A467" s="136"/>
      <c r="B467" s="176"/>
      <c r="C467" s="177"/>
      <c r="D467" s="177"/>
      <c r="E467" s="231"/>
      <c r="F467" s="144"/>
      <c r="G467" s="144"/>
      <c r="H467" s="235"/>
      <c r="I467" s="235"/>
      <c r="J467" s="235"/>
      <c r="K467" s="235"/>
      <c r="L467" s="285"/>
    </row>
    <row r="468" spans="1:12" ht="24.95" hidden="1" customHeight="1">
      <c r="A468" s="136"/>
      <c r="B468" s="176"/>
      <c r="C468" s="177"/>
      <c r="D468" s="136"/>
      <c r="E468" s="231"/>
      <c r="F468" s="144"/>
      <c r="G468" s="144"/>
      <c r="H468" s="235"/>
      <c r="I468" s="235"/>
      <c r="J468" s="235"/>
      <c r="K468" s="235"/>
      <c r="L468" s="285"/>
    </row>
    <row r="469" spans="1:12" ht="24.95" hidden="1" customHeight="1">
      <c r="A469" s="136"/>
      <c r="B469" s="176"/>
      <c r="C469" s="177"/>
      <c r="D469" s="136"/>
      <c r="E469" s="231"/>
      <c r="F469" s="144"/>
      <c r="G469" s="144"/>
      <c r="H469" s="235"/>
      <c r="I469" s="235"/>
      <c r="J469" s="235"/>
      <c r="K469" s="235"/>
      <c r="L469" s="285"/>
    </row>
    <row r="470" spans="1:12" ht="24.95" hidden="1" customHeight="1">
      <c r="A470" s="136"/>
      <c r="B470" s="176"/>
      <c r="C470" s="177"/>
      <c r="D470" s="136"/>
      <c r="E470" s="231"/>
      <c r="F470" s="144"/>
      <c r="G470" s="144"/>
      <c r="H470" s="235"/>
      <c r="I470" s="235"/>
      <c r="J470" s="235"/>
      <c r="K470" s="235"/>
      <c r="L470" s="285"/>
    </row>
    <row r="471" spans="1:12" ht="24.95" hidden="1" customHeight="1">
      <c r="A471" s="136"/>
      <c r="B471" s="176"/>
      <c r="C471" s="177"/>
      <c r="D471" s="136"/>
      <c r="E471" s="231"/>
      <c r="F471" s="144"/>
      <c r="G471" s="144"/>
      <c r="H471" s="235"/>
      <c r="I471" s="235"/>
      <c r="J471" s="235"/>
      <c r="K471" s="235"/>
      <c r="L471" s="285"/>
    </row>
    <row r="472" spans="1:12" ht="24.95" hidden="1" customHeight="1">
      <c r="A472" s="136"/>
      <c r="B472" s="176"/>
      <c r="C472" s="177"/>
      <c r="D472" s="136"/>
      <c r="E472" s="231"/>
      <c r="F472" s="144"/>
      <c r="G472" s="144"/>
      <c r="H472" s="235"/>
      <c r="I472" s="235"/>
      <c r="J472" s="235"/>
      <c r="K472" s="235"/>
      <c r="L472" s="285"/>
    </row>
    <row r="473" spans="1:12" ht="24.95" hidden="1" customHeight="1">
      <c r="A473" s="136"/>
      <c r="B473" s="176"/>
      <c r="C473" s="177"/>
      <c r="D473" s="136"/>
      <c r="E473" s="231"/>
      <c r="F473" s="144"/>
      <c r="G473" s="144"/>
      <c r="H473" s="235"/>
      <c r="I473" s="235"/>
      <c r="J473" s="235"/>
      <c r="K473" s="235"/>
      <c r="L473" s="285"/>
    </row>
    <row r="474" spans="1:12" ht="24.95" hidden="1" customHeight="1">
      <c r="A474" s="136"/>
      <c r="B474" s="176"/>
      <c r="C474" s="177"/>
      <c r="D474" s="136"/>
      <c r="E474" s="231"/>
      <c r="F474" s="144"/>
      <c r="G474" s="144"/>
      <c r="H474" s="235"/>
      <c r="I474" s="235"/>
      <c r="J474" s="235"/>
      <c r="K474" s="235"/>
      <c r="L474" s="285"/>
    </row>
    <row r="475" spans="1:12" ht="24.95" hidden="1" customHeight="1">
      <c r="A475" s="136"/>
      <c r="B475" s="176"/>
      <c r="C475" s="177"/>
      <c r="D475" s="136"/>
      <c r="E475" s="231"/>
      <c r="F475" s="144"/>
      <c r="G475" s="144"/>
      <c r="H475" s="235"/>
      <c r="I475" s="235"/>
      <c r="J475" s="235"/>
      <c r="K475" s="235"/>
      <c r="L475" s="285"/>
    </row>
    <row r="476" spans="1:12" ht="24.95" hidden="1" customHeight="1">
      <c r="A476" s="136"/>
      <c r="B476" s="176"/>
      <c r="C476" s="177"/>
      <c r="D476" s="136"/>
      <c r="E476" s="231"/>
      <c r="F476" s="144"/>
      <c r="G476" s="144"/>
      <c r="H476" s="235"/>
      <c r="I476" s="235"/>
      <c r="J476" s="235"/>
      <c r="K476" s="235"/>
      <c r="L476" s="285"/>
    </row>
    <row r="477" spans="1:12" ht="24.95" hidden="1" customHeight="1">
      <c r="A477" s="136"/>
      <c r="B477" s="176"/>
      <c r="C477" s="177"/>
      <c r="D477" s="136"/>
      <c r="E477" s="231"/>
      <c r="F477" s="144"/>
      <c r="G477" s="144"/>
      <c r="H477" s="235"/>
      <c r="I477" s="235"/>
      <c r="J477" s="235"/>
      <c r="K477" s="235"/>
      <c r="L477" s="285"/>
    </row>
    <row r="478" spans="1:12" ht="24.95" hidden="1" customHeight="1">
      <c r="A478" s="136"/>
      <c r="B478" s="176"/>
      <c r="C478" s="177"/>
      <c r="D478" s="136"/>
      <c r="E478" s="231"/>
      <c r="F478" s="144"/>
      <c r="G478" s="144"/>
      <c r="H478" s="235"/>
      <c r="I478" s="235"/>
      <c r="J478" s="235"/>
      <c r="K478" s="235"/>
      <c r="L478" s="285"/>
    </row>
    <row r="479" spans="1:12" ht="24.95" hidden="1" customHeight="1">
      <c r="A479" s="136"/>
      <c r="B479" s="176"/>
      <c r="C479" s="177"/>
      <c r="D479" s="136"/>
      <c r="E479" s="231"/>
      <c r="F479" s="144"/>
      <c r="G479" s="144"/>
      <c r="H479" s="235"/>
      <c r="I479" s="235"/>
      <c r="J479" s="235"/>
      <c r="K479" s="235"/>
      <c r="L479" s="285"/>
    </row>
    <row r="480" spans="1:12" ht="24.95" hidden="1" customHeight="1">
      <c r="A480" s="136"/>
      <c r="B480" s="176"/>
      <c r="C480" s="177"/>
      <c r="D480" s="136"/>
      <c r="E480" s="231"/>
      <c r="F480" s="144"/>
      <c r="G480" s="144"/>
      <c r="H480" s="235"/>
      <c r="I480" s="235"/>
      <c r="J480" s="235"/>
      <c r="K480" s="235"/>
      <c r="L480" s="285"/>
    </row>
    <row r="481" spans="1:12" ht="24.95" hidden="1" customHeight="1">
      <c r="A481" s="136"/>
      <c r="B481" s="176"/>
      <c r="C481" s="177"/>
      <c r="D481" s="136"/>
      <c r="E481" s="231"/>
      <c r="F481" s="144"/>
      <c r="G481" s="144"/>
      <c r="H481" s="235"/>
      <c r="I481" s="235"/>
      <c r="J481" s="235"/>
      <c r="K481" s="235"/>
      <c r="L481" s="285"/>
    </row>
    <row r="482" spans="1:12" ht="24.95" hidden="1" customHeight="1">
      <c r="A482" s="136"/>
      <c r="B482" s="176"/>
      <c r="C482" s="177"/>
      <c r="D482" s="136"/>
      <c r="E482" s="231"/>
      <c r="F482" s="144"/>
      <c r="G482" s="144"/>
      <c r="H482" s="235"/>
      <c r="I482" s="235"/>
      <c r="J482" s="235"/>
      <c r="K482" s="235"/>
      <c r="L482" s="285"/>
    </row>
    <row r="483" spans="1:12" ht="24.95" hidden="1" customHeight="1">
      <c r="A483" s="136"/>
      <c r="B483" s="176"/>
      <c r="C483" s="177"/>
      <c r="D483" s="136"/>
      <c r="E483" s="231"/>
      <c r="F483" s="144"/>
      <c r="G483" s="144"/>
      <c r="H483" s="235"/>
      <c r="I483" s="235"/>
      <c r="J483" s="235"/>
      <c r="K483" s="235"/>
      <c r="L483" s="285"/>
    </row>
    <row r="484" spans="1:12" ht="24.95" hidden="1" customHeight="1">
      <c r="A484" s="136"/>
      <c r="B484" s="176"/>
      <c r="C484" s="177"/>
      <c r="D484" s="136"/>
      <c r="E484" s="231"/>
      <c r="F484" s="144"/>
      <c r="G484" s="144"/>
      <c r="H484" s="235"/>
      <c r="I484" s="235"/>
      <c r="J484" s="235"/>
      <c r="K484" s="235"/>
      <c r="L484" s="285"/>
    </row>
    <row r="485" spans="1:12" ht="24.95" hidden="1" customHeight="1">
      <c r="A485" s="136"/>
      <c r="B485" s="176"/>
      <c r="C485" s="177"/>
      <c r="D485" s="136"/>
      <c r="E485" s="231"/>
      <c r="F485" s="144"/>
      <c r="G485" s="144"/>
      <c r="H485" s="235"/>
      <c r="I485" s="235"/>
      <c r="J485" s="235"/>
      <c r="K485" s="235"/>
      <c r="L485" s="285"/>
    </row>
    <row r="486" spans="1:12" ht="24.95" hidden="1" customHeight="1">
      <c r="A486" s="136"/>
      <c r="B486" s="176"/>
      <c r="C486" s="177"/>
      <c r="D486" s="136"/>
      <c r="E486" s="231"/>
      <c r="F486" s="144"/>
      <c r="G486" s="144"/>
      <c r="H486" s="235"/>
      <c r="I486" s="235"/>
      <c r="J486" s="235"/>
      <c r="K486" s="235"/>
      <c r="L486" s="285"/>
    </row>
    <row r="487" spans="1:12" ht="24.95" hidden="1" customHeight="1">
      <c r="A487" s="136"/>
      <c r="B487" s="176"/>
      <c r="C487" s="177"/>
      <c r="D487" s="136"/>
      <c r="E487" s="231"/>
      <c r="F487" s="144"/>
      <c r="G487" s="144"/>
      <c r="H487" s="235"/>
      <c r="I487" s="235"/>
      <c r="J487" s="235"/>
      <c r="K487" s="235"/>
      <c r="L487" s="285"/>
    </row>
    <row r="488" spans="1:12" ht="24.95" hidden="1" customHeight="1">
      <c r="A488" s="136"/>
      <c r="B488" s="176"/>
      <c r="C488" s="177"/>
      <c r="D488" s="136"/>
      <c r="E488" s="231"/>
      <c r="F488" s="144"/>
      <c r="G488" s="144"/>
      <c r="H488" s="235"/>
      <c r="I488" s="235"/>
      <c r="J488" s="235"/>
      <c r="K488" s="235"/>
      <c r="L488" s="285"/>
    </row>
    <row r="489" spans="1:12" ht="24.95" hidden="1" customHeight="1">
      <c r="A489" s="136"/>
      <c r="B489" s="176"/>
      <c r="C489" s="177"/>
      <c r="D489" s="136"/>
      <c r="E489" s="231"/>
      <c r="F489" s="144"/>
      <c r="G489" s="144"/>
      <c r="H489" s="235"/>
      <c r="I489" s="235"/>
      <c r="J489" s="235"/>
      <c r="K489" s="235"/>
      <c r="L489" s="285"/>
    </row>
    <row r="490" spans="1:12" ht="24.95" hidden="1" customHeight="1">
      <c r="A490" s="136"/>
      <c r="B490" s="176"/>
      <c r="C490" s="177"/>
      <c r="D490" s="136"/>
      <c r="E490" s="231"/>
      <c r="F490" s="144"/>
      <c r="G490" s="144"/>
      <c r="H490" s="235"/>
      <c r="I490" s="235"/>
      <c r="J490" s="235"/>
      <c r="K490" s="235"/>
      <c r="L490" s="285"/>
    </row>
    <row r="491" spans="1:12" ht="24.95" hidden="1" customHeight="1">
      <c r="A491" s="136"/>
      <c r="B491" s="176"/>
      <c r="C491" s="177"/>
      <c r="D491" s="136"/>
      <c r="E491" s="231"/>
      <c r="F491" s="144"/>
      <c r="G491" s="144"/>
      <c r="H491" s="235"/>
      <c r="I491" s="235"/>
      <c r="J491" s="235"/>
      <c r="K491" s="235"/>
      <c r="L491" s="285"/>
    </row>
    <row r="492" spans="1:12" ht="24.95" hidden="1" customHeight="1">
      <c r="A492" s="136"/>
      <c r="B492" s="176"/>
      <c r="C492" s="177"/>
      <c r="D492" s="136"/>
      <c r="E492" s="231"/>
      <c r="F492" s="144"/>
      <c r="G492" s="144"/>
      <c r="H492" s="235"/>
      <c r="I492" s="235"/>
      <c r="J492" s="235"/>
      <c r="K492" s="235"/>
      <c r="L492" s="285"/>
    </row>
    <row r="493" spans="1:12" ht="24.95" hidden="1" customHeight="1">
      <c r="A493" s="136"/>
      <c r="B493" s="176"/>
      <c r="C493" s="177"/>
      <c r="D493" s="136"/>
      <c r="E493" s="231"/>
      <c r="F493" s="144"/>
      <c r="G493" s="144"/>
      <c r="H493" s="235"/>
      <c r="I493" s="235"/>
      <c r="J493" s="235"/>
      <c r="K493" s="235"/>
      <c r="L493" s="285"/>
    </row>
    <row r="494" spans="1:12" ht="24.95" hidden="1" customHeight="1">
      <c r="A494" s="136"/>
      <c r="B494" s="176"/>
      <c r="C494" s="177"/>
      <c r="D494" s="136"/>
      <c r="E494" s="231"/>
      <c r="F494" s="144"/>
      <c r="G494" s="144"/>
      <c r="H494" s="235"/>
      <c r="I494" s="235"/>
      <c r="J494" s="235"/>
      <c r="K494" s="235"/>
      <c r="L494" s="285"/>
    </row>
    <row r="495" spans="1:12" ht="24.95" hidden="1" customHeight="1">
      <c r="A495" s="136"/>
      <c r="B495" s="176"/>
      <c r="C495" s="177"/>
      <c r="D495" s="136"/>
      <c r="E495" s="231"/>
      <c r="F495" s="144"/>
      <c r="G495" s="144"/>
      <c r="H495" s="235"/>
      <c r="I495" s="235"/>
      <c r="J495" s="235"/>
      <c r="K495" s="235"/>
      <c r="L495" s="285"/>
    </row>
    <row r="496" spans="1:12" ht="24.95" hidden="1" customHeight="1">
      <c r="A496" s="136"/>
      <c r="B496" s="176"/>
      <c r="C496" s="177"/>
      <c r="D496" s="136"/>
      <c r="E496" s="231"/>
      <c r="F496" s="144"/>
      <c r="G496" s="144"/>
      <c r="H496" s="235"/>
      <c r="I496" s="235"/>
      <c r="J496" s="235"/>
      <c r="K496" s="235"/>
      <c r="L496" s="285"/>
    </row>
    <row r="497" spans="1:12" ht="24.95" hidden="1" customHeight="1">
      <c r="A497" s="136"/>
      <c r="B497" s="176"/>
      <c r="C497" s="177"/>
      <c r="D497" s="136"/>
      <c r="E497" s="231"/>
      <c r="F497" s="144"/>
      <c r="G497" s="144"/>
      <c r="H497" s="235"/>
      <c r="I497" s="235"/>
      <c r="J497" s="235"/>
      <c r="K497" s="235"/>
      <c r="L497" s="285"/>
    </row>
    <row r="498" spans="1:12" ht="24.95" hidden="1" customHeight="1">
      <c r="A498" s="136"/>
      <c r="B498" s="176"/>
      <c r="C498" s="177"/>
      <c r="D498" s="136"/>
      <c r="E498" s="231"/>
      <c r="F498" s="144"/>
      <c r="G498" s="144"/>
      <c r="H498" s="235"/>
      <c r="I498" s="235"/>
      <c r="J498" s="235"/>
      <c r="K498" s="235"/>
      <c r="L498" s="285"/>
    </row>
    <row r="499" spans="1:12" ht="24.95" hidden="1" customHeight="1">
      <c r="A499" s="136"/>
      <c r="B499" s="176"/>
      <c r="C499" s="177"/>
      <c r="D499" s="136"/>
      <c r="E499" s="231"/>
      <c r="F499" s="144"/>
      <c r="G499" s="144"/>
      <c r="H499" s="235"/>
      <c r="I499" s="235"/>
      <c r="J499" s="235"/>
      <c r="K499" s="235"/>
      <c r="L499" s="285"/>
    </row>
    <row r="500" spans="1:12" ht="24.95" hidden="1" customHeight="1">
      <c r="A500" s="136"/>
      <c r="B500" s="176"/>
      <c r="C500" s="177"/>
      <c r="D500" s="136"/>
      <c r="E500" s="231"/>
      <c r="F500" s="144"/>
      <c r="G500" s="144"/>
      <c r="H500" s="235"/>
      <c r="I500" s="235"/>
      <c r="J500" s="235"/>
      <c r="K500" s="235"/>
      <c r="L500" s="285"/>
    </row>
    <row r="501" spans="1:12" ht="24.95" hidden="1" customHeight="1">
      <c r="A501" s="136"/>
      <c r="B501" s="176"/>
      <c r="C501" s="177"/>
      <c r="D501" s="136"/>
      <c r="E501" s="231"/>
      <c r="F501" s="144"/>
      <c r="G501" s="144"/>
      <c r="H501" s="235"/>
      <c r="I501" s="235"/>
      <c r="J501" s="235"/>
      <c r="K501" s="235"/>
      <c r="L501" s="285"/>
    </row>
    <row r="502" spans="1:12" ht="24.95" hidden="1" customHeight="1">
      <c r="A502" s="136"/>
      <c r="B502" s="176"/>
      <c r="C502" s="177"/>
      <c r="D502" s="136"/>
      <c r="E502" s="231"/>
      <c r="F502" s="144"/>
      <c r="G502" s="144"/>
      <c r="H502" s="235"/>
      <c r="I502" s="235"/>
      <c r="J502" s="235"/>
      <c r="K502" s="235"/>
      <c r="L502" s="285"/>
    </row>
    <row r="503" spans="1:12" ht="24.95" hidden="1" customHeight="1">
      <c r="A503" s="136"/>
      <c r="B503" s="176"/>
      <c r="C503" s="177"/>
      <c r="D503" s="136"/>
      <c r="E503" s="231"/>
      <c r="F503" s="144"/>
      <c r="G503" s="144"/>
      <c r="H503" s="235"/>
      <c r="I503" s="235"/>
      <c r="J503" s="235"/>
      <c r="K503" s="235"/>
      <c r="L503" s="285"/>
    </row>
    <row r="504" spans="1:12" ht="24.95" hidden="1" customHeight="1">
      <c r="A504" s="136"/>
      <c r="B504" s="176"/>
      <c r="C504" s="177"/>
      <c r="D504" s="136"/>
      <c r="E504" s="231"/>
      <c r="F504" s="144"/>
      <c r="G504" s="144"/>
      <c r="H504" s="235"/>
      <c r="I504" s="235"/>
      <c r="J504" s="235"/>
      <c r="K504" s="235"/>
      <c r="L504" s="285"/>
    </row>
    <row r="505" spans="1:12" ht="24.95" hidden="1" customHeight="1">
      <c r="A505" s="136"/>
      <c r="B505" s="176"/>
      <c r="C505" s="177"/>
      <c r="D505" s="136"/>
      <c r="E505" s="231"/>
      <c r="F505" s="144"/>
      <c r="G505" s="144"/>
      <c r="H505" s="235"/>
      <c r="I505" s="235"/>
      <c r="J505" s="235"/>
      <c r="K505" s="235"/>
      <c r="L505" s="285"/>
    </row>
    <row r="506" spans="1:12" ht="24.95" hidden="1" customHeight="1">
      <c r="A506" s="136"/>
      <c r="B506" s="176"/>
      <c r="C506" s="177"/>
      <c r="D506" s="136"/>
      <c r="E506" s="231"/>
      <c r="F506" s="144"/>
      <c r="G506" s="144"/>
      <c r="H506" s="235"/>
      <c r="I506" s="235"/>
      <c r="J506" s="235"/>
      <c r="K506" s="235"/>
      <c r="L506" s="285"/>
    </row>
    <row r="507" spans="1:12" ht="24.95" hidden="1" customHeight="1">
      <c r="A507" s="136"/>
      <c r="B507" s="176"/>
      <c r="C507" s="177"/>
      <c r="D507" s="136"/>
      <c r="E507" s="231"/>
      <c r="F507" s="144"/>
      <c r="G507" s="144"/>
      <c r="H507" s="235"/>
      <c r="I507" s="235"/>
      <c r="J507" s="235"/>
      <c r="K507" s="235"/>
      <c r="L507" s="285"/>
    </row>
    <row r="508" spans="1:12" ht="24.95" hidden="1" customHeight="1">
      <c r="A508" s="136"/>
      <c r="B508" s="176"/>
      <c r="C508" s="177"/>
      <c r="D508" s="136"/>
      <c r="E508" s="231"/>
      <c r="F508" s="144"/>
      <c r="G508" s="144"/>
      <c r="H508" s="235"/>
      <c r="I508" s="235"/>
      <c r="J508" s="235"/>
      <c r="K508" s="235"/>
      <c r="L508" s="285"/>
    </row>
    <row r="509" spans="1:12" ht="24.95" hidden="1" customHeight="1">
      <c r="A509" s="136"/>
      <c r="B509" s="176"/>
      <c r="C509" s="177"/>
      <c r="D509" s="136"/>
      <c r="E509" s="231"/>
      <c r="F509" s="144"/>
      <c r="G509" s="144"/>
      <c r="H509" s="235"/>
      <c r="I509" s="235"/>
      <c r="J509" s="235"/>
      <c r="K509" s="235"/>
      <c r="L509" s="285"/>
    </row>
    <row r="510" spans="1:12" ht="24.95" hidden="1" customHeight="1">
      <c r="A510" s="136"/>
      <c r="B510" s="176"/>
      <c r="C510" s="177"/>
      <c r="D510" s="136"/>
      <c r="E510" s="231"/>
      <c r="F510" s="144"/>
      <c r="G510" s="144"/>
      <c r="H510" s="235"/>
      <c r="I510" s="235"/>
      <c r="J510" s="235"/>
      <c r="K510" s="235"/>
      <c r="L510" s="285"/>
    </row>
    <row r="511" spans="1:12" ht="24.95" hidden="1" customHeight="1">
      <c r="A511" s="136"/>
      <c r="B511" s="176"/>
      <c r="C511" s="177"/>
      <c r="D511" s="136"/>
      <c r="E511" s="231"/>
      <c r="F511" s="144"/>
      <c r="G511" s="144"/>
      <c r="H511" s="235"/>
      <c r="I511" s="235"/>
      <c r="J511" s="235"/>
      <c r="K511" s="235"/>
      <c r="L511" s="285"/>
    </row>
    <row r="512" spans="1:12" ht="24.95" hidden="1" customHeight="1">
      <c r="A512" s="136"/>
      <c r="B512" s="176"/>
      <c r="C512" s="177"/>
      <c r="D512" s="136"/>
      <c r="E512" s="231"/>
      <c r="F512" s="144"/>
      <c r="G512" s="144"/>
      <c r="H512" s="235"/>
      <c r="I512" s="235"/>
      <c r="J512" s="235"/>
      <c r="K512" s="235"/>
      <c r="L512" s="285"/>
    </row>
    <row r="513" spans="1:12" ht="24.95" hidden="1" customHeight="1">
      <c r="A513" s="136"/>
      <c r="B513" s="176"/>
      <c r="C513" s="177"/>
      <c r="D513" s="136"/>
      <c r="E513" s="231"/>
      <c r="F513" s="144"/>
      <c r="G513" s="144"/>
      <c r="H513" s="235"/>
      <c r="I513" s="235"/>
      <c r="J513" s="235"/>
      <c r="K513" s="235"/>
      <c r="L513" s="285"/>
    </row>
    <row r="514" spans="1:12" ht="24.95" hidden="1" customHeight="1">
      <c r="A514" s="136"/>
      <c r="B514" s="176"/>
      <c r="C514" s="177"/>
      <c r="D514" s="136"/>
      <c r="E514" s="231"/>
      <c r="F514" s="144"/>
      <c r="G514" s="144"/>
      <c r="H514" s="235"/>
      <c r="I514" s="235"/>
      <c r="J514" s="235"/>
      <c r="K514" s="235"/>
      <c r="L514" s="285"/>
    </row>
    <row r="515" spans="1:12" ht="24.95" hidden="1" customHeight="1">
      <c r="A515" s="136"/>
      <c r="B515" s="176"/>
      <c r="C515" s="177"/>
      <c r="D515" s="136"/>
      <c r="E515" s="231"/>
      <c r="F515" s="144"/>
      <c r="G515" s="144"/>
      <c r="H515" s="235"/>
      <c r="I515" s="235"/>
      <c r="J515" s="235"/>
      <c r="K515" s="235"/>
      <c r="L515" s="285"/>
    </row>
    <row r="516" spans="1:12" ht="24.95" hidden="1" customHeight="1">
      <c r="A516" s="136"/>
      <c r="B516" s="176"/>
      <c r="C516" s="177"/>
      <c r="D516" s="136"/>
      <c r="E516" s="231"/>
      <c r="F516" s="144"/>
      <c r="G516" s="144"/>
      <c r="H516" s="235"/>
      <c r="I516" s="235"/>
      <c r="J516" s="235"/>
      <c r="K516" s="235"/>
      <c r="L516" s="285"/>
    </row>
    <row r="517" spans="1:12" ht="24.95" hidden="1" customHeight="1">
      <c r="A517" s="136"/>
      <c r="B517" s="176"/>
      <c r="C517" s="177"/>
      <c r="D517" s="136"/>
      <c r="E517" s="231"/>
      <c r="F517" s="144"/>
      <c r="G517" s="144"/>
      <c r="H517" s="235"/>
      <c r="I517" s="235"/>
      <c r="J517" s="235"/>
      <c r="K517" s="235"/>
      <c r="L517" s="285"/>
    </row>
    <row r="518" spans="1:12" ht="24.95" hidden="1" customHeight="1">
      <c r="A518" s="136"/>
      <c r="B518" s="176"/>
      <c r="C518" s="177"/>
      <c r="D518" s="136"/>
      <c r="E518" s="231"/>
      <c r="F518" s="144"/>
      <c r="G518" s="144"/>
      <c r="H518" s="235"/>
      <c r="I518" s="235"/>
      <c r="J518" s="235"/>
      <c r="K518" s="235"/>
      <c r="L518" s="285"/>
    </row>
    <row r="519" spans="1:12" ht="24.95" hidden="1" customHeight="1">
      <c r="A519" s="136"/>
      <c r="B519" s="176"/>
      <c r="C519" s="177"/>
      <c r="D519" s="136"/>
      <c r="E519" s="231"/>
      <c r="F519" s="144"/>
      <c r="G519" s="144"/>
      <c r="H519" s="235"/>
      <c r="I519" s="235"/>
      <c r="J519" s="235"/>
      <c r="K519" s="235"/>
      <c r="L519" s="285"/>
    </row>
    <row r="520" spans="1:12" ht="24.95" hidden="1" customHeight="1">
      <c r="A520" s="136"/>
      <c r="B520" s="176"/>
      <c r="C520" s="177"/>
      <c r="D520" s="136"/>
      <c r="E520" s="231"/>
      <c r="F520" s="144"/>
      <c r="G520" s="144"/>
      <c r="H520" s="235"/>
      <c r="I520" s="235"/>
      <c r="J520" s="235"/>
      <c r="K520" s="235"/>
      <c r="L520" s="285"/>
    </row>
    <row r="521" spans="1:12" ht="24.95" hidden="1" customHeight="1">
      <c r="A521" s="136"/>
      <c r="B521" s="176"/>
      <c r="C521" s="177"/>
      <c r="D521" s="136"/>
      <c r="E521" s="231"/>
      <c r="F521" s="144"/>
      <c r="G521" s="144"/>
      <c r="H521" s="235"/>
      <c r="I521" s="235"/>
      <c r="J521" s="235"/>
      <c r="K521" s="235"/>
      <c r="L521" s="285"/>
    </row>
    <row r="522" spans="1:12" ht="24.95" hidden="1" customHeight="1">
      <c r="A522" s="136"/>
      <c r="B522" s="176"/>
      <c r="C522" s="177"/>
      <c r="D522" s="136"/>
      <c r="E522" s="231"/>
      <c r="F522" s="144"/>
      <c r="G522" s="144"/>
      <c r="H522" s="235"/>
      <c r="I522" s="235"/>
      <c r="J522" s="235"/>
      <c r="K522" s="235"/>
      <c r="L522" s="285"/>
    </row>
    <row r="523" spans="1:12" ht="24.95" hidden="1" customHeight="1">
      <c r="A523" s="136"/>
      <c r="B523" s="176"/>
      <c r="C523" s="177"/>
      <c r="D523" s="136"/>
      <c r="E523" s="231"/>
      <c r="F523" s="144"/>
      <c r="G523" s="144"/>
      <c r="H523" s="235"/>
      <c r="I523" s="235"/>
      <c r="J523" s="235"/>
      <c r="K523" s="235"/>
      <c r="L523" s="285"/>
    </row>
    <row r="524" spans="1:12" ht="24.95" hidden="1" customHeight="1">
      <c r="A524" s="136"/>
      <c r="B524" s="176"/>
      <c r="C524" s="177"/>
      <c r="D524" s="136"/>
      <c r="E524" s="231"/>
      <c r="F524" s="144"/>
      <c r="G524" s="144"/>
      <c r="H524" s="235"/>
      <c r="I524" s="235"/>
      <c r="J524" s="235"/>
      <c r="K524" s="235"/>
      <c r="L524" s="285"/>
    </row>
    <row r="525" spans="1:12" ht="24.95" hidden="1" customHeight="1">
      <c r="A525" s="136"/>
      <c r="B525" s="176"/>
      <c r="C525" s="177"/>
      <c r="D525" s="136"/>
      <c r="E525" s="231"/>
      <c r="F525" s="144"/>
      <c r="G525" s="144"/>
      <c r="H525" s="235"/>
      <c r="I525" s="235"/>
      <c r="J525" s="235"/>
      <c r="K525" s="235"/>
      <c r="L525" s="285"/>
    </row>
    <row r="526" spans="1:12" ht="24.95" hidden="1" customHeight="1">
      <c r="A526" s="136"/>
      <c r="B526" s="176"/>
      <c r="C526" s="177"/>
      <c r="D526" s="136"/>
      <c r="E526" s="231"/>
      <c r="F526" s="144"/>
      <c r="G526" s="144"/>
      <c r="H526" s="235"/>
      <c r="I526" s="235"/>
      <c r="J526" s="235"/>
      <c r="K526" s="235"/>
      <c r="L526" s="285"/>
    </row>
    <row r="527" spans="1:12" ht="24.95" hidden="1" customHeight="1">
      <c r="A527" s="136"/>
      <c r="B527" s="176"/>
      <c r="C527" s="177"/>
      <c r="D527" s="136"/>
      <c r="E527" s="231"/>
      <c r="F527" s="144"/>
      <c r="G527" s="144"/>
      <c r="H527" s="235"/>
      <c r="I527" s="235"/>
      <c r="J527" s="235"/>
      <c r="K527" s="235"/>
      <c r="L527" s="285"/>
    </row>
    <row r="528" spans="1:12" ht="24.95" hidden="1" customHeight="1">
      <c r="A528" s="136"/>
      <c r="B528" s="176"/>
      <c r="C528" s="177"/>
      <c r="D528" s="136"/>
      <c r="E528" s="231"/>
      <c r="F528" s="144"/>
      <c r="G528" s="144"/>
      <c r="H528" s="235"/>
      <c r="I528" s="235"/>
      <c r="J528" s="235"/>
      <c r="K528" s="235"/>
      <c r="L528" s="285"/>
    </row>
    <row r="529" spans="1:12" ht="24.95" hidden="1" customHeight="1">
      <c r="A529" s="136"/>
      <c r="B529" s="176"/>
      <c r="C529" s="177"/>
      <c r="D529" s="136"/>
      <c r="E529" s="231"/>
      <c r="F529" s="144"/>
      <c r="G529" s="144"/>
      <c r="H529" s="235"/>
      <c r="I529" s="235"/>
      <c r="J529" s="235"/>
      <c r="K529" s="235"/>
      <c r="L529" s="285"/>
    </row>
    <row r="530" spans="1:12" ht="24.95" hidden="1" customHeight="1">
      <c r="A530" s="136"/>
      <c r="B530" s="176"/>
      <c r="C530" s="177"/>
      <c r="D530" s="136"/>
      <c r="E530" s="231"/>
      <c r="F530" s="144"/>
      <c r="G530" s="144"/>
      <c r="H530" s="235"/>
      <c r="I530" s="235"/>
      <c r="J530" s="235"/>
      <c r="K530" s="235"/>
      <c r="L530" s="285"/>
    </row>
    <row r="531" spans="1:12" ht="24.95" hidden="1" customHeight="1">
      <c r="A531" s="136"/>
      <c r="B531" s="176"/>
      <c r="C531" s="177"/>
      <c r="D531" s="136"/>
      <c r="E531" s="231"/>
      <c r="F531" s="144"/>
      <c r="G531" s="144"/>
      <c r="H531" s="235"/>
      <c r="I531" s="235"/>
      <c r="J531" s="235"/>
      <c r="K531" s="235"/>
      <c r="L531" s="285"/>
    </row>
    <row r="532" spans="1:12" ht="24.95" hidden="1" customHeight="1">
      <c r="A532" s="136"/>
      <c r="B532" s="176"/>
      <c r="C532" s="177"/>
      <c r="D532" s="136"/>
      <c r="E532" s="231"/>
      <c r="F532" s="144"/>
      <c r="G532" s="144"/>
      <c r="H532" s="235"/>
      <c r="I532" s="235"/>
      <c r="J532" s="235"/>
      <c r="K532" s="235"/>
      <c r="L532" s="285"/>
    </row>
    <row r="533" spans="1:12" ht="24.95" hidden="1" customHeight="1">
      <c r="A533" s="136"/>
      <c r="B533" s="176"/>
      <c r="C533" s="177"/>
      <c r="D533" s="136"/>
      <c r="E533" s="231"/>
      <c r="F533" s="144"/>
      <c r="G533" s="144"/>
      <c r="H533" s="235"/>
      <c r="I533" s="235"/>
      <c r="J533" s="235"/>
      <c r="K533" s="235"/>
      <c r="L533" s="285"/>
    </row>
    <row r="534" spans="1:12" ht="24.95" hidden="1" customHeight="1">
      <c r="A534" s="136"/>
      <c r="B534" s="176"/>
      <c r="C534" s="177"/>
      <c r="D534" s="136"/>
      <c r="E534" s="231"/>
      <c r="F534" s="144"/>
      <c r="G534" s="144"/>
      <c r="H534" s="235"/>
      <c r="I534" s="235"/>
      <c r="J534" s="235"/>
      <c r="K534" s="235"/>
      <c r="L534" s="285"/>
    </row>
    <row r="535" spans="1:12" ht="24.95" hidden="1" customHeight="1">
      <c r="A535" s="136"/>
      <c r="B535" s="176"/>
      <c r="C535" s="177"/>
      <c r="D535" s="136"/>
      <c r="E535" s="231"/>
      <c r="F535" s="144"/>
      <c r="G535" s="144"/>
      <c r="H535" s="235"/>
      <c r="I535" s="235"/>
      <c r="J535" s="235"/>
      <c r="K535" s="235"/>
      <c r="L535" s="285"/>
    </row>
    <row r="536" spans="1:12" ht="24.95" hidden="1" customHeight="1">
      <c r="A536" s="136"/>
      <c r="B536" s="176"/>
      <c r="C536" s="177"/>
      <c r="D536" s="136"/>
      <c r="E536" s="231"/>
      <c r="F536" s="144"/>
      <c r="G536" s="144"/>
      <c r="H536" s="235"/>
      <c r="I536" s="235"/>
      <c r="J536" s="235"/>
      <c r="K536" s="235"/>
      <c r="L536" s="285"/>
    </row>
    <row r="537" spans="1:12" ht="24.95" hidden="1" customHeight="1">
      <c r="A537" s="136"/>
      <c r="B537" s="176"/>
      <c r="C537" s="177"/>
      <c r="D537" s="136"/>
      <c r="E537" s="231"/>
      <c r="F537" s="144"/>
      <c r="G537" s="144"/>
      <c r="H537" s="235"/>
      <c r="I537" s="235"/>
      <c r="J537" s="235"/>
      <c r="K537" s="235"/>
      <c r="L537" s="285"/>
    </row>
    <row r="538" spans="1:12" ht="24.95" hidden="1" customHeight="1">
      <c r="A538" s="136"/>
      <c r="B538" s="176"/>
      <c r="C538" s="177"/>
      <c r="D538" s="136"/>
      <c r="E538" s="231"/>
      <c r="F538" s="144"/>
      <c r="G538" s="144"/>
      <c r="H538" s="235"/>
      <c r="I538" s="235"/>
      <c r="J538" s="235"/>
      <c r="K538" s="235"/>
      <c r="L538" s="285"/>
    </row>
    <row r="539" spans="1:12" ht="24.95" hidden="1" customHeight="1">
      <c r="A539" s="136"/>
      <c r="B539" s="176"/>
      <c r="C539" s="177"/>
      <c r="D539" s="136"/>
      <c r="E539" s="231"/>
      <c r="F539" s="144"/>
      <c r="G539" s="144"/>
      <c r="H539" s="235"/>
      <c r="I539" s="235"/>
      <c r="J539" s="235"/>
      <c r="K539" s="235"/>
      <c r="L539" s="285"/>
    </row>
    <row r="540" spans="1:12" ht="24.95" hidden="1" customHeight="1">
      <c r="A540" s="136"/>
      <c r="B540" s="176"/>
      <c r="C540" s="177"/>
      <c r="D540" s="136"/>
      <c r="E540" s="231"/>
      <c r="F540" s="144"/>
      <c r="G540" s="144"/>
      <c r="H540" s="235"/>
      <c r="I540" s="235"/>
      <c r="J540" s="235"/>
      <c r="K540" s="235"/>
      <c r="L540" s="285"/>
    </row>
    <row r="541" spans="1:12" ht="24.95" hidden="1" customHeight="1">
      <c r="A541" s="136"/>
      <c r="B541" s="176"/>
      <c r="C541" s="177"/>
      <c r="D541" s="136"/>
      <c r="E541" s="231"/>
      <c r="F541" s="144"/>
      <c r="G541" s="144"/>
      <c r="H541" s="235"/>
      <c r="I541" s="235"/>
      <c r="J541" s="235"/>
      <c r="K541" s="235"/>
      <c r="L541" s="285"/>
    </row>
    <row r="542" spans="1:12" ht="24.95" hidden="1" customHeight="1">
      <c r="A542" s="136"/>
      <c r="B542" s="176"/>
      <c r="C542" s="177"/>
      <c r="D542" s="136"/>
      <c r="E542" s="231"/>
      <c r="F542" s="144"/>
      <c r="G542" s="144"/>
      <c r="H542" s="235"/>
      <c r="I542" s="235"/>
      <c r="J542" s="235"/>
      <c r="K542" s="235"/>
      <c r="L542" s="285"/>
    </row>
    <row r="543" spans="1:12" ht="24.95" hidden="1" customHeight="1">
      <c r="A543" s="136"/>
      <c r="B543" s="176"/>
      <c r="C543" s="177"/>
      <c r="D543" s="136"/>
      <c r="E543" s="231"/>
      <c r="F543" s="144"/>
      <c r="G543" s="144"/>
      <c r="H543" s="235"/>
      <c r="I543" s="235"/>
      <c r="J543" s="235"/>
      <c r="K543" s="235"/>
      <c r="L543" s="285"/>
    </row>
    <row r="544" spans="1:12" ht="24.95" hidden="1" customHeight="1">
      <c r="A544" s="136"/>
      <c r="B544" s="176"/>
      <c r="C544" s="177"/>
      <c r="D544" s="136"/>
      <c r="E544" s="231"/>
      <c r="F544" s="144"/>
      <c r="G544" s="144"/>
      <c r="H544" s="235"/>
      <c r="I544" s="235"/>
      <c r="J544" s="235"/>
      <c r="K544" s="235"/>
      <c r="L544" s="285"/>
    </row>
    <row r="545" spans="1:12" ht="24.95" hidden="1" customHeight="1">
      <c r="A545" s="136"/>
      <c r="B545" s="176"/>
      <c r="C545" s="177"/>
      <c r="D545" s="136"/>
      <c r="E545" s="231"/>
      <c r="F545" s="144"/>
      <c r="G545" s="144"/>
      <c r="H545" s="235"/>
      <c r="I545" s="235"/>
      <c r="J545" s="235"/>
      <c r="K545" s="235"/>
      <c r="L545" s="285"/>
    </row>
    <row r="546" spans="1:12" ht="24.95" hidden="1" customHeight="1">
      <c r="A546" s="136"/>
      <c r="B546" s="176"/>
      <c r="C546" s="177"/>
      <c r="D546" s="136"/>
      <c r="E546" s="231"/>
      <c r="F546" s="144"/>
      <c r="G546" s="144"/>
      <c r="H546" s="235"/>
      <c r="I546" s="235"/>
      <c r="J546" s="235"/>
      <c r="K546" s="235"/>
      <c r="L546" s="285"/>
    </row>
    <row r="547" spans="1:12" ht="24.95" hidden="1" customHeight="1">
      <c r="A547" s="136"/>
      <c r="B547" s="176"/>
      <c r="C547" s="177"/>
      <c r="D547" s="136"/>
      <c r="E547" s="231"/>
      <c r="F547" s="144"/>
      <c r="G547" s="144"/>
      <c r="H547" s="235"/>
      <c r="I547" s="235"/>
      <c r="J547" s="235"/>
      <c r="K547" s="235"/>
      <c r="L547" s="285"/>
    </row>
    <row r="548" spans="1:12" ht="24.95" hidden="1" customHeight="1">
      <c r="A548" s="136"/>
      <c r="B548" s="176"/>
      <c r="C548" s="177"/>
      <c r="D548" s="136"/>
      <c r="E548" s="231"/>
      <c r="F548" s="144"/>
      <c r="G548" s="144"/>
      <c r="H548" s="235"/>
      <c r="I548" s="235"/>
      <c r="J548" s="235"/>
      <c r="K548" s="235"/>
      <c r="L548" s="285"/>
    </row>
    <row r="549" spans="1:12" ht="24.95" hidden="1" customHeight="1">
      <c r="A549" s="136"/>
      <c r="B549" s="176"/>
      <c r="C549" s="177"/>
      <c r="D549" s="136"/>
      <c r="E549" s="231"/>
      <c r="F549" s="144"/>
      <c r="G549" s="144"/>
      <c r="H549" s="235"/>
      <c r="I549" s="235"/>
      <c r="J549" s="235"/>
      <c r="K549" s="235"/>
      <c r="L549" s="285"/>
    </row>
    <row r="550" spans="1:12" ht="24.95" hidden="1" customHeight="1">
      <c r="A550" s="136"/>
      <c r="B550" s="176"/>
      <c r="C550" s="177"/>
      <c r="D550" s="136"/>
      <c r="E550" s="231"/>
      <c r="F550" s="144"/>
      <c r="G550" s="144"/>
      <c r="H550" s="235"/>
      <c r="I550" s="235"/>
      <c r="J550" s="235"/>
      <c r="K550" s="235"/>
      <c r="L550" s="285"/>
    </row>
    <row r="551" spans="1:12" ht="24.95" hidden="1" customHeight="1">
      <c r="A551" s="136"/>
      <c r="B551" s="176"/>
      <c r="C551" s="177"/>
      <c r="D551" s="136"/>
      <c r="E551" s="231"/>
      <c r="F551" s="144"/>
      <c r="G551" s="144"/>
      <c r="H551" s="235"/>
      <c r="I551" s="235"/>
      <c r="J551" s="235"/>
      <c r="K551" s="235"/>
      <c r="L551" s="285"/>
    </row>
    <row r="552" spans="1:12" ht="24.95" hidden="1" customHeight="1">
      <c r="A552" s="136"/>
      <c r="B552" s="176"/>
      <c r="C552" s="177"/>
      <c r="D552" s="136"/>
      <c r="E552" s="231"/>
      <c r="F552" s="144"/>
      <c r="G552" s="144"/>
      <c r="H552" s="235"/>
      <c r="I552" s="235"/>
      <c r="J552" s="235"/>
      <c r="K552" s="235"/>
      <c r="L552" s="285"/>
    </row>
    <row r="553" spans="1:12" ht="24.95" hidden="1" customHeight="1">
      <c r="A553" s="136"/>
      <c r="B553" s="176"/>
      <c r="C553" s="177"/>
      <c r="D553" s="136"/>
      <c r="E553" s="231"/>
      <c r="F553" s="144"/>
      <c r="G553" s="144"/>
      <c r="H553" s="235"/>
      <c r="I553" s="235"/>
      <c r="J553" s="235"/>
      <c r="K553" s="235"/>
      <c r="L553" s="285"/>
    </row>
    <row r="554" spans="1:12" ht="24.95" hidden="1" customHeight="1">
      <c r="A554" s="136"/>
      <c r="B554" s="176"/>
      <c r="C554" s="177"/>
      <c r="D554" s="136"/>
      <c r="E554" s="231"/>
      <c r="F554" s="144"/>
      <c r="G554" s="144"/>
      <c r="H554" s="235"/>
      <c r="I554" s="235"/>
      <c r="J554" s="235"/>
      <c r="K554" s="235"/>
      <c r="L554" s="285"/>
    </row>
    <row r="555" spans="1:12" ht="24.95" hidden="1" customHeight="1">
      <c r="A555" s="136"/>
      <c r="B555" s="176"/>
      <c r="C555" s="177"/>
      <c r="D555" s="136"/>
      <c r="E555" s="231"/>
      <c r="F555" s="144"/>
      <c r="G555" s="144"/>
      <c r="H555" s="235"/>
      <c r="I555" s="235"/>
      <c r="J555" s="235"/>
      <c r="K555" s="235"/>
      <c r="L555" s="285"/>
    </row>
    <row r="556" spans="1:12" ht="24.95" hidden="1" customHeight="1">
      <c r="A556" s="136"/>
      <c r="B556" s="176"/>
      <c r="C556" s="177"/>
      <c r="D556" s="136"/>
      <c r="E556" s="231"/>
      <c r="F556" s="144"/>
      <c r="G556" s="144"/>
      <c r="H556" s="235"/>
      <c r="I556" s="235"/>
      <c r="J556" s="235"/>
      <c r="K556" s="235"/>
      <c r="L556" s="285"/>
    </row>
    <row r="557" spans="1:12" ht="24.95" hidden="1" customHeight="1">
      <c r="A557" s="136"/>
      <c r="B557" s="176"/>
      <c r="C557" s="177"/>
      <c r="D557" s="136"/>
      <c r="E557" s="231"/>
      <c r="F557" s="144"/>
      <c r="G557" s="144"/>
      <c r="H557" s="235"/>
      <c r="I557" s="235"/>
      <c r="J557" s="235"/>
      <c r="K557" s="235"/>
      <c r="L557" s="285"/>
    </row>
    <row r="558" spans="1:12" ht="24.95" hidden="1" customHeight="1">
      <c r="A558" s="136"/>
      <c r="B558" s="176"/>
      <c r="C558" s="177"/>
      <c r="D558" s="136"/>
      <c r="E558" s="231"/>
      <c r="F558" s="144"/>
      <c r="G558" s="144"/>
      <c r="H558" s="235"/>
      <c r="I558" s="235"/>
      <c r="J558" s="235"/>
      <c r="K558" s="235"/>
      <c r="L558" s="285"/>
    </row>
    <row r="559" spans="1:12" ht="24.95" hidden="1" customHeight="1">
      <c r="A559" s="136"/>
      <c r="B559" s="176"/>
      <c r="C559" s="177"/>
      <c r="D559" s="136"/>
      <c r="E559" s="231"/>
      <c r="F559" s="144"/>
      <c r="G559" s="144"/>
      <c r="H559" s="235"/>
      <c r="I559" s="235"/>
      <c r="J559" s="235"/>
      <c r="K559" s="235"/>
      <c r="L559" s="285"/>
    </row>
    <row r="560" spans="1:12" ht="24.95" hidden="1" customHeight="1">
      <c r="A560" s="136"/>
      <c r="B560" s="176"/>
      <c r="C560" s="177"/>
      <c r="D560" s="136"/>
      <c r="E560" s="231"/>
      <c r="F560" s="144"/>
      <c r="G560" s="144"/>
      <c r="H560" s="235"/>
      <c r="I560" s="235"/>
      <c r="J560" s="235"/>
      <c r="K560" s="235"/>
      <c r="L560" s="285"/>
    </row>
    <row r="561" spans="1:12" ht="24.95" hidden="1" customHeight="1">
      <c r="A561" s="136"/>
      <c r="B561" s="176"/>
      <c r="C561" s="177"/>
      <c r="D561" s="136"/>
      <c r="E561" s="231"/>
      <c r="F561" s="144"/>
      <c r="G561" s="144"/>
      <c r="H561" s="235"/>
      <c r="I561" s="235"/>
      <c r="J561" s="235"/>
      <c r="K561" s="235"/>
      <c r="L561" s="285"/>
    </row>
    <row r="562" spans="1:12" ht="24.95" hidden="1" customHeight="1">
      <c r="A562" s="136"/>
      <c r="B562" s="176"/>
      <c r="C562" s="177"/>
      <c r="D562" s="136"/>
      <c r="E562" s="231"/>
      <c r="F562" s="144"/>
      <c r="G562" s="144"/>
      <c r="H562" s="235"/>
      <c r="I562" s="235"/>
      <c r="J562" s="235"/>
      <c r="K562" s="235"/>
      <c r="L562" s="285"/>
    </row>
    <row r="563" spans="1:12" ht="24.95" hidden="1" customHeight="1">
      <c r="A563" s="136"/>
      <c r="B563" s="176"/>
      <c r="C563" s="177"/>
      <c r="D563" s="136"/>
      <c r="E563" s="231"/>
      <c r="F563" s="144"/>
      <c r="G563" s="144"/>
      <c r="H563" s="235"/>
      <c r="I563" s="235"/>
      <c r="J563" s="235"/>
      <c r="K563" s="235"/>
      <c r="L563" s="285"/>
    </row>
    <row r="564" spans="1:12" ht="24.95" hidden="1" customHeight="1">
      <c r="A564" s="136"/>
      <c r="B564" s="176"/>
      <c r="C564" s="177"/>
      <c r="D564" s="136"/>
      <c r="E564" s="231"/>
      <c r="F564" s="144"/>
      <c r="G564" s="144"/>
      <c r="H564" s="235"/>
      <c r="I564" s="235"/>
      <c r="J564" s="235"/>
      <c r="K564" s="235"/>
      <c r="L564" s="285"/>
    </row>
    <row r="565" spans="1:12" ht="24.95" hidden="1" customHeight="1">
      <c r="A565" s="136"/>
      <c r="B565" s="176"/>
      <c r="C565" s="177"/>
      <c r="D565" s="136"/>
      <c r="E565" s="231"/>
      <c r="F565" s="144"/>
      <c r="G565" s="144"/>
      <c r="H565" s="235"/>
      <c r="I565" s="235"/>
      <c r="J565" s="235"/>
      <c r="K565" s="235"/>
      <c r="L565" s="285"/>
    </row>
    <row r="566" spans="1:12" ht="24.95" hidden="1" customHeight="1">
      <c r="A566" s="136"/>
      <c r="B566" s="176"/>
      <c r="C566" s="177"/>
      <c r="D566" s="136"/>
      <c r="E566" s="231"/>
      <c r="F566" s="144"/>
      <c r="G566" s="144"/>
      <c r="H566" s="235"/>
      <c r="I566" s="235"/>
      <c r="J566" s="235"/>
      <c r="K566" s="235"/>
      <c r="L566" s="285"/>
    </row>
    <row r="567" spans="1:12" ht="24.95" hidden="1" customHeight="1">
      <c r="A567" s="136"/>
      <c r="B567" s="176"/>
      <c r="C567" s="177"/>
      <c r="D567" s="136"/>
      <c r="E567" s="231"/>
      <c r="F567" s="144"/>
      <c r="G567" s="144"/>
      <c r="H567" s="235"/>
      <c r="I567" s="235"/>
      <c r="J567" s="235"/>
      <c r="K567" s="235"/>
      <c r="L567" s="285"/>
    </row>
    <row r="568" spans="1:12" ht="24.95" hidden="1" customHeight="1">
      <c r="A568" s="136"/>
      <c r="B568" s="176"/>
      <c r="C568" s="177"/>
      <c r="D568" s="136"/>
      <c r="E568" s="231"/>
      <c r="F568" s="144"/>
      <c r="G568" s="144"/>
      <c r="H568" s="235"/>
      <c r="I568" s="235"/>
      <c r="J568" s="235"/>
      <c r="K568" s="235"/>
      <c r="L568" s="285"/>
    </row>
    <row r="569" spans="1:12" ht="24.95" hidden="1" customHeight="1">
      <c r="A569" s="136"/>
      <c r="B569" s="176"/>
      <c r="C569" s="177"/>
      <c r="D569" s="136"/>
      <c r="E569" s="231"/>
      <c r="F569" s="144"/>
      <c r="G569" s="144"/>
      <c r="H569" s="235"/>
      <c r="I569" s="235"/>
      <c r="J569" s="235"/>
      <c r="K569" s="235"/>
      <c r="L569" s="285"/>
    </row>
    <row r="570" spans="1:12" ht="24.95" hidden="1" customHeight="1">
      <c r="A570" s="136"/>
      <c r="B570" s="176"/>
      <c r="C570" s="177"/>
      <c r="D570" s="136"/>
      <c r="E570" s="231"/>
      <c r="F570" s="144"/>
      <c r="G570" s="144"/>
      <c r="H570" s="235"/>
      <c r="I570" s="235"/>
      <c r="J570" s="235"/>
      <c r="K570" s="235"/>
      <c r="L570" s="285"/>
    </row>
    <row r="571" spans="1:12" ht="24.95" hidden="1" customHeight="1">
      <c r="A571" s="136"/>
      <c r="B571" s="176"/>
      <c r="C571" s="177"/>
      <c r="D571" s="136"/>
      <c r="E571" s="231"/>
      <c r="F571" s="144"/>
      <c r="G571" s="144"/>
      <c r="H571" s="235"/>
      <c r="I571" s="235"/>
      <c r="J571" s="235"/>
      <c r="K571" s="235"/>
      <c r="L571" s="285"/>
    </row>
    <row r="572" spans="1:12" ht="24.95" hidden="1" customHeight="1">
      <c r="A572" s="136"/>
      <c r="B572" s="176"/>
      <c r="C572" s="177"/>
      <c r="D572" s="136"/>
      <c r="E572" s="231"/>
      <c r="F572" s="144"/>
      <c r="G572" s="144"/>
      <c r="H572" s="235"/>
      <c r="I572" s="235"/>
      <c r="J572" s="235"/>
      <c r="K572" s="235"/>
      <c r="L572" s="285"/>
    </row>
    <row r="573" spans="1:12" ht="24.95" hidden="1" customHeight="1">
      <c r="A573" s="136"/>
      <c r="B573" s="176"/>
      <c r="C573" s="177"/>
      <c r="D573" s="136"/>
      <c r="E573" s="231"/>
      <c r="F573" s="144"/>
      <c r="G573" s="144"/>
      <c r="H573" s="235"/>
      <c r="I573" s="235"/>
      <c r="J573" s="235"/>
      <c r="K573" s="235"/>
      <c r="L573" s="285"/>
    </row>
    <row r="574" spans="1:12" ht="24.95" hidden="1" customHeight="1">
      <c r="A574" s="136"/>
      <c r="B574" s="176"/>
      <c r="C574" s="177"/>
      <c r="D574" s="136"/>
      <c r="E574" s="231"/>
      <c r="F574" s="144"/>
      <c r="G574" s="144"/>
      <c r="H574" s="235"/>
      <c r="I574" s="235"/>
      <c r="J574" s="235"/>
      <c r="K574" s="235"/>
      <c r="L574" s="285"/>
    </row>
    <row r="575" spans="1:12" ht="24.95" hidden="1" customHeight="1">
      <c r="A575" s="136"/>
      <c r="B575" s="176"/>
      <c r="C575" s="177"/>
      <c r="D575" s="136"/>
      <c r="E575" s="231"/>
      <c r="F575" s="144"/>
      <c r="G575" s="144"/>
      <c r="H575" s="235"/>
      <c r="I575" s="235"/>
      <c r="J575" s="235"/>
      <c r="K575" s="235"/>
      <c r="L575" s="285"/>
    </row>
    <row r="576" spans="1:12" ht="24.95" hidden="1" customHeight="1">
      <c r="A576" s="136"/>
      <c r="B576" s="176"/>
      <c r="C576" s="177"/>
      <c r="D576" s="136"/>
      <c r="E576" s="231"/>
      <c r="F576" s="144"/>
      <c r="G576" s="144"/>
      <c r="H576" s="235"/>
      <c r="I576" s="235"/>
      <c r="J576" s="235"/>
      <c r="K576" s="235"/>
      <c r="L576" s="285"/>
    </row>
    <row r="577" spans="1:12" ht="24.95" hidden="1" customHeight="1">
      <c r="A577" s="136"/>
      <c r="B577" s="176"/>
      <c r="C577" s="177"/>
      <c r="D577" s="136"/>
      <c r="E577" s="231"/>
      <c r="F577" s="144"/>
      <c r="G577" s="144"/>
      <c r="H577" s="235"/>
      <c r="I577" s="235"/>
      <c r="J577" s="235"/>
      <c r="K577" s="235"/>
      <c r="L577" s="285"/>
    </row>
    <row r="578" spans="1:12" ht="24.95" hidden="1" customHeight="1">
      <c r="A578" s="136"/>
      <c r="B578" s="176"/>
      <c r="C578" s="177"/>
      <c r="D578" s="136"/>
      <c r="E578" s="231"/>
      <c r="F578" s="144"/>
      <c r="G578" s="144"/>
      <c r="H578" s="235"/>
      <c r="I578" s="235"/>
      <c r="J578" s="235"/>
      <c r="K578" s="235"/>
      <c r="L578" s="285"/>
    </row>
    <row r="579" spans="1:12" ht="24.95" hidden="1" customHeight="1">
      <c r="A579" s="136"/>
      <c r="B579" s="176"/>
      <c r="C579" s="177"/>
      <c r="D579" s="136"/>
      <c r="E579" s="231"/>
      <c r="F579" s="144"/>
      <c r="G579" s="144"/>
      <c r="H579" s="235"/>
      <c r="I579" s="235"/>
      <c r="J579" s="235"/>
      <c r="K579" s="235"/>
      <c r="L579" s="285"/>
    </row>
    <row r="580" spans="1:12" ht="24.95" hidden="1" customHeight="1">
      <c r="A580" s="136"/>
      <c r="B580" s="176"/>
      <c r="C580" s="177"/>
      <c r="D580" s="136"/>
      <c r="E580" s="231"/>
      <c r="F580" s="144"/>
      <c r="G580" s="144"/>
      <c r="H580" s="235"/>
      <c r="I580" s="235"/>
      <c r="J580" s="235"/>
      <c r="K580" s="235"/>
      <c r="L580" s="285"/>
    </row>
    <row r="581" spans="1:12" ht="24.95" hidden="1" customHeight="1">
      <c r="A581" s="136"/>
      <c r="B581" s="176"/>
      <c r="C581" s="177"/>
      <c r="D581" s="136"/>
      <c r="E581" s="231"/>
      <c r="F581" s="144"/>
      <c r="G581" s="144"/>
      <c r="H581" s="235"/>
      <c r="I581" s="235"/>
      <c r="J581" s="235"/>
      <c r="K581" s="235"/>
      <c r="L581" s="285"/>
    </row>
    <row r="582" spans="1:12" ht="24.95" hidden="1" customHeight="1">
      <c r="A582" s="136"/>
      <c r="B582" s="176"/>
      <c r="C582" s="177"/>
      <c r="D582" s="136"/>
      <c r="E582" s="231"/>
      <c r="F582" s="144"/>
      <c r="G582" s="144"/>
      <c r="H582" s="235"/>
      <c r="I582" s="235"/>
      <c r="J582" s="235"/>
      <c r="K582" s="235"/>
      <c r="L582" s="285"/>
    </row>
    <row r="583" spans="1:12" ht="24.95" hidden="1" customHeight="1">
      <c r="A583" s="136"/>
      <c r="B583" s="176"/>
      <c r="C583" s="177"/>
      <c r="D583" s="136"/>
      <c r="E583" s="231"/>
      <c r="F583" s="144"/>
      <c r="G583" s="144"/>
      <c r="H583" s="235"/>
      <c r="I583" s="235"/>
      <c r="J583" s="235"/>
      <c r="K583" s="235"/>
      <c r="L583" s="285"/>
    </row>
    <row r="584" spans="1:12" ht="24.95" hidden="1" customHeight="1">
      <c r="A584" s="136"/>
      <c r="B584" s="176"/>
      <c r="C584" s="177"/>
      <c r="D584" s="136"/>
      <c r="E584" s="231"/>
      <c r="F584" s="144"/>
      <c r="G584" s="144"/>
      <c r="H584" s="235"/>
      <c r="I584" s="235"/>
      <c r="J584" s="235"/>
      <c r="K584" s="235"/>
      <c r="L584" s="285"/>
    </row>
    <row r="585" spans="1:12" ht="24.95" hidden="1" customHeight="1">
      <c r="A585" s="136"/>
      <c r="B585" s="176"/>
      <c r="C585" s="177"/>
      <c r="D585" s="136"/>
      <c r="E585" s="231"/>
      <c r="F585" s="144"/>
      <c r="G585" s="144"/>
      <c r="H585" s="235"/>
      <c r="I585" s="235"/>
      <c r="J585" s="235"/>
      <c r="K585" s="235"/>
      <c r="L585" s="285"/>
    </row>
    <row r="586" spans="1:12" ht="24.95" hidden="1" customHeight="1">
      <c r="A586" s="136"/>
      <c r="B586" s="176"/>
      <c r="C586" s="177"/>
      <c r="D586" s="136"/>
      <c r="E586" s="231"/>
      <c r="F586" s="144"/>
      <c r="G586" s="144"/>
      <c r="H586" s="235"/>
      <c r="I586" s="235"/>
      <c r="J586" s="235"/>
      <c r="K586" s="235"/>
      <c r="L586" s="285"/>
    </row>
    <row r="587" spans="1:12" ht="24.95" hidden="1" customHeight="1">
      <c r="A587" s="136"/>
      <c r="B587" s="176"/>
      <c r="C587" s="177"/>
      <c r="D587" s="136"/>
      <c r="E587" s="231"/>
      <c r="F587" s="144"/>
      <c r="G587" s="144"/>
      <c r="H587" s="235"/>
      <c r="I587" s="235"/>
      <c r="J587" s="235"/>
      <c r="K587" s="235"/>
      <c r="L587" s="285"/>
    </row>
    <row r="588" spans="1:12" ht="24.95" hidden="1" customHeight="1">
      <c r="A588" s="136"/>
      <c r="B588" s="176"/>
      <c r="C588" s="177"/>
      <c r="D588" s="136"/>
      <c r="E588" s="231"/>
      <c r="F588" s="144"/>
      <c r="G588" s="144"/>
      <c r="H588" s="235"/>
      <c r="I588" s="235"/>
      <c r="J588" s="235"/>
      <c r="K588" s="235"/>
      <c r="L588" s="285"/>
    </row>
    <row r="589" spans="1:12" ht="24.95" hidden="1" customHeight="1">
      <c r="A589" s="136"/>
      <c r="B589" s="176"/>
      <c r="C589" s="177"/>
      <c r="D589" s="136"/>
      <c r="E589" s="231"/>
      <c r="F589" s="144"/>
      <c r="G589" s="144"/>
      <c r="H589" s="235"/>
      <c r="I589" s="235"/>
      <c r="J589" s="235"/>
      <c r="K589" s="235"/>
      <c r="L589" s="285"/>
    </row>
    <row r="590" spans="1:12" ht="24.95" hidden="1" customHeight="1">
      <c r="A590" s="136"/>
      <c r="B590" s="176"/>
      <c r="C590" s="177"/>
      <c r="D590" s="136"/>
      <c r="E590" s="231"/>
      <c r="F590" s="144"/>
      <c r="G590" s="144"/>
      <c r="H590" s="235"/>
      <c r="I590" s="235"/>
      <c r="J590" s="235"/>
      <c r="K590" s="235"/>
      <c r="L590" s="285"/>
    </row>
    <row r="591" spans="1:12" ht="24.95" hidden="1" customHeight="1">
      <c r="A591" s="136"/>
      <c r="B591" s="176"/>
      <c r="C591" s="177"/>
      <c r="D591" s="136"/>
      <c r="E591" s="231"/>
      <c r="F591" s="144"/>
      <c r="G591" s="144"/>
      <c r="H591" s="235"/>
      <c r="I591" s="235"/>
      <c r="J591" s="235"/>
      <c r="K591" s="235"/>
      <c r="L591" s="285"/>
    </row>
    <row r="592" spans="1:12" ht="24.95" hidden="1" customHeight="1">
      <c r="A592" s="136"/>
      <c r="B592" s="176"/>
      <c r="C592" s="177"/>
      <c r="D592" s="136"/>
      <c r="E592" s="231"/>
      <c r="F592" s="144"/>
      <c r="G592" s="144"/>
      <c r="H592" s="235"/>
      <c r="I592" s="235"/>
      <c r="J592" s="235"/>
      <c r="K592" s="235"/>
      <c r="L592" s="285"/>
    </row>
    <row r="593" spans="1:12" ht="24.95" hidden="1" customHeight="1">
      <c r="A593" s="136"/>
      <c r="B593" s="176"/>
      <c r="C593" s="177"/>
      <c r="D593" s="136"/>
      <c r="E593" s="231"/>
      <c r="F593" s="144"/>
      <c r="G593" s="144"/>
      <c r="H593" s="235"/>
      <c r="I593" s="235"/>
      <c r="J593" s="235"/>
      <c r="K593" s="235"/>
      <c r="L593" s="285"/>
    </row>
    <row r="594" spans="1:12" ht="24.95" hidden="1" customHeight="1">
      <c r="A594" s="136"/>
      <c r="B594" s="176"/>
      <c r="C594" s="177"/>
      <c r="D594" s="136"/>
      <c r="E594" s="231"/>
      <c r="F594" s="144"/>
      <c r="G594" s="144"/>
      <c r="H594" s="235"/>
      <c r="I594" s="235"/>
      <c r="J594" s="235"/>
      <c r="K594" s="235"/>
      <c r="L594" s="285"/>
    </row>
    <row r="595" spans="1:12" ht="24.95" hidden="1" customHeight="1">
      <c r="A595" s="136"/>
      <c r="B595" s="176"/>
      <c r="C595" s="177"/>
      <c r="D595" s="136"/>
      <c r="E595" s="231"/>
      <c r="F595" s="144"/>
      <c r="G595" s="144"/>
      <c r="H595" s="235"/>
      <c r="I595" s="235"/>
      <c r="J595" s="235"/>
      <c r="K595" s="235"/>
      <c r="L595" s="285"/>
    </row>
    <row r="596" spans="1:12" ht="24.95" hidden="1" customHeight="1">
      <c r="A596" s="136"/>
      <c r="B596" s="176"/>
      <c r="C596" s="177"/>
      <c r="D596" s="136"/>
      <c r="E596" s="231"/>
      <c r="F596" s="144"/>
      <c r="G596" s="144"/>
      <c r="H596" s="235"/>
      <c r="I596" s="235"/>
      <c r="J596" s="235"/>
      <c r="K596" s="235"/>
      <c r="L596" s="285"/>
    </row>
    <row r="597" spans="1:12" ht="24.95" hidden="1" customHeight="1">
      <c r="A597" s="136"/>
      <c r="B597" s="176"/>
      <c r="C597" s="177"/>
      <c r="D597" s="136"/>
      <c r="E597" s="231"/>
      <c r="F597" s="144"/>
      <c r="G597" s="144"/>
      <c r="H597" s="235"/>
      <c r="I597" s="235"/>
      <c r="J597" s="235"/>
      <c r="K597" s="235"/>
      <c r="L597" s="285"/>
    </row>
    <row r="598" spans="1:12" ht="24.95" hidden="1" customHeight="1">
      <c r="A598" s="136"/>
      <c r="B598" s="176"/>
      <c r="C598" s="177"/>
      <c r="D598" s="136"/>
      <c r="E598" s="231"/>
      <c r="F598" s="144"/>
      <c r="G598" s="144"/>
      <c r="H598" s="235"/>
      <c r="I598" s="235"/>
      <c r="J598" s="235"/>
      <c r="K598" s="235"/>
      <c r="L598" s="285"/>
    </row>
    <row r="599" spans="1:12" ht="24.95" hidden="1" customHeight="1">
      <c r="A599" s="136"/>
      <c r="B599" s="176"/>
      <c r="C599" s="177"/>
      <c r="D599" s="136"/>
      <c r="E599" s="231"/>
      <c r="F599" s="144"/>
      <c r="G599" s="144"/>
      <c r="H599" s="235"/>
      <c r="I599" s="235"/>
      <c r="J599" s="235"/>
      <c r="K599" s="235"/>
      <c r="L599" s="285"/>
    </row>
    <row r="600" spans="1:12" ht="24.95" hidden="1" customHeight="1">
      <c r="A600" s="136"/>
      <c r="B600" s="176"/>
      <c r="C600" s="177"/>
      <c r="D600" s="136"/>
      <c r="E600" s="231"/>
      <c r="F600" s="144"/>
      <c r="G600" s="144"/>
      <c r="H600" s="235"/>
      <c r="I600" s="235"/>
      <c r="J600" s="235"/>
      <c r="K600" s="235"/>
      <c r="L600" s="285"/>
    </row>
    <row r="601" spans="1:12" ht="24.95" hidden="1" customHeight="1">
      <c r="A601" s="136"/>
      <c r="B601" s="176"/>
      <c r="C601" s="177"/>
      <c r="D601" s="136"/>
      <c r="E601" s="231"/>
      <c r="F601" s="144"/>
      <c r="G601" s="144"/>
      <c r="H601" s="235"/>
      <c r="I601" s="235"/>
      <c r="J601" s="235"/>
      <c r="K601" s="235"/>
      <c r="L601" s="285"/>
    </row>
    <row r="602" spans="1:12" ht="24.95" hidden="1" customHeight="1">
      <c r="A602" s="136"/>
      <c r="B602" s="176"/>
      <c r="C602" s="177"/>
      <c r="D602" s="136"/>
      <c r="E602" s="231"/>
      <c r="F602" s="144"/>
      <c r="G602" s="144"/>
      <c r="H602" s="235"/>
      <c r="I602" s="235"/>
      <c r="J602" s="235"/>
      <c r="K602" s="235"/>
      <c r="L602" s="285"/>
    </row>
    <row r="603" spans="1:12" ht="24.95" hidden="1" customHeight="1">
      <c r="A603" s="136"/>
      <c r="B603" s="176"/>
      <c r="C603" s="177"/>
      <c r="D603" s="136"/>
      <c r="E603" s="231"/>
      <c r="F603" s="144"/>
      <c r="G603" s="144"/>
      <c r="H603" s="235"/>
      <c r="I603" s="235"/>
      <c r="J603" s="235"/>
      <c r="K603" s="235"/>
      <c r="L603" s="285"/>
    </row>
    <row r="604" spans="1:12" ht="24.95" hidden="1" customHeight="1">
      <c r="A604" s="136"/>
      <c r="B604" s="176"/>
      <c r="C604" s="177"/>
      <c r="D604" s="136"/>
      <c r="E604" s="231"/>
      <c r="F604" s="144"/>
      <c r="G604" s="144"/>
      <c r="H604" s="235"/>
      <c r="I604" s="235"/>
      <c r="J604" s="235"/>
      <c r="K604" s="235"/>
      <c r="L604" s="285"/>
    </row>
    <row r="605" spans="1:12" ht="24.95" hidden="1" customHeight="1">
      <c r="A605" s="136"/>
      <c r="B605" s="176"/>
      <c r="C605" s="177"/>
      <c r="D605" s="136"/>
      <c r="E605" s="231"/>
      <c r="F605" s="144"/>
      <c r="G605" s="144"/>
      <c r="H605" s="235"/>
      <c r="I605" s="235"/>
      <c r="J605" s="235"/>
      <c r="K605" s="235"/>
      <c r="L605" s="285"/>
    </row>
    <row r="606" spans="1:12" ht="24.95" hidden="1" customHeight="1">
      <c r="A606" s="136"/>
      <c r="B606" s="176"/>
      <c r="C606" s="177"/>
      <c r="D606" s="136"/>
      <c r="E606" s="231"/>
      <c r="F606" s="144"/>
      <c r="G606" s="144"/>
      <c r="H606" s="235"/>
      <c r="I606" s="235"/>
      <c r="J606" s="235"/>
      <c r="K606" s="235"/>
      <c r="L606" s="285"/>
    </row>
    <row r="607" spans="1:12" ht="24.95" hidden="1" customHeight="1">
      <c r="A607" s="136"/>
      <c r="B607" s="176"/>
      <c r="C607" s="177"/>
      <c r="D607" s="136"/>
      <c r="E607" s="231"/>
      <c r="F607" s="144"/>
      <c r="G607" s="144"/>
      <c r="H607" s="235"/>
      <c r="I607" s="235"/>
      <c r="J607" s="235"/>
      <c r="K607" s="235"/>
      <c r="L607" s="285"/>
    </row>
    <row r="608" spans="1:12" ht="24.95" hidden="1" customHeight="1">
      <c r="A608" s="136"/>
      <c r="B608" s="176"/>
      <c r="C608" s="177"/>
      <c r="D608" s="136"/>
      <c r="E608" s="231"/>
      <c r="F608" s="144"/>
      <c r="G608" s="144"/>
      <c r="H608" s="235"/>
      <c r="I608" s="235"/>
      <c r="J608" s="235"/>
      <c r="K608" s="235"/>
      <c r="L608" s="285"/>
    </row>
    <row r="609" spans="1:12" ht="24.95" hidden="1" customHeight="1">
      <c r="A609" s="136"/>
      <c r="B609" s="176"/>
      <c r="C609" s="177"/>
      <c r="D609" s="136"/>
      <c r="E609" s="231"/>
      <c r="F609" s="144"/>
      <c r="G609" s="144"/>
      <c r="H609" s="235"/>
      <c r="I609" s="235"/>
      <c r="J609" s="235"/>
      <c r="K609" s="235"/>
      <c r="L609" s="285"/>
    </row>
    <row r="610" spans="1:12" ht="24.95" hidden="1" customHeight="1">
      <c r="A610" s="136"/>
      <c r="B610" s="176"/>
      <c r="C610" s="177"/>
      <c r="D610" s="136"/>
      <c r="E610" s="231"/>
      <c r="F610" s="144"/>
      <c r="G610" s="144"/>
      <c r="H610" s="235"/>
      <c r="I610" s="235"/>
      <c r="J610" s="235"/>
      <c r="K610" s="235"/>
      <c r="L610" s="285"/>
    </row>
    <row r="611" spans="1:12" ht="24.95" hidden="1" customHeight="1">
      <c r="A611" s="136"/>
      <c r="B611" s="176"/>
      <c r="C611" s="177"/>
      <c r="D611" s="136"/>
      <c r="E611" s="231"/>
      <c r="F611" s="144"/>
      <c r="G611" s="144"/>
      <c r="H611" s="235"/>
      <c r="I611" s="235"/>
      <c r="J611" s="235"/>
      <c r="K611" s="235"/>
      <c r="L611" s="285"/>
    </row>
    <row r="612" spans="1:12" ht="24.95" hidden="1" customHeight="1">
      <c r="A612" s="136"/>
      <c r="B612" s="176"/>
      <c r="C612" s="177"/>
      <c r="D612" s="136"/>
      <c r="E612" s="231"/>
      <c r="F612" s="144"/>
      <c r="G612" s="144"/>
      <c r="H612" s="235"/>
      <c r="I612" s="235"/>
      <c r="J612" s="235"/>
      <c r="K612" s="235"/>
      <c r="L612" s="285"/>
    </row>
    <row r="613" spans="1:12" ht="24.95" hidden="1" customHeight="1">
      <c r="A613" s="136"/>
      <c r="B613" s="176"/>
      <c r="C613" s="177"/>
      <c r="D613" s="136"/>
      <c r="E613" s="231"/>
      <c r="F613" s="144"/>
      <c r="G613" s="144"/>
      <c r="H613" s="235"/>
      <c r="I613" s="235"/>
      <c r="J613" s="235"/>
      <c r="K613" s="235"/>
      <c r="L613" s="285"/>
    </row>
    <row r="614" spans="1:12" ht="24.95" hidden="1" customHeight="1">
      <c r="A614" s="136"/>
      <c r="B614" s="176"/>
      <c r="C614" s="177"/>
      <c r="D614" s="136"/>
      <c r="E614" s="231"/>
      <c r="F614" s="144"/>
      <c r="G614" s="144"/>
      <c r="H614" s="235"/>
      <c r="I614" s="235"/>
      <c r="J614" s="235"/>
      <c r="K614" s="235"/>
      <c r="L614" s="285"/>
    </row>
    <row r="615" spans="1:12" ht="24.95" hidden="1" customHeight="1">
      <c r="A615" s="136"/>
      <c r="B615" s="176"/>
      <c r="C615" s="177"/>
      <c r="D615" s="136"/>
      <c r="E615" s="231"/>
      <c r="F615" s="144"/>
      <c r="G615" s="144"/>
      <c r="H615" s="235"/>
      <c r="I615" s="235"/>
      <c r="J615" s="235"/>
      <c r="K615" s="235"/>
      <c r="L615" s="285"/>
    </row>
    <row r="616" spans="1:12" ht="24.95" hidden="1" customHeight="1">
      <c r="A616" s="136"/>
      <c r="B616" s="176"/>
      <c r="C616" s="177"/>
      <c r="D616" s="136"/>
      <c r="E616" s="231"/>
      <c r="F616" s="144"/>
      <c r="G616" s="144"/>
      <c r="H616" s="235"/>
      <c r="I616" s="235"/>
      <c r="J616" s="235"/>
      <c r="K616" s="235"/>
      <c r="L616" s="285"/>
    </row>
    <row r="617" spans="1:12" ht="24.95" hidden="1" customHeight="1">
      <c r="A617" s="136"/>
      <c r="B617" s="176"/>
      <c r="C617" s="177"/>
      <c r="D617" s="136"/>
      <c r="E617" s="231"/>
      <c r="F617" s="144"/>
      <c r="G617" s="144"/>
      <c r="H617" s="235"/>
      <c r="I617" s="235"/>
      <c r="J617" s="235"/>
      <c r="K617" s="235"/>
      <c r="L617" s="285"/>
    </row>
    <row r="618" spans="1:12" ht="24.95" hidden="1" customHeight="1">
      <c r="A618" s="136"/>
      <c r="B618" s="176"/>
      <c r="C618" s="177"/>
      <c r="D618" s="136"/>
      <c r="E618" s="231"/>
      <c r="F618" s="144"/>
      <c r="G618" s="144"/>
      <c r="H618" s="235"/>
      <c r="I618" s="235"/>
      <c r="J618" s="235"/>
      <c r="K618" s="235"/>
      <c r="L618" s="285"/>
    </row>
    <row r="619" spans="1:12" ht="24.95" hidden="1" customHeight="1">
      <c r="A619" s="136"/>
      <c r="B619" s="176"/>
      <c r="C619" s="177"/>
      <c r="D619" s="136"/>
      <c r="E619" s="231"/>
      <c r="F619" s="144"/>
      <c r="G619" s="144"/>
      <c r="H619" s="235"/>
      <c r="I619" s="235"/>
      <c r="J619" s="235"/>
      <c r="K619" s="235"/>
      <c r="L619" s="285"/>
    </row>
    <row r="620" spans="1:12" ht="24.95" hidden="1" customHeight="1">
      <c r="A620" s="136"/>
      <c r="B620" s="176"/>
      <c r="C620" s="177"/>
      <c r="D620" s="136"/>
      <c r="E620" s="231"/>
      <c r="F620" s="144"/>
      <c r="G620" s="144"/>
      <c r="H620" s="235"/>
      <c r="I620" s="235"/>
      <c r="J620" s="235"/>
      <c r="K620" s="235"/>
      <c r="L620" s="285"/>
    </row>
    <row r="621" spans="1:12" ht="24.95" hidden="1" customHeight="1">
      <c r="A621" s="136"/>
      <c r="B621" s="176"/>
      <c r="C621" s="177"/>
      <c r="D621" s="136"/>
      <c r="E621" s="231"/>
      <c r="F621" s="144"/>
      <c r="G621" s="144"/>
      <c r="H621" s="235"/>
      <c r="I621" s="235"/>
      <c r="J621" s="235"/>
      <c r="K621" s="235"/>
      <c r="L621" s="285"/>
    </row>
    <row r="622" spans="1:12" ht="24.95" hidden="1" customHeight="1">
      <c r="A622" s="136"/>
      <c r="B622" s="176"/>
      <c r="C622" s="177"/>
      <c r="D622" s="136"/>
      <c r="E622" s="231"/>
      <c r="F622" s="144"/>
      <c r="G622" s="144"/>
      <c r="H622" s="235"/>
      <c r="I622" s="235"/>
      <c r="J622" s="235"/>
      <c r="K622" s="235"/>
      <c r="L622" s="285"/>
    </row>
    <row r="623" spans="1:12" ht="24.95" hidden="1" customHeight="1">
      <c r="A623" s="136"/>
      <c r="B623" s="176"/>
      <c r="C623" s="177"/>
      <c r="D623" s="136"/>
      <c r="E623" s="231"/>
      <c r="F623" s="144"/>
      <c r="G623" s="144"/>
      <c r="H623" s="235"/>
      <c r="I623" s="235"/>
      <c r="J623" s="235"/>
      <c r="K623" s="235"/>
      <c r="L623" s="285"/>
    </row>
    <row r="624" spans="1:12" ht="24.95" hidden="1" customHeight="1">
      <c r="A624" s="136"/>
      <c r="B624" s="176"/>
      <c r="C624" s="177"/>
      <c r="D624" s="136"/>
      <c r="E624" s="231"/>
      <c r="F624" s="144"/>
      <c r="G624" s="144"/>
      <c r="H624" s="235"/>
      <c r="I624" s="235"/>
      <c r="J624" s="235"/>
      <c r="K624" s="235"/>
      <c r="L624" s="285"/>
    </row>
    <row r="625" spans="1:12" ht="24.95" hidden="1" customHeight="1">
      <c r="A625" s="136"/>
      <c r="B625" s="176"/>
      <c r="C625" s="177"/>
      <c r="D625" s="136"/>
      <c r="E625" s="231"/>
      <c r="F625" s="144"/>
      <c r="G625" s="144"/>
      <c r="H625" s="235"/>
      <c r="I625" s="235"/>
      <c r="J625" s="235"/>
      <c r="K625" s="235"/>
      <c r="L625" s="285"/>
    </row>
    <row r="626" spans="1:12" ht="24.95" hidden="1" customHeight="1">
      <c r="A626" s="136"/>
      <c r="B626" s="176"/>
      <c r="C626" s="177"/>
      <c r="D626" s="136"/>
      <c r="E626" s="231"/>
      <c r="F626" s="144"/>
      <c r="G626" s="144"/>
      <c r="H626" s="235"/>
      <c r="I626" s="235"/>
      <c r="J626" s="235"/>
      <c r="K626" s="235"/>
      <c r="L626" s="285"/>
    </row>
    <row r="627" spans="1:12" ht="24.95" hidden="1" customHeight="1">
      <c r="A627" s="136"/>
      <c r="B627" s="176"/>
      <c r="C627" s="177"/>
      <c r="D627" s="136"/>
      <c r="E627" s="231"/>
      <c r="F627" s="144"/>
      <c r="G627" s="144"/>
      <c r="H627" s="235"/>
      <c r="I627" s="235"/>
      <c r="J627" s="235"/>
      <c r="K627" s="235"/>
      <c r="L627" s="285"/>
    </row>
    <row r="628" spans="1:12" ht="24.95" hidden="1" customHeight="1">
      <c r="A628" s="136"/>
      <c r="B628" s="176"/>
      <c r="C628" s="177"/>
      <c r="D628" s="136"/>
      <c r="E628" s="231"/>
      <c r="F628" s="144"/>
      <c r="G628" s="144"/>
      <c r="H628" s="235"/>
      <c r="I628" s="235"/>
      <c r="J628" s="235"/>
      <c r="K628" s="235"/>
      <c r="L628" s="285"/>
    </row>
    <row r="629" spans="1:12" ht="24.95" hidden="1" customHeight="1">
      <c r="A629" s="136"/>
      <c r="B629" s="176"/>
      <c r="C629" s="177"/>
      <c r="D629" s="136"/>
      <c r="E629" s="231"/>
      <c r="F629" s="144"/>
      <c r="G629" s="144"/>
      <c r="H629" s="235"/>
      <c r="I629" s="235"/>
      <c r="J629" s="235"/>
      <c r="K629" s="235"/>
      <c r="L629" s="285"/>
    </row>
    <row r="630" spans="1:12" ht="24.95" hidden="1" customHeight="1">
      <c r="A630" s="136"/>
      <c r="B630" s="176"/>
      <c r="C630" s="177"/>
      <c r="D630" s="136"/>
      <c r="E630" s="231"/>
      <c r="F630" s="144"/>
      <c r="G630" s="144"/>
      <c r="H630" s="235"/>
      <c r="I630" s="235"/>
      <c r="J630" s="235"/>
      <c r="K630" s="235"/>
      <c r="L630" s="285"/>
    </row>
    <row r="631" spans="1:12" ht="24.95" hidden="1" customHeight="1">
      <c r="A631" s="136"/>
      <c r="B631" s="176"/>
      <c r="C631" s="177"/>
      <c r="D631" s="136"/>
      <c r="E631" s="231"/>
      <c r="F631" s="144"/>
      <c r="G631" s="144"/>
      <c r="H631" s="235"/>
      <c r="I631" s="235"/>
      <c r="J631" s="235"/>
      <c r="K631" s="235"/>
      <c r="L631" s="285"/>
    </row>
    <row r="632" spans="1:12" ht="24.95" hidden="1" customHeight="1">
      <c r="A632" s="136"/>
      <c r="B632" s="176"/>
      <c r="C632" s="177"/>
      <c r="D632" s="136"/>
      <c r="E632" s="231"/>
      <c r="F632" s="144"/>
      <c r="G632" s="144"/>
      <c r="H632" s="235"/>
      <c r="I632" s="235"/>
      <c r="J632" s="235"/>
      <c r="K632" s="235"/>
      <c r="L632" s="285"/>
    </row>
    <row r="633" spans="1:12" ht="24.95" hidden="1" customHeight="1">
      <c r="A633" s="136"/>
      <c r="B633" s="176"/>
      <c r="C633" s="177"/>
      <c r="D633" s="136"/>
      <c r="E633" s="231"/>
      <c r="F633" s="144"/>
      <c r="G633" s="144"/>
      <c r="H633" s="235"/>
      <c r="I633" s="235"/>
      <c r="J633" s="235"/>
      <c r="K633" s="235"/>
      <c r="L633" s="285"/>
    </row>
    <row r="634" spans="1:12" ht="24.95" hidden="1" customHeight="1">
      <c r="A634" s="136"/>
      <c r="B634" s="176"/>
      <c r="C634" s="177"/>
      <c r="D634" s="136"/>
      <c r="E634" s="231"/>
      <c r="F634" s="144"/>
      <c r="G634" s="144"/>
      <c r="H634" s="235"/>
      <c r="I634" s="235"/>
      <c r="J634" s="235"/>
      <c r="K634" s="235"/>
      <c r="L634" s="285"/>
    </row>
    <row r="635" spans="1:12" ht="24.95" hidden="1" customHeight="1">
      <c r="A635" s="136"/>
      <c r="B635" s="176"/>
      <c r="C635" s="177"/>
      <c r="D635" s="136"/>
      <c r="E635" s="231"/>
      <c r="F635" s="144"/>
      <c r="G635" s="144"/>
      <c r="H635" s="235"/>
      <c r="I635" s="235"/>
      <c r="J635" s="235"/>
      <c r="K635" s="235"/>
      <c r="L635" s="285"/>
    </row>
    <row r="636" spans="1:12" ht="24.95" hidden="1" customHeight="1">
      <c r="A636" s="136"/>
      <c r="B636" s="176"/>
      <c r="C636" s="177"/>
      <c r="D636" s="136"/>
      <c r="E636" s="231"/>
      <c r="F636" s="144"/>
      <c r="G636" s="144"/>
      <c r="H636" s="235"/>
      <c r="I636" s="235"/>
      <c r="J636" s="235"/>
      <c r="K636" s="235"/>
      <c r="L636" s="285"/>
    </row>
    <row r="637" spans="1:12" ht="24.95" hidden="1" customHeight="1">
      <c r="A637" s="136"/>
      <c r="B637" s="176"/>
      <c r="C637" s="177"/>
      <c r="D637" s="136"/>
      <c r="E637" s="231"/>
      <c r="F637" s="144"/>
      <c r="G637" s="144"/>
      <c r="H637" s="235"/>
      <c r="I637" s="235"/>
      <c r="J637" s="235"/>
      <c r="K637" s="235"/>
      <c r="L637" s="285"/>
    </row>
    <row r="638" spans="1:12" ht="24.95" hidden="1" customHeight="1">
      <c r="A638" s="136"/>
      <c r="B638" s="176"/>
      <c r="C638" s="177"/>
      <c r="D638" s="136"/>
      <c r="E638" s="231"/>
      <c r="F638" s="144"/>
      <c r="G638" s="144"/>
      <c r="H638" s="235"/>
      <c r="I638" s="235"/>
      <c r="J638" s="235"/>
      <c r="K638" s="235"/>
      <c r="L638" s="285"/>
    </row>
    <row r="639" spans="1:12" ht="24.95" hidden="1" customHeight="1">
      <c r="A639" s="136"/>
      <c r="B639" s="176"/>
      <c r="C639" s="177"/>
      <c r="D639" s="136"/>
      <c r="E639" s="231"/>
      <c r="F639" s="144"/>
      <c r="G639" s="144"/>
      <c r="H639" s="235"/>
      <c r="I639" s="235"/>
      <c r="J639" s="235"/>
      <c r="K639" s="235"/>
      <c r="L639" s="285"/>
    </row>
    <row r="640" spans="1:12" ht="24.95" hidden="1" customHeight="1">
      <c r="A640" s="136"/>
      <c r="B640" s="176"/>
      <c r="C640" s="177"/>
      <c r="D640" s="136"/>
      <c r="E640" s="231"/>
      <c r="F640" s="144"/>
      <c r="G640" s="144"/>
      <c r="H640" s="235"/>
      <c r="I640" s="235"/>
      <c r="J640" s="235"/>
      <c r="K640" s="235"/>
      <c r="L640" s="285"/>
    </row>
    <row r="641" spans="1:12" ht="24.95" hidden="1" customHeight="1">
      <c r="A641" s="136"/>
      <c r="B641" s="176"/>
      <c r="C641" s="177"/>
      <c r="D641" s="136"/>
      <c r="E641" s="231"/>
      <c r="F641" s="144"/>
      <c r="G641" s="144"/>
      <c r="H641" s="235"/>
      <c r="I641" s="235"/>
      <c r="J641" s="235"/>
      <c r="K641" s="235"/>
      <c r="L641" s="285"/>
    </row>
    <row r="642" spans="1:12" ht="24.95" hidden="1" customHeight="1">
      <c r="A642" s="136"/>
      <c r="B642" s="176"/>
      <c r="C642" s="177"/>
      <c r="D642" s="136"/>
      <c r="E642" s="231"/>
      <c r="F642" s="144"/>
      <c r="G642" s="144"/>
      <c r="H642" s="235"/>
      <c r="I642" s="235"/>
      <c r="J642" s="235"/>
      <c r="K642" s="235"/>
      <c r="L642" s="285"/>
    </row>
    <row r="643" spans="1:12" ht="24.95" hidden="1" customHeight="1">
      <c r="A643" s="136"/>
      <c r="B643" s="176"/>
      <c r="C643" s="177"/>
      <c r="D643" s="136"/>
      <c r="E643" s="231"/>
      <c r="F643" s="144"/>
      <c r="G643" s="144"/>
      <c r="H643" s="235"/>
      <c r="I643" s="235"/>
      <c r="J643" s="235"/>
      <c r="K643" s="235"/>
      <c r="L643" s="285"/>
    </row>
    <row r="644" spans="1:12" ht="24.95" hidden="1" customHeight="1">
      <c r="A644" s="136"/>
      <c r="B644" s="176"/>
      <c r="C644" s="177"/>
      <c r="D644" s="136"/>
      <c r="E644" s="231"/>
      <c r="F644" s="144"/>
      <c r="G644" s="144"/>
      <c r="H644" s="235"/>
      <c r="I644" s="235"/>
      <c r="J644" s="235"/>
      <c r="K644" s="235"/>
      <c r="L644" s="285"/>
    </row>
    <row r="645" spans="1:12" ht="24.95" hidden="1" customHeight="1">
      <c r="A645" s="136"/>
      <c r="B645" s="176"/>
      <c r="C645" s="177"/>
      <c r="D645" s="136"/>
      <c r="E645" s="231"/>
      <c r="F645" s="144"/>
      <c r="G645" s="144"/>
      <c r="H645" s="235"/>
      <c r="I645" s="235"/>
      <c r="J645" s="235"/>
      <c r="K645" s="235"/>
      <c r="L645" s="285"/>
    </row>
    <row r="646" spans="1:12" ht="24.95" hidden="1" customHeight="1">
      <c r="A646" s="136"/>
      <c r="B646" s="176"/>
      <c r="C646" s="177"/>
      <c r="D646" s="136"/>
      <c r="E646" s="231"/>
      <c r="F646" s="144"/>
      <c r="G646" s="144"/>
      <c r="H646" s="235"/>
      <c r="I646" s="235"/>
      <c r="J646" s="235"/>
      <c r="K646" s="235"/>
      <c r="L646" s="285"/>
    </row>
    <row r="647" spans="1:12" ht="24.95" hidden="1" customHeight="1">
      <c r="A647" s="136"/>
      <c r="B647" s="176"/>
      <c r="C647" s="177"/>
      <c r="D647" s="136"/>
      <c r="E647" s="231"/>
      <c r="F647" s="144"/>
      <c r="G647" s="144"/>
      <c r="H647" s="235"/>
      <c r="I647" s="235"/>
      <c r="J647" s="235"/>
      <c r="K647" s="235"/>
      <c r="L647" s="285"/>
    </row>
    <row r="648" spans="1:12" ht="24.95" hidden="1" customHeight="1">
      <c r="A648" s="136"/>
      <c r="B648" s="176"/>
      <c r="C648" s="177"/>
      <c r="D648" s="136"/>
      <c r="E648" s="231"/>
      <c r="F648" s="144"/>
      <c r="G648" s="144"/>
      <c r="H648" s="235"/>
      <c r="I648" s="235"/>
      <c r="J648" s="235"/>
      <c r="K648" s="235"/>
      <c r="L648" s="285"/>
    </row>
    <row r="649" spans="1:12" ht="24.95" hidden="1" customHeight="1">
      <c r="A649" s="136"/>
      <c r="B649" s="176"/>
      <c r="C649" s="177"/>
      <c r="D649" s="136"/>
      <c r="E649" s="231"/>
      <c r="F649" s="144"/>
      <c r="G649" s="144"/>
      <c r="H649" s="235"/>
      <c r="I649" s="235"/>
      <c r="J649" s="235"/>
      <c r="K649" s="235"/>
      <c r="L649" s="285"/>
    </row>
    <row r="650" spans="1:12" ht="24.95" hidden="1" customHeight="1">
      <c r="A650" s="136"/>
      <c r="B650" s="176"/>
      <c r="C650" s="177"/>
      <c r="D650" s="136"/>
      <c r="E650" s="231"/>
      <c r="F650" s="144"/>
      <c r="G650" s="144"/>
      <c r="H650" s="235"/>
      <c r="I650" s="235"/>
      <c r="J650" s="235"/>
      <c r="K650" s="235"/>
      <c r="L650" s="285"/>
    </row>
    <row r="651" spans="1:12" ht="24.95" hidden="1" customHeight="1">
      <c r="A651" s="136"/>
      <c r="B651" s="176"/>
      <c r="C651" s="177"/>
      <c r="D651" s="136"/>
      <c r="E651" s="231"/>
      <c r="F651" s="144"/>
      <c r="G651" s="144"/>
      <c r="H651" s="235"/>
      <c r="I651" s="235"/>
      <c r="J651" s="235"/>
      <c r="K651" s="235"/>
      <c r="L651" s="285"/>
    </row>
    <row r="652" spans="1:12" ht="24.95" hidden="1" customHeight="1">
      <c r="A652" s="136"/>
      <c r="B652" s="176"/>
      <c r="C652" s="177"/>
      <c r="D652" s="136"/>
      <c r="E652" s="231"/>
      <c r="F652" s="144"/>
      <c r="G652" s="144"/>
      <c r="H652" s="235"/>
      <c r="I652" s="235"/>
      <c r="J652" s="235"/>
      <c r="K652" s="235"/>
      <c r="L652" s="285"/>
    </row>
    <row r="653" spans="1:12" ht="24.95" hidden="1" customHeight="1">
      <c r="A653" s="136"/>
      <c r="B653" s="176"/>
      <c r="C653" s="177"/>
      <c r="D653" s="136"/>
      <c r="E653" s="231"/>
      <c r="F653" s="144"/>
      <c r="G653" s="144"/>
      <c r="H653" s="235"/>
      <c r="I653" s="235"/>
      <c r="J653" s="235"/>
      <c r="K653" s="235"/>
      <c r="L653" s="285"/>
    </row>
    <row r="654" spans="1:12" ht="24.95" hidden="1" customHeight="1">
      <c r="A654" s="136"/>
      <c r="B654" s="176"/>
      <c r="C654" s="177"/>
      <c r="D654" s="136"/>
      <c r="E654" s="231"/>
      <c r="F654" s="144"/>
      <c r="G654" s="144"/>
      <c r="H654" s="235"/>
      <c r="I654" s="235"/>
      <c r="J654" s="235"/>
      <c r="K654" s="235"/>
      <c r="L654" s="285"/>
    </row>
    <row r="655" spans="1:12" ht="24.95" hidden="1" customHeight="1">
      <c r="A655" s="136"/>
      <c r="B655" s="176"/>
      <c r="C655" s="177"/>
      <c r="D655" s="136"/>
      <c r="E655" s="231"/>
      <c r="F655" s="144"/>
      <c r="G655" s="144"/>
      <c r="H655" s="235"/>
      <c r="I655" s="235"/>
      <c r="J655" s="235"/>
      <c r="K655" s="235"/>
      <c r="L655" s="285"/>
    </row>
    <row r="656" spans="1:12" ht="24.95" hidden="1" customHeight="1">
      <c r="A656" s="136"/>
      <c r="B656" s="176"/>
      <c r="C656" s="177"/>
      <c r="D656" s="136"/>
      <c r="E656" s="231"/>
      <c r="F656" s="144"/>
      <c r="G656" s="144"/>
      <c r="H656" s="235"/>
      <c r="I656" s="235"/>
      <c r="J656" s="235"/>
      <c r="K656" s="235"/>
      <c r="L656" s="285"/>
    </row>
    <row r="657" spans="1:12" ht="24.95" hidden="1" customHeight="1">
      <c r="A657" s="136"/>
      <c r="B657" s="176"/>
      <c r="C657" s="177"/>
      <c r="D657" s="136"/>
      <c r="E657" s="231"/>
      <c r="F657" s="144"/>
      <c r="G657" s="144"/>
      <c r="H657" s="235"/>
      <c r="I657" s="235"/>
      <c r="J657" s="235"/>
      <c r="K657" s="235"/>
      <c r="L657" s="285"/>
    </row>
    <row r="658" spans="1:12" ht="24.95" hidden="1" customHeight="1">
      <c r="A658" s="136"/>
      <c r="B658" s="176"/>
      <c r="C658" s="177"/>
      <c r="D658" s="136"/>
      <c r="E658" s="231"/>
      <c r="F658" s="144"/>
      <c r="G658" s="144"/>
      <c r="H658" s="235"/>
      <c r="I658" s="235"/>
      <c r="J658" s="235"/>
      <c r="K658" s="235"/>
      <c r="L658" s="285"/>
    </row>
    <row r="659" spans="1:12" ht="24.95" hidden="1" customHeight="1">
      <c r="A659" s="136"/>
      <c r="B659" s="176"/>
      <c r="C659" s="177"/>
      <c r="D659" s="136"/>
      <c r="E659" s="231"/>
      <c r="F659" s="144"/>
      <c r="G659" s="144"/>
      <c r="H659" s="235"/>
      <c r="I659" s="235"/>
      <c r="J659" s="235"/>
      <c r="K659" s="235"/>
      <c r="L659" s="285"/>
    </row>
    <row r="660" spans="1:12" ht="24.95" hidden="1" customHeight="1">
      <c r="A660" s="136"/>
      <c r="B660" s="176"/>
      <c r="C660" s="177"/>
      <c r="D660" s="136"/>
      <c r="E660" s="231"/>
      <c r="F660" s="144"/>
      <c r="G660" s="144"/>
      <c r="H660" s="235"/>
      <c r="I660" s="235"/>
      <c r="J660" s="235"/>
      <c r="K660" s="235"/>
      <c r="L660" s="285"/>
    </row>
    <row r="661" spans="1:12" ht="24.95" hidden="1" customHeight="1">
      <c r="A661" s="136"/>
      <c r="B661" s="176"/>
      <c r="C661" s="177"/>
      <c r="D661" s="136"/>
      <c r="E661" s="231"/>
      <c r="F661" s="144"/>
      <c r="G661" s="144"/>
      <c r="H661" s="235"/>
      <c r="I661" s="235"/>
      <c r="J661" s="235"/>
      <c r="K661" s="235"/>
      <c r="L661" s="285"/>
    </row>
    <row r="662" spans="1:12" ht="24.95" hidden="1" customHeight="1">
      <c r="A662" s="136"/>
      <c r="B662" s="176"/>
      <c r="C662" s="177"/>
      <c r="D662" s="136"/>
      <c r="E662" s="231"/>
      <c r="F662" s="144"/>
      <c r="G662" s="144"/>
      <c r="H662" s="235"/>
      <c r="I662" s="235"/>
      <c r="J662" s="235"/>
      <c r="K662" s="235"/>
      <c r="L662" s="285"/>
    </row>
    <row r="663" spans="1:12" ht="24.95" hidden="1" customHeight="1">
      <c r="A663" s="136"/>
      <c r="B663" s="176"/>
      <c r="C663" s="177"/>
      <c r="D663" s="136"/>
      <c r="E663" s="231"/>
      <c r="F663" s="144"/>
      <c r="G663" s="144"/>
      <c r="H663" s="235"/>
      <c r="I663" s="235"/>
      <c r="J663" s="235"/>
      <c r="K663" s="235"/>
      <c r="L663" s="285"/>
    </row>
    <row r="664" spans="1:12" ht="24.95" hidden="1" customHeight="1">
      <c r="A664" s="136"/>
      <c r="B664" s="176"/>
      <c r="C664" s="177"/>
      <c r="D664" s="136"/>
      <c r="E664" s="231"/>
      <c r="F664" s="144"/>
      <c r="G664" s="144"/>
      <c r="H664" s="235"/>
      <c r="I664" s="235"/>
      <c r="J664" s="235"/>
      <c r="K664" s="235"/>
      <c r="L664" s="285"/>
    </row>
    <row r="665" spans="1:12" ht="24.95" hidden="1" customHeight="1">
      <c r="A665" s="136"/>
      <c r="B665" s="176"/>
      <c r="C665" s="177"/>
      <c r="D665" s="136"/>
      <c r="E665" s="231"/>
      <c r="F665" s="144"/>
      <c r="G665" s="144"/>
      <c r="H665" s="235"/>
      <c r="I665" s="235"/>
      <c r="J665" s="235"/>
      <c r="K665" s="235"/>
      <c r="L665" s="285"/>
    </row>
    <row r="666" spans="1:12" ht="24.95" hidden="1" customHeight="1">
      <c r="A666" s="136"/>
      <c r="B666" s="176"/>
      <c r="C666" s="177"/>
      <c r="D666" s="136"/>
      <c r="E666" s="231"/>
      <c r="F666" s="144"/>
      <c r="G666" s="144"/>
      <c r="H666" s="235"/>
      <c r="I666" s="235"/>
      <c r="J666" s="235"/>
      <c r="K666" s="235"/>
      <c r="L666" s="285"/>
    </row>
    <row r="667" spans="1:12" ht="24.95" hidden="1" customHeight="1">
      <c r="A667" s="136"/>
      <c r="B667" s="176"/>
      <c r="C667" s="177"/>
      <c r="D667" s="136"/>
      <c r="E667" s="231"/>
      <c r="F667" s="144"/>
      <c r="G667" s="144"/>
      <c r="H667" s="235"/>
      <c r="I667" s="235"/>
      <c r="J667" s="235"/>
      <c r="K667" s="235"/>
      <c r="L667" s="285"/>
    </row>
    <row r="668" spans="1:12" ht="24.95" hidden="1" customHeight="1">
      <c r="A668" s="136"/>
      <c r="B668" s="176"/>
      <c r="C668" s="177"/>
      <c r="D668" s="136"/>
      <c r="E668" s="231"/>
      <c r="F668" s="144"/>
      <c r="G668" s="144"/>
      <c r="H668" s="235"/>
      <c r="I668" s="235"/>
      <c r="J668" s="235"/>
      <c r="K668" s="235"/>
      <c r="L668" s="285"/>
    </row>
    <row r="669" spans="1:12" ht="24.95" hidden="1" customHeight="1">
      <c r="A669" s="136"/>
      <c r="B669" s="176"/>
      <c r="C669" s="177"/>
      <c r="D669" s="136"/>
      <c r="E669" s="231"/>
      <c r="F669" s="144"/>
      <c r="G669" s="144"/>
      <c r="H669" s="235"/>
      <c r="I669" s="235"/>
      <c r="J669" s="235"/>
      <c r="K669" s="235"/>
      <c r="L669" s="285"/>
    </row>
    <row r="670" spans="1:12" ht="24.95" hidden="1" customHeight="1">
      <c r="A670" s="136"/>
      <c r="B670" s="176"/>
      <c r="C670" s="177"/>
      <c r="D670" s="136"/>
      <c r="E670" s="231"/>
      <c r="F670" s="144"/>
      <c r="G670" s="144"/>
      <c r="H670" s="235"/>
      <c r="I670" s="235"/>
      <c r="J670" s="235"/>
      <c r="K670" s="235"/>
      <c r="L670" s="285"/>
    </row>
    <row r="671" spans="1:12" ht="24.95" hidden="1" customHeight="1">
      <c r="A671" s="136"/>
      <c r="B671" s="176"/>
      <c r="C671" s="177"/>
      <c r="D671" s="136"/>
      <c r="E671" s="231"/>
      <c r="F671" s="144"/>
      <c r="G671" s="144"/>
      <c r="H671" s="235"/>
      <c r="I671" s="235"/>
      <c r="J671" s="235"/>
      <c r="K671" s="235"/>
      <c r="L671" s="285"/>
    </row>
    <row r="672" spans="1:12" ht="24.95" hidden="1" customHeight="1">
      <c r="A672" s="136"/>
      <c r="B672" s="176"/>
      <c r="C672" s="177"/>
      <c r="D672" s="136"/>
      <c r="E672" s="231"/>
      <c r="F672" s="144"/>
      <c r="G672" s="144"/>
      <c r="H672" s="235"/>
      <c r="I672" s="235"/>
      <c r="J672" s="235"/>
      <c r="K672" s="235"/>
      <c r="L672" s="285"/>
    </row>
    <row r="673" spans="1:12" ht="24.95" hidden="1" customHeight="1">
      <c r="A673" s="136"/>
      <c r="B673" s="176"/>
      <c r="C673" s="177"/>
      <c r="D673" s="136"/>
      <c r="E673" s="231"/>
      <c r="F673" s="144"/>
      <c r="G673" s="144"/>
      <c r="H673" s="235"/>
      <c r="I673" s="235"/>
      <c r="J673" s="235"/>
      <c r="K673" s="235"/>
      <c r="L673" s="285"/>
    </row>
    <row r="674" spans="1:12" ht="24.95" hidden="1" customHeight="1">
      <c r="A674" s="136"/>
      <c r="B674" s="176"/>
      <c r="C674" s="177"/>
      <c r="D674" s="136"/>
      <c r="E674" s="231"/>
      <c r="F674" s="144"/>
      <c r="G674" s="144"/>
      <c r="H674" s="235"/>
      <c r="I674" s="235"/>
      <c r="J674" s="235"/>
      <c r="K674" s="235"/>
      <c r="L674" s="285"/>
    </row>
    <row r="675" spans="1:12" ht="24.95" hidden="1" customHeight="1">
      <c r="A675" s="136"/>
      <c r="B675" s="176"/>
      <c r="C675" s="177"/>
      <c r="D675" s="136"/>
      <c r="E675" s="231"/>
      <c r="F675" s="144"/>
      <c r="G675" s="144"/>
      <c r="H675" s="235"/>
      <c r="I675" s="235"/>
      <c r="J675" s="235"/>
      <c r="K675" s="235"/>
      <c r="L675" s="285"/>
    </row>
    <row r="676" spans="1:12" ht="24.95" hidden="1" customHeight="1">
      <c r="A676" s="136"/>
      <c r="B676" s="176"/>
      <c r="C676" s="177"/>
      <c r="D676" s="136"/>
      <c r="E676" s="231"/>
      <c r="F676" s="144"/>
      <c r="G676" s="144"/>
      <c r="H676" s="235"/>
      <c r="I676" s="235"/>
      <c r="J676" s="235"/>
      <c r="K676" s="235"/>
      <c r="L676" s="285"/>
    </row>
    <row r="677" spans="1:12" ht="24.95" hidden="1" customHeight="1">
      <c r="A677" s="136"/>
      <c r="B677" s="176"/>
      <c r="C677" s="177"/>
      <c r="D677" s="136"/>
      <c r="E677" s="231"/>
      <c r="F677" s="144"/>
      <c r="G677" s="144"/>
      <c r="H677" s="235"/>
      <c r="I677" s="235"/>
      <c r="J677" s="235"/>
      <c r="K677" s="235"/>
      <c r="L677" s="285"/>
    </row>
    <row r="678" spans="1:12" ht="24.95" hidden="1" customHeight="1">
      <c r="A678" s="136"/>
      <c r="B678" s="176"/>
      <c r="C678" s="177"/>
      <c r="D678" s="136"/>
      <c r="E678" s="231"/>
      <c r="F678" s="144"/>
      <c r="G678" s="144"/>
      <c r="H678" s="235"/>
      <c r="I678" s="235"/>
      <c r="J678" s="235"/>
      <c r="K678" s="235"/>
      <c r="L678" s="285"/>
    </row>
    <row r="679" spans="1:12" ht="24.95" hidden="1" customHeight="1">
      <c r="A679" s="136"/>
      <c r="B679" s="176"/>
      <c r="C679" s="177"/>
      <c r="D679" s="136"/>
      <c r="E679" s="231"/>
      <c r="F679" s="144"/>
      <c r="G679" s="144"/>
      <c r="H679" s="235"/>
      <c r="I679" s="235"/>
      <c r="J679" s="235"/>
      <c r="K679" s="235"/>
      <c r="L679" s="285"/>
    </row>
    <row r="680" spans="1:12" ht="24.95" hidden="1" customHeight="1">
      <c r="A680" s="136"/>
      <c r="B680" s="176"/>
      <c r="C680" s="177"/>
      <c r="D680" s="136"/>
      <c r="E680" s="231"/>
      <c r="F680" s="144"/>
      <c r="G680" s="144"/>
      <c r="H680" s="235"/>
      <c r="I680" s="235"/>
      <c r="J680" s="235"/>
      <c r="K680" s="235"/>
      <c r="L680" s="285"/>
    </row>
    <row r="681" spans="1:12" ht="24.95" hidden="1" customHeight="1">
      <c r="A681" s="136"/>
      <c r="B681" s="176"/>
      <c r="C681" s="177"/>
      <c r="D681" s="136"/>
      <c r="E681" s="231"/>
      <c r="F681" s="144"/>
      <c r="G681" s="144"/>
      <c r="H681" s="235"/>
      <c r="I681" s="235"/>
      <c r="J681" s="235"/>
      <c r="K681" s="235"/>
      <c r="L681" s="285"/>
    </row>
    <row r="682" spans="1:12" ht="24.95" hidden="1" customHeight="1">
      <c r="A682" s="136"/>
      <c r="B682" s="176"/>
      <c r="C682" s="177"/>
      <c r="D682" s="136"/>
      <c r="E682" s="231"/>
      <c r="F682" s="144"/>
      <c r="G682" s="144"/>
      <c r="H682" s="235"/>
      <c r="I682" s="235"/>
      <c r="J682" s="235"/>
      <c r="K682" s="235"/>
      <c r="L682" s="285"/>
    </row>
    <row r="683" spans="1:12" ht="24.95" hidden="1" customHeight="1">
      <c r="A683" s="136"/>
      <c r="B683" s="176"/>
      <c r="C683" s="177"/>
      <c r="D683" s="136"/>
      <c r="E683" s="231"/>
      <c r="F683" s="144"/>
      <c r="G683" s="144"/>
      <c r="H683" s="235"/>
      <c r="I683" s="235"/>
      <c r="J683" s="235"/>
      <c r="K683" s="235"/>
      <c r="L683" s="285"/>
    </row>
    <row r="684" spans="1:12" ht="24.95" hidden="1" customHeight="1">
      <c r="A684" s="136"/>
      <c r="B684" s="176"/>
      <c r="C684" s="177"/>
      <c r="D684" s="136"/>
      <c r="E684" s="231"/>
      <c r="F684" s="144"/>
      <c r="G684" s="144"/>
      <c r="H684" s="235"/>
      <c r="I684" s="235"/>
      <c r="J684" s="235"/>
      <c r="K684" s="235"/>
      <c r="L684" s="285"/>
    </row>
    <row r="685" spans="1:12" ht="24.95" hidden="1" customHeight="1">
      <c r="A685" s="136"/>
      <c r="B685" s="176"/>
      <c r="C685" s="177"/>
      <c r="D685" s="136"/>
      <c r="E685" s="231"/>
      <c r="F685" s="144"/>
      <c r="G685" s="144"/>
      <c r="H685" s="235"/>
      <c r="I685" s="235"/>
      <c r="J685" s="235"/>
      <c r="K685" s="235"/>
      <c r="L685" s="285"/>
    </row>
    <row r="686" spans="1:12" ht="24.95" hidden="1" customHeight="1">
      <c r="A686" s="136"/>
      <c r="B686" s="176"/>
      <c r="C686" s="177"/>
      <c r="D686" s="136"/>
      <c r="E686" s="231"/>
      <c r="F686" s="144"/>
      <c r="G686" s="144"/>
      <c r="H686" s="235"/>
      <c r="I686" s="235"/>
      <c r="J686" s="235"/>
      <c r="K686" s="235"/>
      <c r="L686" s="285"/>
    </row>
    <row r="687" spans="1:12" ht="24.95" hidden="1" customHeight="1">
      <c r="A687" s="136"/>
      <c r="B687" s="176"/>
      <c r="C687" s="177"/>
      <c r="D687" s="136"/>
      <c r="E687" s="231"/>
      <c r="F687" s="144"/>
      <c r="G687" s="144"/>
      <c r="H687" s="235"/>
      <c r="I687" s="235"/>
      <c r="J687" s="235"/>
      <c r="K687" s="235"/>
      <c r="L687" s="285"/>
    </row>
    <row r="688" spans="1:12" ht="24.95" hidden="1" customHeight="1">
      <c r="A688" s="136"/>
      <c r="B688" s="176"/>
      <c r="C688" s="177"/>
      <c r="D688" s="136"/>
      <c r="E688" s="231"/>
      <c r="F688" s="144"/>
      <c r="G688" s="144"/>
      <c r="H688" s="235"/>
      <c r="I688" s="235"/>
      <c r="J688" s="235"/>
      <c r="K688" s="235"/>
      <c r="L688" s="285"/>
    </row>
    <row r="689" spans="1:12" ht="24.95" hidden="1" customHeight="1">
      <c r="A689" s="136"/>
      <c r="B689" s="176"/>
      <c r="C689" s="177"/>
      <c r="D689" s="136"/>
      <c r="E689" s="231"/>
      <c r="F689" s="144"/>
      <c r="G689" s="144"/>
      <c r="H689" s="235"/>
      <c r="I689" s="235"/>
      <c r="J689" s="235"/>
      <c r="K689" s="235"/>
      <c r="L689" s="285"/>
    </row>
    <row r="690" spans="1:12" ht="24.95" hidden="1" customHeight="1">
      <c r="A690" s="136"/>
      <c r="B690" s="176"/>
      <c r="C690" s="177"/>
      <c r="D690" s="136"/>
      <c r="E690" s="231"/>
      <c r="F690" s="144"/>
      <c r="G690" s="144"/>
      <c r="H690" s="235"/>
      <c r="I690" s="235"/>
      <c r="J690" s="235"/>
      <c r="K690" s="235"/>
      <c r="L690" s="285"/>
    </row>
    <row r="691" spans="1:12" ht="24.95" hidden="1" customHeight="1">
      <c r="A691" s="136"/>
      <c r="B691" s="176"/>
      <c r="C691" s="177"/>
      <c r="D691" s="136"/>
      <c r="E691" s="231"/>
      <c r="F691" s="144"/>
      <c r="G691" s="144"/>
      <c r="H691" s="235"/>
      <c r="I691" s="235"/>
      <c r="J691" s="235"/>
      <c r="K691" s="235"/>
      <c r="L691" s="285"/>
    </row>
    <row r="692" spans="1:12" ht="24.95" hidden="1" customHeight="1">
      <c r="A692" s="136"/>
      <c r="B692" s="176"/>
      <c r="C692" s="177"/>
      <c r="D692" s="136"/>
      <c r="E692" s="231"/>
      <c r="F692" s="144"/>
      <c r="G692" s="144"/>
      <c r="H692" s="235"/>
      <c r="I692" s="235"/>
      <c r="J692" s="235"/>
      <c r="K692" s="235"/>
      <c r="L692" s="285"/>
    </row>
    <row r="693" spans="1:12" ht="24.95" hidden="1" customHeight="1">
      <c r="A693" s="136"/>
      <c r="B693" s="176"/>
      <c r="C693" s="177"/>
      <c r="D693" s="136"/>
      <c r="E693" s="231"/>
      <c r="F693" s="144"/>
      <c r="G693" s="144"/>
      <c r="H693" s="235"/>
      <c r="I693" s="235"/>
      <c r="J693" s="235"/>
      <c r="K693" s="235"/>
      <c r="L693" s="285"/>
    </row>
    <row r="694" spans="1:12" ht="24.95" hidden="1" customHeight="1">
      <c r="A694" s="136"/>
      <c r="B694" s="176"/>
      <c r="C694" s="177"/>
      <c r="D694" s="136"/>
      <c r="E694" s="231"/>
      <c r="F694" s="144"/>
      <c r="G694" s="144"/>
      <c r="H694" s="235"/>
      <c r="I694" s="235"/>
      <c r="J694" s="235"/>
      <c r="K694" s="235"/>
      <c r="L694" s="285"/>
    </row>
    <row r="695" spans="1:12" ht="24.95" hidden="1" customHeight="1">
      <c r="A695" s="136"/>
      <c r="B695" s="176"/>
      <c r="C695" s="177"/>
      <c r="D695" s="136"/>
      <c r="E695" s="231"/>
      <c r="F695" s="144"/>
      <c r="G695" s="144"/>
      <c r="H695" s="235"/>
      <c r="I695" s="235"/>
      <c r="J695" s="235"/>
      <c r="K695" s="235"/>
      <c r="L695" s="285"/>
    </row>
    <row r="696" spans="1:12" ht="24.95" hidden="1" customHeight="1">
      <c r="A696" s="136"/>
      <c r="B696" s="176"/>
      <c r="C696" s="177"/>
      <c r="D696" s="136"/>
      <c r="E696" s="231"/>
      <c r="F696" s="144"/>
      <c r="G696" s="144"/>
      <c r="H696" s="235"/>
      <c r="I696" s="235"/>
      <c r="J696" s="235"/>
      <c r="K696" s="235"/>
      <c r="L696" s="285"/>
    </row>
    <row r="697" spans="1:12" ht="24.95" hidden="1" customHeight="1">
      <c r="A697" s="136"/>
      <c r="B697" s="176"/>
      <c r="C697" s="177"/>
      <c r="D697" s="136"/>
      <c r="E697" s="231"/>
      <c r="F697" s="144"/>
      <c r="G697" s="144"/>
      <c r="H697" s="235"/>
      <c r="I697" s="235"/>
      <c r="J697" s="235"/>
      <c r="K697" s="235"/>
      <c r="L697" s="285"/>
    </row>
    <row r="698" spans="1:12" ht="24.95" hidden="1" customHeight="1">
      <c r="A698" s="136"/>
      <c r="B698" s="176"/>
      <c r="C698" s="177"/>
      <c r="D698" s="136"/>
      <c r="E698" s="231"/>
      <c r="F698" s="144"/>
      <c r="G698" s="144"/>
      <c r="H698" s="235"/>
      <c r="I698" s="235"/>
      <c r="J698" s="235"/>
      <c r="K698" s="235"/>
      <c r="L698" s="285"/>
    </row>
    <row r="699" spans="1:12" ht="24.95" hidden="1" customHeight="1">
      <c r="A699" s="136"/>
      <c r="B699" s="176"/>
      <c r="C699" s="177"/>
      <c r="D699" s="136"/>
      <c r="E699" s="231"/>
      <c r="F699" s="144"/>
      <c r="G699" s="144"/>
      <c r="H699" s="235"/>
      <c r="I699" s="235"/>
      <c r="J699" s="235"/>
      <c r="K699" s="235"/>
      <c r="L699" s="285"/>
    </row>
    <row r="700" spans="1:12" ht="24.95" hidden="1" customHeight="1">
      <c r="A700" s="136"/>
      <c r="B700" s="176"/>
      <c r="C700" s="177"/>
      <c r="D700" s="136"/>
      <c r="E700" s="231"/>
      <c r="F700" s="144"/>
      <c r="G700" s="144"/>
      <c r="H700" s="235"/>
      <c r="I700" s="235"/>
      <c r="J700" s="235"/>
      <c r="K700" s="235"/>
      <c r="L700" s="285"/>
    </row>
    <row r="701" spans="1:12" ht="24.95" hidden="1" customHeight="1">
      <c r="A701" s="136"/>
      <c r="B701" s="176"/>
      <c r="C701" s="177"/>
      <c r="D701" s="136"/>
      <c r="E701" s="231"/>
      <c r="F701" s="144"/>
      <c r="G701" s="144"/>
      <c r="H701" s="235"/>
      <c r="I701" s="235"/>
      <c r="J701" s="235"/>
      <c r="K701" s="235"/>
      <c r="L701" s="285"/>
    </row>
    <row r="702" spans="1:12" ht="24.95" hidden="1" customHeight="1">
      <c r="A702" s="136"/>
      <c r="B702" s="176"/>
      <c r="C702" s="177"/>
      <c r="D702" s="136"/>
      <c r="E702" s="231"/>
      <c r="F702" s="144"/>
      <c r="G702" s="144"/>
      <c r="H702" s="235"/>
      <c r="I702" s="235"/>
      <c r="J702" s="235"/>
      <c r="K702" s="235"/>
      <c r="L702" s="285"/>
    </row>
    <row r="703" spans="1:12" ht="24.95" hidden="1" customHeight="1">
      <c r="A703" s="136"/>
      <c r="B703" s="176"/>
      <c r="C703" s="177"/>
      <c r="D703" s="136"/>
      <c r="E703" s="231"/>
      <c r="F703" s="144"/>
      <c r="G703" s="144"/>
      <c r="H703" s="235"/>
      <c r="I703" s="235"/>
      <c r="J703" s="235"/>
      <c r="K703" s="235"/>
      <c r="L703" s="285"/>
    </row>
    <row r="704" spans="1:12" ht="24.95" hidden="1" customHeight="1">
      <c r="A704" s="136"/>
      <c r="B704" s="176"/>
      <c r="C704" s="177"/>
      <c r="D704" s="136"/>
      <c r="E704" s="231"/>
      <c r="F704" s="144"/>
      <c r="G704" s="144"/>
      <c r="H704" s="235"/>
      <c r="I704" s="235"/>
      <c r="J704" s="235"/>
      <c r="K704" s="235"/>
      <c r="L704" s="285"/>
    </row>
    <row r="705" spans="1:12" ht="24.95" hidden="1" customHeight="1">
      <c r="A705" s="136"/>
      <c r="B705" s="176"/>
      <c r="C705" s="177"/>
      <c r="D705" s="136"/>
      <c r="E705" s="231"/>
      <c r="F705" s="144"/>
      <c r="G705" s="144"/>
      <c r="H705" s="235"/>
      <c r="I705" s="235"/>
      <c r="J705" s="235"/>
      <c r="K705" s="235"/>
      <c r="L705" s="285"/>
    </row>
    <row r="706" spans="1:12" ht="24.95" hidden="1" customHeight="1">
      <c r="A706" s="136"/>
      <c r="B706" s="176"/>
      <c r="C706" s="177"/>
      <c r="D706" s="136"/>
      <c r="E706" s="231"/>
      <c r="F706" s="144"/>
      <c r="G706" s="144"/>
      <c r="H706" s="235"/>
      <c r="I706" s="235"/>
      <c r="J706" s="235"/>
      <c r="K706" s="235"/>
      <c r="L706" s="285"/>
    </row>
    <row r="707" spans="1:12" ht="24.95" hidden="1" customHeight="1">
      <c r="A707" s="136"/>
      <c r="B707" s="176"/>
      <c r="C707" s="177"/>
      <c r="D707" s="136"/>
      <c r="E707" s="231"/>
      <c r="F707" s="144"/>
      <c r="G707" s="144"/>
      <c r="H707" s="235"/>
      <c r="I707" s="235"/>
      <c r="J707" s="235"/>
      <c r="K707" s="235"/>
      <c r="L707" s="285"/>
    </row>
    <row r="708" spans="1:12" ht="24.95" hidden="1" customHeight="1">
      <c r="A708" s="136"/>
      <c r="B708" s="176"/>
      <c r="C708" s="177"/>
      <c r="D708" s="136"/>
      <c r="E708" s="231"/>
      <c r="F708" s="144"/>
      <c r="G708" s="144"/>
      <c r="H708" s="235"/>
      <c r="I708" s="235"/>
      <c r="J708" s="235"/>
      <c r="K708" s="235"/>
      <c r="L708" s="285"/>
    </row>
    <row r="709" spans="1:12" ht="24.95" hidden="1" customHeight="1">
      <c r="A709" s="136"/>
      <c r="B709" s="176"/>
      <c r="C709" s="177"/>
      <c r="D709" s="136"/>
      <c r="E709" s="231"/>
      <c r="F709" s="144"/>
      <c r="G709" s="144"/>
      <c r="H709" s="235"/>
      <c r="I709" s="235"/>
      <c r="J709" s="235"/>
      <c r="K709" s="235"/>
      <c r="L709" s="285"/>
    </row>
    <row r="710" spans="1:12" ht="24.95" hidden="1" customHeight="1">
      <c r="A710" s="136"/>
      <c r="B710" s="176"/>
      <c r="C710" s="177"/>
      <c r="D710" s="136"/>
      <c r="E710" s="231"/>
      <c r="F710" s="144"/>
      <c r="G710" s="144"/>
      <c r="H710" s="235"/>
      <c r="I710" s="235"/>
      <c r="J710" s="235"/>
      <c r="K710" s="235"/>
      <c r="L710" s="285"/>
    </row>
    <row r="711" spans="1:12" ht="24.95" hidden="1" customHeight="1">
      <c r="A711" s="136"/>
      <c r="B711" s="176"/>
      <c r="C711" s="177"/>
      <c r="D711" s="136"/>
      <c r="E711" s="231"/>
      <c r="F711" s="144"/>
      <c r="G711" s="144"/>
      <c r="H711" s="235"/>
      <c r="I711" s="235"/>
      <c r="J711" s="235"/>
      <c r="K711" s="235"/>
      <c r="L711" s="285"/>
    </row>
    <row r="712" spans="1:12" ht="24.95" hidden="1" customHeight="1">
      <c r="A712" s="136"/>
      <c r="B712" s="176"/>
      <c r="C712" s="177"/>
      <c r="D712" s="136"/>
      <c r="E712" s="231"/>
      <c r="F712" s="144"/>
      <c r="G712" s="144"/>
      <c r="H712" s="235"/>
      <c r="I712" s="235"/>
      <c r="J712" s="235"/>
      <c r="K712" s="235"/>
      <c r="L712" s="285"/>
    </row>
    <row r="713" spans="1:12" ht="24.95" hidden="1" customHeight="1">
      <c r="A713" s="136"/>
      <c r="B713" s="176"/>
      <c r="C713" s="177"/>
      <c r="D713" s="136"/>
      <c r="E713" s="231"/>
      <c r="F713" s="144"/>
      <c r="G713" s="144"/>
      <c r="H713" s="235"/>
      <c r="I713" s="235"/>
      <c r="J713" s="235"/>
      <c r="K713" s="235"/>
      <c r="L713" s="285"/>
    </row>
    <row r="714" spans="1:12" ht="24.95" hidden="1" customHeight="1">
      <c r="A714" s="136"/>
      <c r="B714" s="176"/>
      <c r="C714" s="177"/>
      <c r="D714" s="136"/>
      <c r="E714" s="231"/>
      <c r="F714" s="144"/>
      <c r="G714" s="144"/>
      <c r="H714" s="235"/>
      <c r="I714" s="235"/>
      <c r="J714" s="235"/>
      <c r="K714" s="235"/>
      <c r="L714" s="285"/>
    </row>
    <row r="715" spans="1:12" ht="24.95" hidden="1" customHeight="1">
      <c r="A715" s="136"/>
      <c r="B715" s="176"/>
      <c r="C715" s="177"/>
      <c r="D715" s="136"/>
      <c r="E715" s="231"/>
      <c r="F715" s="144"/>
      <c r="G715" s="144"/>
      <c r="H715" s="235"/>
      <c r="I715" s="235"/>
      <c r="J715" s="235"/>
      <c r="K715" s="235"/>
      <c r="L715" s="285"/>
    </row>
    <row r="716" spans="1:12" ht="24.95" hidden="1" customHeight="1">
      <c r="A716" s="136"/>
      <c r="B716" s="176"/>
      <c r="C716" s="177"/>
      <c r="D716" s="136"/>
      <c r="E716" s="231"/>
      <c r="F716" s="144"/>
      <c r="G716" s="144"/>
      <c r="H716" s="235"/>
      <c r="I716" s="235"/>
      <c r="J716" s="235"/>
      <c r="K716" s="235"/>
      <c r="L716" s="285"/>
    </row>
    <row r="717" spans="1:12" ht="24.95" hidden="1" customHeight="1">
      <c r="A717" s="136"/>
      <c r="B717" s="176"/>
      <c r="C717" s="177"/>
      <c r="D717" s="136"/>
      <c r="E717" s="231"/>
      <c r="F717" s="144"/>
      <c r="G717" s="144"/>
      <c r="H717" s="235"/>
      <c r="I717" s="235"/>
      <c r="J717" s="235"/>
      <c r="K717" s="235"/>
      <c r="L717" s="285"/>
    </row>
    <row r="718" spans="1:12" ht="24.95" hidden="1" customHeight="1">
      <c r="A718" s="136"/>
      <c r="B718" s="176"/>
      <c r="C718" s="177"/>
      <c r="D718" s="136"/>
      <c r="E718" s="231"/>
      <c r="F718" s="144"/>
      <c r="G718" s="144"/>
      <c r="H718" s="235"/>
      <c r="I718" s="235"/>
      <c r="J718" s="235"/>
      <c r="K718" s="235"/>
      <c r="L718" s="285"/>
    </row>
    <row r="719" spans="1:12" ht="24.95" hidden="1" customHeight="1">
      <c r="A719" s="136"/>
      <c r="B719" s="176"/>
      <c r="C719" s="177"/>
      <c r="D719" s="136"/>
      <c r="E719" s="231"/>
      <c r="F719" s="144"/>
      <c r="G719" s="144"/>
      <c r="H719" s="235"/>
      <c r="I719" s="235"/>
      <c r="J719" s="235"/>
      <c r="K719" s="235"/>
      <c r="L719" s="285"/>
    </row>
    <row r="720" spans="1:12" ht="24.95" hidden="1" customHeight="1">
      <c r="A720" s="136"/>
      <c r="B720" s="176"/>
      <c r="C720" s="177"/>
      <c r="D720" s="136"/>
      <c r="E720" s="231"/>
      <c r="F720" s="144"/>
      <c r="G720" s="144"/>
      <c r="H720" s="235"/>
      <c r="I720" s="235"/>
      <c r="J720" s="235"/>
      <c r="K720" s="235"/>
      <c r="L720" s="285"/>
    </row>
    <row r="721" spans="1:12" ht="24.95" hidden="1" customHeight="1">
      <c r="A721" s="136"/>
      <c r="B721" s="176"/>
      <c r="C721" s="177"/>
      <c r="D721" s="136"/>
      <c r="E721" s="231"/>
      <c r="F721" s="144"/>
      <c r="G721" s="144"/>
      <c r="H721" s="235"/>
      <c r="I721" s="235"/>
      <c r="J721" s="235"/>
      <c r="K721" s="235"/>
      <c r="L721" s="285"/>
    </row>
    <row r="722" spans="1:12" ht="24.95" hidden="1" customHeight="1">
      <c r="A722" s="136"/>
      <c r="B722" s="176"/>
      <c r="C722" s="177"/>
      <c r="D722" s="136"/>
      <c r="E722" s="231"/>
      <c r="F722" s="144"/>
      <c r="G722" s="144"/>
      <c r="H722" s="235"/>
      <c r="I722" s="235"/>
      <c r="J722" s="235"/>
      <c r="K722" s="235"/>
      <c r="L722" s="285"/>
    </row>
    <row r="723" spans="1:12" ht="24.95" hidden="1" customHeight="1">
      <c r="A723" s="136"/>
      <c r="B723" s="176"/>
      <c r="C723" s="177"/>
      <c r="D723" s="136"/>
      <c r="E723" s="231"/>
      <c r="F723" s="144"/>
      <c r="G723" s="144"/>
      <c r="H723" s="235"/>
      <c r="I723" s="235"/>
      <c r="J723" s="235"/>
      <c r="K723" s="235"/>
      <c r="L723" s="285"/>
    </row>
    <row r="724" spans="1:12" ht="24.95" hidden="1" customHeight="1">
      <c r="A724" s="136"/>
      <c r="B724" s="176"/>
      <c r="C724" s="177"/>
      <c r="D724" s="136"/>
      <c r="E724" s="231"/>
      <c r="F724" s="144"/>
      <c r="G724" s="144"/>
      <c r="H724" s="235"/>
      <c r="I724" s="235"/>
      <c r="J724" s="235"/>
      <c r="K724" s="235"/>
      <c r="L724" s="285"/>
    </row>
    <row r="725" spans="1:12" ht="24.95" hidden="1" customHeight="1">
      <c r="A725" s="136"/>
      <c r="B725" s="176"/>
      <c r="C725" s="177"/>
      <c r="D725" s="136"/>
      <c r="E725" s="231"/>
      <c r="F725" s="144"/>
      <c r="G725" s="144"/>
      <c r="H725" s="235"/>
      <c r="I725" s="235"/>
      <c r="J725" s="235"/>
      <c r="K725" s="235"/>
      <c r="L725" s="285"/>
    </row>
    <row r="726" spans="1:12" ht="24.95" hidden="1" customHeight="1">
      <c r="A726" s="136"/>
      <c r="B726" s="176"/>
      <c r="C726" s="177"/>
      <c r="D726" s="136"/>
      <c r="E726" s="231"/>
      <c r="F726" s="144"/>
      <c r="G726" s="144"/>
      <c r="H726" s="235"/>
      <c r="I726" s="235"/>
      <c r="J726" s="235"/>
      <c r="K726" s="235"/>
      <c r="L726" s="285"/>
    </row>
    <row r="727" spans="1:12" ht="24.95" hidden="1" customHeight="1">
      <c r="A727" s="136"/>
      <c r="B727" s="176"/>
      <c r="C727" s="177"/>
      <c r="D727" s="136"/>
      <c r="E727" s="231"/>
      <c r="F727" s="144"/>
      <c r="G727" s="144"/>
      <c r="H727" s="235"/>
      <c r="I727" s="235"/>
      <c r="J727" s="235"/>
      <c r="K727" s="235"/>
      <c r="L727" s="285"/>
    </row>
    <row r="728" spans="1:12" ht="24.95" hidden="1" customHeight="1">
      <c r="A728" s="136"/>
      <c r="B728" s="176"/>
      <c r="C728" s="177"/>
      <c r="D728" s="136"/>
      <c r="E728" s="231"/>
      <c r="F728" s="144"/>
      <c r="G728" s="144"/>
      <c r="H728" s="235"/>
      <c r="I728" s="235"/>
      <c r="J728" s="235"/>
      <c r="K728" s="235"/>
      <c r="L728" s="285"/>
    </row>
    <row r="729" spans="1:12" ht="24.95" hidden="1" customHeight="1">
      <c r="A729" s="136"/>
      <c r="B729" s="176"/>
      <c r="C729" s="177"/>
      <c r="D729" s="136"/>
      <c r="E729" s="231"/>
      <c r="F729" s="144"/>
      <c r="G729" s="144"/>
      <c r="H729" s="235"/>
      <c r="I729" s="235"/>
      <c r="J729" s="235"/>
      <c r="K729" s="235"/>
      <c r="L729" s="285"/>
    </row>
    <row r="730" spans="1:12" ht="24.95" hidden="1" customHeight="1">
      <c r="A730" s="136"/>
      <c r="B730" s="176"/>
      <c r="C730" s="177"/>
      <c r="D730" s="136"/>
      <c r="E730" s="231"/>
      <c r="F730" s="144"/>
      <c r="G730" s="144"/>
      <c r="H730" s="235"/>
      <c r="I730" s="235"/>
      <c r="J730" s="235"/>
      <c r="K730" s="235"/>
      <c r="L730" s="285"/>
    </row>
    <row r="731" spans="1:12" ht="24.95" hidden="1" customHeight="1">
      <c r="A731" s="136"/>
      <c r="B731" s="176"/>
      <c r="C731" s="177"/>
      <c r="D731" s="136"/>
      <c r="E731" s="231"/>
      <c r="F731" s="144"/>
      <c r="G731" s="144"/>
      <c r="H731" s="235"/>
      <c r="I731" s="235"/>
      <c r="J731" s="235"/>
      <c r="K731" s="235"/>
      <c r="L731" s="285"/>
    </row>
    <row r="732" spans="1:12" ht="24.95" hidden="1" customHeight="1">
      <c r="A732" s="136"/>
      <c r="B732" s="176"/>
      <c r="C732" s="177"/>
      <c r="D732" s="136"/>
      <c r="E732" s="231"/>
      <c r="F732" s="144"/>
      <c r="G732" s="144"/>
      <c r="H732" s="235"/>
      <c r="I732" s="235"/>
      <c r="J732" s="235"/>
      <c r="K732" s="235"/>
      <c r="L732" s="285"/>
    </row>
    <row r="733" spans="1:12" ht="24.95" hidden="1" customHeight="1">
      <c r="A733" s="136"/>
      <c r="B733" s="176"/>
      <c r="C733" s="177"/>
      <c r="D733" s="136"/>
      <c r="E733" s="231"/>
      <c r="F733" s="144"/>
      <c r="G733" s="144"/>
      <c r="H733" s="235"/>
      <c r="I733" s="235"/>
      <c r="J733" s="235"/>
      <c r="K733" s="235"/>
      <c r="L733" s="285"/>
    </row>
    <row r="734" spans="1:12" ht="24.95" hidden="1" customHeight="1">
      <c r="A734" s="136"/>
      <c r="B734" s="176"/>
      <c r="C734" s="177"/>
      <c r="D734" s="136"/>
      <c r="E734" s="231"/>
      <c r="F734" s="144"/>
      <c r="G734" s="144"/>
      <c r="H734" s="235"/>
      <c r="I734" s="235"/>
      <c r="J734" s="235"/>
      <c r="K734" s="235"/>
      <c r="L734" s="285"/>
    </row>
    <row r="735" spans="1:12" ht="24.95" hidden="1" customHeight="1">
      <c r="A735" s="136"/>
      <c r="B735" s="176"/>
      <c r="C735" s="177"/>
      <c r="D735" s="136"/>
      <c r="E735" s="231"/>
      <c r="F735" s="144"/>
      <c r="G735" s="144"/>
      <c r="H735" s="235"/>
      <c r="I735" s="235"/>
      <c r="J735" s="235"/>
      <c r="K735" s="235"/>
      <c r="L735" s="285"/>
    </row>
    <row r="736" spans="1:12" ht="24.95" hidden="1" customHeight="1">
      <c r="A736" s="136"/>
      <c r="B736" s="176"/>
      <c r="C736" s="177"/>
      <c r="D736" s="136"/>
      <c r="E736" s="231"/>
      <c r="F736" s="144"/>
      <c r="G736" s="144"/>
      <c r="H736" s="235"/>
      <c r="I736" s="235"/>
      <c r="J736" s="235"/>
      <c r="K736" s="235"/>
      <c r="L736" s="285"/>
    </row>
    <row r="737" spans="1:12" ht="24.95" hidden="1" customHeight="1">
      <c r="A737" s="136"/>
      <c r="B737" s="176"/>
      <c r="C737" s="177"/>
      <c r="D737" s="136"/>
      <c r="E737" s="231"/>
      <c r="F737" s="144"/>
      <c r="G737" s="144"/>
      <c r="H737" s="235"/>
      <c r="I737" s="235"/>
      <c r="J737" s="235"/>
      <c r="K737" s="235"/>
      <c r="L737" s="285"/>
    </row>
    <row r="738" spans="1:12" ht="24.95" hidden="1" customHeight="1">
      <c r="A738" s="136"/>
      <c r="B738" s="176"/>
      <c r="C738" s="177"/>
      <c r="D738" s="136"/>
      <c r="E738" s="231"/>
      <c r="F738" s="144"/>
      <c r="G738" s="144"/>
      <c r="H738" s="235"/>
      <c r="I738" s="235"/>
      <c r="J738" s="235"/>
      <c r="K738" s="235"/>
      <c r="L738" s="285"/>
    </row>
    <row r="739" spans="1:12" ht="24.95" hidden="1" customHeight="1">
      <c r="A739" s="136"/>
      <c r="B739" s="176"/>
      <c r="C739" s="177"/>
      <c r="D739" s="136"/>
      <c r="E739" s="231"/>
      <c r="F739" s="144"/>
      <c r="G739" s="144"/>
      <c r="H739" s="235"/>
      <c r="I739" s="235"/>
      <c r="J739" s="235"/>
      <c r="K739" s="235"/>
      <c r="L739" s="285"/>
    </row>
    <row r="740" spans="1:12" ht="24.95" hidden="1" customHeight="1">
      <c r="A740" s="136"/>
      <c r="B740" s="176"/>
      <c r="C740" s="177"/>
      <c r="D740" s="136"/>
      <c r="E740" s="231"/>
      <c r="F740" s="144"/>
      <c r="G740" s="144"/>
      <c r="H740" s="235"/>
      <c r="I740" s="235"/>
      <c r="J740" s="235"/>
      <c r="K740" s="235"/>
      <c r="L740" s="285"/>
    </row>
    <row r="741" spans="1:12" ht="24.95" hidden="1" customHeight="1">
      <c r="A741" s="136"/>
      <c r="B741" s="176"/>
      <c r="C741" s="177"/>
      <c r="D741" s="136"/>
      <c r="E741" s="231"/>
      <c r="F741" s="144"/>
      <c r="G741" s="144"/>
      <c r="H741" s="235"/>
      <c r="I741" s="235"/>
      <c r="J741" s="235"/>
      <c r="K741" s="235"/>
      <c r="L741" s="285"/>
    </row>
    <row r="742" spans="1:12" ht="24.95" hidden="1" customHeight="1">
      <c r="A742" s="136"/>
      <c r="B742" s="176"/>
      <c r="C742" s="177"/>
      <c r="D742" s="136"/>
      <c r="E742" s="231"/>
      <c r="F742" s="144"/>
      <c r="G742" s="144"/>
      <c r="H742" s="235"/>
      <c r="I742" s="235"/>
      <c r="J742" s="235"/>
      <c r="K742" s="235"/>
      <c r="L742" s="285"/>
    </row>
    <row r="743" spans="1:12" ht="24.95" hidden="1" customHeight="1">
      <c r="A743" s="136"/>
      <c r="B743" s="176"/>
      <c r="C743" s="177"/>
      <c r="D743" s="136"/>
      <c r="E743" s="231"/>
      <c r="F743" s="144"/>
      <c r="G743" s="144"/>
      <c r="H743" s="235"/>
      <c r="I743" s="235"/>
      <c r="J743" s="235"/>
      <c r="K743" s="235"/>
      <c r="L743" s="285"/>
    </row>
    <row r="744" spans="1:12" ht="24.95" hidden="1" customHeight="1">
      <c r="A744" s="136"/>
      <c r="B744" s="176"/>
      <c r="C744" s="177"/>
      <c r="D744" s="136"/>
      <c r="E744" s="231"/>
      <c r="F744" s="144"/>
      <c r="G744" s="144"/>
      <c r="H744" s="235"/>
      <c r="I744" s="235"/>
      <c r="J744" s="235"/>
      <c r="K744" s="235"/>
      <c r="L744" s="285"/>
    </row>
    <row r="745" spans="1:12" ht="24.95" hidden="1" customHeight="1">
      <c r="A745" s="136"/>
      <c r="B745" s="176"/>
      <c r="C745" s="177"/>
      <c r="D745" s="136"/>
      <c r="E745" s="231"/>
      <c r="F745" s="144"/>
      <c r="G745" s="144"/>
      <c r="H745" s="235"/>
      <c r="I745" s="235"/>
      <c r="J745" s="235"/>
      <c r="K745" s="235"/>
      <c r="L745" s="285"/>
    </row>
    <row r="746" spans="1:12" ht="24.95" hidden="1" customHeight="1">
      <c r="A746" s="136"/>
      <c r="B746" s="176"/>
      <c r="C746" s="177"/>
      <c r="D746" s="136"/>
      <c r="E746" s="231"/>
      <c r="F746" s="144"/>
      <c r="G746" s="144"/>
      <c r="H746" s="235"/>
      <c r="I746" s="235"/>
      <c r="J746" s="235"/>
      <c r="K746" s="235"/>
      <c r="L746" s="285"/>
    </row>
    <row r="747" spans="1:12" ht="24.95" hidden="1" customHeight="1">
      <c r="A747" s="136"/>
      <c r="B747" s="176"/>
      <c r="C747" s="177"/>
      <c r="D747" s="136"/>
      <c r="E747" s="231"/>
      <c r="F747" s="144"/>
      <c r="G747" s="144"/>
      <c r="H747" s="235"/>
      <c r="I747" s="235"/>
      <c r="J747" s="235"/>
      <c r="K747" s="235"/>
      <c r="L747" s="285"/>
    </row>
    <row r="748" spans="1:12" ht="24.95" hidden="1" customHeight="1">
      <c r="A748" s="136"/>
      <c r="B748" s="176"/>
      <c r="C748" s="177"/>
      <c r="D748" s="136"/>
      <c r="E748" s="231"/>
      <c r="F748" s="144"/>
      <c r="G748" s="144"/>
      <c r="H748" s="235"/>
      <c r="I748" s="235"/>
      <c r="J748" s="235"/>
      <c r="K748" s="235"/>
      <c r="L748" s="285"/>
    </row>
    <row r="749" spans="1:12" ht="24.95" hidden="1" customHeight="1">
      <c r="A749" s="136"/>
      <c r="B749" s="176"/>
      <c r="C749" s="177"/>
      <c r="D749" s="136"/>
      <c r="E749" s="231"/>
      <c r="F749" s="144"/>
      <c r="G749" s="144"/>
      <c r="H749" s="235"/>
      <c r="I749" s="235"/>
      <c r="J749" s="235"/>
      <c r="K749" s="235"/>
      <c r="L749" s="285"/>
    </row>
    <row r="750" spans="1:12" ht="24.95" hidden="1" customHeight="1">
      <c r="A750" s="136"/>
      <c r="B750" s="176"/>
      <c r="C750" s="177"/>
      <c r="D750" s="136"/>
      <c r="E750" s="231"/>
      <c r="F750" s="144"/>
      <c r="G750" s="144"/>
      <c r="H750" s="235"/>
      <c r="I750" s="235"/>
      <c r="J750" s="235"/>
      <c r="K750" s="235"/>
      <c r="L750" s="285"/>
    </row>
    <row r="751" spans="1:12" ht="24.95" hidden="1" customHeight="1">
      <c r="A751" s="136"/>
      <c r="B751" s="176"/>
      <c r="C751" s="177"/>
      <c r="D751" s="136"/>
      <c r="E751" s="231"/>
      <c r="F751" s="144"/>
      <c r="G751" s="144"/>
      <c r="H751" s="235"/>
      <c r="I751" s="235"/>
      <c r="J751" s="235"/>
      <c r="K751" s="235"/>
      <c r="L751" s="285"/>
    </row>
    <row r="752" spans="1:12" ht="24.95" hidden="1" customHeight="1">
      <c r="A752" s="136"/>
      <c r="B752" s="176"/>
      <c r="C752" s="177"/>
      <c r="D752" s="136"/>
      <c r="E752" s="231"/>
      <c r="F752" s="144"/>
      <c r="G752" s="144"/>
      <c r="H752" s="235"/>
      <c r="I752" s="235"/>
      <c r="J752" s="235"/>
      <c r="K752" s="235"/>
      <c r="L752" s="285"/>
    </row>
    <row r="753" spans="1:12" ht="24.95" hidden="1" customHeight="1">
      <c r="A753" s="136"/>
      <c r="B753" s="176"/>
      <c r="C753" s="177"/>
      <c r="D753" s="136"/>
      <c r="E753" s="231"/>
      <c r="F753" s="144"/>
      <c r="G753" s="144"/>
      <c r="H753" s="235"/>
      <c r="I753" s="235"/>
      <c r="J753" s="235"/>
      <c r="K753" s="235"/>
      <c r="L753" s="285"/>
    </row>
    <row r="754" spans="1:12" ht="24.95" hidden="1" customHeight="1">
      <c r="A754" s="136"/>
      <c r="B754" s="176"/>
      <c r="C754" s="177"/>
      <c r="D754" s="136"/>
      <c r="E754" s="231"/>
      <c r="F754" s="144"/>
      <c r="G754" s="144"/>
      <c r="H754" s="235"/>
      <c r="I754" s="235"/>
      <c r="J754" s="235"/>
      <c r="K754" s="235"/>
      <c r="L754" s="285"/>
    </row>
    <row r="755" spans="1:12" ht="24.95" hidden="1" customHeight="1">
      <c r="A755" s="136"/>
      <c r="B755" s="176"/>
      <c r="C755" s="177"/>
      <c r="D755" s="136"/>
      <c r="E755" s="231"/>
      <c r="F755" s="144"/>
      <c r="G755" s="144"/>
      <c r="H755" s="235"/>
      <c r="I755" s="235"/>
      <c r="J755" s="235"/>
      <c r="K755" s="235"/>
      <c r="L755" s="285"/>
    </row>
    <row r="756" spans="1:12" ht="24.95" hidden="1" customHeight="1">
      <c r="A756" s="136"/>
      <c r="B756" s="176"/>
      <c r="C756" s="177"/>
      <c r="D756" s="136"/>
      <c r="E756" s="231"/>
      <c r="F756" s="144"/>
      <c r="G756" s="144"/>
      <c r="H756" s="235"/>
      <c r="I756" s="235"/>
      <c r="J756" s="235"/>
      <c r="K756" s="235"/>
      <c r="L756" s="285"/>
    </row>
    <row r="757" spans="1:12" ht="24.95" hidden="1" customHeight="1">
      <c r="A757" s="136"/>
      <c r="B757" s="176"/>
      <c r="C757" s="177"/>
      <c r="D757" s="136"/>
      <c r="E757" s="231"/>
      <c r="F757" s="144"/>
      <c r="G757" s="144"/>
      <c r="H757" s="235"/>
      <c r="I757" s="235"/>
      <c r="J757" s="235"/>
      <c r="K757" s="235"/>
      <c r="L757" s="285"/>
    </row>
    <row r="758" spans="1:12" ht="24.95" hidden="1" customHeight="1">
      <c r="A758" s="136"/>
      <c r="B758" s="176"/>
      <c r="C758" s="177"/>
      <c r="D758" s="136"/>
      <c r="E758" s="231"/>
      <c r="F758" s="144"/>
      <c r="G758" s="144"/>
      <c r="H758" s="235"/>
      <c r="I758" s="235"/>
      <c r="J758" s="235"/>
      <c r="K758" s="235"/>
      <c r="L758" s="285"/>
    </row>
    <row r="759" spans="1:12" ht="24.95" hidden="1" customHeight="1">
      <c r="A759" s="136"/>
      <c r="B759" s="176"/>
      <c r="C759" s="177"/>
      <c r="D759" s="136"/>
      <c r="E759" s="231"/>
      <c r="F759" s="144"/>
      <c r="G759" s="144"/>
      <c r="H759" s="235"/>
      <c r="I759" s="235"/>
      <c r="J759" s="235"/>
      <c r="K759" s="235"/>
      <c r="L759" s="285"/>
    </row>
    <row r="760" spans="1:12" ht="24.95" hidden="1" customHeight="1">
      <c r="A760" s="136"/>
      <c r="B760" s="176"/>
      <c r="C760" s="177"/>
      <c r="D760" s="136"/>
      <c r="E760" s="231"/>
      <c r="F760" s="144"/>
      <c r="G760" s="144"/>
      <c r="H760" s="235"/>
      <c r="I760" s="235"/>
      <c r="J760" s="235"/>
      <c r="K760" s="235"/>
      <c r="L760" s="285"/>
    </row>
    <row r="761" spans="1:12" ht="24.95" hidden="1" customHeight="1">
      <c r="A761" s="136"/>
      <c r="B761" s="176"/>
      <c r="C761" s="177"/>
      <c r="D761" s="136"/>
      <c r="E761" s="231"/>
      <c r="F761" s="144"/>
      <c r="G761" s="144"/>
      <c r="H761" s="235"/>
      <c r="I761" s="235"/>
      <c r="J761" s="235"/>
      <c r="K761" s="235"/>
      <c r="L761" s="285"/>
    </row>
    <row r="762" spans="1:12" ht="24.95" hidden="1" customHeight="1">
      <c r="A762" s="136"/>
      <c r="B762" s="176"/>
      <c r="C762" s="177"/>
      <c r="D762" s="136"/>
      <c r="E762" s="231"/>
      <c r="F762" s="144"/>
      <c r="G762" s="144"/>
      <c r="H762" s="235"/>
      <c r="I762" s="235"/>
      <c r="J762" s="235"/>
      <c r="K762" s="235"/>
      <c r="L762" s="285"/>
    </row>
    <row r="763" spans="1:12" ht="24.95" hidden="1" customHeight="1">
      <c r="A763" s="136"/>
      <c r="B763" s="176"/>
      <c r="C763" s="177"/>
      <c r="D763" s="136"/>
      <c r="E763" s="231"/>
      <c r="F763" s="144"/>
      <c r="G763" s="144"/>
      <c r="H763" s="235"/>
      <c r="I763" s="235"/>
      <c r="J763" s="235"/>
      <c r="K763" s="235"/>
      <c r="L763" s="285"/>
    </row>
    <row r="764" spans="1:12" ht="24.95" hidden="1" customHeight="1">
      <c r="A764" s="136"/>
      <c r="B764" s="176"/>
      <c r="C764" s="177"/>
      <c r="D764" s="136"/>
      <c r="E764" s="231"/>
      <c r="F764" s="144"/>
      <c r="G764" s="144"/>
      <c r="H764" s="235"/>
      <c r="I764" s="235"/>
      <c r="J764" s="235"/>
      <c r="K764" s="235"/>
      <c r="L764" s="285"/>
    </row>
    <row r="765" spans="1:12" ht="24.95" hidden="1" customHeight="1">
      <c r="A765" s="136"/>
      <c r="B765" s="176"/>
      <c r="C765" s="177"/>
      <c r="D765" s="136"/>
      <c r="E765" s="231"/>
      <c r="F765" s="144"/>
      <c r="G765" s="144"/>
      <c r="H765" s="235"/>
      <c r="I765" s="235"/>
      <c r="J765" s="235"/>
      <c r="K765" s="235"/>
      <c r="L765" s="285"/>
    </row>
    <row r="766" spans="1:12" ht="24.95" hidden="1" customHeight="1">
      <c r="A766" s="136"/>
      <c r="B766" s="176"/>
      <c r="C766" s="177"/>
      <c r="D766" s="136"/>
      <c r="E766" s="231"/>
      <c r="F766" s="144"/>
      <c r="G766" s="144"/>
      <c r="H766" s="235"/>
      <c r="I766" s="235"/>
      <c r="J766" s="235"/>
      <c r="K766" s="235"/>
      <c r="L766" s="285"/>
    </row>
    <row r="767" spans="1:12" ht="24.95" hidden="1" customHeight="1">
      <c r="A767" s="136"/>
      <c r="B767" s="176"/>
      <c r="C767" s="177"/>
      <c r="D767" s="136"/>
      <c r="E767" s="231"/>
      <c r="F767" s="144"/>
      <c r="G767" s="144"/>
      <c r="H767" s="235"/>
      <c r="I767" s="235"/>
      <c r="J767" s="235"/>
      <c r="K767" s="235"/>
      <c r="L767" s="285"/>
    </row>
    <row r="768" spans="1:12" ht="24.95" hidden="1" customHeight="1">
      <c r="A768" s="136"/>
      <c r="B768" s="176"/>
      <c r="C768" s="177"/>
      <c r="D768" s="136"/>
      <c r="E768" s="231"/>
      <c r="F768" s="144"/>
      <c r="G768" s="144"/>
      <c r="H768" s="235"/>
      <c r="I768" s="235"/>
      <c r="J768" s="235"/>
      <c r="K768" s="235"/>
      <c r="L768" s="285"/>
    </row>
    <row r="769" spans="1:12" ht="24.95" hidden="1" customHeight="1">
      <c r="A769" s="136"/>
      <c r="B769" s="176"/>
      <c r="C769" s="177"/>
      <c r="D769" s="136"/>
      <c r="E769" s="231"/>
      <c r="F769" s="144"/>
      <c r="G769" s="144"/>
      <c r="H769" s="235"/>
      <c r="I769" s="235"/>
      <c r="J769" s="235"/>
      <c r="K769" s="235"/>
      <c r="L769" s="285"/>
    </row>
    <row r="770" spans="1:12" ht="24.95" hidden="1" customHeight="1">
      <c r="A770" s="136"/>
      <c r="B770" s="176"/>
      <c r="C770" s="177"/>
      <c r="D770" s="136"/>
      <c r="E770" s="231"/>
      <c r="F770" s="144"/>
      <c r="G770" s="144"/>
      <c r="H770" s="235"/>
      <c r="I770" s="235"/>
      <c r="J770" s="235"/>
      <c r="K770" s="235"/>
      <c r="L770" s="285"/>
    </row>
    <row r="771" spans="1:12" ht="24.95" hidden="1" customHeight="1">
      <c r="A771" s="136"/>
      <c r="B771" s="176"/>
      <c r="C771" s="177"/>
      <c r="D771" s="136"/>
      <c r="E771" s="231"/>
      <c r="F771" s="144"/>
      <c r="G771" s="144"/>
      <c r="H771" s="235"/>
      <c r="I771" s="235"/>
      <c r="J771" s="235"/>
      <c r="K771" s="235"/>
      <c r="L771" s="285"/>
    </row>
    <row r="772" spans="1:12" ht="24.95" hidden="1" customHeight="1">
      <c r="A772" s="136"/>
      <c r="B772" s="176"/>
      <c r="C772" s="177"/>
      <c r="D772" s="136"/>
      <c r="E772" s="231"/>
      <c r="F772" s="144"/>
      <c r="G772" s="144"/>
      <c r="H772" s="235"/>
      <c r="I772" s="235"/>
      <c r="J772" s="235"/>
      <c r="K772" s="235"/>
      <c r="L772" s="285"/>
    </row>
    <row r="773" spans="1:12" ht="24.95" hidden="1" customHeight="1">
      <c r="A773" s="136"/>
      <c r="B773" s="176"/>
      <c r="C773" s="177"/>
      <c r="D773" s="136"/>
      <c r="E773" s="231"/>
      <c r="F773" s="144"/>
      <c r="G773" s="144"/>
      <c r="H773" s="235"/>
      <c r="I773" s="235"/>
      <c r="J773" s="235"/>
      <c r="K773" s="235"/>
      <c r="L773" s="285"/>
    </row>
    <row r="774" spans="1:12" ht="24.95" hidden="1" customHeight="1">
      <c r="A774" s="136"/>
      <c r="B774" s="176"/>
      <c r="C774" s="177"/>
      <c r="D774" s="136"/>
      <c r="E774" s="231"/>
      <c r="F774" s="144"/>
      <c r="G774" s="144"/>
      <c r="H774" s="235"/>
      <c r="I774" s="235"/>
      <c r="J774" s="235"/>
      <c r="K774" s="235"/>
      <c r="L774" s="285"/>
    </row>
    <row r="775" spans="1:12" ht="24.95" hidden="1" customHeight="1">
      <c r="A775" s="136"/>
      <c r="B775" s="176"/>
      <c r="C775" s="177"/>
      <c r="D775" s="136"/>
      <c r="E775" s="231"/>
      <c r="F775" s="144"/>
      <c r="G775" s="144"/>
      <c r="H775" s="235"/>
      <c r="I775" s="235"/>
      <c r="J775" s="235"/>
      <c r="K775" s="235"/>
      <c r="L775" s="285"/>
    </row>
    <row r="776" spans="1:12" ht="24.95" hidden="1" customHeight="1">
      <c r="A776" s="136"/>
      <c r="B776" s="176"/>
      <c r="C776" s="177"/>
      <c r="D776" s="136"/>
      <c r="E776" s="231"/>
      <c r="F776" s="144"/>
      <c r="G776" s="144"/>
      <c r="H776" s="235"/>
      <c r="I776" s="235"/>
      <c r="J776" s="235"/>
      <c r="K776" s="235"/>
      <c r="L776" s="285"/>
    </row>
    <row r="777" spans="1:12" ht="24.95" hidden="1" customHeight="1">
      <c r="A777" s="136"/>
      <c r="B777" s="176"/>
      <c r="C777" s="177"/>
      <c r="D777" s="136"/>
      <c r="E777" s="231"/>
      <c r="F777" s="144"/>
      <c r="G777" s="144"/>
      <c r="H777" s="235"/>
      <c r="I777" s="235"/>
      <c r="J777" s="235"/>
      <c r="K777" s="235"/>
      <c r="L777" s="285"/>
    </row>
    <row r="778" spans="1:12" ht="24.95" hidden="1" customHeight="1">
      <c r="A778" s="136"/>
      <c r="B778" s="176"/>
      <c r="C778" s="177"/>
      <c r="D778" s="136"/>
      <c r="E778" s="231"/>
      <c r="F778" s="144"/>
      <c r="G778" s="144"/>
      <c r="H778" s="235"/>
      <c r="I778" s="235"/>
      <c r="J778" s="235"/>
      <c r="K778" s="235"/>
      <c r="L778" s="285"/>
    </row>
    <row r="779" spans="1:12" ht="24.95" hidden="1" customHeight="1">
      <c r="A779" s="136"/>
      <c r="B779" s="176"/>
      <c r="C779" s="177"/>
      <c r="D779" s="136"/>
      <c r="E779" s="231"/>
      <c r="F779" s="144"/>
      <c r="G779" s="144"/>
      <c r="H779" s="235"/>
      <c r="I779" s="235"/>
      <c r="J779" s="235"/>
      <c r="K779" s="235"/>
      <c r="L779" s="285"/>
    </row>
    <row r="780" spans="1:12" ht="24.95" hidden="1" customHeight="1">
      <c r="A780" s="136"/>
      <c r="B780" s="176"/>
      <c r="C780" s="177"/>
      <c r="D780" s="136"/>
      <c r="E780" s="231"/>
      <c r="F780" s="144"/>
      <c r="G780" s="144"/>
      <c r="H780" s="235"/>
      <c r="I780" s="235"/>
      <c r="J780" s="235"/>
      <c r="K780" s="235"/>
      <c r="L780" s="285"/>
    </row>
    <row r="781" spans="1:12" ht="24.95" hidden="1" customHeight="1">
      <c r="A781" s="136"/>
      <c r="B781" s="176"/>
      <c r="C781" s="177"/>
      <c r="D781" s="136"/>
      <c r="E781" s="231"/>
      <c r="F781" s="144"/>
      <c r="G781" s="144"/>
      <c r="H781" s="235"/>
      <c r="I781" s="235"/>
      <c r="J781" s="235"/>
      <c r="K781" s="235"/>
      <c r="L781" s="285"/>
    </row>
    <row r="782" spans="1:12" ht="24.95" hidden="1" customHeight="1">
      <c r="A782" s="136"/>
      <c r="B782" s="176"/>
      <c r="C782" s="177"/>
      <c r="D782" s="136"/>
      <c r="E782" s="231"/>
      <c r="F782" s="144"/>
      <c r="G782" s="144"/>
      <c r="H782" s="235"/>
      <c r="I782" s="235"/>
      <c r="J782" s="235"/>
      <c r="K782" s="235"/>
      <c r="L782" s="285"/>
    </row>
    <row r="783" spans="1:12" ht="24.95" hidden="1" customHeight="1">
      <c r="A783" s="136"/>
      <c r="B783" s="176"/>
      <c r="C783" s="177"/>
      <c r="D783" s="136"/>
      <c r="E783" s="231"/>
      <c r="F783" s="144"/>
      <c r="G783" s="144"/>
      <c r="H783" s="235"/>
      <c r="I783" s="235"/>
      <c r="J783" s="235"/>
      <c r="K783" s="235"/>
      <c r="L783" s="285"/>
    </row>
    <row r="784" spans="1:12" ht="24.95" hidden="1" customHeight="1">
      <c r="A784" s="136"/>
      <c r="B784" s="176"/>
      <c r="C784" s="177"/>
      <c r="D784" s="136"/>
      <c r="E784" s="231"/>
      <c r="F784" s="144"/>
      <c r="G784" s="144"/>
      <c r="H784" s="235"/>
      <c r="I784" s="235"/>
      <c r="J784" s="235"/>
      <c r="K784" s="235"/>
      <c r="L784" s="285"/>
    </row>
    <row r="785" spans="1:12" ht="24.95" hidden="1" customHeight="1">
      <c r="A785" s="136"/>
      <c r="B785" s="176"/>
      <c r="C785" s="177"/>
      <c r="D785" s="136"/>
      <c r="E785" s="231"/>
      <c r="F785" s="144"/>
      <c r="G785" s="144"/>
      <c r="H785" s="235"/>
      <c r="I785" s="235"/>
      <c r="J785" s="235"/>
      <c r="K785" s="235"/>
      <c r="L785" s="285"/>
    </row>
    <row r="786" spans="1:12" ht="24.95" hidden="1" customHeight="1">
      <c r="A786" s="136"/>
      <c r="B786" s="176"/>
      <c r="C786" s="177"/>
      <c r="D786" s="136"/>
      <c r="E786" s="231"/>
      <c r="F786" s="144"/>
      <c r="G786" s="144"/>
      <c r="H786" s="235"/>
      <c r="I786" s="235"/>
      <c r="J786" s="235"/>
      <c r="K786" s="235"/>
      <c r="L786" s="285"/>
    </row>
    <row r="787" spans="1:12" ht="24.95" hidden="1" customHeight="1">
      <c r="A787" s="136"/>
      <c r="B787" s="176"/>
      <c r="C787" s="177"/>
      <c r="D787" s="136"/>
      <c r="E787" s="231"/>
      <c r="F787" s="144"/>
      <c r="G787" s="144"/>
      <c r="H787" s="235"/>
      <c r="I787" s="235"/>
      <c r="J787" s="235"/>
      <c r="K787" s="235"/>
      <c r="L787" s="285"/>
    </row>
    <row r="788" spans="1:12" ht="24.95" hidden="1" customHeight="1">
      <c r="A788" s="136"/>
      <c r="B788" s="176"/>
      <c r="C788" s="177"/>
      <c r="D788" s="136"/>
      <c r="E788" s="231"/>
      <c r="F788" s="144"/>
      <c r="G788" s="144"/>
      <c r="H788" s="235"/>
      <c r="I788" s="235"/>
      <c r="J788" s="235"/>
      <c r="K788" s="235"/>
      <c r="L788" s="285"/>
    </row>
    <row r="789" spans="1:12" ht="24.95" hidden="1" customHeight="1">
      <c r="A789" s="136"/>
      <c r="B789" s="176"/>
      <c r="C789" s="177"/>
      <c r="D789" s="136"/>
      <c r="E789" s="231"/>
      <c r="F789" s="144"/>
      <c r="G789" s="144"/>
      <c r="H789" s="235"/>
      <c r="I789" s="235"/>
      <c r="J789" s="235"/>
      <c r="K789" s="235"/>
      <c r="L789" s="285"/>
    </row>
    <row r="790" spans="1:12" ht="24.95" hidden="1" customHeight="1">
      <c r="A790" s="136"/>
      <c r="B790" s="176"/>
      <c r="C790" s="177"/>
      <c r="D790" s="136"/>
      <c r="E790" s="231"/>
      <c r="F790" s="144"/>
      <c r="G790" s="144"/>
      <c r="H790" s="235"/>
      <c r="I790" s="235"/>
      <c r="J790" s="235"/>
      <c r="K790" s="235"/>
      <c r="L790" s="285"/>
    </row>
    <row r="791" spans="1:12" ht="24.95" hidden="1" customHeight="1">
      <c r="A791" s="136"/>
      <c r="B791" s="176"/>
      <c r="C791" s="177"/>
      <c r="D791" s="136"/>
      <c r="E791" s="231"/>
      <c r="F791" s="144"/>
      <c r="G791" s="144"/>
      <c r="H791" s="235"/>
      <c r="I791" s="235"/>
      <c r="J791" s="235"/>
      <c r="K791" s="235"/>
      <c r="L791" s="285"/>
    </row>
    <row r="792" spans="1:12" ht="24.95" hidden="1" customHeight="1">
      <c r="A792" s="136"/>
      <c r="B792" s="176"/>
      <c r="C792" s="177"/>
      <c r="D792" s="136"/>
      <c r="E792" s="231"/>
      <c r="F792" s="144"/>
      <c r="G792" s="144"/>
      <c r="H792" s="235"/>
      <c r="I792" s="235"/>
      <c r="J792" s="235"/>
      <c r="K792" s="235"/>
      <c r="L792" s="285"/>
    </row>
    <row r="793" spans="1:12" ht="24.95" hidden="1" customHeight="1">
      <c r="A793" s="136"/>
      <c r="B793" s="176"/>
      <c r="C793" s="177"/>
      <c r="D793" s="136"/>
      <c r="E793" s="231"/>
      <c r="F793" s="144"/>
      <c r="G793" s="144"/>
      <c r="H793" s="235"/>
      <c r="I793" s="235"/>
      <c r="J793" s="235"/>
      <c r="K793" s="235"/>
      <c r="L793" s="285"/>
    </row>
    <row r="794" spans="1:12" ht="24.95" hidden="1" customHeight="1">
      <c r="A794" s="136"/>
      <c r="B794" s="176"/>
      <c r="C794" s="177"/>
      <c r="D794" s="136"/>
      <c r="E794" s="231"/>
      <c r="F794" s="144"/>
      <c r="G794" s="144"/>
      <c r="H794" s="235"/>
      <c r="I794" s="235"/>
      <c r="J794" s="235"/>
      <c r="K794" s="235"/>
      <c r="L794" s="285"/>
    </row>
    <row r="795" spans="1:12" ht="24.95" hidden="1" customHeight="1">
      <c r="A795" s="136"/>
      <c r="B795" s="176"/>
      <c r="C795" s="177"/>
      <c r="D795" s="136"/>
      <c r="E795" s="231"/>
      <c r="F795" s="144"/>
      <c r="G795" s="144"/>
      <c r="H795" s="235"/>
      <c r="I795" s="235"/>
      <c r="J795" s="235"/>
      <c r="K795" s="235"/>
      <c r="L795" s="285"/>
    </row>
    <row r="796" spans="1:12" ht="24.95" hidden="1" customHeight="1">
      <c r="A796" s="136"/>
      <c r="B796" s="176"/>
      <c r="C796" s="177"/>
      <c r="D796" s="136"/>
      <c r="E796" s="231"/>
      <c r="F796" s="144"/>
      <c r="G796" s="144"/>
      <c r="H796" s="235"/>
      <c r="I796" s="235"/>
      <c r="J796" s="235"/>
      <c r="K796" s="235"/>
      <c r="L796" s="285"/>
    </row>
    <row r="797" spans="1:12" ht="24.95" hidden="1" customHeight="1">
      <c r="A797" s="136"/>
      <c r="B797" s="176"/>
      <c r="C797" s="177"/>
      <c r="D797" s="136"/>
      <c r="E797" s="231"/>
      <c r="F797" s="144"/>
      <c r="G797" s="144"/>
      <c r="H797" s="235"/>
      <c r="I797" s="235"/>
      <c r="J797" s="235"/>
      <c r="K797" s="235"/>
      <c r="L797" s="285"/>
    </row>
    <row r="798" spans="1:12" ht="24.95" hidden="1" customHeight="1">
      <c r="A798" s="136"/>
      <c r="B798" s="176"/>
      <c r="C798" s="177"/>
      <c r="D798" s="136"/>
      <c r="E798" s="231"/>
      <c r="F798" s="144"/>
      <c r="G798" s="144"/>
      <c r="H798" s="235"/>
      <c r="I798" s="235"/>
      <c r="J798" s="235"/>
      <c r="K798" s="235"/>
      <c r="L798" s="285"/>
    </row>
    <row r="799" spans="1:12" ht="24.95" hidden="1" customHeight="1">
      <c r="A799" s="136"/>
      <c r="B799" s="176"/>
      <c r="C799" s="177"/>
      <c r="D799" s="136"/>
      <c r="E799" s="231"/>
      <c r="F799" s="144"/>
      <c r="G799" s="144"/>
      <c r="H799" s="235"/>
      <c r="I799" s="235"/>
      <c r="J799" s="235"/>
      <c r="K799" s="235"/>
      <c r="L799" s="285"/>
    </row>
    <row r="800" spans="1:12" ht="24.95" hidden="1" customHeight="1">
      <c r="A800" s="136"/>
      <c r="B800" s="176"/>
      <c r="C800" s="177"/>
      <c r="D800" s="136"/>
      <c r="E800" s="231"/>
      <c r="F800" s="144"/>
      <c r="G800" s="144"/>
      <c r="H800" s="235"/>
      <c r="I800" s="235"/>
      <c r="J800" s="235"/>
      <c r="K800" s="235"/>
      <c r="L800" s="285"/>
    </row>
    <row r="801" spans="1:12" ht="24.95" hidden="1" customHeight="1">
      <c r="A801" s="136"/>
      <c r="B801" s="176"/>
      <c r="C801" s="177"/>
      <c r="D801" s="136"/>
      <c r="E801" s="231"/>
      <c r="F801" s="144"/>
      <c r="G801" s="144"/>
      <c r="H801" s="235"/>
      <c r="I801" s="235"/>
      <c r="J801" s="235"/>
      <c r="K801" s="235"/>
      <c r="L801" s="285"/>
    </row>
    <row r="802" spans="1:12" ht="24.95" hidden="1" customHeight="1">
      <c r="A802" s="136"/>
      <c r="B802" s="176"/>
      <c r="C802" s="177"/>
      <c r="D802" s="136"/>
      <c r="E802" s="231"/>
      <c r="F802" s="144"/>
      <c r="G802" s="144"/>
      <c r="H802" s="235"/>
      <c r="I802" s="235"/>
      <c r="J802" s="235"/>
      <c r="K802" s="235"/>
      <c r="L802" s="285"/>
    </row>
    <row r="803" spans="1:12" ht="24.95" hidden="1" customHeight="1">
      <c r="A803" s="136"/>
      <c r="B803" s="176"/>
      <c r="C803" s="177"/>
      <c r="D803" s="136"/>
      <c r="E803" s="231"/>
      <c r="F803" s="144"/>
      <c r="G803" s="144"/>
      <c r="H803" s="235"/>
      <c r="I803" s="235"/>
      <c r="J803" s="235"/>
      <c r="K803" s="235"/>
      <c r="L803" s="285"/>
    </row>
    <row r="804" spans="1:12" ht="24.95" hidden="1" customHeight="1">
      <c r="A804" s="136"/>
      <c r="B804" s="176"/>
      <c r="C804" s="177"/>
      <c r="D804" s="136"/>
      <c r="E804" s="231"/>
      <c r="F804" s="144"/>
      <c r="G804" s="144"/>
      <c r="H804" s="235"/>
      <c r="I804" s="235"/>
      <c r="J804" s="235"/>
      <c r="K804" s="235"/>
      <c r="L804" s="285"/>
    </row>
    <row r="805" spans="1:12" ht="24.95" hidden="1" customHeight="1">
      <c r="A805" s="136"/>
      <c r="B805" s="176"/>
      <c r="C805" s="177"/>
      <c r="D805" s="136"/>
      <c r="E805" s="231"/>
      <c r="F805" s="144"/>
      <c r="G805" s="144"/>
      <c r="H805" s="235"/>
      <c r="I805" s="235"/>
      <c r="J805" s="235"/>
      <c r="K805" s="235"/>
      <c r="L805" s="285"/>
    </row>
    <row r="806" spans="1:12" ht="24.95" hidden="1" customHeight="1">
      <c r="A806" s="136"/>
      <c r="B806" s="176"/>
      <c r="C806" s="177"/>
      <c r="D806" s="136"/>
      <c r="E806" s="231"/>
      <c r="F806" s="144"/>
      <c r="G806" s="144"/>
      <c r="H806" s="235"/>
      <c r="I806" s="235"/>
      <c r="J806" s="235"/>
      <c r="K806" s="235"/>
      <c r="L806" s="285"/>
    </row>
    <row r="807" spans="1:12" ht="24.95" hidden="1" customHeight="1">
      <c r="A807" s="136"/>
      <c r="B807" s="176"/>
      <c r="C807" s="177"/>
      <c r="D807" s="136"/>
      <c r="E807" s="231"/>
      <c r="F807" s="144"/>
      <c r="G807" s="144"/>
      <c r="H807" s="235"/>
      <c r="I807" s="235"/>
      <c r="J807" s="235"/>
      <c r="K807" s="235"/>
      <c r="L807" s="285"/>
    </row>
    <row r="808" spans="1:12" ht="24.95" hidden="1" customHeight="1">
      <c r="A808" s="136"/>
      <c r="B808" s="176"/>
      <c r="C808" s="177"/>
      <c r="D808" s="136"/>
      <c r="E808" s="231"/>
      <c r="F808" s="144"/>
      <c r="G808" s="144"/>
      <c r="H808" s="235"/>
      <c r="I808" s="235"/>
      <c r="J808" s="235"/>
      <c r="K808" s="235"/>
      <c r="L808" s="285"/>
    </row>
    <row r="809" spans="1:12" ht="24.95" hidden="1" customHeight="1">
      <c r="A809" s="136"/>
      <c r="B809" s="176"/>
      <c r="C809" s="177"/>
      <c r="D809" s="136"/>
      <c r="E809" s="231"/>
      <c r="F809" s="144"/>
      <c r="G809" s="144"/>
      <c r="H809" s="235"/>
      <c r="I809" s="235"/>
      <c r="J809" s="235"/>
      <c r="K809" s="235"/>
      <c r="L809" s="285"/>
    </row>
    <row r="810" spans="1:12" ht="24.95" hidden="1" customHeight="1">
      <c r="A810" s="136"/>
      <c r="B810" s="176"/>
      <c r="C810" s="177"/>
      <c r="D810" s="136"/>
      <c r="E810" s="231"/>
      <c r="F810" s="144"/>
      <c r="G810" s="144"/>
      <c r="H810" s="235"/>
      <c r="I810" s="235"/>
      <c r="J810" s="235"/>
      <c r="K810" s="235"/>
      <c r="L810" s="285"/>
    </row>
    <row r="811" spans="1:12" ht="24.95" hidden="1" customHeight="1">
      <c r="A811" s="136"/>
      <c r="B811" s="176"/>
      <c r="C811" s="177"/>
      <c r="D811" s="136"/>
      <c r="E811" s="231"/>
      <c r="F811" s="144"/>
      <c r="G811" s="144"/>
      <c r="H811" s="235"/>
      <c r="I811" s="235"/>
      <c r="J811" s="235"/>
      <c r="K811" s="235"/>
      <c r="L811" s="285"/>
    </row>
    <row r="812" spans="1:12" ht="24.95" hidden="1" customHeight="1">
      <c r="A812" s="136"/>
      <c r="B812" s="176"/>
      <c r="C812" s="177"/>
      <c r="D812" s="136"/>
      <c r="E812" s="231"/>
      <c r="F812" s="144"/>
      <c r="G812" s="144"/>
      <c r="H812" s="235"/>
      <c r="I812" s="235"/>
      <c r="J812" s="235"/>
      <c r="K812" s="235"/>
      <c r="L812" s="285"/>
    </row>
    <row r="813" spans="1:12" ht="24.95" hidden="1" customHeight="1">
      <c r="A813" s="136"/>
      <c r="B813" s="176"/>
      <c r="C813" s="177"/>
      <c r="D813" s="136"/>
      <c r="E813" s="231"/>
      <c r="F813" s="144"/>
      <c r="G813" s="144"/>
      <c r="H813" s="235"/>
      <c r="I813" s="235"/>
      <c r="J813" s="235"/>
      <c r="K813" s="235"/>
      <c r="L813" s="285"/>
    </row>
    <row r="814" spans="1:12" ht="24.95" hidden="1" customHeight="1">
      <c r="A814" s="136"/>
      <c r="B814" s="176"/>
      <c r="C814" s="177"/>
      <c r="D814" s="136"/>
      <c r="E814" s="231"/>
      <c r="F814" s="144"/>
      <c r="G814" s="144"/>
      <c r="H814" s="235"/>
      <c r="I814" s="235"/>
      <c r="J814" s="235"/>
      <c r="K814" s="235"/>
      <c r="L814" s="285"/>
    </row>
    <row r="815" spans="1:12" ht="24.95" hidden="1" customHeight="1">
      <c r="A815" s="136"/>
      <c r="B815" s="176"/>
      <c r="C815" s="177"/>
      <c r="D815" s="136"/>
      <c r="E815" s="231"/>
      <c r="F815" s="144"/>
      <c r="G815" s="144"/>
      <c r="H815" s="235"/>
      <c r="I815" s="235"/>
      <c r="J815" s="235"/>
      <c r="K815" s="235"/>
      <c r="L815" s="285"/>
    </row>
    <row r="816" spans="1:12" ht="24.95" hidden="1" customHeight="1">
      <c r="A816" s="136"/>
      <c r="B816" s="176"/>
      <c r="C816" s="177"/>
      <c r="D816" s="136"/>
      <c r="E816" s="231"/>
      <c r="F816" s="144"/>
      <c r="G816" s="144"/>
      <c r="H816" s="235"/>
      <c r="I816" s="235"/>
      <c r="J816" s="235"/>
      <c r="K816" s="235"/>
      <c r="L816" s="285"/>
    </row>
    <row r="817" spans="1:12" ht="24.95" hidden="1" customHeight="1">
      <c r="A817" s="136"/>
      <c r="B817" s="176"/>
      <c r="C817" s="177"/>
      <c r="D817" s="136"/>
      <c r="E817" s="231"/>
      <c r="F817" s="144"/>
      <c r="G817" s="144"/>
      <c r="H817" s="235"/>
      <c r="I817" s="235"/>
      <c r="J817" s="235"/>
      <c r="K817" s="235"/>
      <c r="L817" s="285"/>
    </row>
    <row r="818" spans="1:12" ht="24.95" hidden="1" customHeight="1">
      <c r="A818" s="136"/>
      <c r="B818" s="176"/>
      <c r="C818" s="177"/>
      <c r="D818" s="136"/>
      <c r="E818" s="231"/>
      <c r="F818" s="144"/>
      <c r="G818" s="144"/>
      <c r="H818" s="235"/>
      <c r="I818" s="235"/>
      <c r="J818" s="235"/>
      <c r="K818" s="235"/>
      <c r="L818" s="285"/>
    </row>
    <row r="819" spans="1:12" ht="24.95" hidden="1" customHeight="1">
      <c r="A819" s="136"/>
      <c r="B819" s="176"/>
      <c r="C819" s="177"/>
      <c r="D819" s="136"/>
      <c r="E819" s="231"/>
      <c r="F819" s="144"/>
      <c r="G819" s="144"/>
      <c r="H819" s="235"/>
      <c r="I819" s="235"/>
      <c r="J819" s="235"/>
      <c r="K819" s="235"/>
      <c r="L819" s="285"/>
    </row>
    <row r="820" spans="1:12" ht="24.95" hidden="1" customHeight="1">
      <c r="A820" s="136"/>
      <c r="B820" s="176"/>
      <c r="C820" s="177"/>
      <c r="D820" s="136"/>
      <c r="E820" s="231"/>
      <c r="F820" s="144"/>
      <c r="G820" s="144"/>
      <c r="H820" s="235"/>
      <c r="I820" s="235"/>
      <c r="J820" s="235"/>
      <c r="K820" s="235"/>
      <c r="L820" s="285"/>
    </row>
    <row r="821" spans="1:12" ht="24.95" hidden="1" customHeight="1">
      <c r="A821" s="136"/>
      <c r="B821" s="176"/>
      <c r="C821" s="177"/>
      <c r="D821" s="136"/>
      <c r="E821" s="231"/>
      <c r="F821" s="144"/>
      <c r="G821" s="144"/>
      <c r="H821" s="235"/>
      <c r="I821" s="235"/>
      <c r="J821" s="235"/>
      <c r="K821" s="235"/>
      <c r="L821" s="285"/>
    </row>
    <row r="822" spans="1:12" ht="24.95" hidden="1" customHeight="1">
      <c r="A822" s="136"/>
      <c r="B822" s="176"/>
      <c r="C822" s="177"/>
      <c r="D822" s="136"/>
      <c r="E822" s="231"/>
      <c r="F822" s="144"/>
      <c r="G822" s="144"/>
      <c r="H822" s="235"/>
      <c r="I822" s="235"/>
      <c r="J822" s="235"/>
      <c r="K822" s="235"/>
      <c r="L822" s="285"/>
    </row>
    <row r="823" spans="1:12" ht="24.95" hidden="1" customHeight="1">
      <c r="A823" s="136"/>
      <c r="B823" s="176"/>
      <c r="C823" s="177"/>
      <c r="D823" s="136"/>
      <c r="E823" s="231"/>
      <c r="F823" s="144"/>
      <c r="G823" s="144"/>
      <c r="H823" s="235"/>
      <c r="I823" s="235"/>
      <c r="J823" s="235"/>
      <c r="K823" s="235"/>
      <c r="L823" s="285"/>
    </row>
    <row r="824" spans="1:12" ht="24.95" hidden="1" customHeight="1">
      <c r="A824" s="136"/>
      <c r="B824" s="176"/>
      <c r="C824" s="177"/>
      <c r="D824" s="136"/>
      <c r="E824" s="231"/>
      <c r="F824" s="144"/>
      <c r="G824" s="144"/>
      <c r="H824" s="235"/>
      <c r="I824" s="235"/>
      <c r="J824" s="235"/>
      <c r="K824" s="235"/>
      <c r="L824" s="285"/>
    </row>
    <row r="825" spans="1:12" ht="24.95" hidden="1" customHeight="1">
      <c r="A825" s="136"/>
      <c r="B825" s="176"/>
      <c r="C825" s="177"/>
      <c r="D825" s="136"/>
      <c r="E825" s="231"/>
      <c r="F825" s="144"/>
      <c r="G825" s="144"/>
      <c r="H825" s="235"/>
      <c r="I825" s="235"/>
      <c r="J825" s="235"/>
      <c r="K825" s="235"/>
      <c r="L825" s="285"/>
    </row>
    <row r="826" spans="1:12" ht="24.95" hidden="1" customHeight="1">
      <c r="A826" s="136"/>
      <c r="B826" s="176"/>
      <c r="C826" s="177"/>
      <c r="D826" s="136"/>
      <c r="E826" s="231"/>
      <c r="F826" s="144"/>
      <c r="G826" s="144"/>
      <c r="H826" s="235"/>
      <c r="I826" s="235"/>
      <c r="J826" s="235"/>
      <c r="K826" s="235"/>
      <c r="L826" s="285"/>
    </row>
    <row r="827" spans="1:12" ht="24.95" hidden="1" customHeight="1">
      <c r="A827" s="136"/>
      <c r="B827" s="176"/>
      <c r="C827" s="177"/>
      <c r="D827" s="136"/>
      <c r="E827" s="231"/>
      <c r="F827" s="144"/>
      <c r="G827" s="144"/>
      <c r="H827" s="235"/>
      <c r="I827" s="235"/>
      <c r="J827" s="235"/>
      <c r="K827" s="235"/>
      <c r="L827" s="285"/>
    </row>
    <row r="828" spans="1:12" ht="24.95" hidden="1" customHeight="1">
      <c r="A828" s="136"/>
      <c r="B828" s="176"/>
      <c r="C828" s="177"/>
      <c r="D828" s="136"/>
      <c r="E828" s="231"/>
      <c r="F828" s="144"/>
      <c r="G828" s="144"/>
      <c r="H828" s="235"/>
      <c r="I828" s="235"/>
      <c r="J828" s="235"/>
      <c r="K828" s="235"/>
      <c r="L828" s="285"/>
    </row>
    <row r="829" spans="1:12" ht="24.95" hidden="1" customHeight="1">
      <c r="A829" s="136"/>
      <c r="B829" s="176"/>
      <c r="C829" s="177"/>
      <c r="D829" s="136"/>
      <c r="E829" s="231"/>
      <c r="F829" s="144"/>
      <c r="G829" s="144"/>
      <c r="H829" s="235"/>
      <c r="I829" s="235"/>
      <c r="J829" s="235"/>
      <c r="K829" s="235"/>
      <c r="L829" s="285"/>
    </row>
    <row r="830" spans="1:12" ht="24.95" hidden="1" customHeight="1">
      <c r="A830" s="136"/>
      <c r="B830" s="176"/>
      <c r="C830" s="177"/>
      <c r="D830" s="136"/>
      <c r="E830" s="231"/>
      <c r="F830" s="144"/>
      <c r="G830" s="144"/>
      <c r="H830" s="235"/>
      <c r="I830" s="235"/>
      <c r="J830" s="235"/>
      <c r="K830" s="235"/>
      <c r="L830" s="285"/>
    </row>
    <row r="831" spans="1:12" ht="24.95" hidden="1" customHeight="1">
      <c r="A831" s="136"/>
      <c r="B831" s="176"/>
      <c r="C831" s="177"/>
      <c r="D831" s="136"/>
      <c r="E831" s="231"/>
      <c r="F831" s="144"/>
      <c r="G831" s="144"/>
      <c r="H831" s="235"/>
      <c r="I831" s="235"/>
      <c r="J831" s="235"/>
      <c r="K831" s="235"/>
      <c r="L831" s="285"/>
    </row>
    <row r="832" spans="1:12" ht="24.95" hidden="1" customHeight="1">
      <c r="A832" s="136"/>
      <c r="B832" s="176"/>
      <c r="C832" s="177"/>
      <c r="D832" s="136"/>
      <c r="E832" s="231"/>
      <c r="F832" s="144"/>
      <c r="G832" s="144"/>
      <c r="H832" s="235"/>
      <c r="I832" s="235"/>
      <c r="J832" s="235"/>
      <c r="K832" s="235"/>
      <c r="L832" s="285"/>
    </row>
    <row r="833" spans="1:12" ht="24.95" hidden="1" customHeight="1">
      <c r="A833" s="136"/>
      <c r="B833" s="176"/>
      <c r="C833" s="177"/>
      <c r="D833" s="136"/>
      <c r="E833" s="231"/>
      <c r="F833" s="144"/>
      <c r="G833" s="144"/>
      <c r="H833" s="235"/>
      <c r="I833" s="235"/>
      <c r="J833" s="235"/>
      <c r="K833" s="235"/>
      <c r="L833" s="285"/>
    </row>
    <row r="834" spans="1:12" ht="24.95" hidden="1" customHeight="1">
      <c r="A834" s="136"/>
      <c r="B834" s="176"/>
      <c r="C834" s="177"/>
      <c r="D834" s="136"/>
      <c r="E834" s="231"/>
      <c r="F834" s="144"/>
      <c r="G834" s="144"/>
      <c r="H834" s="235"/>
      <c r="I834" s="235"/>
      <c r="J834" s="235"/>
      <c r="K834" s="235"/>
      <c r="L834" s="285"/>
    </row>
    <row r="835" spans="1:12" ht="24.95" hidden="1" customHeight="1">
      <c r="A835" s="136"/>
      <c r="B835" s="176"/>
      <c r="C835" s="177"/>
      <c r="D835" s="136"/>
      <c r="E835" s="231"/>
      <c r="F835" s="144"/>
      <c r="G835" s="144"/>
      <c r="H835" s="235"/>
      <c r="I835" s="235"/>
      <c r="J835" s="235"/>
      <c r="K835" s="235"/>
      <c r="L835" s="285"/>
    </row>
    <row r="836" spans="1:12" ht="24.95" hidden="1" customHeight="1">
      <c r="A836" s="136"/>
      <c r="B836" s="176"/>
      <c r="C836" s="177"/>
      <c r="D836" s="136"/>
      <c r="E836" s="231"/>
      <c r="F836" s="144"/>
      <c r="G836" s="144"/>
      <c r="H836" s="235"/>
      <c r="I836" s="235"/>
      <c r="J836" s="235"/>
      <c r="K836" s="235"/>
      <c r="L836" s="285"/>
    </row>
    <row r="837" spans="1:12" ht="24.95" hidden="1" customHeight="1">
      <c r="A837" s="136"/>
      <c r="B837" s="176"/>
      <c r="C837" s="177"/>
      <c r="D837" s="136"/>
      <c r="E837" s="231"/>
      <c r="F837" s="144"/>
      <c r="G837" s="144"/>
      <c r="H837" s="235"/>
      <c r="I837" s="235"/>
      <c r="J837" s="235"/>
      <c r="K837" s="235"/>
      <c r="L837" s="285"/>
    </row>
    <row r="838" spans="1:12" ht="24.95" hidden="1" customHeight="1">
      <c r="A838" s="136"/>
      <c r="B838" s="176"/>
      <c r="C838" s="177"/>
      <c r="D838" s="136"/>
      <c r="E838" s="231"/>
      <c r="F838" s="144"/>
      <c r="G838" s="144"/>
      <c r="H838" s="235"/>
      <c r="I838" s="235"/>
      <c r="J838" s="235"/>
      <c r="K838" s="235"/>
      <c r="L838" s="285"/>
    </row>
    <row r="839" spans="1:12" ht="24.95" hidden="1" customHeight="1">
      <c r="A839" s="136"/>
      <c r="B839" s="176"/>
      <c r="C839" s="177"/>
      <c r="D839" s="136"/>
      <c r="E839" s="231"/>
      <c r="F839" s="144"/>
      <c r="G839" s="144"/>
      <c r="H839" s="235"/>
      <c r="I839" s="235"/>
      <c r="J839" s="235"/>
      <c r="K839" s="235"/>
      <c r="L839" s="285"/>
    </row>
    <row r="840" spans="1:12" ht="24.95" hidden="1" customHeight="1">
      <c r="A840" s="136"/>
      <c r="B840" s="176"/>
      <c r="C840" s="177"/>
      <c r="D840" s="136"/>
      <c r="E840" s="231"/>
      <c r="F840" s="144"/>
      <c r="G840" s="144"/>
      <c r="H840" s="235"/>
      <c r="I840" s="235"/>
      <c r="J840" s="235"/>
      <c r="K840" s="235"/>
      <c r="L840" s="285"/>
    </row>
    <row r="841" spans="1:12" ht="24.95" hidden="1" customHeight="1">
      <c r="A841" s="136"/>
      <c r="B841" s="176"/>
      <c r="C841" s="177"/>
      <c r="D841" s="136"/>
      <c r="E841" s="231"/>
      <c r="F841" s="144"/>
      <c r="G841" s="144"/>
      <c r="H841" s="235"/>
      <c r="I841" s="235"/>
      <c r="J841" s="235"/>
      <c r="K841" s="235"/>
      <c r="L841" s="285"/>
    </row>
    <row r="842" spans="1:12" ht="24.95" hidden="1" customHeight="1">
      <c r="A842" s="136"/>
      <c r="B842" s="176"/>
      <c r="C842" s="177"/>
      <c r="D842" s="136"/>
      <c r="E842" s="231"/>
      <c r="F842" s="144"/>
      <c r="G842" s="144"/>
      <c r="H842" s="235"/>
      <c r="I842" s="235"/>
      <c r="J842" s="235"/>
      <c r="K842" s="235"/>
      <c r="L842" s="285"/>
    </row>
    <row r="843" spans="1:12" ht="24.95" hidden="1" customHeight="1">
      <c r="A843" s="136"/>
      <c r="B843" s="176"/>
      <c r="C843" s="177"/>
      <c r="D843" s="136"/>
      <c r="E843" s="231"/>
      <c r="F843" s="144"/>
      <c r="G843" s="144"/>
      <c r="H843" s="235"/>
      <c r="I843" s="235"/>
      <c r="J843" s="235"/>
      <c r="K843" s="235"/>
      <c r="L843" s="285"/>
    </row>
    <row r="844" spans="1:12" ht="24.95" hidden="1" customHeight="1">
      <c r="A844" s="136"/>
      <c r="B844" s="176"/>
      <c r="C844" s="177"/>
      <c r="D844" s="136"/>
      <c r="E844" s="231"/>
      <c r="F844" s="144"/>
      <c r="G844" s="144"/>
      <c r="H844" s="235"/>
      <c r="I844" s="235"/>
      <c r="J844" s="235"/>
      <c r="K844" s="235"/>
      <c r="L844" s="285"/>
    </row>
    <row r="845" spans="1:12" ht="24.95" hidden="1" customHeight="1">
      <c r="A845" s="136"/>
      <c r="B845" s="176"/>
      <c r="C845" s="177"/>
      <c r="D845" s="136"/>
      <c r="E845" s="231"/>
      <c r="F845" s="144"/>
      <c r="G845" s="144"/>
      <c r="H845" s="235"/>
      <c r="I845" s="235"/>
      <c r="J845" s="235"/>
      <c r="K845" s="235"/>
      <c r="L845" s="285"/>
    </row>
    <row r="846" spans="1:12" ht="24.95" hidden="1" customHeight="1">
      <c r="A846" s="136"/>
      <c r="B846" s="176"/>
      <c r="C846" s="177"/>
      <c r="D846" s="136"/>
      <c r="E846" s="231"/>
      <c r="F846" s="144"/>
      <c r="G846" s="144"/>
      <c r="H846" s="235"/>
      <c r="I846" s="235"/>
      <c r="J846" s="235"/>
      <c r="K846" s="235"/>
      <c r="L846" s="285"/>
    </row>
    <row r="847" spans="1:12" ht="24.95" hidden="1" customHeight="1">
      <c r="A847" s="136"/>
      <c r="B847" s="176"/>
      <c r="C847" s="177"/>
      <c r="D847" s="136"/>
      <c r="E847" s="231"/>
      <c r="F847" s="144"/>
      <c r="G847" s="144"/>
      <c r="H847" s="235"/>
      <c r="I847" s="235"/>
      <c r="J847" s="235"/>
      <c r="K847" s="235"/>
      <c r="L847" s="285"/>
    </row>
    <row r="848" spans="1:12" ht="24.95" hidden="1" customHeight="1">
      <c r="A848" s="136"/>
      <c r="B848" s="176"/>
      <c r="C848" s="177"/>
      <c r="D848" s="136"/>
      <c r="E848" s="231"/>
      <c r="F848" s="144"/>
      <c r="G848" s="144"/>
      <c r="H848" s="235"/>
      <c r="I848" s="235"/>
      <c r="J848" s="235"/>
      <c r="K848" s="235"/>
      <c r="L848" s="285"/>
    </row>
    <row r="849" spans="1:12" ht="24.95" hidden="1" customHeight="1">
      <c r="A849" s="136"/>
      <c r="B849" s="176"/>
      <c r="C849" s="177"/>
      <c r="D849" s="136"/>
      <c r="E849" s="231"/>
      <c r="F849" s="144"/>
      <c r="G849" s="144"/>
      <c r="H849" s="235"/>
      <c r="I849" s="235"/>
      <c r="J849" s="235"/>
      <c r="K849" s="235"/>
      <c r="L849" s="285"/>
    </row>
    <row r="850" spans="1:12" ht="24.95" hidden="1" customHeight="1">
      <c r="A850" s="136"/>
      <c r="B850" s="176"/>
      <c r="C850" s="177"/>
      <c r="D850" s="136"/>
      <c r="E850" s="231"/>
      <c r="F850" s="144"/>
      <c r="G850" s="144"/>
      <c r="H850" s="235"/>
      <c r="I850" s="235"/>
      <c r="J850" s="235"/>
      <c r="K850" s="235"/>
      <c r="L850" s="285"/>
    </row>
    <row r="851" spans="1:12" ht="24.95" hidden="1" customHeight="1">
      <c r="A851" s="136"/>
      <c r="B851" s="176"/>
      <c r="C851" s="177"/>
      <c r="D851" s="136"/>
      <c r="E851" s="231"/>
      <c r="F851" s="144"/>
      <c r="G851" s="144"/>
      <c r="H851" s="235"/>
      <c r="I851" s="235"/>
      <c r="J851" s="235"/>
      <c r="K851" s="235"/>
      <c r="L851" s="285"/>
    </row>
    <row r="852" spans="1:12" ht="24.95" hidden="1" customHeight="1">
      <c r="A852" s="136"/>
      <c r="B852" s="176"/>
      <c r="C852" s="177"/>
      <c r="D852" s="136"/>
      <c r="E852" s="231"/>
      <c r="F852" s="144"/>
      <c r="G852" s="144"/>
      <c r="H852" s="235"/>
      <c r="I852" s="235"/>
      <c r="J852" s="235"/>
      <c r="K852" s="235"/>
      <c r="L852" s="285"/>
    </row>
    <row r="853" spans="1:12" ht="24.95" hidden="1" customHeight="1">
      <c r="A853" s="136"/>
      <c r="B853" s="176"/>
      <c r="C853" s="177"/>
      <c r="D853" s="136"/>
      <c r="E853" s="231"/>
      <c r="F853" s="144"/>
      <c r="G853" s="144"/>
      <c r="H853" s="235"/>
      <c r="I853" s="235"/>
      <c r="J853" s="235"/>
      <c r="K853" s="235"/>
      <c r="L853" s="285"/>
    </row>
    <row r="854" spans="1:12" ht="24.95" hidden="1" customHeight="1">
      <c r="A854" s="136"/>
      <c r="B854" s="176"/>
      <c r="C854" s="177"/>
      <c r="D854" s="136"/>
      <c r="E854" s="231"/>
      <c r="F854" s="144"/>
      <c r="G854" s="144"/>
      <c r="H854" s="235"/>
      <c r="I854" s="235"/>
      <c r="J854" s="235"/>
      <c r="K854" s="235"/>
      <c r="L854" s="285"/>
    </row>
    <row r="855" spans="1:12" ht="24.95" hidden="1" customHeight="1">
      <c r="A855" s="136"/>
      <c r="B855" s="176"/>
      <c r="C855" s="177"/>
      <c r="D855" s="136"/>
      <c r="E855" s="231"/>
      <c r="F855" s="144"/>
      <c r="G855" s="144"/>
      <c r="H855" s="235"/>
      <c r="I855" s="235"/>
      <c r="J855" s="235"/>
      <c r="K855" s="235"/>
      <c r="L855" s="285"/>
    </row>
    <row r="856" spans="1:12" ht="24.95" hidden="1" customHeight="1">
      <c r="A856" s="136"/>
      <c r="B856" s="176"/>
      <c r="C856" s="177"/>
      <c r="D856" s="136"/>
      <c r="E856" s="231"/>
      <c r="F856" s="144"/>
      <c r="G856" s="144"/>
      <c r="H856" s="235"/>
      <c r="I856" s="235"/>
      <c r="J856" s="235"/>
      <c r="K856" s="235"/>
      <c r="L856" s="285"/>
    </row>
    <row r="857" spans="1:12" ht="24.95" hidden="1" customHeight="1">
      <c r="A857" s="136"/>
      <c r="B857" s="176"/>
      <c r="C857" s="177"/>
      <c r="D857" s="136"/>
      <c r="E857" s="231"/>
      <c r="F857" s="144"/>
      <c r="G857" s="144"/>
      <c r="H857" s="235"/>
      <c r="I857" s="235"/>
      <c r="J857" s="235"/>
      <c r="K857" s="235"/>
      <c r="L857" s="285"/>
    </row>
    <row r="858" spans="1:12" ht="24.95" hidden="1" customHeight="1">
      <c r="A858" s="136"/>
      <c r="B858" s="176"/>
      <c r="C858" s="177"/>
      <c r="D858" s="136"/>
      <c r="E858" s="231"/>
      <c r="F858" s="144"/>
      <c r="G858" s="144"/>
      <c r="H858" s="235"/>
      <c r="I858" s="235"/>
      <c r="J858" s="235"/>
      <c r="K858" s="235"/>
      <c r="L858" s="285"/>
    </row>
    <row r="859" spans="1:12" ht="24.95" hidden="1" customHeight="1">
      <c r="A859" s="136"/>
      <c r="B859" s="176"/>
      <c r="C859" s="177"/>
      <c r="D859" s="136"/>
      <c r="E859" s="231"/>
      <c r="F859" s="144"/>
      <c r="G859" s="144"/>
      <c r="H859" s="235"/>
      <c r="I859" s="235"/>
      <c r="J859" s="235"/>
      <c r="K859" s="235"/>
      <c r="L859" s="285"/>
    </row>
    <row r="860" spans="1:12" ht="24.95" hidden="1" customHeight="1">
      <c r="A860" s="136"/>
      <c r="B860" s="176"/>
      <c r="C860" s="177"/>
      <c r="D860" s="136"/>
      <c r="E860" s="231"/>
      <c r="F860" s="144"/>
      <c r="G860" s="144"/>
      <c r="H860" s="235"/>
      <c r="I860" s="235"/>
      <c r="J860" s="235"/>
      <c r="K860" s="235"/>
      <c r="L860" s="285"/>
    </row>
    <row r="861" spans="1:12" ht="24.95" hidden="1" customHeight="1">
      <c r="A861" s="136"/>
      <c r="B861" s="176"/>
      <c r="C861" s="177"/>
      <c r="D861" s="136"/>
      <c r="E861" s="231"/>
      <c r="F861" s="144"/>
      <c r="G861" s="144"/>
      <c r="H861" s="235"/>
      <c r="I861" s="235"/>
      <c r="J861" s="235"/>
      <c r="K861" s="235"/>
      <c r="L861" s="285"/>
    </row>
    <row r="862" spans="1:12" ht="24.95" hidden="1" customHeight="1">
      <c r="A862" s="136"/>
      <c r="B862" s="176"/>
      <c r="C862" s="177"/>
      <c r="D862" s="136"/>
      <c r="E862" s="231"/>
      <c r="F862" s="144"/>
      <c r="G862" s="144"/>
      <c r="H862" s="235"/>
      <c r="I862" s="235"/>
      <c r="J862" s="235"/>
      <c r="K862" s="235"/>
      <c r="L862" s="285"/>
    </row>
    <row r="863" spans="1:12" ht="24.95" hidden="1" customHeight="1">
      <c r="A863" s="136"/>
      <c r="B863" s="176"/>
      <c r="C863" s="177"/>
      <c r="D863" s="136"/>
      <c r="E863" s="231"/>
      <c r="F863" s="144"/>
      <c r="G863" s="144"/>
      <c r="H863" s="235"/>
      <c r="I863" s="235"/>
      <c r="J863" s="235"/>
      <c r="K863" s="235"/>
      <c r="L863" s="285"/>
    </row>
    <row r="864" spans="1:12" ht="24.95" hidden="1" customHeight="1">
      <c r="A864" s="136"/>
      <c r="B864" s="176"/>
      <c r="C864" s="177"/>
      <c r="D864" s="136"/>
      <c r="E864" s="231"/>
      <c r="F864" s="144"/>
      <c r="G864" s="144"/>
      <c r="H864" s="235"/>
      <c r="I864" s="235"/>
      <c r="J864" s="235"/>
      <c r="K864" s="235"/>
      <c r="L864" s="285"/>
    </row>
    <row r="865" spans="1:12" ht="24.95" hidden="1" customHeight="1">
      <c r="A865" s="136"/>
      <c r="B865" s="176"/>
      <c r="C865" s="177"/>
      <c r="D865" s="136"/>
      <c r="E865" s="231"/>
      <c r="F865" s="144"/>
      <c r="G865" s="144"/>
      <c r="H865" s="235"/>
      <c r="I865" s="235"/>
      <c r="J865" s="235"/>
      <c r="K865" s="235"/>
      <c r="L865" s="285"/>
    </row>
    <row r="866" spans="1:12" ht="24.95" hidden="1" customHeight="1">
      <c r="A866" s="136"/>
      <c r="B866" s="176"/>
      <c r="C866" s="177"/>
      <c r="D866" s="136"/>
      <c r="E866" s="231"/>
      <c r="F866" s="144"/>
      <c r="G866" s="144"/>
      <c r="H866" s="235"/>
      <c r="I866" s="235"/>
      <c r="J866" s="235"/>
      <c r="K866" s="235"/>
      <c r="L866" s="285"/>
    </row>
    <row r="867" spans="1:12" ht="24.95" hidden="1" customHeight="1">
      <c r="A867" s="136"/>
      <c r="B867" s="176"/>
      <c r="C867" s="177"/>
      <c r="D867" s="136"/>
      <c r="E867" s="231"/>
      <c r="F867" s="144"/>
      <c r="G867" s="144"/>
      <c r="H867" s="235"/>
      <c r="I867" s="235"/>
      <c r="J867" s="235"/>
      <c r="K867" s="235"/>
      <c r="L867" s="285"/>
    </row>
    <row r="868" spans="1:12" ht="24.95" hidden="1" customHeight="1">
      <c r="A868" s="136"/>
      <c r="B868" s="176"/>
      <c r="C868" s="177"/>
      <c r="D868" s="136"/>
      <c r="E868" s="231"/>
      <c r="F868" s="144"/>
      <c r="G868" s="144"/>
      <c r="H868" s="235"/>
      <c r="I868" s="235"/>
      <c r="J868" s="235"/>
      <c r="K868" s="235"/>
      <c r="L868" s="285"/>
    </row>
    <row r="869" spans="1:12" ht="24.95" hidden="1" customHeight="1">
      <c r="A869" s="136"/>
      <c r="B869" s="176"/>
      <c r="C869" s="177"/>
      <c r="D869" s="136"/>
      <c r="E869" s="231"/>
      <c r="F869" s="144"/>
      <c r="G869" s="144"/>
      <c r="H869" s="235"/>
      <c r="I869" s="235"/>
      <c r="J869" s="235"/>
      <c r="K869" s="235"/>
      <c r="L869" s="285"/>
    </row>
    <row r="870" spans="1:12" ht="24.95" hidden="1" customHeight="1">
      <c r="A870" s="136"/>
      <c r="B870" s="176"/>
      <c r="C870" s="177"/>
      <c r="D870" s="136"/>
      <c r="E870" s="231"/>
      <c r="F870" s="144"/>
      <c r="G870" s="144"/>
      <c r="H870" s="235"/>
      <c r="I870" s="235"/>
      <c r="J870" s="235"/>
      <c r="K870" s="235"/>
      <c r="L870" s="285"/>
    </row>
    <row r="871" spans="1:12" ht="24.95" hidden="1" customHeight="1">
      <c r="A871" s="136"/>
      <c r="B871" s="176"/>
      <c r="C871" s="177"/>
      <c r="D871" s="136"/>
      <c r="E871" s="231"/>
      <c r="F871" s="144"/>
      <c r="G871" s="144"/>
      <c r="H871" s="235"/>
      <c r="I871" s="235"/>
      <c r="J871" s="235"/>
      <c r="K871" s="235"/>
      <c r="L871" s="285"/>
    </row>
    <row r="872" spans="1:12" ht="24.95" hidden="1" customHeight="1">
      <c r="A872" s="136"/>
      <c r="B872" s="176"/>
      <c r="C872" s="177"/>
      <c r="D872" s="136"/>
      <c r="E872" s="231"/>
      <c r="F872" s="144"/>
      <c r="G872" s="144"/>
      <c r="H872" s="235"/>
      <c r="I872" s="235"/>
      <c r="J872" s="235"/>
      <c r="K872" s="235"/>
      <c r="L872" s="285"/>
    </row>
    <row r="873" spans="1:12" ht="24.95" hidden="1" customHeight="1">
      <c r="A873" s="136"/>
      <c r="B873" s="176"/>
      <c r="C873" s="177"/>
      <c r="D873" s="136"/>
      <c r="E873" s="231"/>
      <c r="F873" s="144"/>
      <c r="G873" s="144"/>
      <c r="H873" s="235"/>
      <c r="I873" s="235"/>
      <c r="J873" s="235"/>
      <c r="K873" s="235"/>
      <c r="L873" s="285"/>
    </row>
    <row r="874" spans="1:12" ht="24.95" hidden="1" customHeight="1">
      <c r="A874" s="136"/>
      <c r="B874" s="176"/>
      <c r="C874" s="177"/>
      <c r="D874" s="136"/>
      <c r="E874" s="231"/>
      <c r="F874" s="144"/>
      <c r="G874" s="144"/>
      <c r="H874" s="235"/>
      <c r="I874" s="235"/>
      <c r="J874" s="235"/>
      <c r="K874" s="235"/>
      <c r="L874" s="285"/>
    </row>
    <row r="875" spans="1:12" ht="24.95" hidden="1" customHeight="1">
      <c r="A875" s="136"/>
      <c r="B875" s="176"/>
      <c r="C875" s="177"/>
      <c r="D875" s="136"/>
      <c r="E875" s="231"/>
      <c r="F875" s="144"/>
      <c r="G875" s="144"/>
      <c r="H875" s="235"/>
      <c r="I875" s="235"/>
      <c r="J875" s="235"/>
      <c r="K875" s="235"/>
      <c r="L875" s="285"/>
    </row>
    <row r="876" spans="1:12" ht="24.95" hidden="1" customHeight="1">
      <c r="A876" s="136"/>
      <c r="B876" s="176"/>
      <c r="C876" s="177"/>
      <c r="D876" s="136"/>
      <c r="E876" s="231"/>
      <c r="F876" s="144"/>
      <c r="G876" s="144"/>
      <c r="H876" s="235"/>
      <c r="I876" s="235"/>
      <c r="J876" s="235"/>
      <c r="K876" s="235"/>
      <c r="L876" s="285"/>
    </row>
    <row r="877" spans="1:12" ht="24.95" hidden="1" customHeight="1">
      <c r="A877" s="136"/>
      <c r="B877" s="176"/>
      <c r="C877" s="177"/>
      <c r="D877" s="136"/>
      <c r="E877" s="231"/>
      <c r="F877" s="144"/>
      <c r="G877" s="144"/>
      <c r="H877" s="235"/>
      <c r="I877" s="235"/>
      <c r="J877" s="235"/>
      <c r="K877" s="235"/>
      <c r="L877" s="285"/>
    </row>
    <row r="878" spans="1:12" ht="24.95" hidden="1" customHeight="1">
      <c r="A878" s="136"/>
      <c r="B878" s="176"/>
      <c r="C878" s="177"/>
      <c r="D878" s="136"/>
      <c r="E878" s="231"/>
      <c r="F878" s="144"/>
      <c r="G878" s="144"/>
      <c r="H878" s="235"/>
      <c r="I878" s="235"/>
      <c r="J878" s="235"/>
      <c r="K878" s="235"/>
      <c r="L878" s="285"/>
    </row>
    <row r="879" spans="1:12" ht="24.95" hidden="1" customHeight="1">
      <c r="A879" s="136"/>
      <c r="B879" s="176"/>
      <c r="C879" s="177"/>
      <c r="D879" s="136"/>
      <c r="E879" s="231"/>
      <c r="F879" s="144"/>
      <c r="G879" s="144"/>
      <c r="H879" s="235"/>
      <c r="I879" s="235"/>
      <c r="J879" s="235"/>
      <c r="K879" s="235"/>
      <c r="L879" s="285"/>
    </row>
    <row r="880" spans="1:12" ht="24.95" hidden="1" customHeight="1">
      <c r="A880" s="136"/>
      <c r="B880" s="176"/>
      <c r="C880" s="177"/>
      <c r="D880" s="136"/>
      <c r="E880" s="231"/>
      <c r="F880" s="144"/>
      <c r="G880" s="144"/>
      <c r="H880" s="235"/>
      <c r="I880" s="235"/>
      <c r="J880" s="235"/>
      <c r="K880" s="235"/>
      <c r="L880" s="285"/>
    </row>
    <row r="881" spans="1:12" ht="24.95" hidden="1" customHeight="1">
      <c r="A881" s="136"/>
      <c r="B881" s="176"/>
      <c r="C881" s="177"/>
      <c r="D881" s="136"/>
      <c r="E881" s="231"/>
      <c r="F881" s="144"/>
      <c r="G881" s="144"/>
      <c r="H881" s="235"/>
      <c r="I881" s="235"/>
      <c r="J881" s="235"/>
      <c r="K881" s="235"/>
      <c r="L881" s="285"/>
    </row>
    <row r="882" spans="1:12" ht="24.95" hidden="1" customHeight="1">
      <c r="A882" s="136"/>
      <c r="B882" s="176"/>
      <c r="C882" s="177"/>
      <c r="D882" s="136"/>
      <c r="E882" s="231"/>
      <c r="F882" s="144"/>
      <c r="G882" s="144"/>
      <c r="H882" s="235"/>
      <c r="I882" s="235"/>
      <c r="J882" s="235"/>
      <c r="K882" s="235"/>
      <c r="L882" s="285"/>
    </row>
    <row r="883" spans="1:12" ht="24.95" hidden="1" customHeight="1">
      <c r="A883" s="136"/>
      <c r="B883" s="176"/>
      <c r="C883" s="177"/>
      <c r="D883" s="136"/>
      <c r="E883" s="231"/>
      <c r="F883" s="144"/>
      <c r="G883" s="144"/>
      <c r="H883" s="235"/>
      <c r="I883" s="235"/>
      <c r="J883" s="235"/>
      <c r="K883" s="235"/>
      <c r="L883" s="285"/>
    </row>
    <row r="884" spans="1:12" ht="24.95" hidden="1" customHeight="1">
      <c r="A884" s="136"/>
      <c r="B884" s="176"/>
      <c r="C884" s="177"/>
      <c r="D884" s="136"/>
      <c r="E884" s="231"/>
      <c r="F884" s="144"/>
      <c r="G884" s="144"/>
      <c r="H884" s="235"/>
      <c r="I884" s="235"/>
      <c r="J884" s="235"/>
      <c r="K884" s="235"/>
      <c r="L884" s="285"/>
    </row>
    <row r="885" spans="1:12" ht="24.95" hidden="1" customHeight="1">
      <c r="A885" s="136"/>
      <c r="B885" s="176"/>
      <c r="C885" s="177"/>
      <c r="D885" s="136"/>
      <c r="E885" s="231"/>
      <c r="F885" s="144"/>
      <c r="G885" s="144"/>
      <c r="H885" s="235"/>
      <c r="I885" s="235"/>
      <c r="J885" s="235"/>
      <c r="K885" s="235"/>
      <c r="L885" s="285"/>
    </row>
    <row r="886" spans="1:12" ht="24.95" hidden="1" customHeight="1">
      <c r="A886" s="136"/>
      <c r="B886" s="176"/>
      <c r="C886" s="177"/>
      <c r="D886" s="136"/>
      <c r="E886" s="231"/>
      <c r="F886" s="144"/>
      <c r="G886" s="144"/>
      <c r="H886" s="235"/>
      <c r="I886" s="235"/>
      <c r="J886" s="235"/>
      <c r="K886" s="235"/>
      <c r="L886" s="285"/>
    </row>
    <row r="887" spans="1:12" ht="24.95" hidden="1" customHeight="1">
      <c r="A887" s="136"/>
      <c r="B887" s="176"/>
      <c r="C887" s="177"/>
      <c r="D887" s="136"/>
      <c r="E887" s="231"/>
      <c r="F887" s="144"/>
      <c r="G887" s="144"/>
      <c r="H887" s="235"/>
      <c r="I887" s="235"/>
      <c r="J887" s="235"/>
      <c r="K887" s="235"/>
      <c r="L887" s="285"/>
    </row>
    <row r="888" spans="1:12" ht="24.95" hidden="1" customHeight="1">
      <c r="A888" s="136"/>
      <c r="B888" s="176"/>
      <c r="C888" s="177"/>
      <c r="D888" s="136"/>
      <c r="E888" s="231"/>
      <c r="F888" s="144"/>
      <c r="G888" s="144"/>
      <c r="H888" s="235"/>
      <c r="I888" s="235"/>
      <c r="J888" s="235"/>
      <c r="K888" s="235"/>
      <c r="L888" s="285"/>
    </row>
    <row r="889" spans="1:12" ht="24.95" hidden="1" customHeight="1">
      <c r="A889" s="136"/>
      <c r="B889" s="176"/>
      <c r="C889" s="177"/>
      <c r="D889" s="136"/>
      <c r="E889" s="231"/>
      <c r="F889" s="144"/>
      <c r="G889" s="144"/>
      <c r="H889" s="235"/>
      <c r="I889" s="235"/>
      <c r="J889" s="235"/>
      <c r="K889" s="235"/>
      <c r="L889" s="285"/>
    </row>
    <row r="890" spans="1:12" ht="24.95" hidden="1" customHeight="1">
      <c r="A890" s="136"/>
      <c r="B890" s="176"/>
      <c r="C890" s="177"/>
      <c r="D890" s="136"/>
      <c r="E890" s="231"/>
      <c r="F890" s="144"/>
      <c r="G890" s="144"/>
      <c r="H890" s="235"/>
      <c r="I890" s="235"/>
      <c r="J890" s="235"/>
      <c r="K890" s="235"/>
      <c r="L890" s="285"/>
    </row>
    <row r="891" spans="1:12" ht="24.95" hidden="1" customHeight="1">
      <c r="A891" s="136"/>
      <c r="B891" s="176"/>
      <c r="C891" s="177"/>
      <c r="D891" s="136"/>
      <c r="E891" s="231"/>
      <c r="F891" s="144"/>
      <c r="G891" s="144"/>
      <c r="H891" s="235"/>
      <c r="I891" s="235"/>
      <c r="J891" s="235"/>
      <c r="K891" s="235"/>
      <c r="L891" s="285"/>
    </row>
    <row r="892" spans="1:12" ht="24.95" hidden="1" customHeight="1">
      <c r="A892" s="136"/>
      <c r="B892" s="176"/>
      <c r="C892" s="177"/>
      <c r="D892" s="136"/>
      <c r="E892" s="231"/>
      <c r="F892" s="144"/>
      <c r="G892" s="144"/>
      <c r="H892" s="235"/>
      <c r="I892" s="235"/>
      <c r="J892" s="235"/>
      <c r="K892" s="235"/>
      <c r="L892" s="285"/>
    </row>
    <row r="893" spans="1:12" ht="24.95" hidden="1" customHeight="1">
      <c r="A893" s="136"/>
      <c r="B893" s="176"/>
      <c r="C893" s="177"/>
      <c r="D893" s="136"/>
      <c r="E893" s="231"/>
      <c r="F893" s="144"/>
      <c r="G893" s="144"/>
      <c r="H893" s="235"/>
      <c r="I893" s="235"/>
      <c r="J893" s="235"/>
      <c r="K893" s="235"/>
      <c r="L893" s="285"/>
    </row>
    <row r="894" spans="1:12" ht="24.95" hidden="1" customHeight="1">
      <c r="A894" s="136"/>
      <c r="B894" s="176"/>
      <c r="C894" s="177"/>
      <c r="D894" s="136"/>
      <c r="E894" s="231"/>
      <c r="F894" s="144"/>
      <c r="G894" s="144"/>
      <c r="H894" s="235"/>
      <c r="I894" s="235"/>
      <c r="J894" s="235"/>
      <c r="K894" s="235"/>
      <c r="L894" s="285"/>
    </row>
    <row r="895" spans="1:12" ht="24.95" hidden="1" customHeight="1">
      <c r="A895" s="136"/>
      <c r="B895" s="176"/>
      <c r="C895" s="177"/>
      <c r="D895" s="136"/>
      <c r="E895" s="231"/>
      <c r="F895" s="144"/>
      <c r="G895" s="144"/>
      <c r="H895" s="235"/>
      <c r="I895" s="235"/>
      <c r="J895" s="235"/>
      <c r="K895" s="235"/>
      <c r="L895" s="285"/>
    </row>
    <row r="896" spans="1:12" ht="24.95" hidden="1" customHeight="1">
      <c r="A896" s="136"/>
      <c r="B896" s="176"/>
      <c r="C896" s="177"/>
      <c r="D896" s="136"/>
      <c r="E896" s="231"/>
      <c r="F896" s="144"/>
      <c r="G896" s="144"/>
      <c r="H896" s="235"/>
      <c r="I896" s="235"/>
      <c r="J896" s="235"/>
      <c r="K896" s="235"/>
      <c r="L896" s="285"/>
    </row>
    <row r="897" spans="1:12" ht="24.95" hidden="1" customHeight="1">
      <c r="A897" s="136"/>
      <c r="B897" s="176"/>
      <c r="C897" s="177"/>
      <c r="D897" s="136"/>
      <c r="E897" s="231"/>
      <c r="F897" s="144"/>
      <c r="G897" s="144"/>
      <c r="H897" s="235"/>
      <c r="I897" s="235"/>
      <c r="J897" s="235"/>
      <c r="K897" s="235"/>
      <c r="L897" s="285"/>
    </row>
    <row r="898" spans="1:12" ht="24.95" hidden="1" customHeight="1">
      <c r="A898" s="136"/>
      <c r="B898" s="176"/>
      <c r="C898" s="177"/>
      <c r="D898" s="136"/>
      <c r="E898" s="231"/>
      <c r="F898" s="144"/>
      <c r="G898" s="144"/>
      <c r="H898" s="235"/>
      <c r="I898" s="235"/>
      <c r="J898" s="235"/>
      <c r="K898" s="235"/>
      <c r="L898" s="285"/>
    </row>
    <row r="899" spans="1:12" ht="24.95" hidden="1" customHeight="1">
      <c r="A899" s="136"/>
      <c r="B899" s="176"/>
      <c r="C899" s="177"/>
      <c r="D899" s="136"/>
      <c r="E899" s="231"/>
      <c r="F899" s="144"/>
      <c r="G899" s="144"/>
      <c r="H899" s="235"/>
      <c r="I899" s="235"/>
      <c r="J899" s="235"/>
      <c r="K899" s="235"/>
      <c r="L899" s="285"/>
    </row>
    <row r="900" spans="1:12" ht="24.95" hidden="1" customHeight="1">
      <c r="A900" s="136"/>
      <c r="B900" s="176"/>
      <c r="C900" s="177"/>
      <c r="D900" s="136"/>
      <c r="E900" s="231"/>
      <c r="F900" s="144"/>
      <c r="G900" s="144"/>
      <c r="H900" s="235"/>
      <c r="I900" s="235"/>
      <c r="J900" s="235"/>
      <c r="K900" s="235"/>
      <c r="L900" s="285"/>
    </row>
    <row r="901" spans="1:12" ht="24.95" hidden="1" customHeight="1">
      <c r="A901" s="136"/>
      <c r="B901" s="176"/>
      <c r="C901" s="177"/>
      <c r="D901" s="136"/>
      <c r="E901" s="231"/>
      <c r="F901" s="144"/>
      <c r="G901" s="144"/>
      <c r="H901" s="235"/>
      <c r="I901" s="235"/>
      <c r="J901" s="235"/>
      <c r="K901" s="235"/>
      <c r="L901" s="285"/>
    </row>
    <row r="902" spans="1:12" ht="24.95" hidden="1" customHeight="1">
      <c r="A902" s="136"/>
      <c r="B902" s="176"/>
      <c r="C902" s="177"/>
      <c r="D902" s="136"/>
      <c r="E902" s="231"/>
      <c r="F902" s="144"/>
      <c r="G902" s="144"/>
      <c r="H902" s="235"/>
      <c r="I902" s="235"/>
      <c r="J902" s="235"/>
      <c r="K902" s="235"/>
      <c r="L902" s="285"/>
    </row>
    <row r="903" spans="1:12" ht="24.95" hidden="1" customHeight="1">
      <c r="A903" s="136"/>
      <c r="B903" s="176"/>
      <c r="C903" s="177"/>
      <c r="D903" s="136"/>
      <c r="E903" s="231"/>
      <c r="F903" s="144"/>
      <c r="G903" s="144"/>
      <c r="H903" s="235"/>
      <c r="I903" s="235"/>
      <c r="J903" s="235"/>
      <c r="K903" s="235"/>
      <c r="L903" s="285"/>
    </row>
    <row r="904" spans="1:12" ht="24.95" hidden="1" customHeight="1">
      <c r="A904" s="136"/>
      <c r="B904" s="176"/>
      <c r="C904" s="177"/>
      <c r="D904" s="136"/>
      <c r="E904" s="231"/>
      <c r="F904" s="144"/>
      <c r="G904" s="144"/>
      <c r="H904" s="235"/>
      <c r="I904" s="235"/>
      <c r="J904" s="235"/>
      <c r="K904" s="235"/>
      <c r="L904" s="285"/>
    </row>
    <row r="905" spans="1:12" ht="24.95" hidden="1" customHeight="1">
      <c r="A905" s="136"/>
      <c r="B905" s="176"/>
      <c r="C905" s="177"/>
      <c r="D905" s="136"/>
      <c r="E905" s="231"/>
      <c r="F905" s="144"/>
      <c r="G905" s="144"/>
      <c r="H905" s="235"/>
      <c r="I905" s="235"/>
      <c r="J905" s="235"/>
      <c r="K905" s="235"/>
      <c r="L905" s="285"/>
    </row>
    <row r="906" spans="1:12" ht="24.95" hidden="1" customHeight="1">
      <c r="A906" s="136"/>
      <c r="B906" s="176"/>
      <c r="C906" s="177"/>
      <c r="D906" s="136"/>
      <c r="E906" s="231"/>
      <c r="F906" s="144"/>
      <c r="G906" s="144"/>
      <c r="H906" s="235"/>
      <c r="I906" s="235"/>
      <c r="J906" s="235"/>
      <c r="K906" s="235"/>
      <c r="L906" s="285"/>
    </row>
    <row r="907" spans="1:12" ht="24.95" hidden="1" customHeight="1">
      <c r="A907" s="136"/>
      <c r="B907" s="176"/>
      <c r="C907" s="177"/>
      <c r="D907" s="136"/>
      <c r="E907" s="231"/>
      <c r="F907" s="144"/>
      <c r="G907" s="144"/>
      <c r="H907" s="235"/>
      <c r="I907" s="235"/>
      <c r="J907" s="235"/>
      <c r="K907" s="235"/>
      <c r="L907" s="285"/>
    </row>
    <row r="908" spans="1:12" ht="24.95" hidden="1" customHeight="1">
      <c r="A908" s="136"/>
      <c r="B908" s="176"/>
      <c r="C908" s="177"/>
      <c r="D908" s="136"/>
      <c r="E908" s="231"/>
      <c r="F908" s="144"/>
      <c r="G908" s="144"/>
      <c r="H908" s="235"/>
      <c r="I908" s="235"/>
      <c r="J908" s="235"/>
      <c r="K908" s="235"/>
      <c r="L908" s="285"/>
    </row>
    <row r="909" spans="1:12" ht="24.95" hidden="1" customHeight="1">
      <c r="A909" s="136"/>
      <c r="B909" s="176"/>
      <c r="C909" s="177"/>
      <c r="D909" s="136"/>
      <c r="E909" s="231"/>
      <c r="F909" s="144"/>
      <c r="G909" s="144"/>
      <c r="H909" s="235"/>
      <c r="I909" s="235"/>
      <c r="J909" s="235"/>
      <c r="K909" s="235"/>
      <c r="L909" s="285"/>
    </row>
    <row r="910" spans="1:12" ht="24.95" hidden="1" customHeight="1">
      <c r="A910" s="136"/>
      <c r="B910" s="176"/>
      <c r="C910" s="177"/>
      <c r="D910" s="136"/>
      <c r="E910" s="231"/>
      <c r="F910" s="144"/>
      <c r="G910" s="144"/>
      <c r="H910" s="235"/>
      <c r="I910" s="235"/>
      <c r="J910" s="235"/>
      <c r="K910" s="235"/>
      <c r="L910" s="285"/>
    </row>
    <row r="911" spans="1:12" ht="24.95" hidden="1" customHeight="1">
      <c r="A911" s="136"/>
      <c r="B911" s="176"/>
      <c r="C911" s="177"/>
      <c r="D911" s="136"/>
      <c r="E911" s="231"/>
      <c r="F911" s="144"/>
      <c r="G911" s="144"/>
      <c r="H911" s="235"/>
      <c r="I911" s="235"/>
      <c r="J911" s="235"/>
      <c r="K911" s="235"/>
      <c r="L911" s="285"/>
    </row>
    <row r="912" spans="1:12" ht="24.95" hidden="1" customHeight="1">
      <c r="A912" s="136"/>
      <c r="B912" s="176"/>
      <c r="C912" s="177"/>
      <c r="D912" s="136"/>
      <c r="E912" s="231"/>
      <c r="F912" s="144"/>
      <c r="G912" s="144"/>
      <c r="H912" s="235"/>
      <c r="I912" s="235"/>
      <c r="J912" s="235"/>
      <c r="K912" s="235"/>
      <c r="L912" s="285"/>
    </row>
    <row r="913" spans="1:12" ht="24.95" hidden="1" customHeight="1">
      <c r="A913" s="136"/>
      <c r="B913" s="176"/>
      <c r="C913" s="177"/>
      <c r="D913" s="136"/>
      <c r="E913" s="231"/>
      <c r="F913" s="144"/>
      <c r="G913" s="144"/>
      <c r="H913" s="235"/>
      <c r="I913" s="235"/>
      <c r="J913" s="235"/>
      <c r="K913" s="235"/>
      <c r="L913" s="285"/>
    </row>
    <row r="914" spans="1:12" ht="24.95" hidden="1" customHeight="1">
      <c r="A914" s="136"/>
      <c r="B914" s="176"/>
      <c r="C914" s="177"/>
      <c r="D914" s="136"/>
      <c r="E914" s="231"/>
      <c r="F914" s="144"/>
      <c r="G914" s="144"/>
      <c r="H914" s="235"/>
      <c r="I914" s="235"/>
      <c r="J914" s="235"/>
      <c r="K914" s="235"/>
      <c r="L914" s="285"/>
    </row>
    <row r="915" spans="1:12" ht="24.95" hidden="1" customHeight="1">
      <c r="A915" s="136"/>
      <c r="B915" s="176"/>
      <c r="C915" s="177"/>
      <c r="D915" s="136"/>
      <c r="E915" s="231"/>
      <c r="F915" s="144"/>
      <c r="G915" s="144"/>
      <c r="H915" s="235"/>
      <c r="I915" s="235"/>
      <c r="J915" s="235"/>
      <c r="K915" s="235"/>
      <c r="L915" s="285"/>
    </row>
    <row r="916" spans="1:12" ht="24.95" hidden="1" customHeight="1">
      <c r="A916" s="136"/>
      <c r="B916" s="176"/>
      <c r="C916" s="177"/>
      <c r="D916" s="136"/>
      <c r="E916" s="231"/>
      <c r="F916" s="144"/>
      <c r="G916" s="144"/>
      <c r="H916" s="235"/>
      <c r="I916" s="235"/>
      <c r="J916" s="235"/>
      <c r="K916" s="235"/>
      <c r="L916" s="285"/>
    </row>
    <row r="917" spans="1:12" ht="24.95" hidden="1" customHeight="1">
      <c r="A917" s="136"/>
      <c r="B917" s="176"/>
      <c r="C917" s="177"/>
      <c r="D917" s="136"/>
      <c r="E917" s="231"/>
      <c r="F917" s="144"/>
      <c r="G917" s="144"/>
      <c r="H917" s="235"/>
      <c r="I917" s="235"/>
      <c r="J917" s="235"/>
      <c r="K917" s="235"/>
      <c r="L917" s="285"/>
    </row>
    <row r="918" spans="1:12" ht="24.95" hidden="1" customHeight="1">
      <c r="A918" s="136"/>
      <c r="B918" s="176"/>
      <c r="C918" s="177"/>
      <c r="D918" s="136"/>
      <c r="E918" s="231"/>
      <c r="F918" s="144"/>
      <c r="G918" s="144"/>
      <c r="H918" s="235"/>
      <c r="I918" s="235"/>
      <c r="J918" s="235"/>
      <c r="K918" s="235"/>
      <c r="L918" s="285"/>
    </row>
    <row r="919" spans="1:12" ht="24.95" hidden="1" customHeight="1">
      <c r="A919" s="136"/>
      <c r="B919" s="176"/>
      <c r="C919" s="177"/>
      <c r="D919" s="136"/>
      <c r="E919" s="231"/>
      <c r="F919" s="144"/>
      <c r="G919" s="144"/>
      <c r="H919" s="235"/>
      <c r="I919" s="235"/>
      <c r="J919" s="235"/>
      <c r="K919" s="235"/>
      <c r="L919" s="285"/>
    </row>
    <row r="920" spans="1:12" ht="24.95" hidden="1" customHeight="1">
      <c r="A920" s="136"/>
      <c r="B920" s="176"/>
      <c r="C920" s="177"/>
      <c r="D920" s="136"/>
      <c r="E920" s="231"/>
      <c r="F920" s="144"/>
      <c r="G920" s="144"/>
      <c r="H920" s="235"/>
      <c r="I920" s="235"/>
      <c r="J920" s="235"/>
      <c r="K920" s="235"/>
      <c r="L920" s="285"/>
    </row>
    <row r="921" spans="1:12" ht="24.95" hidden="1" customHeight="1">
      <c r="A921" s="136"/>
      <c r="B921" s="176"/>
      <c r="C921" s="177"/>
      <c r="D921" s="136"/>
      <c r="E921" s="231"/>
      <c r="F921" s="144"/>
      <c r="G921" s="144"/>
      <c r="H921" s="235"/>
      <c r="I921" s="235"/>
      <c r="J921" s="235"/>
      <c r="K921" s="235"/>
      <c r="L921" s="285"/>
    </row>
    <row r="922" spans="1:12" ht="24.95" hidden="1" customHeight="1">
      <c r="A922" s="136"/>
      <c r="B922" s="176"/>
      <c r="C922" s="177"/>
      <c r="D922" s="136"/>
      <c r="E922" s="231"/>
      <c r="F922" s="144"/>
      <c r="G922" s="144"/>
      <c r="H922" s="235"/>
      <c r="I922" s="235"/>
      <c r="J922" s="235"/>
      <c r="K922" s="235"/>
      <c r="L922" s="285"/>
    </row>
    <row r="923" spans="1:12" ht="24.95" hidden="1" customHeight="1">
      <c r="A923" s="136"/>
      <c r="B923" s="176"/>
      <c r="C923" s="177"/>
      <c r="D923" s="136"/>
      <c r="E923" s="231"/>
      <c r="F923" s="144"/>
      <c r="G923" s="144"/>
      <c r="H923" s="235"/>
      <c r="I923" s="235"/>
      <c r="J923" s="235"/>
      <c r="K923" s="235"/>
      <c r="L923" s="285"/>
    </row>
    <row r="924" spans="1:12" ht="24.95" hidden="1" customHeight="1">
      <c r="A924" s="136"/>
      <c r="B924" s="176"/>
      <c r="C924" s="177"/>
      <c r="D924" s="136"/>
      <c r="E924" s="231"/>
      <c r="F924" s="144"/>
      <c r="G924" s="144"/>
      <c r="H924" s="235"/>
      <c r="I924" s="235"/>
      <c r="J924" s="235"/>
      <c r="K924" s="235"/>
      <c r="L924" s="285"/>
    </row>
    <row r="925" spans="1:12" ht="24.95" hidden="1" customHeight="1">
      <c r="A925" s="136"/>
      <c r="B925" s="176"/>
      <c r="C925" s="177"/>
      <c r="D925" s="136"/>
      <c r="E925" s="231"/>
      <c r="F925" s="144"/>
      <c r="G925" s="144"/>
      <c r="H925" s="235"/>
      <c r="I925" s="235"/>
      <c r="J925" s="235"/>
      <c r="K925" s="235"/>
      <c r="L925" s="285"/>
    </row>
    <row r="926" spans="1:12" ht="24.95" hidden="1" customHeight="1">
      <c r="A926" s="136"/>
      <c r="B926" s="176"/>
      <c r="C926" s="177"/>
      <c r="D926" s="136"/>
      <c r="E926" s="231"/>
      <c r="F926" s="144"/>
      <c r="G926" s="144"/>
      <c r="H926" s="235"/>
      <c r="I926" s="235"/>
      <c r="J926" s="235"/>
      <c r="K926" s="235"/>
      <c r="L926" s="285"/>
    </row>
    <row r="927" spans="1:12" ht="24.95" hidden="1" customHeight="1">
      <c r="A927" s="136"/>
      <c r="B927" s="176"/>
      <c r="C927" s="177"/>
      <c r="D927" s="136"/>
      <c r="E927" s="231"/>
      <c r="F927" s="144"/>
      <c r="G927" s="144"/>
      <c r="H927" s="235"/>
      <c r="I927" s="235"/>
      <c r="J927" s="235"/>
      <c r="K927" s="235"/>
      <c r="L927" s="285"/>
    </row>
    <row r="928" spans="1:12" ht="24.95" hidden="1" customHeight="1">
      <c r="A928" s="136"/>
      <c r="B928" s="176"/>
      <c r="C928" s="177"/>
      <c r="D928" s="136"/>
      <c r="E928" s="231"/>
      <c r="F928" s="144"/>
      <c r="G928" s="144"/>
      <c r="H928" s="235"/>
      <c r="I928" s="235"/>
      <c r="J928" s="235"/>
      <c r="K928" s="235"/>
      <c r="L928" s="285"/>
    </row>
    <row r="929" spans="1:12" ht="24.95" hidden="1" customHeight="1">
      <c r="A929" s="136"/>
      <c r="B929" s="176"/>
      <c r="C929" s="177"/>
      <c r="D929" s="136"/>
      <c r="E929" s="231"/>
      <c r="F929" s="144"/>
      <c r="G929" s="144"/>
      <c r="H929" s="235"/>
      <c r="I929" s="235"/>
      <c r="J929" s="235"/>
      <c r="K929" s="235"/>
      <c r="L929" s="285"/>
    </row>
    <row r="930" spans="1:12" ht="24.95" hidden="1" customHeight="1">
      <c r="A930" s="136"/>
      <c r="B930" s="176"/>
      <c r="C930" s="177"/>
      <c r="D930" s="136"/>
      <c r="E930" s="231"/>
      <c r="F930" s="144"/>
      <c r="G930" s="144"/>
      <c r="H930" s="235"/>
      <c r="I930" s="235"/>
      <c r="J930" s="235"/>
      <c r="K930" s="235"/>
      <c r="L930" s="285"/>
    </row>
    <row r="931" spans="1:12" ht="24.95" hidden="1" customHeight="1">
      <c r="A931" s="136"/>
      <c r="B931" s="176"/>
      <c r="C931" s="177"/>
      <c r="D931" s="136"/>
      <c r="E931" s="231"/>
      <c r="F931" s="144"/>
      <c r="G931" s="144"/>
      <c r="H931" s="235"/>
      <c r="I931" s="235"/>
      <c r="J931" s="235"/>
      <c r="K931" s="235"/>
      <c r="L931" s="285"/>
    </row>
    <row r="932" spans="1:12" ht="24.95" hidden="1" customHeight="1">
      <c r="A932" s="136"/>
      <c r="B932" s="176"/>
      <c r="C932" s="177"/>
      <c r="D932" s="136"/>
      <c r="E932" s="231"/>
      <c r="F932" s="144"/>
      <c r="G932" s="144"/>
      <c r="H932" s="235"/>
      <c r="I932" s="235"/>
      <c r="J932" s="235"/>
      <c r="K932" s="235"/>
      <c r="L932" s="285"/>
    </row>
    <row r="933" spans="1:12" ht="24.95" hidden="1" customHeight="1">
      <c r="A933" s="136"/>
      <c r="B933" s="176"/>
      <c r="C933" s="177"/>
      <c r="D933" s="136"/>
      <c r="E933" s="231"/>
      <c r="F933" s="144"/>
      <c r="G933" s="144"/>
      <c r="H933" s="235"/>
      <c r="I933" s="235"/>
      <c r="J933" s="235"/>
      <c r="K933" s="235"/>
      <c r="L933" s="285"/>
    </row>
    <row r="934" spans="1:12" ht="24.95" hidden="1" customHeight="1">
      <c r="A934" s="136"/>
      <c r="B934" s="176"/>
      <c r="C934" s="177"/>
      <c r="D934" s="136"/>
      <c r="E934" s="231"/>
      <c r="F934" s="144"/>
      <c r="G934" s="144"/>
      <c r="H934" s="235"/>
      <c r="I934" s="235"/>
      <c r="J934" s="235"/>
      <c r="K934" s="235"/>
      <c r="L934" s="285"/>
    </row>
    <row r="935" spans="1:12" ht="24.95" hidden="1" customHeight="1">
      <c r="A935" s="136"/>
      <c r="B935" s="176"/>
      <c r="C935" s="177"/>
      <c r="D935" s="136"/>
      <c r="E935" s="231"/>
      <c r="F935" s="144"/>
      <c r="G935" s="144"/>
      <c r="H935" s="235"/>
      <c r="I935" s="235"/>
      <c r="J935" s="235"/>
      <c r="K935" s="235"/>
      <c r="L935" s="285"/>
    </row>
    <row r="936" spans="1:12" ht="24.95" hidden="1" customHeight="1">
      <c r="A936" s="136"/>
      <c r="B936" s="176"/>
      <c r="C936" s="177"/>
      <c r="D936" s="136"/>
      <c r="E936" s="231"/>
      <c r="F936" s="144"/>
      <c r="G936" s="144"/>
      <c r="H936" s="235"/>
      <c r="I936" s="235"/>
      <c r="J936" s="235"/>
      <c r="K936" s="235"/>
      <c r="L936" s="285"/>
    </row>
    <row r="937" spans="1:12" ht="24.95" hidden="1" customHeight="1">
      <c r="A937" s="136"/>
      <c r="B937" s="176"/>
      <c r="C937" s="177"/>
      <c r="D937" s="136"/>
      <c r="E937" s="231"/>
      <c r="F937" s="144"/>
      <c r="G937" s="144"/>
      <c r="H937" s="235"/>
      <c r="I937" s="235"/>
      <c r="J937" s="235"/>
      <c r="K937" s="235"/>
      <c r="L937" s="285"/>
    </row>
    <row r="938" spans="1:12" ht="24.95" hidden="1" customHeight="1">
      <c r="A938" s="136"/>
      <c r="B938" s="176"/>
      <c r="C938" s="177"/>
      <c r="D938" s="136"/>
      <c r="E938" s="231"/>
      <c r="F938" s="144"/>
      <c r="G938" s="144"/>
      <c r="H938" s="235"/>
      <c r="I938" s="235"/>
      <c r="J938" s="235"/>
      <c r="K938" s="235"/>
      <c r="L938" s="285"/>
    </row>
    <row r="939" spans="1:12" ht="24.95" hidden="1" customHeight="1">
      <c r="A939" s="136"/>
      <c r="B939" s="176"/>
      <c r="C939" s="177"/>
      <c r="D939" s="136"/>
      <c r="E939" s="231"/>
      <c r="F939" s="144"/>
      <c r="G939" s="144"/>
      <c r="H939" s="235"/>
      <c r="I939" s="235"/>
      <c r="J939" s="235"/>
      <c r="K939" s="235"/>
      <c r="L939" s="285"/>
    </row>
    <row r="940" spans="1:12" ht="24.95" hidden="1" customHeight="1">
      <c r="A940" s="136"/>
      <c r="B940" s="176"/>
      <c r="C940" s="177"/>
      <c r="D940" s="136"/>
      <c r="E940" s="231"/>
      <c r="F940" s="144"/>
      <c r="G940" s="144"/>
      <c r="H940" s="235"/>
      <c r="I940" s="235"/>
      <c r="J940" s="235"/>
      <c r="K940" s="235"/>
      <c r="L940" s="285"/>
    </row>
    <row r="941" spans="1:12" ht="24.95" hidden="1" customHeight="1">
      <c r="A941" s="136"/>
      <c r="B941" s="176"/>
      <c r="C941" s="177"/>
      <c r="D941" s="136"/>
      <c r="E941" s="231"/>
      <c r="F941" s="144"/>
      <c r="G941" s="144"/>
      <c r="H941" s="235"/>
      <c r="I941" s="235"/>
      <c r="J941" s="235"/>
      <c r="K941" s="235"/>
      <c r="L941" s="285"/>
    </row>
    <row r="942" spans="1:12" ht="24.95" hidden="1" customHeight="1">
      <c r="A942" s="136"/>
      <c r="B942" s="176"/>
      <c r="C942" s="177"/>
      <c r="D942" s="136"/>
      <c r="E942" s="231"/>
      <c r="F942" s="144"/>
      <c r="G942" s="144"/>
      <c r="H942" s="235"/>
      <c r="I942" s="235"/>
      <c r="J942" s="235"/>
      <c r="K942" s="235"/>
      <c r="L942" s="285"/>
    </row>
    <row r="943" spans="1:12" ht="24.95" hidden="1" customHeight="1">
      <c r="A943" s="136"/>
      <c r="B943" s="176"/>
      <c r="C943" s="177"/>
      <c r="D943" s="136"/>
      <c r="E943" s="231"/>
      <c r="F943" s="144"/>
      <c r="G943" s="144"/>
      <c r="H943" s="235"/>
      <c r="I943" s="235"/>
      <c r="J943" s="235"/>
      <c r="K943" s="235"/>
      <c r="L943" s="285"/>
    </row>
    <row r="944" spans="1:12" ht="24.95" hidden="1" customHeight="1">
      <c r="A944" s="136"/>
      <c r="B944" s="176"/>
      <c r="C944" s="177"/>
      <c r="D944" s="136"/>
      <c r="E944" s="231"/>
      <c r="F944" s="144"/>
      <c r="G944" s="144"/>
      <c r="H944" s="235"/>
      <c r="I944" s="235"/>
      <c r="J944" s="235"/>
      <c r="K944" s="235"/>
      <c r="L944" s="285"/>
    </row>
    <row r="945" spans="1:12" ht="24.95" hidden="1" customHeight="1">
      <c r="A945" s="136"/>
      <c r="B945" s="176"/>
      <c r="C945" s="177"/>
      <c r="D945" s="136"/>
      <c r="E945" s="231"/>
      <c r="F945" s="144"/>
      <c r="G945" s="144"/>
      <c r="H945" s="235"/>
      <c r="I945" s="235"/>
      <c r="J945" s="235"/>
      <c r="K945" s="235"/>
      <c r="L945" s="285"/>
    </row>
    <row r="946" spans="1:12" ht="24.95" hidden="1" customHeight="1">
      <c r="A946" s="136"/>
      <c r="B946" s="176"/>
      <c r="C946" s="177"/>
      <c r="D946" s="136"/>
      <c r="E946" s="231"/>
      <c r="F946" s="144"/>
      <c r="G946" s="144"/>
      <c r="H946" s="235"/>
      <c r="I946" s="235"/>
      <c r="J946" s="235"/>
      <c r="K946" s="235"/>
      <c r="L946" s="285"/>
    </row>
    <row r="947" spans="1:12" ht="24.95" hidden="1" customHeight="1">
      <c r="A947" s="136"/>
      <c r="B947" s="176"/>
      <c r="C947" s="177"/>
      <c r="D947" s="136"/>
      <c r="E947" s="231"/>
      <c r="F947" s="144"/>
      <c r="G947" s="144"/>
      <c r="H947" s="235"/>
      <c r="I947" s="235"/>
      <c r="J947" s="235"/>
      <c r="K947" s="235"/>
      <c r="L947" s="285"/>
    </row>
    <row r="948" spans="1:12" ht="24.95" hidden="1" customHeight="1">
      <c r="A948" s="136"/>
      <c r="B948" s="176"/>
      <c r="C948" s="177"/>
      <c r="D948" s="136"/>
      <c r="E948" s="231"/>
      <c r="F948" s="144"/>
      <c r="G948" s="144"/>
      <c r="H948" s="235"/>
      <c r="I948" s="235"/>
      <c r="J948" s="235"/>
      <c r="K948" s="235"/>
      <c r="L948" s="285"/>
    </row>
    <row r="949" spans="1:12" ht="24.95" hidden="1" customHeight="1">
      <c r="A949" s="136"/>
      <c r="B949" s="176"/>
      <c r="C949" s="177"/>
      <c r="D949" s="136"/>
      <c r="E949" s="231"/>
      <c r="F949" s="144"/>
      <c r="G949" s="144"/>
      <c r="H949" s="235"/>
      <c r="I949" s="235"/>
      <c r="J949" s="235"/>
      <c r="K949" s="235"/>
      <c r="L949" s="285"/>
    </row>
    <row r="950" spans="1:12" ht="24.95" hidden="1" customHeight="1">
      <c r="A950" s="136"/>
      <c r="B950" s="176"/>
      <c r="C950" s="177"/>
      <c r="D950" s="136"/>
      <c r="E950" s="231"/>
      <c r="F950" s="144"/>
      <c r="G950" s="144"/>
      <c r="H950" s="235"/>
      <c r="I950" s="235"/>
      <c r="J950" s="235"/>
      <c r="K950" s="235"/>
      <c r="L950" s="285"/>
    </row>
    <row r="951" spans="1:12" ht="24.95" hidden="1" customHeight="1">
      <c r="A951" s="136"/>
      <c r="B951" s="176"/>
      <c r="C951" s="177"/>
      <c r="D951" s="136"/>
      <c r="E951" s="231"/>
      <c r="F951" s="144"/>
      <c r="G951" s="144"/>
      <c r="H951" s="235"/>
      <c r="I951" s="235"/>
      <c r="J951" s="235"/>
      <c r="K951" s="235"/>
      <c r="L951" s="285"/>
    </row>
    <row r="952" spans="1:12" ht="24.95" hidden="1" customHeight="1">
      <c r="A952" s="136"/>
      <c r="B952" s="176"/>
      <c r="C952" s="177"/>
      <c r="D952" s="136"/>
      <c r="E952" s="231"/>
      <c r="F952" s="144"/>
      <c r="G952" s="144"/>
      <c r="H952" s="235"/>
      <c r="I952" s="235"/>
      <c r="J952" s="235"/>
      <c r="K952" s="235"/>
      <c r="L952" s="285"/>
    </row>
    <row r="953" spans="1:12" ht="24.95" hidden="1" customHeight="1">
      <c r="A953" s="136"/>
      <c r="B953" s="176"/>
      <c r="C953" s="177"/>
      <c r="D953" s="136"/>
      <c r="E953" s="231"/>
      <c r="F953" s="144"/>
      <c r="G953" s="144"/>
      <c r="H953" s="235"/>
      <c r="I953" s="235"/>
      <c r="J953" s="235"/>
      <c r="K953" s="235"/>
      <c r="L953" s="285"/>
    </row>
    <row r="954" spans="1:12" ht="24.95" hidden="1" customHeight="1">
      <c r="A954" s="136"/>
      <c r="B954" s="176"/>
      <c r="C954" s="177"/>
      <c r="D954" s="136"/>
      <c r="E954" s="231"/>
      <c r="F954" s="144"/>
      <c r="G954" s="144"/>
      <c r="H954" s="235"/>
      <c r="I954" s="235"/>
      <c r="J954" s="235"/>
      <c r="K954" s="235"/>
      <c r="L954" s="285"/>
    </row>
    <row r="955" spans="1:12" ht="24.95" hidden="1" customHeight="1">
      <c r="A955" s="136"/>
      <c r="B955" s="176"/>
      <c r="C955" s="177"/>
      <c r="D955" s="136"/>
      <c r="E955" s="231"/>
      <c r="F955" s="144"/>
      <c r="G955" s="144"/>
      <c r="H955" s="235"/>
      <c r="I955" s="235"/>
      <c r="J955" s="235"/>
      <c r="K955" s="235"/>
      <c r="L955" s="285"/>
    </row>
    <row r="956" spans="1:12" ht="24.95" hidden="1" customHeight="1">
      <c r="A956" s="136"/>
      <c r="B956" s="176"/>
      <c r="C956" s="177"/>
      <c r="D956" s="136"/>
      <c r="E956" s="231"/>
      <c r="F956" s="144"/>
      <c r="G956" s="144"/>
      <c r="H956" s="235"/>
      <c r="I956" s="235"/>
      <c r="J956" s="235"/>
      <c r="K956" s="235"/>
      <c r="L956" s="285"/>
    </row>
    <row r="957" spans="1:12" ht="24.95" hidden="1" customHeight="1">
      <c r="A957" s="136"/>
      <c r="B957" s="176"/>
      <c r="C957" s="177"/>
      <c r="D957" s="136"/>
      <c r="E957" s="231"/>
      <c r="F957" s="144"/>
      <c r="G957" s="144"/>
      <c r="H957" s="235"/>
      <c r="I957" s="235"/>
      <c r="J957" s="235"/>
      <c r="K957" s="235"/>
      <c r="L957" s="285"/>
    </row>
    <row r="958" spans="1:12" ht="24.95" hidden="1" customHeight="1">
      <c r="A958" s="136"/>
      <c r="B958" s="176"/>
      <c r="C958" s="177"/>
      <c r="D958" s="136"/>
      <c r="E958" s="231"/>
      <c r="F958" s="144"/>
      <c r="G958" s="144"/>
      <c r="H958" s="235"/>
      <c r="I958" s="235"/>
      <c r="J958" s="235"/>
      <c r="K958" s="235"/>
      <c r="L958" s="285"/>
    </row>
    <row r="959" spans="1:12" ht="24.95" hidden="1" customHeight="1">
      <c r="A959" s="136"/>
      <c r="B959" s="176"/>
      <c r="C959" s="177"/>
      <c r="D959" s="136"/>
      <c r="E959" s="231"/>
      <c r="F959" s="144"/>
      <c r="G959" s="144"/>
      <c r="H959" s="235"/>
      <c r="I959" s="235"/>
      <c r="J959" s="235"/>
      <c r="K959" s="235"/>
      <c r="L959" s="285"/>
    </row>
    <row r="960" spans="1:12" ht="24.95" hidden="1" customHeight="1">
      <c r="A960" s="136"/>
      <c r="B960" s="176"/>
      <c r="C960" s="177"/>
      <c r="D960" s="136"/>
      <c r="E960" s="231"/>
      <c r="F960" s="144"/>
      <c r="G960" s="144"/>
      <c r="H960" s="235"/>
      <c r="I960" s="235"/>
      <c r="J960" s="235"/>
      <c r="K960" s="235"/>
      <c r="L960" s="285"/>
    </row>
    <row r="961" spans="1:12" ht="24.95" hidden="1" customHeight="1">
      <c r="A961" s="136"/>
      <c r="B961" s="176"/>
      <c r="C961" s="177"/>
      <c r="D961" s="136"/>
      <c r="E961" s="231"/>
      <c r="F961" s="144"/>
      <c r="G961" s="144"/>
      <c r="H961" s="235"/>
      <c r="I961" s="235"/>
      <c r="J961" s="235"/>
      <c r="K961" s="235"/>
      <c r="L961" s="285"/>
    </row>
    <row r="962" spans="1:12" ht="24.95" hidden="1" customHeight="1">
      <c r="A962" s="136"/>
      <c r="B962" s="176"/>
      <c r="C962" s="177"/>
      <c r="D962" s="136"/>
      <c r="E962" s="231"/>
      <c r="F962" s="144"/>
      <c r="G962" s="144"/>
      <c r="H962" s="235"/>
      <c r="I962" s="235"/>
      <c r="J962" s="235"/>
      <c r="K962" s="235"/>
      <c r="L962" s="285"/>
    </row>
    <row r="963" spans="1:12" ht="24.95" hidden="1" customHeight="1">
      <c r="A963" s="136"/>
      <c r="B963" s="176"/>
      <c r="C963" s="177"/>
      <c r="D963" s="136"/>
      <c r="E963" s="231"/>
      <c r="F963" s="144"/>
      <c r="G963" s="144"/>
      <c r="H963" s="235"/>
      <c r="I963" s="235"/>
      <c r="J963" s="235"/>
      <c r="K963" s="235"/>
      <c r="L963" s="285"/>
    </row>
    <row r="964" spans="1:12" ht="24.95" hidden="1" customHeight="1">
      <c r="A964" s="136"/>
      <c r="B964" s="176"/>
      <c r="C964" s="177"/>
      <c r="D964" s="136"/>
      <c r="E964" s="231"/>
      <c r="F964" s="144"/>
      <c r="G964" s="144"/>
      <c r="H964" s="235"/>
      <c r="I964" s="235"/>
      <c r="J964" s="235"/>
      <c r="K964" s="235"/>
      <c r="L964" s="285"/>
    </row>
    <row r="965" spans="1:12" ht="24.95" hidden="1" customHeight="1">
      <c r="A965" s="136"/>
      <c r="B965" s="176"/>
      <c r="C965" s="177"/>
      <c r="D965" s="136"/>
      <c r="E965" s="231"/>
      <c r="F965" s="144"/>
      <c r="G965" s="144"/>
      <c r="H965" s="235"/>
      <c r="I965" s="235"/>
      <c r="J965" s="235"/>
      <c r="K965" s="235"/>
      <c r="L965" s="285"/>
    </row>
    <row r="966" spans="1:12" ht="24.95" hidden="1" customHeight="1">
      <c r="A966" s="136"/>
      <c r="B966" s="176"/>
      <c r="C966" s="177"/>
      <c r="D966" s="136"/>
      <c r="E966" s="231"/>
      <c r="F966" s="144"/>
      <c r="G966" s="144"/>
      <c r="H966" s="235"/>
      <c r="I966" s="235"/>
      <c r="J966" s="235"/>
      <c r="K966" s="235"/>
      <c r="L966" s="285"/>
    </row>
    <row r="967" spans="1:12" ht="24.95" hidden="1" customHeight="1">
      <c r="A967" s="136"/>
      <c r="B967" s="176"/>
      <c r="C967" s="177"/>
      <c r="D967" s="136"/>
      <c r="E967" s="231"/>
      <c r="F967" s="144"/>
      <c r="G967" s="144"/>
      <c r="H967" s="235"/>
      <c r="I967" s="235"/>
      <c r="J967" s="235"/>
      <c r="K967" s="235"/>
      <c r="L967" s="285"/>
    </row>
    <row r="968" spans="1:12" ht="24.95" hidden="1" customHeight="1">
      <c r="A968" s="136"/>
      <c r="B968" s="176"/>
      <c r="C968" s="177"/>
      <c r="D968" s="136"/>
      <c r="E968" s="231"/>
      <c r="F968" s="144"/>
      <c r="G968" s="144"/>
      <c r="H968" s="235"/>
      <c r="I968" s="235"/>
      <c r="J968" s="235"/>
      <c r="K968" s="235"/>
      <c r="L968" s="285"/>
    </row>
    <row r="969" spans="1:12" ht="24.95" hidden="1" customHeight="1">
      <c r="A969" s="136"/>
      <c r="B969" s="176"/>
      <c r="C969" s="177"/>
      <c r="D969" s="136"/>
      <c r="E969" s="231"/>
      <c r="F969" s="144"/>
      <c r="G969" s="144"/>
      <c r="H969" s="235"/>
      <c r="I969" s="235"/>
      <c r="J969" s="235"/>
      <c r="K969" s="235"/>
      <c r="L969" s="285"/>
    </row>
    <row r="970" spans="1:12" ht="24.95" hidden="1" customHeight="1">
      <c r="A970" s="136"/>
      <c r="B970" s="176"/>
      <c r="C970" s="177"/>
      <c r="D970" s="136"/>
      <c r="E970" s="231"/>
      <c r="F970" s="144"/>
      <c r="G970" s="144"/>
      <c r="H970" s="235"/>
      <c r="I970" s="235"/>
      <c r="J970" s="235"/>
      <c r="K970" s="235"/>
      <c r="L970" s="285"/>
    </row>
    <row r="971" spans="1:12" ht="24.95" hidden="1" customHeight="1">
      <c r="A971" s="136"/>
      <c r="B971" s="176"/>
      <c r="C971" s="177"/>
      <c r="D971" s="136"/>
      <c r="E971" s="231"/>
      <c r="F971" s="144"/>
      <c r="G971" s="144"/>
      <c r="H971" s="235"/>
      <c r="I971" s="235"/>
      <c r="J971" s="235"/>
      <c r="K971" s="235"/>
      <c r="L971" s="285"/>
    </row>
    <row r="972" spans="1:12" ht="24.95" hidden="1" customHeight="1">
      <c r="A972" s="136"/>
      <c r="B972" s="176"/>
      <c r="C972" s="177"/>
      <c r="D972" s="136"/>
      <c r="E972" s="231"/>
      <c r="F972" s="144"/>
      <c r="G972" s="144"/>
      <c r="H972" s="235"/>
      <c r="I972" s="235"/>
      <c r="J972" s="235"/>
      <c r="K972" s="235"/>
      <c r="L972" s="285"/>
    </row>
    <row r="973" spans="1:12" ht="24.95" hidden="1" customHeight="1">
      <c r="A973" s="136"/>
      <c r="B973" s="176"/>
      <c r="C973" s="177"/>
      <c r="D973" s="136"/>
      <c r="E973" s="231"/>
      <c r="F973" s="144"/>
      <c r="G973" s="144"/>
      <c r="H973" s="235"/>
      <c r="I973" s="235"/>
      <c r="J973" s="235"/>
      <c r="K973" s="235"/>
      <c r="L973" s="285"/>
    </row>
    <row r="974" spans="1:12" ht="24.95" hidden="1" customHeight="1">
      <c r="A974" s="136"/>
      <c r="B974" s="176"/>
      <c r="C974" s="177"/>
      <c r="D974" s="136"/>
      <c r="E974" s="231"/>
      <c r="F974" s="144"/>
      <c r="G974" s="144"/>
      <c r="H974" s="235"/>
      <c r="I974" s="235"/>
      <c r="J974" s="235"/>
      <c r="K974" s="235"/>
      <c r="L974" s="285"/>
    </row>
    <row r="975" spans="1:12" ht="24.95" hidden="1" customHeight="1">
      <c r="A975" s="136"/>
      <c r="B975" s="176"/>
      <c r="C975" s="177"/>
      <c r="D975" s="136"/>
      <c r="E975" s="231"/>
      <c r="F975" s="144"/>
      <c r="G975" s="144"/>
      <c r="H975" s="235"/>
      <c r="I975" s="235"/>
      <c r="J975" s="235"/>
      <c r="K975" s="235"/>
      <c r="L975" s="285"/>
    </row>
    <row r="976" spans="1:12" ht="24.95" hidden="1" customHeight="1">
      <c r="A976" s="136"/>
      <c r="B976" s="176"/>
      <c r="C976" s="177"/>
      <c r="D976" s="136"/>
      <c r="E976" s="231"/>
      <c r="F976" s="144"/>
      <c r="G976" s="144"/>
      <c r="H976" s="235"/>
      <c r="I976" s="235"/>
      <c r="J976" s="235"/>
      <c r="K976" s="235"/>
      <c r="L976" s="285"/>
    </row>
    <row r="977" spans="1:12" ht="24.95" hidden="1" customHeight="1">
      <c r="A977" s="136"/>
      <c r="B977" s="176"/>
      <c r="C977" s="177"/>
      <c r="D977" s="136"/>
      <c r="E977" s="231"/>
      <c r="F977" s="144"/>
      <c r="G977" s="144"/>
      <c r="H977" s="235"/>
      <c r="I977" s="235"/>
      <c r="J977" s="235"/>
      <c r="K977" s="235"/>
      <c r="L977" s="285"/>
    </row>
    <row r="978" spans="1:12" ht="24.95" hidden="1" customHeight="1">
      <c r="A978" s="136"/>
      <c r="B978" s="176"/>
      <c r="C978" s="177"/>
      <c r="D978" s="136"/>
      <c r="E978" s="231"/>
      <c r="F978" s="144"/>
      <c r="G978" s="144"/>
      <c r="H978" s="235"/>
      <c r="I978" s="235"/>
      <c r="J978" s="235"/>
      <c r="K978" s="235"/>
      <c r="L978" s="285"/>
    </row>
    <row r="979" spans="1:12" ht="24.95" hidden="1" customHeight="1">
      <c r="A979" s="136"/>
      <c r="B979" s="176"/>
      <c r="C979" s="177"/>
      <c r="D979" s="136"/>
      <c r="E979" s="231"/>
      <c r="F979" s="144"/>
      <c r="G979" s="144"/>
      <c r="H979" s="235"/>
      <c r="I979" s="235"/>
      <c r="J979" s="235"/>
      <c r="K979" s="235"/>
      <c r="L979" s="285"/>
    </row>
    <row r="980" spans="1:12" ht="24.95" hidden="1" customHeight="1">
      <c r="A980" s="136"/>
      <c r="B980" s="176"/>
      <c r="C980" s="177"/>
      <c r="D980" s="136"/>
      <c r="E980" s="231"/>
      <c r="F980" s="144"/>
      <c r="G980" s="144"/>
      <c r="H980" s="235"/>
      <c r="I980" s="235"/>
      <c r="J980" s="235"/>
      <c r="K980" s="235"/>
      <c r="L980" s="285"/>
    </row>
    <row r="981" spans="1:12" ht="24.95" hidden="1" customHeight="1">
      <c r="A981" s="136"/>
      <c r="B981" s="176"/>
      <c r="C981" s="177"/>
      <c r="D981" s="136"/>
      <c r="E981" s="231"/>
      <c r="F981" s="144"/>
      <c r="G981" s="144"/>
      <c r="H981" s="235"/>
      <c r="I981" s="235"/>
      <c r="J981" s="235"/>
      <c r="K981" s="235"/>
      <c r="L981" s="285"/>
    </row>
    <row r="982" spans="1:12" ht="24.95" hidden="1" customHeight="1">
      <c r="A982" s="136"/>
      <c r="B982" s="176"/>
      <c r="C982" s="177"/>
      <c r="D982" s="136"/>
      <c r="E982" s="231"/>
      <c r="F982" s="144"/>
      <c r="G982" s="144"/>
      <c r="H982" s="235"/>
      <c r="I982" s="235"/>
      <c r="J982" s="235"/>
      <c r="K982" s="235"/>
      <c r="L982" s="285"/>
    </row>
    <row r="983" spans="1:12" ht="24.95" hidden="1" customHeight="1">
      <c r="A983" s="136"/>
      <c r="B983" s="176"/>
      <c r="C983" s="177"/>
      <c r="D983" s="136"/>
      <c r="E983" s="231"/>
      <c r="F983" s="144"/>
      <c r="G983" s="144"/>
      <c r="H983" s="235"/>
      <c r="I983" s="235"/>
      <c r="J983" s="235"/>
      <c r="K983" s="235"/>
      <c r="L983" s="285"/>
    </row>
    <row r="984" spans="1:12" ht="24.95" hidden="1" customHeight="1">
      <c r="A984" s="136"/>
      <c r="B984" s="176"/>
      <c r="C984" s="177"/>
      <c r="D984" s="136"/>
      <c r="E984" s="231"/>
      <c r="F984" s="144"/>
      <c r="G984" s="144"/>
      <c r="H984" s="235"/>
      <c r="I984" s="235"/>
      <c r="J984" s="235"/>
      <c r="K984" s="235"/>
      <c r="L984" s="285"/>
    </row>
    <row r="985" spans="1:12" ht="24.95" hidden="1" customHeight="1">
      <c r="A985" s="136"/>
      <c r="B985" s="176"/>
      <c r="C985" s="177"/>
      <c r="D985" s="136"/>
      <c r="E985" s="231"/>
      <c r="F985" s="144"/>
      <c r="G985" s="144"/>
      <c r="H985" s="235"/>
      <c r="I985" s="235"/>
      <c r="J985" s="235"/>
      <c r="K985" s="235"/>
      <c r="L985" s="285"/>
    </row>
    <row r="986" spans="1:12" ht="24.95" hidden="1" customHeight="1">
      <c r="A986" s="136"/>
      <c r="B986" s="176"/>
      <c r="C986" s="177"/>
      <c r="D986" s="136"/>
      <c r="E986" s="231"/>
      <c r="F986" s="144"/>
      <c r="G986" s="144"/>
      <c r="H986" s="235"/>
      <c r="I986" s="235"/>
      <c r="J986" s="235"/>
      <c r="K986" s="235"/>
      <c r="L986" s="285"/>
    </row>
    <row r="987" spans="1:12" ht="24.95" hidden="1" customHeight="1">
      <c r="A987" s="136"/>
      <c r="B987" s="176"/>
      <c r="C987" s="177"/>
      <c r="D987" s="136"/>
      <c r="E987" s="231"/>
      <c r="F987" s="144"/>
      <c r="G987" s="144"/>
      <c r="H987" s="235"/>
      <c r="I987" s="235"/>
      <c r="J987" s="235"/>
      <c r="K987" s="235"/>
      <c r="L987" s="285"/>
    </row>
    <row r="988" spans="1:12" ht="24.95" hidden="1" customHeight="1">
      <c r="A988" s="136"/>
      <c r="B988" s="176"/>
      <c r="C988" s="177"/>
      <c r="D988" s="136"/>
      <c r="E988" s="231"/>
      <c r="F988" s="144"/>
      <c r="G988" s="144"/>
      <c r="H988" s="235"/>
      <c r="I988" s="235"/>
      <c r="J988" s="235"/>
      <c r="K988" s="235"/>
      <c r="L988" s="285"/>
    </row>
    <row r="989" spans="1:12" ht="24.95" hidden="1" customHeight="1">
      <c r="A989" s="136"/>
      <c r="B989" s="176"/>
      <c r="C989" s="177"/>
      <c r="D989" s="136"/>
      <c r="E989" s="231"/>
      <c r="F989" s="144"/>
      <c r="G989" s="144"/>
      <c r="H989" s="235"/>
      <c r="I989" s="235"/>
      <c r="J989" s="235"/>
      <c r="K989" s="235"/>
      <c r="L989" s="285"/>
    </row>
    <row r="990" spans="1:12" ht="24.95" hidden="1" customHeight="1">
      <c r="A990" s="136"/>
      <c r="B990" s="176"/>
      <c r="C990" s="177"/>
      <c r="D990" s="136"/>
      <c r="E990" s="231"/>
      <c r="F990" s="144"/>
      <c r="G990" s="144"/>
      <c r="H990" s="235"/>
      <c r="I990" s="235"/>
      <c r="J990" s="235"/>
      <c r="K990" s="235"/>
      <c r="L990" s="285"/>
    </row>
    <row r="991" spans="1:12" ht="24.95" hidden="1" customHeight="1">
      <c r="A991" s="136"/>
      <c r="B991" s="176"/>
      <c r="C991" s="177"/>
      <c r="D991" s="136"/>
      <c r="E991" s="231"/>
      <c r="F991" s="144"/>
      <c r="G991" s="144"/>
      <c r="H991" s="235"/>
      <c r="I991" s="235"/>
      <c r="J991" s="235"/>
      <c r="K991" s="235"/>
      <c r="L991" s="285"/>
    </row>
    <row r="992" spans="1:12" ht="24.95" hidden="1" customHeight="1">
      <c r="A992" s="136"/>
      <c r="B992" s="176"/>
      <c r="C992" s="177"/>
      <c r="D992" s="136"/>
      <c r="E992" s="231"/>
      <c r="F992" s="144"/>
      <c r="G992" s="144"/>
      <c r="H992" s="235"/>
      <c r="I992" s="235"/>
      <c r="J992" s="235"/>
      <c r="K992" s="235"/>
      <c r="L992" s="285"/>
    </row>
    <row r="993" spans="1:12" ht="24.95" hidden="1" customHeight="1">
      <c r="A993" s="136"/>
      <c r="B993" s="176"/>
      <c r="C993" s="177"/>
      <c r="D993" s="136"/>
      <c r="E993" s="231"/>
      <c r="F993" s="144"/>
      <c r="G993" s="144"/>
      <c r="H993" s="235"/>
      <c r="I993" s="235"/>
      <c r="J993" s="235"/>
      <c r="K993" s="235"/>
      <c r="L993" s="285"/>
    </row>
    <row r="994" spans="1:12" ht="24.95" hidden="1" customHeight="1">
      <c r="A994" s="136"/>
      <c r="B994" s="176"/>
      <c r="C994" s="177"/>
      <c r="D994" s="136"/>
      <c r="E994" s="231"/>
      <c r="F994" s="144"/>
      <c r="G994" s="144"/>
      <c r="H994" s="235"/>
      <c r="I994" s="235"/>
      <c r="J994" s="235"/>
      <c r="K994" s="235"/>
      <c r="L994" s="285"/>
    </row>
    <row r="995" spans="1:12" ht="24.95" hidden="1" customHeight="1">
      <c r="A995" s="136"/>
      <c r="B995" s="176"/>
      <c r="C995" s="177"/>
      <c r="D995" s="136"/>
      <c r="E995" s="231"/>
      <c r="F995" s="144"/>
      <c r="G995" s="144"/>
      <c r="H995" s="235"/>
      <c r="I995" s="235"/>
      <c r="J995" s="235"/>
      <c r="K995" s="235"/>
      <c r="L995" s="285"/>
    </row>
    <row r="996" spans="1:12" ht="24.95" hidden="1" customHeight="1">
      <c r="A996" s="136"/>
      <c r="B996" s="176"/>
      <c r="C996" s="177"/>
      <c r="D996" s="136"/>
      <c r="E996" s="231"/>
      <c r="F996" s="144"/>
      <c r="G996" s="144"/>
      <c r="H996" s="235"/>
      <c r="I996" s="235"/>
      <c r="J996" s="235"/>
      <c r="K996" s="235"/>
      <c r="L996" s="285"/>
    </row>
    <row r="997" spans="1:12" ht="24.95" hidden="1" customHeight="1">
      <c r="A997" s="136"/>
      <c r="B997" s="176"/>
      <c r="C997" s="177"/>
      <c r="D997" s="136"/>
      <c r="E997" s="231"/>
      <c r="F997" s="144"/>
      <c r="G997" s="144"/>
      <c r="H997" s="235"/>
      <c r="I997" s="235"/>
      <c r="J997" s="235"/>
      <c r="K997" s="235"/>
      <c r="L997" s="285"/>
    </row>
    <row r="998" spans="1:12" ht="24.95" hidden="1" customHeight="1">
      <c r="A998" s="136"/>
      <c r="B998" s="176"/>
      <c r="C998" s="177"/>
      <c r="D998" s="136"/>
      <c r="E998" s="231"/>
      <c r="F998" s="144"/>
      <c r="G998" s="144"/>
      <c r="H998" s="235"/>
      <c r="I998" s="235"/>
      <c r="J998" s="235"/>
      <c r="K998" s="235"/>
      <c r="L998" s="285"/>
    </row>
    <row r="999" spans="1:12" ht="24.95" hidden="1" customHeight="1">
      <c r="A999" s="136"/>
      <c r="B999" s="176"/>
      <c r="C999" s="177"/>
      <c r="D999" s="136"/>
      <c r="E999" s="231"/>
      <c r="F999" s="144"/>
      <c r="G999" s="144"/>
      <c r="H999" s="235"/>
      <c r="I999" s="235"/>
      <c r="J999" s="235"/>
      <c r="K999" s="235"/>
      <c r="L999" s="285"/>
    </row>
    <row r="1000" spans="1:12" ht="24.95" hidden="1" customHeight="1">
      <c r="A1000" s="136"/>
      <c r="B1000" s="176"/>
      <c r="C1000" s="177"/>
      <c r="D1000" s="136"/>
      <c r="E1000" s="231"/>
      <c r="F1000" s="144"/>
      <c r="G1000" s="144"/>
      <c r="H1000" s="235"/>
      <c r="I1000" s="235"/>
      <c r="J1000" s="235"/>
      <c r="K1000" s="235"/>
      <c r="L1000" s="285"/>
    </row>
    <row r="1001" spans="1:12" ht="24.95" hidden="1" customHeight="1">
      <c r="A1001" s="136"/>
      <c r="B1001" s="176"/>
      <c r="C1001" s="177"/>
      <c r="D1001" s="136"/>
      <c r="E1001" s="231"/>
      <c r="F1001" s="144"/>
      <c r="G1001" s="144"/>
      <c r="H1001" s="235"/>
      <c r="I1001" s="235"/>
      <c r="J1001" s="235"/>
      <c r="K1001" s="235"/>
      <c r="L1001" s="285"/>
    </row>
    <row r="1002" spans="1:12" ht="24.95" hidden="1" customHeight="1">
      <c r="A1002" s="136"/>
      <c r="B1002" s="176"/>
      <c r="C1002" s="177"/>
      <c r="D1002" s="136"/>
      <c r="E1002" s="231"/>
      <c r="F1002" s="144"/>
      <c r="G1002" s="144"/>
      <c r="H1002" s="235"/>
      <c r="I1002" s="235"/>
      <c r="J1002" s="235"/>
      <c r="K1002" s="235"/>
      <c r="L1002" s="285"/>
    </row>
    <row r="1003" spans="1:12" ht="24.95" hidden="1" customHeight="1">
      <c r="A1003" s="136"/>
      <c r="B1003" s="176"/>
      <c r="C1003" s="177"/>
      <c r="D1003" s="136"/>
      <c r="E1003" s="231"/>
      <c r="F1003" s="144"/>
      <c r="G1003" s="144"/>
      <c r="H1003" s="235"/>
      <c r="I1003" s="235"/>
      <c r="J1003" s="235"/>
      <c r="K1003" s="235"/>
      <c r="L1003" s="285"/>
    </row>
    <row r="1004" spans="1:12" ht="24.95" hidden="1" customHeight="1">
      <c r="A1004" s="136"/>
      <c r="B1004" s="176"/>
      <c r="C1004" s="177"/>
      <c r="D1004" s="136"/>
      <c r="E1004" s="231"/>
      <c r="F1004" s="144"/>
      <c r="G1004" s="144"/>
      <c r="H1004" s="235"/>
      <c r="I1004" s="235"/>
      <c r="J1004" s="235"/>
      <c r="K1004" s="235"/>
      <c r="L1004" s="285"/>
    </row>
    <row r="1005" spans="1:12" ht="24.95" hidden="1" customHeight="1">
      <c r="A1005" s="136"/>
      <c r="B1005" s="176"/>
      <c r="C1005" s="177"/>
      <c r="D1005" s="136"/>
      <c r="E1005" s="231"/>
      <c r="F1005" s="144"/>
      <c r="G1005" s="144"/>
      <c r="H1005" s="235"/>
      <c r="I1005" s="235"/>
      <c r="J1005" s="235"/>
      <c r="K1005" s="235"/>
      <c r="L1005" s="285"/>
    </row>
    <row r="1006" spans="1:12" ht="24.95" hidden="1" customHeight="1">
      <c r="A1006" s="136"/>
      <c r="B1006" s="176"/>
      <c r="C1006" s="177"/>
      <c r="D1006" s="136"/>
      <c r="E1006" s="231"/>
      <c r="F1006" s="144"/>
      <c r="G1006" s="144"/>
      <c r="H1006" s="235"/>
      <c r="I1006" s="235"/>
      <c r="J1006" s="235"/>
      <c r="K1006" s="235"/>
      <c r="L1006" s="285"/>
    </row>
    <row r="1007" spans="1:12" ht="24.95" hidden="1" customHeight="1">
      <c r="A1007" s="136"/>
      <c r="B1007" s="176"/>
      <c r="C1007" s="177"/>
      <c r="D1007" s="136"/>
      <c r="E1007" s="231"/>
      <c r="F1007" s="144"/>
      <c r="G1007" s="144"/>
      <c r="H1007" s="235"/>
      <c r="I1007" s="235"/>
      <c r="J1007" s="235"/>
      <c r="K1007" s="235"/>
      <c r="L1007" s="285"/>
    </row>
    <row r="1008" spans="1:12" ht="24.95" hidden="1" customHeight="1">
      <c r="A1008" s="136"/>
      <c r="B1008" s="176"/>
      <c r="C1008" s="177"/>
      <c r="D1008" s="136"/>
      <c r="E1008" s="231"/>
      <c r="F1008" s="144"/>
      <c r="G1008" s="144"/>
      <c r="H1008" s="235"/>
      <c r="I1008" s="235"/>
      <c r="J1008" s="235"/>
      <c r="K1008" s="235"/>
      <c r="L1008" s="285"/>
    </row>
    <row r="1009" spans="1:12" ht="24.95" hidden="1" customHeight="1">
      <c r="A1009" s="136"/>
      <c r="B1009" s="176"/>
      <c r="C1009" s="177"/>
      <c r="D1009" s="136"/>
      <c r="E1009" s="231"/>
      <c r="F1009" s="144"/>
      <c r="G1009" s="144"/>
      <c r="H1009" s="235"/>
      <c r="I1009" s="235"/>
      <c r="J1009" s="235"/>
      <c r="K1009" s="235"/>
      <c r="L1009" s="285"/>
    </row>
    <row r="1010" spans="1:12" ht="24.95" hidden="1" customHeight="1">
      <c r="A1010" s="136"/>
      <c r="B1010" s="176"/>
      <c r="C1010" s="177"/>
      <c r="D1010" s="136"/>
      <c r="E1010" s="231"/>
      <c r="F1010" s="144"/>
      <c r="G1010" s="144"/>
      <c r="H1010" s="235"/>
      <c r="I1010" s="235"/>
      <c r="J1010" s="235"/>
      <c r="K1010" s="235"/>
      <c r="L1010" s="285"/>
    </row>
    <row r="1011" spans="1:12" ht="24.95" hidden="1" customHeight="1">
      <c r="A1011" s="136"/>
      <c r="B1011" s="176"/>
      <c r="C1011" s="177"/>
      <c r="D1011" s="136"/>
      <c r="E1011" s="231"/>
      <c r="F1011" s="144"/>
      <c r="G1011" s="144"/>
      <c r="H1011" s="235"/>
      <c r="I1011" s="235"/>
      <c r="J1011" s="235"/>
      <c r="K1011" s="235"/>
      <c r="L1011" s="285"/>
    </row>
    <row r="1012" spans="1:12" ht="24.95" hidden="1" customHeight="1">
      <c r="A1012" s="136"/>
      <c r="B1012" s="176"/>
      <c r="C1012" s="177"/>
      <c r="D1012" s="136"/>
      <c r="E1012" s="231"/>
      <c r="F1012" s="144"/>
      <c r="G1012" s="144"/>
      <c r="H1012" s="235"/>
      <c r="I1012" s="235"/>
      <c r="J1012" s="235"/>
      <c r="K1012" s="235"/>
      <c r="L1012" s="285"/>
    </row>
    <row r="1013" spans="1:12" ht="24.95" hidden="1" customHeight="1">
      <c r="A1013" s="136"/>
      <c r="B1013" s="176"/>
      <c r="C1013" s="177"/>
      <c r="D1013" s="136"/>
      <c r="E1013" s="231"/>
      <c r="F1013" s="144"/>
      <c r="G1013" s="144"/>
      <c r="H1013" s="235"/>
      <c r="I1013" s="235"/>
      <c r="J1013" s="235"/>
      <c r="K1013" s="235"/>
      <c r="L1013" s="285"/>
    </row>
    <row r="1014" spans="1:12" ht="24.95" hidden="1" customHeight="1">
      <c r="A1014" s="136"/>
      <c r="B1014" s="176"/>
      <c r="C1014" s="177"/>
      <c r="D1014" s="136"/>
      <c r="E1014" s="231"/>
      <c r="F1014" s="144"/>
      <c r="G1014" s="144"/>
      <c r="H1014" s="235"/>
      <c r="I1014" s="235"/>
      <c r="J1014" s="235"/>
      <c r="K1014" s="235"/>
      <c r="L1014" s="285"/>
    </row>
    <row r="1015" spans="1:12" ht="24.95" hidden="1" customHeight="1">
      <c r="A1015" s="136"/>
      <c r="B1015" s="176"/>
      <c r="C1015" s="177"/>
      <c r="D1015" s="136"/>
      <c r="E1015" s="231"/>
      <c r="F1015" s="144"/>
      <c r="G1015" s="144"/>
      <c r="H1015" s="235"/>
      <c r="I1015" s="235"/>
      <c r="J1015" s="235"/>
      <c r="K1015" s="235"/>
      <c r="L1015" s="285"/>
    </row>
    <row r="1016" spans="1:12" ht="24.95" hidden="1" customHeight="1">
      <c r="A1016" s="136"/>
      <c r="B1016" s="176"/>
      <c r="C1016" s="177"/>
      <c r="D1016" s="136"/>
      <c r="E1016" s="231"/>
      <c r="F1016" s="144"/>
      <c r="G1016" s="144"/>
      <c r="H1016" s="235"/>
      <c r="I1016" s="235"/>
      <c r="J1016" s="235"/>
      <c r="K1016" s="235"/>
      <c r="L1016" s="285"/>
    </row>
    <row r="1017" spans="1:12" ht="24.95" hidden="1" customHeight="1">
      <c r="A1017" s="136"/>
      <c r="B1017" s="176"/>
      <c r="C1017" s="177"/>
      <c r="D1017" s="136"/>
      <c r="E1017" s="231"/>
      <c r="F1017" s="144"/>
      <c r="G1017" s="144"/>
      <c r="H1017" s="235"/>
      <c r="I1017" s="235"/>
      <c r="J1017" s="235"/>
      <c r="K1017" s="235"/>
      <c r="L1017" s="285"/>
    </row>
    <row r="1018" spans="1:12" ht="24.95" hidden="1" customHeight="1">
      <c r="A1018" s="136"/>
      <c r="B1018" s="176"/>
      <c r="C1018" s="177"/>
      <c r="D1018" s="136"/>
      <c r="E1018" s="231"/>
      <c r="F1018" s="144"/>
      <c r="G1018" s="144"/>
      <c r="H1018" s="235"/>
      <c r="I1018" s="235"/>
      <c r="J1018" s="235"/>
      <c r="K1018" s="235"/>
      <c r="L1018" s="285"/>
    </row>
    <row r="1019" spans="1:12" ht="24.95" hidden="1" customHeight="1">
      <c r="A1019" s="136"/>
      <c r="B1019" s="176"/>
      <c r="C1019" s="177"/>
      <c r="D1019" s="136"/>
      <c r="E1019" s="231"/>
      <c r="F1019" s="144"/>
      <c r="G1019" s="144"/>
      <c r="H1019" s="235"/>
      <c r="I1019" s="235"/>
      <c r="J1019" s="235"/>
      <c r="K1019" s="235"/>
      <c r="L1019" s="285"/>
    </row>
    <row r="1020" spans="1:12" ht="24.95" hidden="1" customHeight="1">
      <c r="A1020" s="136"/>
      <c r="B1020" s="176"/>
      <c r="C1020" s="177"/>
      <c r="D1020" s="136"/>
      <c r="E1020" s="231"/>
      <c r="F1020" s="144"/>
      <c r="G1020" s="144"/>
      <c r="H1020" s="235"/>
      <c r="I1020" s="235"/>
      <c r="J1020" s="235"/>
      <c r="K1020" s="235"/>
      <c r="L1020" s="285"/>
    </row>
    <row r="1021" spans="1:12" ht="24.95" hidden="1" customHeight="1">
      <c r="A1021" s="136"/>
      <c r="B1021" s="176"/>
      <c r="C1021" s="177"/>
      <c r="D1021" s="136"/>
      <c r="E1021" s="231"/>
      <c r="F1021" s="144"/>
      <c r="G1021" s="144"/>
      <c r="H1021" s="235"/>
      <c r="I1021" s="235"/>
      <c r="J1021" s="235"/>
      <c r="K1021" s="235"/>
      <c r="L1021" s="285"/>
    </row>
    <row r="1022" spans="1:12" ht="24.95" hidden="1" customHeight="1">
      <c r="A1022" s="136"/>
      <c r="B1022" s="176"/>
      <c r="C1022" s="177"/>
      <c r="D1022" s="136"/>
      <c r="E1022" s="231"/>
      <c r="F1022" s="144"/>
      <c r="G1022" s="144"/>
      <c r="H1022" s="235"/>
      <c r="I1022" s="235"/>
      <c r="J1022" s="235"/>
      <c r="K1022" s="235"/>
      <c r="L1022" s="285"/>
    </row>
    <row r="1023" spans="1:12" ht="24.95" hidden="1" customHeight="1">
      <c r="A1023" s="136"/>
      <c r="B1023" s="176"/>
      <c r="C1023" s="177"/>
      <c r="D1023" s="136"/>
      <c r="E1023" s="231"/>
      <c r="F1023" s="144"/>
      <c r="G1023" s="144"/>
      <c r="H1023" s="235"/>
      <c r="I1023" s="235"/>
      <c r="J1023" s="235"/>
      <c r="K1023" s="235"/>
      <c r="L1023" s="285"/>
    </row>
    <row r="1024" spans="1:12" ht="24.95" hidden="1" customHeight="1">
      <c r="A1024" s="136"/>
      <c r="B1024" s="176"/>
      <c r="C1024" s="177"/>
      <c r="D1024" s="136"/>
      <c r="E1024" s="231"/>
      <c r="F1024" s="144"/>
      <c r="G1024" s="144"/>
      <c r="H1024" s="235"/>
      <c r="I1024" s="235"/>
      <c r="J1024" s="235"/>
      <c r="K1024" s="235"/>
      <c r="L1024" s="285"/>
    </row>
    <row r="1025" spans="1:12" ht="24.95" hidden="1" customHeight="1">
      <c r="A1025" s="136"/>
      <c r="B1025" s="176"/>
      <c r="C1025" s="177"/>
      <c r="D1025" s="136"/>
      <c r="E1025" s="231"/>
      <c r="F1025" s="144"/>
      <c r="G1025" s="144"/>
      <c r="H1025" s="235"/>
      <c r="I1025" s="235"/>
      <c r="J1025" s="235"/>
      <c r="K1025" s="235"/>
      <c r="L1025" s="285"/>
    </row>
    <row r="1026" spans="1:12" ht="24.95" hidden="1" customHeight="1">
      <c r="A1026" s="136"/>
      <c r="B1026" s="176"/>
      <c r="C1026" s="177"/>
      <c r="D1026" s="136"/>
      <c r="E1026" s="231"/>
      <c r="F1026" s="144"/>
      <c r="G1026" s="144"/>
      <c r="H1026" s="235"/>
      <c r="I1026" s="235"/>
      <c r="J1026" s="235"/>
      <c r="K1026" s="235"/>
      <c r="L1026" s="285"/>
    </row>
    <row r="1027" spans="1:12" ht="24.95" hidden="1" customHeight="1">
      <c r="A1027" s="136"/>
      <c r="B1027" s="176"/>
      <c r="C1027" s="177"/>
      <c r="D1027" s="136"/>
      <c r="E1027" s="231"/>
      <c r="F1027" s="144"/>
      <c r="G1027" s="144"/>
      <c r="H1027" s="235"/>
      <c r="I1027" s="235"/>
      <c r="J1027" s="235"/>
      <c r="K1027" s="235"/>
      <c r="L1027" s="285"/>
    </row>
    <row r="1028" spans="1:12" ht="24.95" hidden="1" customHeight="1">
      <c r="A1028" s="136"/>
      <c r="B1028" s="176"/>
      <c r="C1028" s="177"/>
      <c r="D1028" s="136"/>
      <c r="E1028" s="231"/>
      <c r="F1028" s="144"/>
      <c r="G1028" s="144"/>
      <c r="H1028" s="235"/>
      <c r="I1028" s="235"/>
      <c r="J1028" s="235"/>
      <c r="K1028" s="235"/>
      <c r="L1028" s="285"/>
    </row>
    <row r="1029" spans="1:12" ht="24.95" hidden="1" customHeight="1">
      <c r="A1029" s="136"/>
      <c r="B1029" s="176"/>
      <c r="C1029" s="177"/>
      <c r="D1029" s="136"/>
      <c r="E1029" s="231"/>
      <c r="F1029" s="144"/>
      <c r="G1029" s="144"/>
      <c r="H1029" s="235"/>
      <c r="I1029" s="235"/>
      <c r="J1029" s="235"/>
      <c r="K1029" s="235"/>
      <c r="L1029" s="285"/>
    </row>
    <row r="1030" spans="1:12" ht="24.95" hidden="1" customHeight="1">
      <c r="A1030" s="136"/>
      <c r="B1030" s="176"/>
      <c r="C1030" s="177"/>
      <c r="D1030" s="136"/>
      <c r="E1030" s="231"/>
      <c r="F1030" s="144"/>
      <c r="G1030" s="144"/>
      <c r="H1030" s="235"/>
      <c r="I1030" s="235"/>
      <c r="J1030" s="235"/>
      <c r="K1030" s="235"/>
      <c r="L1030" s="285"/>
    </row>
    <row r="1031" spans="1:12" ht="24.95" hidden="1" customHeight="1">
      <c r="A1031" s="136"/>
      <c r="B1031" s="176"/>
      <c r="C1031" s="177"/>
      <c r="D1031" s="136"/>
      <c r="E1031" s="231"/>
      <c r="F1031" s="144"/>
      <c r="G1031" s="144"/>
      <c r="H1031" s="235"/>
      <c r="I1031" s="235"/>
      <c r="J1031" s="235"/>
      <c r="K1031" s="235"/>
      <c r="L1031" s="285"/>
    </row>
    <row r="1032" spans="1:12" ht="24.95" hidden="1" customHeight="1">
      <c r="A1032" s="136"/>
      <c r="B1032" s="176"/>
      <c r="C1032" s="177"/>
      <c r="D1032" s="136"/>
      <c r="E1032" s="231"/>
      <c r="F1032" s="144"/>
      <c r="G1032" s="144"/>
      <c r="H1032" s="235"/>
      <c r="I1032" s="235"/>
      <c r="J1032" s="235"/>
      <c r="K1032" s="235"/>
      <c r="L1032" s="285"/>
    </row>
    <row r="1033" spans="1:12" ht="24.95" hidden="1" customHeight="1">
      <c r="A1033" s="136"/>
      <c r="B1033" s="176"/>
      <c r="C1033" s="177"/>
      <c r="D1033" s="136"/>
      <c r="E1033" s="231"/>
      <c r="F1033" s="144"/>
      <c r="G1033" s="144"/>
      <c r="H1033" s="235"/>
      <c r="I1033" s="235"/>
      <c r="J1033" s="235"/>
      <c r="K1033" s="235"/>
      <c r="L1033" s="285"/>
    </row>
    <row r="1034" spans="1:12" ht="24.95" hidden="1" customHeight="1">
      <c r="A1034" s="136"/>
      <c r="B1034" s="176"/>
      <c r="C1034" s="177"/>
      <c r="D1034" s="136"/>
      <c r="E1034" s="231"/>
      <c r="F1034" s="144"/>
      <c r="G1034" s="144"/>
      <c r="H1034" s="235"/>
      <c r="I1034" s="235"/>
      <c r="J1034" s="235"/>
      <c r="K1034" s="235"/>
      <c r="L1034" s="285"/>
    </row>
    <row r="1035" spans="1:12" ht="24.95" hidden="1" customHeight="1">
      <c r="A1035" s="136"/>
      <c r="B1035" s="176"/>
      <c r="C1035" s="177"/>
      <c r="D1035" s="136"/>
      <c r="E1035" s="231"/>
      <c r="F1035" s="144"/>
      <c r="G1035" s="144"/>
      <c r="H1035" s="235"/>
      <c r="I1035" s="235"/>
      <c r="J1035" s="235"/>
      <c r="K1035" s="235"/>
      <c r="L1035" s="285"/>
    </row>
    <row r="1036" spans="1:12" ht="24.95" hidden="1" customHeight="1">
      <c r="A1036" s="136"/>
      <c r="B1036" s="176"/>
      <c r="C1036" s="177"/>
      <c r="D1036" s="136"/>
      <c r="E1036" s="231"/>
      <c r="F1036" s="144"/>
      <c r="G1036" s="144"/>
      <c r="H1036" s="235"/>
      <c r="I1036" s="235"/>
      <c r="J1036" s="235"/>
      <c r="K1036" s="235"/>
      <c r="L1036" s="285"/>
    </row>
    <row r="1037" spans="1:12" ht="24.95" hidden="1" customHeight="1">
      <c r="A1037" s="136"/>
      <c r="B1037" s="176"/>
      <c r="C1037" s="177"/>
      <c r="D1037" s="136"/>
      <c r="E1037" s="231"/>
      <c r="F1037" s="144"/>
      <c r="G1037" s="144"/>
      <c r="H1037" s="235"/>
      <c r="I1037" s="235"/>
      <c r="J1037" s="235"/>
      <c r="K1037" s="235"/>
      <c r="L1037" s="285"/>
    </row>
    <row r="1038" spans="1:12" ht="24.95" hidden="1" customHeight="1">
      <c r="A1038" s="136"/>
      <c r="B1038" s="176"/>
      <c r="C1038" s="177"/>
      <c r="D1038" s="136"/>
      <c r="E1038" s="231"/>
      <c r="F1038" s="144"/>
      <c r="G1038" s="144"/>
      <c r="H1038" s="235"/>
      <c r="I1038" s="235"/>
      <c r="J1038" s="235"/>
      <c r="K1038" s="235"/>
      <c r="L1038" s="285"/>
    </row>
    <row r="1039" spans="1:12" ht="24.95" hidden="1" customHeight="1">
      <c r="A1039" s="136"/>
      <c r="B1039" s="176"/>
      <c r="C1039" s="177"/>
      <c r="D1039" s="136"/>
      <c r="E1039" s="231"/>
      <c r="F1039" s="144"/>
      <c r="G1039" s="144"/>
      <c r="H1039" s="235"/>
      <c r="I1039" s="235"/>
      <c r="J1039" s="235"/>
      <c r="K1039" s="235"/>
      <c r="L1039" s="285"/>
    </row>
    <row r="1040" spans="1:12" ht="24.95" hidden="1" customHeight="1">
      <c r="A1040" s="136"/>
      <c r="B1040" s="176"/>
      <c r="C1040" s="177"/>
      <c r="D1040" s="136"/>
      <c r="E1040" s="231"/>
      <c r="F1040" s="144"/>
      <c r="G1040" s="144"/>
      <c r="H1040" s="235"/>
      <c r="I1040" s="235"/>
      <c r="J1040" s="235"/>
      <c r="K1040" s="235"/>
      <c r="L1040" s="285"/>
    </row>
    <row r="1041" spans="1:12" ht="24.95" hidden="1" customHeight="1">
      <c r="A1041" s="136"/>
      <c r="B1041" s="176"/>
      <c r="C1041" s="177"/>
      <c r="D1041" s="136"/>
      <c r="E1041" s="231"/>
      <c r="F1041" s="144"/>
      <c r="G1041" s="144"/>
      <c r="H1041" s="235"/>
      <c r="I1041" s="235"/>
      <c r="J1041" s="235"/>
      <c r="K1041" s="235"/>
      <c r="L1041" s="285"/>
    </row>
    <row r="1042" spans="1:12" ht="24.95" hidden="1" customHeight="1">
      <c r="A1042" s="136"/>
      <c r="B1042" s="176"/>
      <c r="C1042" s="177"/>
      <c r="D1042" s="136"/>
      <c r="E1042" s="231"/>
      <c r="F1042" s="144"/>
      <c r="G1042" s="144"/>
      <c r="H1042" s="235"/>
      <c r="I1042" s="235"/>
      <c r="J1042" s="235"/>
      <c r="K1042" s="235"/>
      <c r="L1042" s="285"/>
    </row>
    <row r="1043" spans="1:12" ht="24.95" hidden="1" customHeight="1">
      <c r="A1043" s="136"/>
      <c r="B1043" s="176"/>
      <c r="C1043" s="177"/>
      <c r="D1043" s="136"/>
      <c r="E1043" s="231"/>
      <c r="F1043" s="144"/>
      <c r="G1043" s="144"/>
      <c r="H1043" s="235"/>
      <c r="I1043" s="235"/>
      <c r="J1043" s="235"/>
      <c r="K1043" s="235"/>
      <c r="L1043" s="285"/>
    </row>
    <row r="1044" spans="1:12" ht="24.95" hidden="1" customHeight="1">
      <c r="A1044" s="136"/>
      <c r="B1044" s="176"/>
      <c r="C1044" s="177"/>
      <c r="D1044" s="136"/>
      <c r="E1044" s="231"/>
      <c r="F1044" s="144"/>
      <c r="G1044" s="144"/>
      <c r="H1044" s="235"/>
      <c r="I1044" s="235"/>
      <c r="J1044" s="235"/>
      <c r="K1044" s="235"/>
      <c r="L1044" s="285"/>
    </row>
    <row r="1045" spans="1:12" ht="24.95" hidden="1" customHeight="1">
      <c r="A1045" s="136"/>
      <c r="B1045" s="176"/>
      <c r="C1045" s="177"/>
      <c r="D1045" s="136"/>
      <c r="E1045" s="231"/>
      <c r="F1045" s="144"/>
      <c r="G1045" s="144"/>
      <c r="H1045" s="235"/>
      <c r="I1045" s="235"/>
      <c r="J1045" s="235"/>
      <c r="K1045" s="235"/>
      <c r="L1045" s="285"/>
    </row>
    <row r="1046" spans="1:12" ht="24.95" hidden="1" customHeight="1">
      <c r="A1046" s="136"/>
      <c r="B1046" s="176"/>
      <c r="C1046" s="177"/>
      <c r="D1046" s="136"/>
      <c r="E1046" s="231"/>
      <c r="F1046" s="144"/>
      <c r="G1046" s="144"/>
      <c r="H1046" s="235"/>
      <c r="I1046" s="235"/>
      <c r="J1046" s="235"/>
      <c r="K1046" s="235"/>
      <c r="L1046" s="285"/>
    </row>
    <row r="1047" spans="1:12" ht="24.95" hidden="1" customHeight="1">
      <c r="A1047" s="136"/>
      <c r="B1047" s="176"/>
      <c r="C1047" s="177"/>
      <c r="D1047" s="136"/>
      <c r="E1047" s="231"/>
      <c r="F1047" s="144"/>
      <c r="G1047" s="144"/>
      <c r="H1047" s="235"/>
      <c r="I1047" s="235"/>
      <c r="J1047" s="235"/>
      <c r="K1047" s="235"/>
      <c r="L1047" s="285"/>
    </row>
    <row r="1048" spans="1:12" ht="24.95" hidden="1" customHeight="1">
      <c r="A1048" s="136"/>
      <c r="B1048" s="176"/>
      <c r="C1048" s="177"/>
      <c r="D1048" s="136"/>
      <c r="E1048" s="231"/>
      <c r="F1048" s="144"/>
      <c r="G1048" s="144"/>
      <c r="H1048" s="235"/>
      <c r="I1048" s="235"/>
      <c r="J1048" s="235"/>
      <c r="K1048" s="235"/>
      <c r="L1048" s="285"/>
    </row>
    <row r="1049" spans="1:12" ht="24.95" hidden="1" customHeight="1">
      <c r="A1049" s="136"/>
      <c r="B1049" s="176"/>
      <c r="C1049" s="177"/>
      <c r="D1049" s="136"/>
      <c r="E1049" s="231"/>
      <c r="F1049" s="144"/>
      <c r="G1049" s="144"/>
      <c r="H1049" s="235"/>
      <c r="I1049" s="235"/>
      <c r="J1049" s="235"/>
      <c r="K1049" s="235"/>
      <c r="L1049" s="285"/>
    </row>
    <row r="1050" spans="1:12" ht="24.95" hidden="1" customHeight="1">
      <c r="A1050" s="136"/>
      <c r="B1050" s="176"/>
      <c r="C1050" s="177"/>
      <c r="D1050" s="136"/>
      <c r="E1050" s="231"/>
      <c r="F1050" s="144"/>
      <c r="G1050" s="144"/>
      <c r="H1050" s="235"/>
      <c r="I1050" s="235"/>
      <c r="J1050" s="235"/>
      <c r="K1050" s="235"/>
      <c r="L1050" s="285"/>
    </row>
    <row r="1051" spans="1:12" ht="24.95" hidden="1" customHeight="1">
      <c r="A1051" s="136"/>
      <c r="B1051" s="176"/>
      <c r="C1051" s="177"/>
      <c r="D1051" s="136"/>
      <c r="E1051" s="231"/>
      <c r="F1051" s="144"/>
      <c r="G1051" s="144"/>
      <c r="H1051" s="235"/>
      <c r="I1051" s="235"/>
      <c r="J1051" s="235"/>
      <c r="K1051" s="235"/>
      <c r="L1051" s="285"/>
    </row>
    <row r="1052" spans="1:12" ht="24.95" hidden="1" customHeight="1">
      <c r="A1052" s="136"/>
      <c r="B1052" s="176"/>
      <c r="C1052" s="177"/>
      <c r="D1052" s="136"/>
      <c r="E1052" s="231"/>
      <c r="F1052" s="144"/>
      <c r="G1052" s="144"/>
      <c r="H1052" s="235"/>
      <c r="I1052" s="235"/>
      <c r="J1052" s="235"/>
      <c r="K1052" s="235"/>
      <c r="L1052" s="285"/>
    </row>
    <row r="1053" spans="1:12" ht="24.95" hidden="1" customHeight="1">
      <c r="A1053" s="136"/>
      <c r="B1053" s="176"/>
      <c r="C1053" s="177"/>
      <c r="D1053" s="136"/>
      <c r="E1053" s="231"/>
      <c r="F1053" s="144"/>
      <c r="G1053" s="144"/>
      <c r="H1053" s="235"/>
      <c r="I1053" s="235"/>
      <c r="J1053" s="235"/>
      <c r="K1053" s="235"/>
      <c r="L1053" s="285"/>
    </row>
    <row r="1054" spans="1:12" ht="24.95" hidden="1" customHeight="1">
      <c r="A1054" s="136"/>
      <c r="B1054" s="176"/>
      <c r="C1054" s="177"/>
      <c r="D1054" s="136"/>
      <c r="E1054" s="231"/>
      <c r="F1054" s="144"/>
      <c r="G1054" s="144"/>
      <c r="H1054" s="235"/>
      <c r="I1054" s="235"/>
      <c r="J1054" s="235"/>
      <c r="K1054" s="235"/>
      <c r="L1054" s="285"/>
    </row>
    <row r="1055" spans="1:12" ht="24.95" hidden="1" customHeight="1">
      <c r="A1055" s="136"/>
      <c r="B1055" s="176"/>
      <c r="C1055" s="177"/>
      <c r="D1055" s="136"/>
      <c r="E1055" s="231"/>
      <c r="F1055" s="144"/>
      <c r="G1055" s="144"/>
      <c r="H1055" s="235"/>
      <c r="I1055" s="235"/>
      <c r="J1055" s="235"/>
      <c r="K1055" s="235"/>
      <c r="L1055" s="285"/>
    </row>
    <row r="1056" spans="1:12" ht="24.95" hidden="1" customHeight="1">
      <c r="A1056" s="136"/>
      <c r="B1056" s="176"/>
      <c r="C1056" s="177"/>
      <c r="D1056" s="136"/>
      <c r="E1056" s="231"/>
      <c r="F1056" s="144"/>
      <c r="G1056" s="144"/>
      <c r="H1056" s="235"/>
      <c r="I1056" s="235"/>
      <c r="J1056" s="235"/>
      <c r="K1056" s="235"/>
      <c r="L1056" s="285"/>
    </row>
    <row r="1057" spans="1:12" ht="24.95" hidden="1" customHeight="1">
      <c r="A1057" s="136"/>
      <c r="B1057" s="176"/>
      <c r="C1057" s="177"/>
      <c r="D1057" s="136"/>
      <c r="E1057" s="231"/>
      <c r="F1057" s="144"/>
      <c r="G1057" s="144"/>
      <c r="H1057" s="235"/>
      <c r="I1057" s="235"/>
      <c r="J1057" s="235"/>
      <c r="K1057" s="235"/>
      <c r="L1057" s="285"/>
    </row>
    <row r="1058" spans="1:12" ht="24.95" hidden="1" customHeight="1">
      <c r="A1058" s="136"/>
      <c r="B1058" s="176"/>
      <c r="C1058" s="177"/>
      <c r="D1058" s="136"/>
      <c r="E1058" s="231"/>
      <c r="F1058" s="144"/>
      <c r="G1058" s="144"/>
      <c r="H1058" s="235"/>
      <c r="I1058" s="235"/>
      <c r="J1058" s="235"/>
      <c r="K1058" s="235"/>
      <c r="L1058" s="285"/>
    </row>
    <row r="1059" spans="1:12" ht="24.95" hidden="1" customHeight="1">
      <c r="A1059" s="136"/>
      <c r="B1059" s="176"/>
      <c r="C1059" s="177"/>
      <c r="D1059" s="136"/>
      <c r="E1059" s="231"/>
      <c r="F1059" s="144"/>
      <c r="G1059" s="144"/>
      <c r="H1059" s="235"/>
      <c r="I1059" s="235"/>
      <c r="J1059" s="235"/>
      <c r="K1059" s="235"/>
      <c r="L1059" s="285"/>
    </row>
    <row r="1060" spans="1:12" ht="24.95" hidden="1" customHeight="1">
      <c r="A1060" s="136"/>
      <c r="B1060" s="176"/>
      <c r="C1060" s="177"/>
      <c r="D1060" s="136"/>
      <c r="E1060" s="231"/>
      <c r="F1060" s="144"/>
      <c r="G1060" s="144"/>
      <c r="H1060" s="235"/>
      <c r="I1060" s="235"/>
      <c r="J1060" s="235"/>
      <c r="K1060" s="235"/>
      <c r="L1060" s="285"/>
    </row>
    <row r="1061" spans="1:12" ht="24.95" hidden="1" customHeight="1">
      <c r="A1061" s="136"/>
      <c r="B1061" s="176"/>
      <c r="C1061" s="177"/>
      <c r="D1061" s="136"/>
      <c r="E1061" s="231"/>
      <c r="F1061" s="144"/>
      <c r="G1061" s="144"/>
      <c r="H1061" s="235"/>
      <c r="I1061" s="235"/>
      <c r="J1061" s="235"/>
      <c r="K1061" s="235"/>
      <c r="L1061" s="285"/>
    </row>
    <row r="1062" spans="1:12" ht="24.95" hidden="1" customHeight="1">
      <c r="A1062" s="136"/>
      <c r="B1062" s="176"/>
      <c r="C1062" s="177"/>
      <c r="D1062" s="136"/>
      <c r="E1062" s="231"/>
      <c r="F1062" s="144"/>
      <c r="G1062" s="144"/>
      <c r="H1062" s="235"/>
      <c r="I1062" s="235"/>
      <c r="J1062" s="235"/>
      <c r="K1062" s="235"/>
      <c r="L1062" s="285"/>
    </row>
    <row r="1063" spans="1:12" ht="24.95" hidden="1" customHeight="1">
      <c r="A1063" s="136"/>
      <c r="B1063" s="176"/>
      <c r="C1063" s="177"/>
      <c r="D1063" s="136"/>
      <c r="E1063" s="231"/>
      <c r="F1063" s="144"/>
      <c r="G1063" s="144"/>
      <c r="H1063" s="235"/>
      <c r="I1063" s="235"/>
      <c r="J1063" s="235"/>
      <c r="K1063" s="235"/>
      <c r="L1063" s="285"/>
    </row>
    <row r="1064" spans="1:12" ht="24.95" hidden="1" customHeight="1">
      <c r="A1064" s="136"/>
      <c r="B1064" s="176"/>
      <c r="C1064" s="177"/>
      <c r="D1064" s="136"/>
      <c r="E1064" s="231"/>
      <c r="F1064" s="144"/>
      <c r="G1064" s="144"/>
      <c r="H1064" s="235"/>
      <c r="I1064" s="235"/>
      <c r="J1064" s="235"/>
      <c r="K1064" s="235"/>
      <c r="L1064" s="285"/>
    </row>
    <row r="1065" spans="1:12" ht="24.95" hidden="1" customHeight="1">
      <c r="A1065" s="136"/>
      <c r="B1065" s="176"/>
      <c r="C1065" s="177"/>
      <c r="D1065" s="136"/>
      <c r="E1065" s="231"/>
      <c r="F1065" s="144"/>
      <c r="G1065" s="144"/>
      <c r="H1065" s="235"/>
      <c r="I1065" s="235"/>
      <c r="J1065" s="235"/>
      <c r="K1065" s="235"/>
      <c r="L1065" s="285"/>
    </row>
    <row r="1066" spans="1:12" ht="24.95" hidden="1" customHeight="1">
      <c r="A1066" s="136"/>
      <c r="B1066" s="176"/>
      <c r="C1066" s="177"/>
      <c r="D1066" s="136"/>
      <c r="E1066" s="231"/>
      <c r="F1066" s="144"/>
      <c r="G1066" s="144"/>
      <c r="H1066" s="235"/>
      <c r="I1066" s="235"/>
      <c r="J1066" s="235"/>
      <c r="K1066" s="235"/>
      <c r="L1066" s="285"/>
    </row>
    <row r="1067" spans="1:12" ht="24.95" hidden="1" customHeight="1">
      <c r="A1067" s="136"/>
      <c r="B1067" s="176"/>
      <c r="C1067" s="177"/>
      <c r="D1067" s="136"/>
      <c r="E1067" s="231"/>
      <c r="F1067" s="144"/>
      <c r="G1067" s="144"/>
      <c r="H1067" s="235"/>
      <c r="I1067" s="235"/>
      <c r="J1067" s="235"/>
      <c r="K1067" s="235"/>
      <c r="L1067" s="285"/>
    </row>
    <row r="1068" spans="1:12" ht="24.95" hidden="1" customHeight="1">
      <c r="A1068" s="136"/>
      <c r="B1068" s="176"/>
      <c r="C1068" s="177"/>
      <c r="D1068" s="136"/>
      <c r="E1068" s="231"/>
      <c r="F1068" s="144"/>
      <c r="G1068" s="144"/>
      <c r="H1068" s="235"/>
      <c r="I1068" s="235"/>
      <c r="J1068" s="235"/>
      <c r="K1068" s="235"/>
      <c r="L1068" s="285"/>
    </row>
    <row r="1069" spans="1:12" ht="24.95" hidden="1" customHeight="1">
      <c r="A1069" s="136"/>
      <c r="B1069" s="176"/>
      <c r="C1069" s="177"/>
      <c r="D1069" s="136"/>
      <c r="E1069" s="231"/>
      <c r="F1069" s="144"/>
      <c r="G1069" s="144"/>
      <c r="H1069" s="235"/>
      <c r="I1069" s="235"/>
      <c r="J1069" s="235"/>
      <c r="K1069" s="235"/>
      <c r="L1069" s="285"/>
    </row>
    <row r="1070" spans="1:12" ht="24.95" hidden="1" customHeight="1">
      <c r="A1070" s="136"/>
      <c r="B1070" s="176"/>
      <c r="C1070" s="177"/>
      <c r="D1070" s="136"/>
      <c r="E1070" s="231"/>
      <c r="F1070" s="144"/>
      <c r="G1070" s="144"/>
      <c r="H1070" s="235"/>
      <c r="I1070" s="235"/>
      <c r="J1070" s="235"/>
      <c r="K1070" s="235"/>
      <c r="L1070" s="285"/>
    </row>
    <row r="1071" spans="1:12" ht="24.95" hidden="1" customHeight="1">
      <c r="A1071" s="136"/>
      <c r="B1071" s="176"/>
      <c r="C1071" s="177"/>
      <c r="D1071" s="136"/>
      <c r="E1071" s="231"/>
      <c r="F1071" s="144"/>
      <c r="G1071" s="144"/>
      <c r="H1071" s="235"/>
      <c r="I1071" s="235"/>
      <c r="J1071" s="235"/>
      <c r="K1071" s="235"/>
      <c r="L1071" s="285"/>
    </row>
    <row r="1072" spans="1:12" ht="24.95" hidden="1" customHeight="1">
      <c r="A1072" s="136"/>
      <c r="B1072" s="176"/>
      <c r="C1072" s="177"/>
      <c r="D1072" s="136"/>
      <c r="E1072" s="231"/>
      <c r="F1072" s="144"/>
      <c r="G1072" s="144"/>
      <c r="H1072" s="235"/>
      <c r="I1072" s="235"/>
      <c r="J1072" s="235"/>
      <c r="K1072" s="235"/>
      <c r="L1072" s="285"/>
    </row>
    <row r="1073" spans="1:12" ht="24.95" hidden="1" customHeight="1">
      <c r="A1073" s="136"/>
      <c r="B1073" s="176"/>
      <c r="C1073" s="177"/>
      <c r="D1073" s="136"/>
      <c r="E1073" s="231"/>
      <c r="F1073" s="144"/>
      <c r="G1073" s="144"/>
      <c r="H1073" s="235"/>
      <c r="I1073" s="235"/>
      <c r="J1073" s="235"/>
      <c r="K1073" s="235"/>
      <c r="L1073" s="285"/>
    </row>
    <row r="1074" spans="1:12" ht="24.95" hidden="1" customHeight="1">
      <c r="A1074" s="136"/>
      <c r="B1074" s="176"/>
      <c r="C1074" s="177"/>
      <c r="D1074" s="136"/>
      <c r="E1074" s="231"/>
      <c r="F1074" s="144"/>
      <c r="G1074" s="144"/>
      <c r="H1074" s="235"/>
      <c r="I1074" s="235"/>
      <c r="J1074" s="235"/>
      <c r="K1074" s="235"/>
      <c r="L1074" s="285"/>
    </row>
    <row r="1075" spans="1:12" ht="24.95" hidden="1" customHeight="1">
      <c r="A1075" s="136"/>
      <c r="B1075" s="176"/>
      <c r="C1075" s="177"/>
      <c r="D1075" s="136"/>
      <c r="E1075" s="231"/>
      <c r="F1075" s="144"/>
      <c r="G1075" s="144"/>
      <c r="H1075" s="235"/>
      <c r="I1075" s="235"/>
      <c r="J1075" s="235"/>
      <c r="K1075" s="235"/>
      <c r="L1075" s="285"/>
    </row>
    <row r="1076" spans="1:12" ht="24.95" hidden="1" customHeight="1">
      <c r="A1076" s="136"/>
      <c r="B1076" s="176"/>
      <c r="C1076" s="177"/>
      <c r="D1076" s="136"/>
      <c r="E1076" s="231"/>
      <c r="F1076" s="144"/>
      <c r="G1076" s="144"/>
      <c r="H1076" s="235"/>
      <c r="I1076" s="235"/>
      <c r="J1076" s="235"/>
      <c r="K1076" s="235"/>
      <c r="L1076" s="285"/>
    </row>
    <row r="1077" spans="1:12" ht="24.95" hidden="1" customHeight="1">
      <c r="A1077" s="136"/>
      <c r="B1077" s="176"/>
      <c r="C1077" s="177"/>
      <c r="D1077" s="136"/>
      <c r="E1077" s="231"/>
      <c r="F1077" s="144"/>
      <c r="G1077" s="144"/>
      <c r="H1077" s="235"/>
      <c r="I1077" s="235"/>
      <c r="J1077" s="235"/>
      <c r="K1077" s="235"/>
      <c r="L1077" s="285"/>
    </row>
    <row r="1078" spans="1:12" ht="24.95" hidden="1" customHeight="1">
      <c r="A1078" s="136"/>
      <c r="B1078" s="176"/>
      <c r="C1078" s="177"/>
      <c r="D1078" s="136"/>
      <c r="E1078" s="231"/>
      <c r="F1078" s="144"/>
      <c r="G1078" s="144"/>
      <c r="H1078" s="235"/>
      <c r="I1078" s="235"/>
      <c r="J1078" s="235"/>
      <c r="K1078" s="235"/>
      <c r="L1078" s="285"/>
    </row>
    <row r="1079" spans="1:12" ht="24.95" hidden="1" customHeight="1">
      <c r="A1079" s="136"/>
      <c r="B1079" s="176"/>
      <c r="C1079" s="177"/>
      <c r="D1079" s="136"/>
      <c r="E1079" s="231"/>
      <c r="F1079" s="144"/>
      <c r="G1079" s="144"/>
      <c r="H1079" s="235"/>
      <c r="I1079" s="235"/>
      <c r="J1079" s="235"/>
      <c r="K1079" s="235"/>
      <c r="L1079" s="285"/>
    </row>
    <row r="1080" spans="1:12" ht="24.95" hidden="1" customHeight="1">
      <c r="A1080" s="136"/>
      <c r="B1080" s="176"/>
      <c r="C1080" s="177"/>
      <c r="D1080" s="136"/>
      <c r="E1080" s="231"/>
      <c r="F1080" s="144"/>
      <c r="G1080" s="144"/>
      <c r="H1080" s="235"/>
      <c r="I1080" s="235"/>
      <c r="J1080" s="235"/>
      <c r="K1080" s="235"/>
      <c r="L1080" s="285"/>
    </row>
    <row r="1081" spans="1:12" ht="24.95" hidden="1" customHeight="1">
      <c r="A1081" s="136"/>
      <c r="B1081" s="176"/>
      <c r="C1081" s="177"/>
      <c r="D1081" s="136"/>
      <c r="E1081" s="231"/>
      <c r="F1081" s="144"/>
      <c r="G1081" s="144"/>
      <c r="H1081" s="235"/>
      <c r="I1081" s="235"/>
      <c r="J1081" s="235"/>
      <c r="K1081" s="235"/>
      <c r="L1081" s="285"/>
    </row>
    <row r="1082" spans="1:12" ht="24.95" hidden="1" customHeight="1">
      <c r="A1082" s="136"/>
      <c r="B1082" s="176"/>
      <c r="C1082" s="177"/>
      <c r="D1082" s="136"/>
      <c r="E1082" s="231"/>
      <c r="F1082" s="144"/>
      <c r="G1082" s="144"/>
      <c r="H1082" s="235"/>
      <c r="I1082" s="235"/>
      <c r="J1082" s="235"/>
      <c r="K1082" s="235"/>
      <c r="L1082" s="285"/>
    </row>
    <row r="1083" spans="1:12" ht="24.95" hidden="1" customHeight="1">
      <c r="A1083" s="136"/>
      <c r="B1083" s="176"/>
      <c r="C1083" s="177"/>
      <c r="D1083" s="136"/>
      <c r="E1083" s="231"/>
      <c r="F1083" s="144"/>
      <c r="G1083" s="144"/>
      <c r="H1083" s="235"/>
      <c r="I1083" s="235"/>
      <c r="J1083" s="235"/>
      <c r="K1083" s="235"/>
      <c r="L1083" s="285"/>
    </row>
    <row r="1084" spans="1:12" ht="24.95" hidden="1" customHeight="1">
      <c r="A1084" s="136"/>
      <c r="B1084" s="176"/>
      <c r="C1084" s="177"/>
      <c r="D1084" s="136"/>
      <c r="E1084" s="231"/>
      <c r="F1084" s="144"/>
      <c r="G1084" s="144"/>
      <c r="H1084" s="235"/>
      <c r="I1084" s="235"/>
      <c r="J1084" s="235"/>
      <c r="K1084" s="235"/>
      <c r="L1084" s="285"/>
    </row>
    <row r="1085" spans="1:12" ht="24.95" hidden="1" customHeight="1">
      <c r="A1085" s="136"/>
      <c r="B1085" s="176"/>
      <c r="C1085" s="177"/>
      <c r="D1085" s="136"/>
      <c r="E1085" s="231"/>
      <c r="F1085" s="144"/>
      <c r="G1085" s="144"/>
      <c r="H1085" s="235"/>
      <c r="I1085" s="235"/>
      <c r="J1085" s="235"/>
      <c r="K1085" s="235"/>
      <c r="L1085" s="285"/>
    </row>
    <row r="1086" spans="1:12" ht="24.95" hidden="1" customHeight="1">
      <c r="A1086" s="136"/>
      <c r="B1086" s="176"/>
      <c r="C1086" s="177"/>
      <c r="D1086" s="136"/>
      <c r="E1086" s="231"/>
      <c r="F1086" s="144"/>
      <c r="G1086" s="144"/>
      <c r="H1086" s="235"/>
      <c r="I1086" s="235"/>
      <c r="J1086" s="235"/>
      <c r="K1086" s="235"/>
      <c r="L1086" s="285"/>
    </row>
    <row r="1087" spans="1:12" ht="24.95" hidden="1" customHeight="1">
      <c r="A1087" s="136"/>
      <c r="B1087" s="176"/>
      <c r="C1087" s="177"/>
      <c r="D1087" s="136"/>
      <c r="E1087" s="231"/>
      <c r="F1087" s="144"/>
      <c r="G1087" s="144"/>
      <c r="H1087" s="235"/>
      <c r="I1087" s="235"/>
      <c r="J1087" s="235"/>
      <c r="K1087" s="235"/>
      <c r="L1087" s="285"/>
    </row>
    <row r="1088" spans="1:12" ht="24.95" hidden="1" customHeight="1">
      <c r="A1088" s="136"/>
      <c r="B1088" s="176"/>
      <c r="C1088" s="177"/>
      <c r="D1088" s="136"/>
      <c r="E1088" s="231"/>
      <c r="F1088" s="144"/>
      <c r="G1088" s="144"/>
      <c r="H1088" s="235"/>
      <c r="I1088" s="235"/>
      <c r="J1088" s="235"/>
      <c r="K1088" s="235"/>
      <c r="L1088" s="285"/>
    </row>
    <row r="1089" spans="1:12" ht="24.95" hidden="1" customHeight="1">
      <c r="A1089" s="136"/>
      <c r="B1089" s="176"/>
      <c r="C1089" s="177"/>
      <c r="D1089" s="136"/>
      <c r="E1089" s="231"/>
      <c r="F1089" s="144"/>
      <c r="G1089" s="144"/>
      <c r="H1089" s="235"/>
      <c r="I1089" s="235"/>
      <c r="J1089" s="235"/>
      <c r="K1089" s="235"/>
      <c r="L1089" s="285"/>
    </row>
    <row r="1090" spans="1:12" ht="24.95" hidden="1" customHeight="1">
      <c r="A1090" s="136"/>
      <c r="B1090" s="176"/>
      <c r="C1090" s="177"/>
      <c r="D1090" s="136"/>
      <c r="E1090" s="231"/>
      <c r="F1090" s="144"/>
      <c r="G1090" s="144"/>
      <c r="H1090" s="235"/>
      <c r="I1090" s="235"/>
      <c r="J1090" s="235"/>
      <c r="K1090" s="235"/>
      <c r="L1090" s="285"/>
    </row>
    <row r="1091" spans="1:12" ht="24.95" hidden="1" customHeight="1">
      <c r="A1091" s="136"/>
      <c r="B1091" s="176"/>
      <c r="C1091" s="177"/>
      <c r="D1091" s="136"/>
      <c r="E1091" s="231"/>
      <c r="F1091" s="144"/>
      <c r="G1091" s="144"/>
      <c r="H1091" s="235"/>
      <c r="I1091" s="235"/>
      <c r="J1091" s="235"/>
      <c r="K1091" s="235"/>
      <c r="L1091" s="285"/>
    </row>
    <row r="1092" spans="1:12" ht="24.95" hidden="1" customHeight="1">
      <c r="A1092" s="136"/>
      <c r="B1092" s="176"/>
      <c r="C1092" s="177"/>
      <c r="D1092" s="136"/>
      <c r="E1092" s="231"/>
      <c r="F1092" s="144"/>
      <c r="G1092" s="144"/>
      <c r="H1092" s="235"/>
      <c r="I1092" s="235"/>
      <c r="J1092" s="235"/>
      <c r="K1092" s="235"/>
      <c r="L1092" s="285"/>
    </row>
    <row r="1093" spans="1:12" ht="24.95" hidden="1" customHeight="1">
      <c r="A1093" s="136"/>
      <c r="B1093" s="176"/>
      <c r="C1093" s="177"/>
      <c r="D1093" s="136"/>
      <c r="E1093" s="231"/>
      <c r="F1093" s="144"/>
      <c r="G1093" s="144"/>
      <c r="H1093" s="235"/>
      <c r="I1093" s="235"/>
      <c r="J1093" s="235"/>
      <c r="K1093" s="235"/>
      <c r="L1093" s="285"/>
    </row>
    <row r="1094" spans="1:12" ht="24.95" hidden="1" customHeight="1">
      <c r="A1094" s="136"/>
      <c r="B1094" s="176"/>
      <c r="C1094" s="177"/>
      <c r="D1094" s="136"/>
      <c r="E1094" s="231"/>
      <c r="F1094" s="144"/>
      <c r="G1094" s="144"/>
      <c r="H1094" s="235"/>
      <c r="I1094" s="235"/>
      <c r="J1094" s="235"/>
      <c r="K1094" s="235"/>
      <c r="L1094" s="285"/>
    </row>
    <row r="1095" spans="1:12" ht="24.95" hidden="1" customHeight="1">
      <c r="A1095" s="136"/>
      <c r="B1095" s="176"/>
      <c r="C1095" s="177"/>
      <c r="D1095" s="136"/>
      <c r="E1095" s="231"/>
      <c r="F1095" s="144"/>
      <c r="G1095" s="144"/>
      <c r="H1095" s="235"/>
      <c r="I1095" s="235"/>
      <c r="J1095" s="235"/>
      <c r="K1095" s="235"/>
      <c r="L1095" s="285"/>
    </row>
    <row r="1096" spans="1:12" ht="24.95" hidden="1" customHeight="1">
      <c r="A1096" s="136"/>
      <c r="B1096" s="176"/>
      <c r="C1096" s="177"/>
      <c r="D1096" s="136"/>
      <c r="E1096" s="231"/>
      <c r="F1096" s="144"/>
      <c r="G1096" s="144"/>
      <c r="H1096" s="235"/>
      <c r="I1096" s="235"/>
      <c r="J1096" s="235"/>
      <c r="K1096" s="235"/>
      <c r="L1096" s="285"/>
    </row>
    <row r="1097" spans="1:12" ht="24.95" hidden="1" customHeight="1">
      <c r="A1097" s="136"/>
      <c r="B1097" s="176"/>
      <c r="C1097" s="177"/>
      <c r="D1097" s="136"/>
      <c r="E1097" s="231"/>
      <c r="F1097" s="144"/>
      <c r="G1097" s="144"/>
      <c r="H1097" s="235"/>
      <c r="I1097" s="235"/>
      <c r="J1097" s="235"/>
      <c r="K1097" s="235"/>
      <c r="L1097" s="285"/>
    </row>
    <row r="1098" spans="1:12" ht="24.95" hidden="1" customHeight="1">
      <c r="A1098" s="136"/>
      <c r="B1098" s="176"/>
      <c r="C1098" s="177"/>
      <c r="D1098" s="136"/>
      <c r="E1098" s="231"/>
      <c r="F1098" s="144"/>
      <c r="G1098" s="144"/>
      <c r="H1098" s="235"/>
      <c r="I1098" s="235"/>
      <c r="J1098" s="235"/>
      <c r="K1098" s="235"/>
      <c r="L1098" s="285"/>
    </row>
    <row r="1099" spans="1:12" ht="24.95" hidden="1" customHeight="1">
      <c r="A1099" s="136"/>
      <c r="B1099" s="176"/>
      <c r="C1099" s="177"/>
      <c r="D1099" s="136"/>
      <c r="E1099" s="231"/>
      <c r="F1099" s="144"/>
      <c r="G1099" s="144"/>
      <c r="H1099" s="235"/>
      <c r="I1099" s="235"/>
      <c r="J1099" s="235"/>
      <c r="K1099" s="235"/>
      <c r="L1099" s="285"/>
    </row>
    <row r="1100" spans="1:12" ht="24.95" hidden="1" customHeight="1">
      <c r="A1100" s="136"/>
      <c r="B1100" s="176"/>
      <c r="C1100" s="177"/>
      <c r="D1100" s="136"/>
      <c r="E1100" s="231"/>
      <c r="F1100" s="144"/>
      <c r="G1100" s="144"/>
      <c r="H1100" s="235"/>
      <c r="I1100" s="235"/>
      <c r="J1100" s="235"/>
      <c r="K1100" s="235"/>
      <c r="L1100" s="285"/>
    </row>
    <row r="1101" spans="1:12" ht="24.95" hidden="1" customHeight="1">
      <c r="A1101" s="136"/>
      <c r="B1101" s="176"/>
      <c r="C1101" s="177"/>
      <c r="D1101" s="136"/>
      <c r="E1101" s="231"/>
      <c r="F1101" s="144"/>
      <c r="G1101" s="144"/>
      <c r="H1101" s="235"/>
      <c r="I1101" s="235"/>
      <c r="J1101" s="235"/>
      <c r="K1101" s="235"/>
      <c r="L1101" s="285"/>
    </row>
    <row r="1102" spans="1:12" ht="24.95" hidden="1" customHeight="1">
      <c r="A1102" s="136"/>
      <c r="B1102" s="176"/>
      <c r="C1102" s="177"/>
      <c r="D1102" s="136"/>
      <c r="E1102" s="231"/>
      <c r="F1102" s="144"/>
      <c r="G1102" s="144"/>
      <c r="H1102" s="235"/>
      <c r="I1102" s="235"/>
      <c r="J1102" s="235"/>
      <c r="K1102" s="235"/>
      <c r="L1102" s="285"/>
    </row>
    <row r="1103" spans="1:12" ht="24.95" hidden="1" customHeight="1">
      <c r="A1103" s="136"/>
      <c r="B1103" s="176"/>
      <c r="C1103" s="177"/>
      <c r="D1103" s="136"/>
      <c r="E1103" s="231"/>
      <c r="F1103" s="144"/>
      <c r="G1103" s="144"/>
      <c r="H1103" s="235"/>
      <c r="I1103" s="235"/>
      <c r="J1103" s="235"/>
      <c r="K1103" s="235"/>
      <c r="L1103" s="285"/>
    </row>
    <row r="1104" spans="1:12" ht="24.95" hidden="1" customHeight="1">
      <c r="A1104" s="136"/>
      <c r="B1104" s="176"/>
      <c r="C1104" s="177"/>
      <c r="D1104" s="136"/>
      <c r="E1104" s="231"/>
      <c r="F1104" s="144"/>
      <c r="G1104" s="144"/>
      <c r="H1104" s="235"/>
      <c r="I1104" s="235"/>
      <c r="J1104" s="235"/>
      <c r="K1104" s="235"/>
      <c r="L1104" s="285"/>
    </row>
    <row r="1105" spans="1:12" ht="24.95" hidden="1" customHeight="1">
      <c r="A1105" s="136"/>
      <c r="B1105" s="176"/>
      <c r="C1105" s="177"/>
      <c r="D1105" s="136"/>
      <c r="E1105" s="231"/>
      <c r="F1105" s="144"/>
      <c r="G1105" s="144"/>
      <c r="H1105" s="235"/>
      <c r="I1105" s="235"/>
      <c r="J1105" s="235"/>
      <c r="K1105" s="235"/>
      <c r="L1105" s="285"/>
    </row>
    <row r="1106" spans="1:12" ht="24.95" hidden="1" customHeight="1">
      <c r="A1106" s="136"/>
      <c r="B1106" s="176"/>
      <c r="C1106" s="177"/>
      <c r="D1106" s="136"/>
      <c r="E1106" s="231"/>
      <c r="F1106" s="144"/>
      <c r="G1106" s="144"/>
      <c r="H1106" s="235"/>
      <c r="I1106" s="235"/>
      <c r="J1106" s="235"/>
      <c r="K1106" s="235"/>
      <c r="L1106" s="285"/>
    </row>
    <row r="1107" spans="1:12" ht="24.95" hidden="1" customHeight="1">
      <c r="A1107" s="136"/>
      <c r="B1107" s="176"/>
      <c r="C1107" s="177"/>
      <c r="D1107" s="136"/>
      <c r="E1107" s="231"/>
      <c r="F1107" s="144"/>
      <c r="G1107" s="144"/>
      <c r="H1107" s="235"/>
      <c r="I1107" s="235"/>
      <c r="J1107" s="235"/>
      <c r="K1107" s="235"/>
      <c r="L1107" s="285"/>
    </row>
    <row r="1108" spans="1:12" ht="24.95" hidden="1" customHeight="1">
      <c r="A1108" s="136"/>
      <c r="B1108" s="176"/>
      <c r="C1108" s="177"/>
      <c r="D1108" s="136"/>
      <c r="E1108" s="231"/>
      <c r="F1108" s="144"/>
      <c r="G1108" s="144"/>
      <c r="H1108" s="235"/>
      <c r="I1108" s="235"/>
      <c r="J1108" s="235"/>
      <c r="K1108" s="235"/>
      <c r="L1108" s="285"/>
    </row>
    <row r="1109" spans="1:12" ht="24.95" hidden="1" customHeight="1">
      <c r="A1109" s="136"/>
      <c r="B1109" s="176"/>
      <c r="C1109" s="177"/>
      <c r="D1109" s="136"/>
      <c r="E1109" s="231"/>
      <c r="F1109" s="144"/>
      <c r="G1109" s="144"/>
      <c r="H1109" s="235"/>
      <c r="I1109" s="235"/>
      <c r="J1109" s="235"/>
      <c r="K1109" s="235"/>
      <c r="L1109" s="285"/>
    </row>
    <row r="1110" spans="1:12" ht="24.95" hidden="1" customHeight="1">
      <c r="A1110" s="136"/>
      <c r="B1110" s="176"/>
      <c r="C1110" s="177"/>
      <c r="D1110" s="136"/>
      <c r="E1110" s="231"/>
      <c r="F1110" s="144"/>
      <c r="G1110" s="144"/>
      <c r="H1110" s="235"/>
      <c r="I1110" s="235"/>
      <c r="J1110" s="235"/>
      <c r="K1110" s="235"/>
      <c r="L1110" s="285"/>
    </row>
    <row r="1111" spans="1:12" ht="24.95" hidden="1" customHeight="1">
      <c r="A1111" s="136"/>
      <c r="B1111" s="176"/>
      <c r="C1111" s="177"/>
      <c r="D1111" s="136"/>
      <c r="E1111" s="231"/>
      <c r="F1111" s="144"/>
      <c r="G1111" s="144"/>
      <c r="H1111" s="235"/>
      <c r="I1111" s="235"/>
      <c r="J1111" s="235"/>
      <c r="K1111" s="235"/>
      <c r="L1111" s="285"/>
    </row>
    <row r="1112" spans="1:12" ht="24.95" hidden="1" customHeight="1">
      <c r="A1112" s="136"/>
      <c r="B1112" s="176"/>
      <c r="C1112" s="177"/>
      <c r="D1112" s="136"/>
      <c r="E1112" s="231"/>
      <c r="F1112" s="144"/>
      <c r="G1112" s="144"/>
      <c r="H1112" s="235"/>
      <c r="I1112" s="235"/>
      <c r="J1112" s="235"/>
      <c r="K1112" s="235"/>
      <c r="L1112" s="285"/>
    </row>
    <row r="1113" spans="1:12" ht="24.95" hidden="1" customHeight="1">
      <c r="A1113" s="136"/>
      <c r="B1113" s="176"/>
      <c r="C1113" s="177"/>
      <c r="D1113" s="136"/>
      <c r="E1113" s="231"/>
      <c r="F1113" s="144"/>
      <c r="G1113" s="144"/>
      <c r="H1113" s="235"/>
      <c r="I1113" s="235"/>
      <c r="J1113" s="235"/>
      <c r="K1113" s="235"/>
      <c r="L1113" s="285"/>
    </row>
    <row r="1114" spans="1:12" ht="24.95" hidden="1" customHeight="1">
      <c r="A1114" s="136"/>
      <c r="B1114" s="176"/>
      <c r="C1114" s="177"/>
      <c r="D1114" s="136"/>
      <c r="E1114" s="231"/>
      <c r="F1114" s="144"/>
      <c r="G1114" s="144"/>
      <c r="H1114" s="235"/>
      <c r="I1114" s="235"/>
      <c r="J1114" s="235"/>
      <c r="K1114" s="235"/>
      <c r="L1114" s="285"/>
    </row>
    <row r="1115" spans="1:12" ht="24.95" hidden="1" customHeight="1">
      <c r="A1115" s="136"/>
      <c r="B1115" s="176"/>
      <c r="C1115" s="177"/>
      <c r="D1115" s="136"/>
      <c r="E1115" s="231"/>
      <c r="F1115" s="144"/>
      <c r="G1115" s="144"/>
      <c r="H1115" s="235"/>
      <c r="I1115" s="235"/>
      <c r="J1115" s="235"/>
      <c r="K1115" s="235"/>
      <c r="L1115" s="285"/>
    </row>
    <row r="1116" spans="1:12" ht="24.95" hidden="1" customHeight="1">
      <c r="A1116" s="136"/>
      <c r="B1116" s="176"/>
      <c r="C1116" s="177"/>
      <c r="D1116" s="136"/>
      <c r="E1116" s="231"/>
      <c r="F1116" s="144"/>
      <c r="G1116" s="144"/>
      <c r="H1116" s="235"/>
      <c r="I1116" s="235"/>
      <c r="J1116" s="235"/>
      <c r="K1116" s="235"/>
      <c r="L1116" s="285"/>
    </row>
    <row r="1117" spans="1:12" ht="24.95" hidden="1" customHeight="1">
      <c r="A1117" s="136"/>
      <c r="B1117" s="176"/>
      <c r="C1117" s="177"/>
      <c r="D1117" s="136"/>
      <c r="E1117" s="231"/>
      <c r="F1117" s="144"/>
      <c r="G1117" s="144"/>
      <c r="H1117" s="235"/>
      <c r="I1117" s="235"/>
      <c r="J1117" s="235"/>
      <c r="K1117" s="235"/>
      <c r="L1117" s="285"/>
    </row>
    <row r="1118" spans="1:12" ht="24.95" hidden="1" customHeight="1">
      <c r="A1118" s="136"/>
      <c r="B1118" s="176"/>
      <c r="C1118" s="177"/>
      <c r="D1118" s="136"/>
      <c r="E1118" s="231"/>
      <c r="F1118" s="144"/>
      <c r="G1118" s="144"/>
      <c r="H1118" s="235"/>
      <c r="I1118" s="235"/>
      <c r="J1118" s="235"/>
      <c r="K1118" s="235"/>
      <c r="L1118" s="285"/>
    </row>
    <row r="1119" spans="1:12" ht="24.95" hidden="1" customHeight="1">
      <c r="A1119" s="136"/>
      <c r="B1119" s="176"/>
      <c r="C1119" s="177"/>
      <c r="D1119" s="136"/>
      <c r="E1119" s="231"/>
      <c r="F1119" s="144"/>
      <c r="G1119" s="144"/>
      <c r="H1119" s="235"/>
      <c r="I1119" s="235"/>
      <c r="J1119" s="235"/>
      <c r="K1119" s="235"/>
      <c r="L1119" s="285"/>
    </row>
    <row r="1120" spans="1:12" ht="24.95" hidden="1" customHeight="1">
      <c r="A1120" s="136"/>
      <c r="B1120" s="176"/>
      <c r="C1120" s="177"/>
      <c r="D1120" s="136"/>
      <c r="E1120" s="231"/>
      <c r="F1120" s="144"/>
      <c r="G1120" s="144"/>
      <c r="H1120" s="235"/>
      <c r="I1120" s="235"/>
      <c r="J1120" s="235"/>
      <c r="K1120" s="235"/>
      <c r="L1120" s="285"/>
    </row>
    <row r="1121" spans="1:12" ht="24.95" hidden="1" customHeight="1">
      <c r="A1121" s="136"/>
      <c r="B1121" s="176"/>
      <c r="C1121" s="177"/>
      <c r="D1121" s="136"/>
      <c r="E1121" s="231"/>
      <c r="F1121" s="144"/>
      <c r="G1121" s="144"/>
      <c r="H1121" s="235"/>
      <c r="I1121" s="235"/>
      <c r="J1121" s="235"/>
      <c r="K1121" s="235"/>
      <c r="L1121" s="285"/>
    </row>
    <row r="1122" spans="1:12" ht="24.95" hidden="1" customHeight="1">
      <c r="A1122" s="136"/>
      <c r="B1122" s="176"/>
      <c r="C1122" s="177"/>
      <c r="D1122" s="136"/>
      <c r="E1122" s="231"/>
      <c r="F1122" s="144"/>
      <c r="G1122" s="144"/>
      <c r="H1122" s="235"/>
      <c r="I1122" s="235"/>
      <c r="J1122" s="235"/>
      <c r="K1122" s="235"/>
      <c r="L1122" s="285"/>
    </row>
    <row r="1123" spans="1:12" ht="24.95" hidden="1" customHeight="1">
      <c r="A1123" s="136"/>
      <c r="B1123" s="176"/>
      <c r="C1123" s="177"/>
      <c r="D1123" s="136"/>
      <c r="E1123" s="231"/>
      <c r="F1123" s="144"/>
      <c r="G1123" s="144"/>
      <c r="H1123" s="235"/>
      <c r="I1123" s="235"/>
      <c r="J1123" s="235"/>
      <c r="K1123" s="235"/>
      <c r="L1123" s="285"/>
    </row>
    <row r="1124" spans="1:12" ht="24.95" hidden="1" customHeight="1">
      <c r="A1124" s="136"/>
      <c r="B1124" s="176"/>
      <c r="C1124" s="177"/>
      <c r="D1124" s="136"/>
      <c r="E1124" s="231"/>
      <c r="F1124" s="144"/>
      <c r="G1124" s="144"/>
      <c r="H1124" s="235"/>
      <c r="I1124" s="235"/>
      <c r="J1124" s="235"/>
      <c r="K1124" s="235"/>
      <c r="L1124" s="285"/>
    </row>
    <row r="1125" spans="1:12" ht="24.95" hidden="1" customHeight="1">
      <c r="A1125" s="136"/>
      <c r="B1125" s="176"/>
      <c r="C1125" s="177"/>
      <c r="D1125" s="136"/>
      <c r="E1125" s="231"/>
      <c r="F1125" s="144"/>
      <c r="G1125" s="144"/>
      <c r="H1125" s="235"/>
      <c r="I1125" s="235"/>
      <c r="J1125" s="235"/>
      <c r="K1125" s="235"/>
      <c r="L1125" s="285"/>
    </row>
    <row r="1126" spans="1:12" ht="24.95" hidden="1" customHeight="1">
      <c r="A1126" s="136"/>
      <c r="B1126" s="176"/>
      <c r="C1126" s="177"/>
      <c r="D1126" s="136"/>
      <c r="E1126" s="231"/>
      <c r="F1126" s="144"/>
      <c r="G1126" s="144"/>
      <c r="H1126" s="235"/>
      <c r="I1126" s="235"/>
      <c r="J1126" s="235"/>
      <c r="K1126" s="235"/>
      <c r="L1126" s="285"/>
    </row>
    <row r="1127" spans="1:12" ht="24.95" hidden="1" customHeight="1">
      <c r="A1127" s="136"/>
      <c r="B1127" s="176"/>
      <c r="C1127" s="177"/>
      <c r="D1127" s="136"/>
      <c r="E1127" s="231"/>
      <c r="F1127" s="144"/>
      <c r="G1127" s="144"/>
      <c r="H1127" s="235"/>
      <c r="I1127" s="235"/>
      <c r="J1127" s="235"/>
      <c r="K1127" s="235"/>
      <c r="L1127" s="285"/>
    </row>
    <row r="1128" spans="1:12" ht="24.95" hidden="1" customHeight="1">
      <c r="A1128" s="136"/>
      <c r="B1128" s="176"/>
      <c r="C1128" s="177"/>
      <c r="D1128" s="136"/>
      <c r="E1128" s="231"/>
      <c r="F1128" s="144"/>
      <c r="G1128" s="144"/>
      <c r="H1128" s="235"/>
      <c r="I1128" s="235"/>
      <c r="J1128" s="235"/>
      <c r="K1128" s="235"/>
      <c r="L1128" s="285"/>
    </row>
    <row r="1129" spans="1:12" ht="24.95" hidden="1" customHeight="1">
      <c r="A1129" s="136"/>
      <c r="B1129" s="176"/>
      <c r="C1129" s="177"/>
      <c r="D1129" s="136"/>
      <c r="E1129" s="231"/>
      <c r="F1129" s="144"/>
      <c r="G1129" s="144"/>
      <c r="H1129" s="235"/>
      <c r="I1129" s="235"/>
      <c r="J1129" s="235"/>
      <c r="K1129" s="235"/>
      <c r="L1129" s="285"/>
    </row>
    <row r="1130" spans="1:12" ht="24.95" hidden="1" customHeight="1">
      <c r="A1130" s="136"/>
      <c r="B1130" s="176"/>
      <c r="C1130" s="177"/>
      <c r="D1130" s="136"/>
      <c r="E1130" s="231"/>
      <c r="F1130" s="144"/>
      <c r="G1130" s="144"/>
      <c r="H1130" s="235"/>
      <c r="I1130" s="235"/>
      <c r="J1130" s="235"/>
      <c r="K1130" s="235"/>
      <c r="L1130" s="285"/>
    </row>
    <row r="1131" spans="1:12" ht="24.95" hidden="1" customHeight="1">
      <c r="A1131" s="136"/>
      <c r="B1131" s="176"/>
      <c r="C1131" s="177"/>
      <c r="D1131" s="136"/>
      <c r="E1131" s="231"/>
      <c r="F1131" s="144"/>
      <c r="G1131" s="144"/>
      <c r="H1131" s="235"/>
      <c r="I1131" s="235"/>
      <c r="J1131" s="235"/>
      <c r="K1131" s="235"/>
      <c r="L1131" s="285"/>
    </row>
    <row r="1132" spans="1:12" ht="24.95" hidden="1" customHeight="1">
      <c r="A1132" s="136"/>
      <c r="B1132" s="176"/>
      <c r="C1132" s="177"/>
      <c r="D1132" s="136"/>
      <c r="E1132" s="231"/>
      <c r="F1132" s="144"/>
      <c r="G1132" s="144"/>
      <c r="H1132" s="235"/>
      <c r="I1132" s="235"/>
      <c r="J1132" s="235"/>
      <c r="K1132" s="235"/>
      <c r="L1132" s="285"/>
    </row>
    <row r="1133" spans="1:12" ht="24.95" hidden="1" customHeight="1">
      <c r="A1133" s="136"/>
      <c r="B1133" s="176"/>
      <c r="C1133" s="177"/>
      <c r="D1133" s="136"/>
      <c r="E1133" s="231"/>
      <c r="F1133" s="144"/>
      <c r="G1133" s="144"/>
      <c r="H1133" s="235"/>
      <c r="I1133" s="235"/>
      <c r="J1133" s="235"/>
      <c r="K1133" s="235"/>
      <c r="L1133" s="285"/>
    </row>
    <row r="1134" spans="1:12" ht="24.95" hidden="1" customHeight="1">
      <c r="A1134" s="136"/>
      <c r="B1134" s="176"/>
      <c r="C1134" s="177"/>
      <c r="D1134" s="136"/>
      <c r="E1134" s="231"/>
      <c r="F1134" s="144"/>
      <c r="G1134" s="144"/>
      <c r="H1134" s="235"/>
      <c r="I1134" s="235"/>
      <c r="J1134" s="235"/>
      <c r="K1134" s="235"/>
      <c r="L1134" s="285"/>
    </row>
    <row r="1135" spans="1:12" ht="24.95" hidden="1" customHeight="1">
      <c r="A1135" s="136"/>
      <c r="B1135" s="176"/>
      <c r="C1135" s="177"/>
      <c r="D1135" s="136"/>
      <c r="E1135" s="231"/>
      <c r="F1135" s="144"/>
      <c r="G1135" s="144"/>
      <c r="H1135" s="235"/>
      <c r="I1135" s="235"/>
      <c r="J1135" s="235"/>
      <c r="K1135" s="235"/>
      <c r="L1135" s="285"/>
    </row>
    <row r="1136" spans="1:12" ht="24.95" hidden="1" customHeight="1">
      <c r="A1136" s="136"/>
      <c r="B1136" s="176"/>
      <c r="C1136" s="177"/>
      <c r="D1136" s="136"/>
      <c r="E1136" s="231"/>
      <c r="F1136" s="144"/>
      <c r="G1136" s="144"/>
      <c r="H1136" s="235"/>
      <c r="I1136" s="235"/>
      <c r="J1136" s="235"/>
      <c r="K1136" s="235"/>
      <c r="L1136" s="285"/>
    </row>
    <row r="1137" spans="1:12" ht="24.95" hidden="1" customHeight="1">
      <c r="A1137" s="136"/>
      <c r="B1137" s="176"/>
      <c r="C1137" s="177"/>
      <c r="D1137" s="136"/>
      <c r="E1137" s="231"/>
      <c r="F1137" s="144"/>
      <c r="G1137" s="144"/>
      <c r="H1137" s="235"/>
      <c r="I1137" s="235"/>
      <c r="J1137" s="235"/>
      <c r="K1137" s="235"/>
      <c r="L1137" s="285"/>
    </row>
    <row r="1138" spans="1:12" ht="24.95" hidden="1" customHeight="1">
      <c r="A1138" s="136"/>
      <c r="B1138" s="176"/>
      <c r="C1138" s="177"/>
      <c r="D1138" s="136"/>
      <c r="E1138" s="231"/>
      <c r="F1138" s="144"/>
      <c r="G1138" s="144"/>
      <c r="H1138" s="235"/>
      <c r="I1138" s="235"/>
      <c r="J1138" s="235"/>
      <c r="K1138" s="235"/>
      <c r="L1138" s="285"/>
    </row>
    <row r="1139" spans="1:12" ht="24.95" hidden="1" customHeight="1">
      <c r="A1139" s="136"/>
      <c r="B1139" s="176"/>
      <c r="C1139" s="177"/>
      <c r="D1139" s="136"/>
      <c r="E1139" s="231"/>
      <c r="F1139" s="144"/>
      <c r="G1139" s="144"/>
      <c r="H1139" s="235"/>
      <c r="I1139" s="235"/>
      <c r="J1139" s="235"/>
      <c r="K1139" s="235"/>
      <c r="L1139" s="285"/>
    </row>
    <row r="1140" spans="1:12" ht="24.95" hidden="1" customHeight="1">
      <c r="A1140" s="136"/>
      <c r="B1140" s="176"/>
      <c r="C1140" s="177"/>
      <c r="D1140" s="136"/>
      <c r="E1140" s="231"/>
      <c r="F1140" s="144"/>
      <c r="G1140" s="144"/>
      <c r="H1140" s="235"/>
      <c r="I1140" s="235"/>
      <c r="J1140" s="235"/>
      <c r="K1140" s="235"/>
      <c r="L1140" s="285"/>
    </row>
    <row r="1141" spans="1:12" ht="24.95" hidden="1" customHeight="1">
      <c r="A1141" s="136"/>
      <c r="B1141" s="176"/>
      <c r="C1141" s="177"/>
      <c r="D1141" s="136"/>
      <c r="E1141" s="231"/>
      <c r="F1141" s="144"/>
      <c r="G1141" s="144"/>
      <c r="H1141" s="235"/>
      <c r="I1141" s="235"/>
      <c r="J1141" s="235"/>
      <c r="K1141" s="235"/>
      <c r="L1141" s="285"/>
    </row>
    <row r="1142" spans="1:12" ht="24.95" hidden="1" customHeight="1">
      <c r="A1142" s="136"/>
      <c r="B1142" s="176"/>
      <c r="C1142" s="177"/>
      <c r="D1142" s="136"/>
      <c r="E1142" s="231"/>
      <c r="F1142" s="144"/>
      <c r="G1142" s="144"/>
      <c r="H1142" s="235"/>
      <c r="I1142" s="235"/>
      <c r="J1142" s="235"/>
      <c r="K1142" s="235"/>
      <c r="L1142" s="285"/>
    </row>
    <row r="1143" spans="1:12" ht="24.95" hidden="1" customHeight="1">
      <c r="A1143" s="136"/>
      <c r="B1143" s="176"/>
      <c r="C1143" s="177"/>
      <c r="D1143" s="136"/>
      <c r="E1143" s="231"/>
      <c r="F1143" s="144"/>
      <c r="G1143" s="144"/>
      <c r="H1143" s="235"/>
      <c r="I1143" s="235"/>
      <c r="J1143" s="235"/>
      <c r="K1143" s="235"/>
      <c r="L1143" s="285"/>
    </row>
    <row r="1144" spans="1:12" ht="24.95" hidden="1" customHeight="1">
      <c r="A1144" s="136"/>
      <c r="B1144" s="176"/>
      <c r="C1144" s="177"/>
      <c r="D1144" s="136"/>
      <c r="E1144" s="231"/>
      <c r="F1144" s="144"/>
      <c r="G1144" s="144"/>
      <c r="H1144" s="235"/>
      <c r="I1144" s="235"/>
      <c r="J1144" s="235"/>
      <c r="K1144" s="235"/>
      <c r="L1144" s="285"/>
    </row>
    <row r="1145" spans="1:12" ht="24.95" hidden="1" customHeight="1">
      <c r="A1145" s="136"/>
      <c r="B1145" s="176"/>
      <c r="C1145" s="177"/>
      <c r="D1145" s="136"/>
      <c r="E1145" s="231"/>
      <c r="F1145" s="144"/>
      <c r="G1145" s="144"/>
      <c r="H1145" s="235"/>
      <c r="I1145" s="235"/>
      <c r="J1145" s="235"/>
      <c r="K1145" s="235"/>
      <c r="L1145" s="285"/>
    </row>
    <row r="1146" spans="1:12" ht="24.95" hidden="1" customHeight="1">
      <c r="A1146" s="136"/>
      <c r="B1146" s="176"/>
      <c r="C1146" s="177"/>
      <c r="D1146" s="136"/>
      <c r="E1146" s="231"/>
      <c r="F1146" s="144"/>
      <c r="G1146" s="144"/>
      <c r="H1146" s="235"/>
      <c r="I1146" s="235"/>
      <c r="J1146" s="235"/>
      <c r="K1146" s="235"/>
      <c r="L1146" s="285"/>
    </row>
    <row r="1147" spans="1:12" ht="24.95" hidden="1" customHeight="1">
      <c r="A1147" s="136"/>
      <c r="B1147" s="176"/>
      <c r="C1147" s="177"/>
      <c r="D1147" s="136"/>
      <c r="E1147" s="231"/>
      <c r="F1147" s="144"/>
      <c r="G1147" s="144"/>
      <c r="H1147" s="235"/>
      <c r="I1147" s="235"/>
      <c r="J1147" s="235"/>
      <c r="K1147" s="235"/>
      <c r="L1147" s="285"/>
    </row>
    <row r="1148" spans="1:12" ht="24.95" hidden="1" customHeight="1">
      <c r="A1148" s="136"/>
      <c r="B1148" s="176"/>
      <c r="C1148" s="177"/>
      <c r="D1148" s="136"/>
      <c r="E1148" s="231"/>
      <c r="F1148" s="144"/>
      <c r="G1148" s="144"/>
      <c r="H1148" s="235"/>
      <c r="I1148" s="235"/>
      <c r="J1148" s="235"/>
      <c r="K1148" s="235"/>
      <c r="L1148" s="285"/>
    </row>
    <row r="1149" spans="1:12" ht="24.95" hidden="1" customHeight="1">
      <c r="A1149" s="136"/>
      <c r="B1149" s="176"/>
      <c r="C1149" s="177"/>
      <c r="D1149" s="136"/>
      <c r="E1149" s="231"/>
      <c r="F1149" s="144"/>
      <c r="G1149" s="144"/>
      <c r="H1149" s="235"/>
      <c r="I1149" s="235"/>
      <c r="J1149" s="235"/>
      <c r="K1149" s="235"/>
      <c r="L1149" s="285"/>
    </row>
    <row r="1150" spans="1:12" ht="24.95" hidden="1" customHeight="1">
      <c r="A1150" s="136"/>
      <c r="B1150" s="176"/>
      <c r="C1150" s="177"/>
      <c r="D1150" s="136"/>
      <c r="E1150" s="231"/>
      <c r="F1150" s="144"/>
      <c r="G1150" s="144"/>
      <c r="H1150" s="235"/>
      <c r="I1150" s="235"/>
      <c r="J1150" s="235"/>
      <c r="K1150" s="235"/>
      <c r="L1150" s="285"/>
    </row>
    <row r="1151" spans="1:12" ht="24.95" hidden="1" customHeight="1">
      <c r="A1151" s="136"/>
      <c r="B1151" s="176"/>
      <c r="C1151" s="177"/>
      <c r="D1151" s="136"/>
      <c r="E1151" s="231"/>
      <c r="F1151" s="144"/>
      <c r="G1151" s="144"/>
      <c r="H1151" s="235"/>
      <c r="I1151" s="235"/>
      <c r="J1151" s="235"/>
      <c r="K1151" s="235"/>
      <c r="L1151" s="285"/>
    </row>
    <row r="1152" spans="1:12" ht="24.95" hidden="1" customHeight="1">
      <c r="A1152" s="136"/>
      <c r="B1152" s="176"/>
      <c r="C1152" s="177"/>
      <c r="D1152" s="136"/>
      <c r="E1152" s="231"/>
      <c r="F1152" s="144"/>
      <c r="G1152" s="144"/>
      <c r="H1152" s="235"/>
      <c r="I1152" s="235"/>
      <c r="J1152" s="235"/>
      <c r="K1152" s="235"/>
      <c r="L1152" s="285"/>
    </row>
    <row r="1153" spans="1:12" ht="24.95" hidden="1" customHeight="1">
      <c r="A1153" s="136"/>
      <c r="B1153" s="176"/>
      <c r="C1153" s="177"/>
      <c r="D1153" s="136"/>
      <c r="E1153" s="231"/>
      <c r="F1153" s="144"/>
      <c r="G1153" s="144"/>
      <c r="H1153" s="235"/>
      <c r="I1153" s="235"/>
      <c r="J1153" s="235"/>
      <c r="K1153" s="235"/>
      <c r="L1153" s="285"/>
    </row>
    <row r="1154" spans="1:12" ht="24.95" hidden="1" customHeight="1">
      <c r="A1154" s="136"/>
      <c r="B1154" s="176"/>
      <c r="C1154" s="177"/>
      <c r="D1154" s="136"/>
      <c r="E1154" s="231"/>
      <c r="F1154" s="144"/>
      <c r="G1154" s="144"/>
      <c r="H1154" s="235"/>
      <c r="I1154" s="235"/>
      <c r="J1154" s="235"/>
      <c r="K1154" s="235"/>
      <c r="L1154" s="285"/>
    </row>
    <row r="1155" spans="1:12" ht="24.95" hidden="1" customHeight="1">
      <c r="A1155" s="136"/>
      <c r="B1155" s="176"/>
      <c r="C1155" s="177"/>
      <c r="D1155" s="136"/>
      <c r="E1155" s="231"/>
      <c r="F1155" s="144"/>
      <c r="G1155" s="144"/>
      <c r="H1155" s="235"/>
      <c r="I1155" s="235"/>
      <c r="J1155" s="235"/>
      <c r="K1155" s="235"/>
      <c r="L1155" s="285"/>
    </row>
    <row r="1156" spans="1:12" ht="24.95" hidden="1" customHeight="1">
      <c r="A1156" s="136"/>
      <c r="B1156" s="176"/>
      <c r="C1156" s="177"/>
      <c r="D1156" s="136"/>
      <c r="E1156" s="231"/>
      <c r="F1156" s="144"/>
      <c r="G1156" s="144"/>
      <c r="H1156" s="235"/>
      <c r="I1156" s="235"/>
      <c r="J1156" s="235"/>
      <c r="K1156" s="235"/>
      <c r="L1156" s="285"/>
    </row>
    <row r="1157" spans="1:12" ht="24.95" hidden="1" customHeight="1">
      <c r="A1157" s="136"/>
      <c r="B1157" s="176"/>
      <c r="C1157" s="177"/>
      <c r="D1157" s="136"/>
      <c r="E1157" s="231"/>
      <c r="F1157" s="144"/>
      <c r="G1157" s="144"/>
      <c r="H1157" s="235"/>
      <c r="I1157" s="235"/>
      <c r="J1157" s="235"/>
      <c r="K1157" s="235"/>
      <c r="L1157" s="285"/>
    </row>
    <row r="1158" spans="1:12" ht="24.95" hidden="1" customHeight="1">
      <c r="A1158" s="136"/>
      <c r="B1158" s="176"/>
      <c r="C1158" s="177"/>
      <c r="D1158" s="136"/>
      <c r="E1158" s="231"/>
      <c r="F1158" s="144"/>
      <c r="G1158" s="144"/>
      <c r="H1158" s="235"/>
      <c r="I1158" s="235"/>
      <c r="J1158" s="235"/>
      <c r="K1158" s="235"/>
      <c r="L1158" s="285"/>
    </row>
    <row r="1159" spans="1:12" ht="24.95" hidden="1" customHeight="1">
      <c r="A1159" s="136"/>
      <c r="B1159" s="176"/>
      <c r="C1159" s="177"/>
      <c r="D1159" s="136"/>
      <c r="E1159" s="231"/>
      <c r="F1159" s="144"/>
      <c r="G1159" s="144"/>
      <c r="H1159" s="235"/>
      <c r="I1159" s="235"/>
      <c r="J1159" s="235"/>
      <c r="K1159" s="235"/>
      <c r="L1159" s="285"/>
    </row>
    <row r="1160" spans="1:12" ht="24.95" hidden="1" customHeight="1">
      <c r="A1160" s="136"/>
      <c r="B1160" s="176"/>
      <c r="C1160" s="177"/>
      <c r="D1160" s="136"/>
      <c r="E1160" s="231"/>
      <c r="F1160" s="144"/>
      <c r="G1160" s="144"/>
      <c r="H1160" s="235"/>
      <c r="I1160" s="235"/>
      <c r="J1160" s="235"/>
      <c r="K1160" s="235"/>
      <c r="L1160" s="285"/>
    </row>
    <row r="1161" spans="1:12" ht="24.95" hidden="1" customHeight="1">
      <c r="A1161" s="136"/>
      <c r="B1161" s="176"/>
      <c r="C1161" s="177"/>
      <c r="D1161" s="136"/>
      <c r="E1161" s="231"/>
      <c r="F1161" s="144"/>
      <c r="G1161" s="144"/>
      <c r="H1161" s="235"/>
      <c r="I1161" s="235"/>
      <c r="J1161" s="235"/>
      <c r="K1161" s="235"/>
      <c r="L1161" s="285"/>
    </row>
    <row r="1162" spans="1:12" ht="24.95" hidden="1" customHeight="1">
      <c r="A1162" s="136"/>
      <c r="B1162" s="176"/>
      <c r="C1162" s="177"/>
      <c r="D1162" s="136"/>
      <c r="E1162" s="231"/>
      <c r="F1162" s="144"/>
      <c r="G1162" s="144"/>
      <c r="H1162" s="235"/>
      <c r="I1162" s="235"/>
      <c r="J1162" s="235"/>
      <c r="K1162" s="235"/>
      <c r="L1162" s="285"/>
    </row>
    <row r="1163" spans="1:12" ht="24.95" hidden="1" customHeight="1">
      <c r="A1163" s="136"/>
      <c r="B1163" s="176"/>
      <c r="C1163" s="177"/>
      <c r="D1163" s="136"/>
      <c r="E1163" s="231"/>
      <c r="F1163" s="144"/>
      <c r="G1163" s="144"/>
      <c r="H1163" s="235"/>
      <c r="I1163" s="235"/>
      <c r="J1163" s="235"/>
      <c r="K1163" s="235"/>
      <c r="L1163" s="285"/>
    </row>
    <row r="1164" spans="1:12" ht="24.95" hidden="1" customHeight="1">
      <c r="A1164" s="136"/>
      <c r="B1164" s="176"/>
      <c r="C1164" s="177"/>
      <c r="D1164" s="136"/>
      <c r="E1164" s="231"/>
      <c r="F1164" s="144"/>
      <c r="G1164" s="144"/>
      <c r="H1164" s="235"/>
      <c r="I1164" s="235"/>
      <c r="J1164" s="235"/>
      <c r="K1164" s="235"/>
      <c r="L1164" s="285"/>
    </row>
    <row r="1165" spans="1:12" ht="24.95" hidden="1" customHeight="1">
      <c r="A1165" s="136"/>
      <c r="B1165" s="176"/>
      <c r="C1165" s="177"/>
      <c r="D1165" s="136"/>
      <c r="E1165" s="231"/>
      <c r="F1165" s="144"/>
      <c r="G1165" s="144"/>
      <c r="H1165" s="235"/>
      <c r="I1165" s="235"/>
      <c r="J1165" s="235"/>
      <c r="K1165" s="235"/>
      <c r="L1165" s="285"/>
    </row>
    <row r="1166" spans="1:12" ht="24.95" hidden="1" customHeight="1">
      <c r="A1166" s="136"/>
      <c r="B1166" s="176"/>
      <c r="C1166" s="177"/>
      <c r="D1166" s="136"/>
      <c r="E1166" s="231"/>
      <c r="F1166" s="144"/>
      <c r="G1166" s="144"/>
      <c r="H1166" s="235"/>
      <c r="I1166" s="235"/>
      <c r="J1166" s="235"/>
      <c r="K1166" s="235"/>
      <c r="L1166" s="285"/>
    </row>
    <row r="1167" spans="1:12" ht="24.95" hidden="1" customHeight="1">
      <c r="A1167" s="136"/>
      <c r="B1167" s="176"/>
      <c r="C1167" s="177"/>
      <c r="D1167" s="136"/>
      <c r="E1167" s="231"/>
      <c r="F1167" s="144"/>
      <c r="G1167" s="144"/>
      <c r="H1167" s="235"/>
      <c r="I1167" s="235"/>
      <c r="J1167" s="235"/>
      <c r="K1167" s="235"/>
      <c r="L1167" s="285"/>
    </row>
    <row r="1168" spans="1:12" ht="24.95" hidden="1" customHeight="1">
      <c r="A1168" s="136"/>
      <c r="B1168" s="176"/>
      <c r="C1168" s="177"/>
      <c r="D1168" s="136"/>
      <c r="E1168" s="231"/>
      <c r="F1168" s="144"/>
      <c r="G1168" s="144"/>
      <c r="H1168" s="235"/>
      <c r="I1168" s="235"/>
      <c r="J1168" s="235"/>
      <c r="K1168" s="235"/>
      <c r="L1168" s="285"/>
    </row>
    <row r="1169" spans="1:12" ht="24.95" hidden="1" customHeight="1">
      <c r="A1169" s="136"/>
      <c r="B1169" s="176"/>
      <c r="C1169" s="177"/>
      <c r="D1169" s="136"/>
      <c r="E1169" s="231"/>
      <c r="F1169" s="144"/>
      <c r="G1169" s="144"/>
      <c r="H1169" s="235"/>
      <c r="I1169" s="235"/>
      <c r="J1169" s="235"/>
      <c r="K1169" s="235"/>
      <c r="L1169" s="285"/>
    </row>
    <row r="1170" spans="1:12" ht="24.95" hidden="1" customHeight="1">
      <c r="A1170" s="136"/>
      <c r="B1170" s="176"/>
      <c r="C1170" s="177"/>
      <c r="D1170" s="136"/>
      <c r="E1170" s="231"/>
      <c r="F1170" s="144"/>
      <c r="G1170" s="144"/>
      <c r="H1170" s="235"/>
      <c r="I1170" s="235"/>
      <c r="J1170" s="235"/>
      <c r="K1170" s="235"/>
      <c r="L1170" s="285"/>
    </row>
    <row r="1171" spans="1:12" ht="24.95" hidden="1" customHeight="1">
      <c r="A1171" s="136"/>
      <c r="B1171" s="176"/>
      <c r="C1171" s="177"/>
      <c r="D1171" s="136"/>
      <c r="E1171" s="231"/>
      <c r="F1171" s="144"/>
      <c r="G1171" s="144"/>
      <c r="H1171" s="235"/>
      <c r="I1171" s="235"/>
      <c r="J1171" s="235"/>
      <c r="K1171" s="235"/>
      <c r="L1171" s="285"/>
    </row>
    <row r="1172" spans="1:12" ht="24.95" hidden="1" customHeight="1">
      <c r="A1172" s="136"/>
      <c r="B1172" s="176"/>
      <c r="C1172" s="177"/>
      <c r="D1172" s="136"/>
      <c r="E1172" s="231"/>
      <c r="F1172" s="144"/>
      <c r="G1172" s="144"/>
      <c r="H1172" s="235"/>
      <c r="I1172" s="235"/>
      <c r="J1172" s="235"/>
      <c r="K1172" s="235"/>
      <c r="L1172" s="285"/>
    </row>
    <row r="1173" spans="1:12" ht="24.95" hidden="1" customHeight="1">
      <c r="A1173" s="136"/>
      <c r="B1173" s="176"/>
      <c r="C1173" s="177"/>
      <c r="D1173" s="136"/>
      <c r="E1173" s="231"/>
      <c r="F1173" s="144"/>
      <c r="G1173" s="144"/>
      <c r="H1173" s="235"/>
      <c r="I1173" s="235"/>
      <c r="J1173" s="235"/>
      <c r="K1173" s="235"/>
      <c r="L1173" s="285"/>
    </row>
    <row r="1174" spans="1:12" ht="24.95" hidden="1" customHeight="1">
      <c r="A1174" s="136"/>
      <c r="B1174" s="176"/>
      <c r="C1174" s="177"/>
      <c r="D1174" s="136"/>
      <c r="E1174" s="231"/>
      <c r="F1174" s="144"/>
      <c r="G1174" s="144"/>
      <c r="H1174" s="235"/>
      <c r="I1174" s="235"/>
      <c r="J1174" s="235"/>
      <c r="K1174" s="235"/>
      <c r="L1174" s="285"/>
    </row>
    <row r="1175" spans="1:12" ht="24.95" hidden="1" customHeight="1">
      <c r="A1175" s="136"/>
      <c r="B1175" s="176"/>
      <c r="C1175" s="177"/>
      <c r="D1175" s="136"/>
      <c r="E1175" s="231"/>
      <c r="F1175" s="144"/>
      <c r="G1175" s="144"/>
      <c r="H1175" s="235"/>
      <c r="I1175" s="235"/>
      <c r="J1175" s="235"/>
      <c r="K1175" s="235"/>
      <c r="L1175" s="285"/>
    </row>
    <row r="1176" spans="1:12" ht="24.95" hidden="1" customHeight="1">
      <c r="A1176" s="136"/>
      <c r="B1176" s="176"/>
      <c r="C1176" s="177"/>
      <c r="D1176" s="136"/>
      <c r="E1176" s="231"/>
      <c r="F1176" s="144"/>
      <c r="G1176" s="144"/>
      <c r="H1176" s="235"/>
      <c r="I1176" s="235"/>
      <c r="J1176" s="235"/>
      <c r="K1176" s="235"/>
      <c r="L1176" s="285"/>
    </row>
    <row r="1177" spans="1:12" ht="24.95" hidden="1" customHeight="1">
      <c r="A1177" s="136"/>
      <c r="B1177" s="176"/>
      <c r="C1177" s="177"/>
      <c r="D1177" s="136"/>
      <c r="E1177" s="231"/>
      <c r="F1177" s="144"/>
      <c r="G1177" s="144"/>
      <c r="H1177" s="235"/>
      <c r="I1177" s="235"/>
      <c r="J1177" s="235"/>
      <c r="K1177" s="235"/>
      <c r="L1177" s="285"/>
    </row>
    <row r="1178" spans="1:12" ht="24.95" hidden="1" customHeight="1">
      <c r="A1178" s="136"/>
      <c r="B1178" s="176"/>
      <c r="C1178" s="177"/>
      <c r="D1178" s="136"/>
      <c r="E1178" s="231"/>
      <c r="F1178" s="144"/>
      <c r="G1178" s="144"/>
      <c r="H1178" s="235"/>
      <c r="I1178" s="235"/>
      <c r="J1178" s="235"/>
      <c r="K1178" s="235"/>
      <c r="L1178" s="285"/>
    </row>
    <row r="1179" spans="1:12" ht="24.95" hidden="1" customHeight="1">
      <c r="A1179" s="136"/>
      <c r="B1179" s="176"/>
      <c r="C1179" s="177"/>
      <c r="D1179" s="136"/>
      <c r="E1179" s="231"/>
      <c r="F1179" s="144"/>
      <c r="G1179" s="144"/>
      <c r="H1179" s="235"/>
      <c r="I1179" s="235"/>
      <c r="J1179" s="235"/>
      <c r="K1179" s="235"/>
      <c r="L1179" s="285"/>
    </row>
    <row r="1180" spans="1:12" ht="24.95" hidden="1" customHeight="1">
      <c r="A1180" s="136"/>
      <c r="B1180" s="176"/>
      <c r="C1180" s="177"/>
      <c r="D1180" s="136"/>
      <c r="E1180" s="231"/>
      <c r="F1180" s="144"/>
      <c r="G1180" s="144"/>
      <c r="H1180" s="235"/>
      <c r="I1180" s="235"/>
      <c r="J1180" s="235"/>
      <c r="K1180" s="235"/>
      <c r="L1180" s="285"/>
    </row>
    <row r="1181" spans="1:12" ht="24.95" hidden="1" customHeight="1">
      <c r="A1181" s="136"/>
      <c r="B1181" s="176"/>
      <c r="C1181" s="177"/>
      <c r="D1181" s="136"/>
      <c r="E1181" s="231"/>
      <c r="F1181" s="144"/>
      <c r="G1181" s="144"/>
      <c r="H1181" s="235"/>
      <c r="I1181" s="235"/>
      <c r="J1181" s="235"/>
      <c r="K1181" s="235"/>
      <c r="L1181" s="285"/>
    </row>
    <row r="1182" spans="1:12" ht="24.95" hidden="1" customHeight="1">
      <c r="A1182" s="136"/>
      <c r="B1182" s="176"/>
      <c r="C1182" s="177"/>
      <c r="D1182" s="136"/>
      <c r="E1182" s="231"/>
      <c r="F1182" s="144"/>
      <c r="G1182" s="144"/>
      <c r="H1182" s="235"/>
      <c r="I1182" s="235"/>
      <c r="J1182" s="235"/>
      <c r="K1182" s="235"/>
      <c r="L1182" s="285"/>
    </row>
    <row r="1183" spans="1:12" ht="24.95" hidden="1" customHeight="1">
      <c r="A1183" s="136"/>
      <c r="B1183" s="176"/>
      <c r="C1183" s="177"/>
      <c r="D1183" s="136"/>
      <c r="E1183" s="231"/>
      <c r="F1183" s="144"/>
      <c r="G1183" s="144"/>
      <c r="H1183" s="235"/>
      <c r="I1183" s="235"/>
      <c r="J1183" s="235"/>
      <c r="K1183" s="235"/>
      <c r="L1183" s="285"/>
    </row>
    <row r="1184" spans="1:12" ht="24.95" hidden="1" customHeight="1">
      <c r="A1184" s="136"/>
      <c r="B1184" s="176"/>
      <c r="C1184" s="177"/>
      <c r="D1184" s="136"/>
      <c r="E1184" s="231"/>
      <c r="F1184" s="144"/>
      <c r="G1184" s="144"/>
      <c r="H1184" s="235"/>
      <c r="I1184" s="235"/>
      <c r="J1184" s="235"/>
      <c r="K1184" s="235"/>
      <c r="L1184" s="285"/>
    </row>
    <row r="1185" spans="1:12" ht="24.95" hidden="1" customHeight="1">
      <c r="A1185" s="136"/>
      <c r="B1185" s="176"/>
      <c r="C1185" s="177"/>
      <c r="D1185" s="136"/>
      <c r="E1185" s="231"/>
      <c r="F1185" s="144"/>
      <c r="G1185" s="144"/>
      <c r="H1185" s="235"/>
      <c r="I1185" s="235"/>
      <c r="J1185" s="235"/>
      <c r="K1185" s="235"/>
      <c r="L1185" s="285"/>
    </row>
    <row r="1186" spans="1:12" ht="24.95" hidden="1" customHeight="1">
      <c r="A1186" s="136"/>
      <c r="B1186" s="176"/>
      <c r="C1186" s="177"/>
      <c r="D1186" s="136"/>
      <c r="E1186" s="231"/>
      <c r="F1186" s="144"/>
      <c r="G1186" s="144"/>
      <c r="H1186" s="235"/>
      <c r="I1186" s="235"/>
      <c r="J1186" s="235"/>
      <c r="K1186" s="235"/>
      <c r="L1186" s="285"/>
    </row>
    <row r="1187" spans="1:12" ht="24.95" hidden="1" customHeight="1">
      <c r="A1187" s="136"/>
      <c r="B1187" s="176"/>
      <c r="C1187" s="177"/>
      <c r="D1187" s="136"/>
      <c r="E1187" s="231"/>
      <c r="F1187" s="144"/>
      <c r="G1187" s="144"/>
      <c r="H1187" s="235"/>
      <c r="I1187" s="235"/>
      <c r="J1187" s="235"/>
      <c r="K1187" s="235"/>
      <c r="L1187" s="285"/>
    </row>
    <row r="1188" spans="1:12" ht="24.95" hidden="1" customHeight="1">
      <c r="A1188" s="136"/>
      <c r="B1188" s="176"/>
      <c r="C1188" s="177"/>
      <c r="D1188" s="136"/>
      <c r="E1188" s="231"/>
      <c r="F1188" s="144"/>
      <c r="G1188" s="144"/>
      <c r="H1188" s="235"/>
      <c r="I1188" s="235"/>
      <c r="J1188" s="235"/>
      <c r="K1188" s="235"/>
      <c r="L1188" s="285"/>
    </row>
    <row r="1189" spans="1:12" ht="24.95" hidden="1" customHeight="1">
      <c r="A1189" s="136"/>
      <c r="B1189" s="176"/>
      <c r="C1189" s="177"/>
      <c r="D1189" s="136"/>
      <c r="E1189" s="231"/>
      <c r="F1189" s="144"/>
      <c r="G1189" s="144"/>
      <c r="H1189" s="235"/>
      <c r="I1189" s="235"/>
      <c r="J1189" s="235"/>
      <c r="K1189" s="235"/>
      <c r="L1189" s="285"/>
    </row>
    <row r="1190" spans="1:12" ht="24.95" hidden="1" customHeight="1">
      <c r="A1190" s="136"/>
      <c r="B1190" s="176"/>
      <c r="C1190" s="177"/>
      <c r="D1190" s="136"/>
      <c r="E1190" s="231"/>
      <c r="F1190" s="144"/>
      <c r="G1190" s="144"/>
      <c r="H1190" s="235"/>
      <c r="I1190" s="235"/>
      <c r="J1190" s="235"/>
      <c r="K1190" s="235"/>
      <c r="L1190" s="285"/>
    </row>
    <row r="1191" spans="1:12" ht="24.95" hidden="1" customHeight="1">
      <c r="A1191" s="136"/>
      <c r="B1191" s="176"/>
      <c r="C1191" s="177"/>
      <c r="D1191" s="136"/>
      <c r="E1191" s="231"/>
      <c r="F1191" s="144"/>
      <c r="G1191" s="144"/>
      <c r="H1191" s="235"/>
      <c r="I1191" s="235"/>
      <c r="J1191" s="235"/>
      <c r="K1191" s="235"/>
      <c r="L1191" s="285"/>
    </row>
    <row r="1192" spans="1:12" ht="24.95" hidden="1" customHeight="1">
      <c r="A1192" s="136"/>
      <c r="B1192" s="176"/>
      <c r="C1192" s="177"/>
      <c r="D1192" s="136"/>
      <c r="E1192" s="231"/>
      <c r="F1192" s="144"/>
      <c r="G1192" s="144"/>
      <c r="H1192" s="235"/>
      <c r="I1192" s="235"/>
      <c r="J1192" s="235"/>
      <c r="K1192" s="235"/>
      <c r="L1192" s="285"/>
    </row>
    <row r="1193" spans="1:12" ht="24.95" hidden="1" customHeight="1">
      <c r="A1193" s="136"/>
      <c r="B1193" s="176"/>
      <c r="C1193" s="177"/>
      <c r="D1193" s="136"/>
      <c r="E1193" s="231"/>
      <c r="F1193" s="144"/>
      <c r="G1193" s="144"/>
      <c r="H1193" s="235"/>
      <c r="I1193" s="235"/>
      <c r="J1193" s="235"/>
      <c r="K1193" s="235"/>
      <c r="L1193" s="285"/>
    </row>
    <row r="1194" spans="1:12" ht="24.95" hidden="1" customHeight="1">
      <c r="A1194" s="136"/>
      <c r="B1194" s="176"/>
      <c r="C1194" s="177"/>
      <c r="D1194" s="136"/>
      <c r="E1194" s="231"/>
      <c r="F1194" s="144"/>
      <c r="G1194" s="144"/>
      <c r="H1194" s="235"/>
      <c r="I1194" s="235"/>
      <c r="J1194" s="235"/>
      <c r="K1194" s="235"/>
      <c r="L1194" s="285"/>
    </row>
    <row r="1195" spans="1:12" ht="24.95" hidden="1" customHeight="1">
      <c r="A1195" s="136"/>
      <c r="B1195" s="176"/>
      <c r="C1195" s="177"/>
      <c r="D1195" s="136"/>
      <c r="E1195" s="231"/>
      <c r="F1195" s="144"/>
      <c r="G1195" s="144"/>
      <c r="H1195" s="235"/>
      <c r="I1195" s="235"/>
      <c r="J1195" s="235"/>
      <c r="K1195" s="235"/>
      <c r="L1195" s="285"/>
    </row>
    <row r="1196" spans="1:12" ht="24.95" hidden="1" customHeight="1">
      <c r="A1196" s="136"/>
      <c r="B1196" s="176"/>
      <c r="C1196" s="177"/>
      <c r="D1196" s="136"/>
      <c r="E1196" s="231"/>
      <c r="F1196" s="144"/>
      <c r="G1196" s="144"/>
      <c r="H1196" s="235"/>
      <c r="I1196" s="235"/>
      <c r="J1196" s="235"/>
      <c r="K1196" s="235"/>
      <c r="L1196" s="285"/>
    </row>
    <row r="1197" spans="1:12" ht="24.95" hidden="1" customHeight="1">
      <c r="A1197" s="136"/>
      <c r="B1197" s="176"/>
      <c r="C1197" s="177"/>
      <c r="D1197" s="136"/>
      <c r="E1197" s="231"/>
      <c r="F1197" s="144"/>
      <c r="G1197" s="144"/>
      <c r="H1197" s="235"/>
      <c r="I1197" s="235"/>
      <c r="J1197" s="235"/>
      <c r="K1197" s="235"/>
      <c r="L1197" s="285"/>
    </row>
    <row r="1198" spans="1:12" ht="24.95" hidden="1" customHeight="1">
      <c r="A1198" s="136"/>
      <c r="B1198" s="176"/>
      <c r="C1198" s="177"/>
      <c r="D1198" s="136"/>
      <c r="E1198" s="231"/>
      <c r="F1198" s="144"/>
      <c r="G1198" s="144"/>
      <c r="H1198" s="235"/>
      <c r="I1198" s="235"/>
      <c r="J1198" s="235"/>
      <c r="K1198" s="235"/>
      <c r="L1198" s="285"/>
    </row>
    <row r="1199" spans="1:12" ht="24.95" hidden="1" customHeight="1">
      <c r="A1199" s="136"/>
      <c r="B1199" s="176"/>
      <c r="C1199" s="177"/>
      <c r="D1199" s="136"/>
      <c r="E1199" s="231"/>
      <c r="F1199" s="144"/>
      <c r="G1199" s="144"/>
      <c r="H1199" s="235"/>
      <c r="I1199" s="235"/>
      <c r="J1199" s="235"/>
      <c r="K1199" s="235"/>
      <c r="L1199" s="285"/>
    </row>
    <row r="1200" spans="1:12" ht="24.95" hidden="1" customHeight="1">
      <c r="A1200" s="136"/>
      <c r="B1200" s="176"/>
      <c r="C1200" s="177"/>
      <c r="D1200" s="136"/>
      <c r="E1200" s="231"/>
      <c r="F1200" s="144"/>
      <c r="G1200" s="144"/>
      <c r="H1200" s="235"/>
      <c r="I1200" s="235"/>
      <c r="J1200" s="235"/>
      <c r="K1200" s="235"/>
      <c r="L1200" s="285"/>
    </row>
    <row r="1201" spans="1:12" ht="24.95" hidden="1" customHeight="1">
      <c r="A1201" s="136"/>
      <c r="B1201" s="176"/>
      <c r="C1201" s="177"/>
      <c r="D1201" s="136"/>
      <c r="E1201" s="231"/>
      <c r="F1201" s="144"/>
      <c r="G1201" s="144"/>
      <c r="H1201" s="235"/>
      <c r="I1201" s="235"/>
      <c r="J1201" s="235"/>
      <c r="K1201" s="235"/>
      <c r="L1201" s="285"/>
    </row>
    <row r="1202" spans="1:12" ht="24.95" hidden="1" customHeight="1">
      <c r="A1202" s="136"/>
      <c r="B1202" s="176"/>
      <c r="C1202" s="177"/>
      <c r="D1202" s="136"/>
      <c r="E1202" s="231"/>
      <c r="F1202" s="144"/>
      <c r="G1202" s="144"/>
      <c r="H1202" s="235"/>
      <c r="I1202" s="235"/>
      <c r="J1202" s="235"/>
      <c r="K1202" s="235"/>
      <c r="L1202" s="285"/>
    </row>
    <row r="1203" spans="1:12" ht="24.95" hidden="1" customHeight="1">
      <c r="A1203" s="136"/>
      <c r="B1203" s="176"/>
      <c r="C1203" s="177"/>
      <c r="D1203" s="136"/>
      <c r="E1203" s="231"/>
      <c r="F1203" s="144"/>
      <c r="G1203" s="144"/>
      <c r="H1203" s="235"/>
      <c r="I1203" s="235"/>
      <c r="J1203" s="235"/>
      <c r="K1203" s="235"/>
      <c r="L1203" s="285"/>
    </row>
    <row r="1204" spans="1:12" ht="24.95" hidden="1" customHeight="1">
      <c r="A1204" s="136"/>
      <c r="B1204" s="176"/>
      <c r="C1204" s="177"/>
      <c r="D1204" s="136"/>
      <c r="E1204" s="231"/>
      <c r="F1204" s="144"/>
      <c r="G1204" s="144"/>
      <c r="H1204" s="235"/>
      <c r="I1204" s="235"/>
      <c r="J1204" s="235"/>
      <c r="K1204" s="235"/>
      <c r="L1204" s="285"/>
    </row>
    <row r="1205" spans="1:12" ht="24.95" hidden="1" customHeight="1">
      <c r="A1205" s="136"/>
      <c r="B1205" s="176"/>
      <c r="C1205" s="177"/>
      <c r="D1205" s="136"/>
      <c r="E1205" s="231"/>
      <c r="F1205" s="144"/>
      <c r="G1205" s="144"/>
      <c r="H1205" s="235"/>
      <c r="I1205" s="235"/>
      <c r="J1205" s="235"/>
      <c r="K1205" s="235"/>
      <c r="L1205" s="285"/>
    </row>
    <row r="1206" spans="1:12" ht="24.95" hidden="1" customHeight="1">
      <c r="A1206" s="136"/>
      <c r="B1206" s="176"/>
      <c r="C1206" s="177"/>
      <c r="D1206" s="136"/>
      <c r="E1206" s="231"/>
      <c r="F1206" s="144"/>
      <c r="G1206" s="144"/>
      <c r="H1206" s="235"/>
      <c r="I1206" s="235"/>
      <c r="J1206" s="235"/>
      <c r="K1206" s="235"/>
      <c r="L1206" s="285"/>
    </row>
    <row r="1207" spans="1:12" ht="24.95" hidden="1" customHeight="1">
      <c r="A1207" s="136"/>
      <c r="B1207" s="176"/>
      <c r="C1207" s="177"/>
      <c r="D1207" s="136"/>
      <c r="E1207" s="231"/>
      <c r="F1207" s="144"/>
      <c r="G1207" s="144"/>
      <c r="H1207" s="235"/>
      <c r="I1207" s="235"/>
      <c r="J1207" s="235"/>
      <c r="K1207" s="235"/>
      <c r="L1207" s="285"/>
    </row>
    <row r="1208" spans="1:12" ht="24.95" hidden="1" customHeight="1">
      <c r="A1208" s="136"/>
      <c r="B1208" s="176"/>
      <c r="C1208" s="177"/>
      <c r="D1208" s="136"/>
      <c r="E1208" s="231"/>
      <c r="F1208" s="144"/>
      <c r="G1208" s="144"/>
      <c r="H1208" s="235"/>
      <c r="I1208" s="235"/>
      <c r="J1208" s="235"/>
      <c r="K1208" s="235"/>
      <c r="L1208" s="285"/>
    </row>
    <row r="1209" spans="1:12" ht="24.95" hidden="1" customHeight="1">
      <c r="A1209" s="136"/>
      <c r="B1209" s="176"/>
      <c r="C1209" s="177"/>
      <c r="D1209" s="136"/>
      <c r="E1209" s="231"/>
      <c r="F1209" s="144"/>
      <c r="G1209" s="144"/>
      <c r="H1209" s="235"/>
      <c r="I1209" s="235"/>
      <c r="J1209" s="235"/>
      <c r="K1209" s="235"/>
      <c r="L1209" s="285"/>
    </row>
    <row r="1210" spans="1:12" ht="24.95" hidden="1" customHeight="1">
      <c r="A1210" s="136"/>
      <c r="B1210" s="176"/>
      <c r="C1210" s="177"/>
      <c r="D1210" s="136"/>
      <c r="E1210" s="231"/>
      <c r="F1210" s="144"/>
      <c r="G1210" s="144"/>
      <c r="H1210" s="235"/>
      <c r="I1210" s="235"/>
      <c r="J1210" s="235"/>
      <c r="K1210" s="235"/>
      <c r="L1210" s="285"/>
    </row>
    <row r="1211" spans="1:12" ht="24.95" hidden="1" customHeight="1">
      <c r="A1211" s="136"/>
      <c r="B1211" s="176"/>
      <c r="C1211" s="177"/>
      <c r="D1211" s="136"/>
      <c r="E1211" s="231"/>
      <c r="F1211" s="144"/>
      <c r="G1211" s="144"/>
      <c r="H1211" s="235"/>
      <c r="I1211" s="235"/>
      <c r="J1211" s="235"/>
      <c r="K1211" s="235"/>
      <c r="L1211" s="285"/>
    </row>
    <row r="1212" spans="1:12" ht="24.95" hidden="1" customHeight="1">
      <c r="A1212" s="136"/>
      <c r="B1212" s="176"/>
      <c r="C1212" s="177"/>
      <c r="D1212" s="136"/>
      <c r="E1212" s="231"/>
      <c r="F1212" s="144"/>
      <c r="G1212" s="144"/>
      <c r="H1212" s="235"/>
      <c r="I1212" s="235"/>
      <c r="J1212" s="235"/>
      <c r="K1212" s="235"/>
      <c r="L1212" s="285"/>
    </row>
    <row r="1213" spans="1:12" ht="24.95" hidden="1" customHeight="1">
      <c r="A1213" s="136"/>
      <c r="B1213" s="176"/>
      <c r="C1213" s="177"/>
      <c r="D1213" s="136"/>
      <c r="E1213" s="231"/>
      <c r="F1213" s="144"/>
      <c r="G1213" s="144"/>
      <c r="H1213" s="235"/>
      <c r="I1213" s="235"/>
      <c r="J1213" s="235"/>
      <c r="K1213" s="235"/>
      <c r="L1213" s="285"/>
    </row>
    <row r="1214" spans="1:12" ht="24.95" hidden="1" customHeight="1">
      <c r="A1214" s="136"/>
      <c r="B1214" s="176"/>
      <c r="C1214" s="177"/>
      <c r="D1214" s="136"/>
      <c r="E1214" s="231"/>
      <c r="F1214" s="144"/>
      <c r="G1214" s="144"/>
      <c r="H1214" s="235"/>
      <c r="I1214" s="235"/>
      <c r="J1214" s="235"/>
      <c r="K1214" s="235"/>
      <c r="L1214" s="285"/>
    </row>
    <row r="1215" spans="1:12" ht="24.95" hidden="1" customHeight="1">
      <c r="A1215" s="136"/>
      <c r="B1215" s="176"/>
      <c r="C1215" s="177"/>
      <c r="D1215" s="136"/>
      <c r="E1215" s="231"/>
      <c r="F1215" s="144"/>
      <c r="G1215" s="144"/>
      <c r="H1215" s="235"/>
      <c r="I1215" s="235"/>
      <c r="J1215" s="235"/>
      <c r="K1215" s="235"/>
      <c r="L1215" s="285"/>
    </row>
    <row r="1216" spans="1:12" ht="24.95" hidden="1" customHeight="1">
      <c r="A1216" s="136"/>
      <c r="B1216" s="176"/>
      <c r="C1216" s="177"/>
      <c r="D1216" s="136"/>
      <c r="E1216" s="231"/>
      <c r="F1216" s="144"/>
      <c r="G1216" s="144"/>
      <c r="H1216" s="235"/>
      <c r="I1216" s="235"/>
      <c r="J1216" s="235"/>
      <c r="K1216" s="235"/>
      <c r="L1216" s="285"/>
    </row>
    <row r="1217" spans="1:12" ht="24.95" hidden="1" customHeight="1">
      <c r="A1217" s="136"/>
      <c r="B1217" s="176"/>
      <c r="C1217" s="177"/>
      <c r="D1217" s="136"/>
      <c r="E1217" s="231"/>
      <c r="F1217" s="144"/>
      <c r="G1217" s="144"/>
      <c r="H1217" s="235"/>
      <c r="I1217" s="235"/>
      <c r="J1217" s="235"/>
      <c r="K1217" s="235"/>
      <c r="L1217" s="285"/>
    </row>
    <row r="1218" spans="1:12" ht="24.95" hidden="1" customHeight="1">
      <c r="A1218" s="136"/>
      <c r="B1218" s="176"/>
      <c r="C1218" s="177"/>
      <c r="D1218" s="136"/>
      <c r="E1218" s="231"/>
      <c r="F1218" s="144"/>
      <c r="G1218" s="144"/>
      <c r="H1218" s="235"/>
      <c r="I1218" s="235"/>
      <c r="J1218" s="235"/>
      <c r="K1218" s="235"/>
      <c r="L1218" s="285"/>
    </row>
    <row r="1219" spans="1:12" ht="24.95" hidden="1" customHeight="1">
      <c r="A1219" s="136"/>
      <c r="B1219" s="176"/>
      <c r="C1219" s="177"/>
      <c r="D1219" s="136"/>
      <c r="E1219" s="231"/>
      <c r="F1219" s="144"/>
      <c r="G1219" s="144"/>
      <c r="H1219" s="235"/>
      <c r="I1219" s="235"/>
      <c r="J1219" s="235"/>
      <c r="K1219" s="235"/>
      <c r="L1219" s="285"/>
    </row>
    <row r="1220" spans="1:12" ht="24.95" hidden="1" customHeight="1">
      <c r="A1220" s="136"/>
      <c r="B1220" s="176"/>
      <c r="C1220" s="177"/>
      <c r="D1220" s="136"/>
      <c r="E1220" s="231"/>
      <c r="F1220" s="144"/>
      <c r="G1220" s="144"/>
      <c r="H1220" s="235"/>
      <c r="I1220" s="235"/>
      <c r="J1220" s="235"/>
      <c r="K1220" s="235"/>
      <c r="L1220" s="285"/>
    </row>
    <row r="1221" spans="1:12" ht="24.95" hidden="1" customHeight="1">
      <c r="A1221" s="136"/>
      <c r="B1221" s="176"/>
      <c r="C1221" s="177"/>
      <c r="D1221" s="136"/>
      <c r="E1221" s="231"/>
      <c r="F1221" s="144"/>
      <c r="G1221" s="144"/>
      <c r="H1221" s="235"/>
      <c r="I1221" s="235"/>
      <c r="J1221" s="235"/>
      <c r="K1221" s="235"/>
      <c r="L1221" s="285"/>
    </row>
    <row r="1222" spans="1:12" ht="24.95" hidden="1" customHeight="1">
      <c r="A1222" s="136"/>
      <c r="B1222" s="176"/>
      <c r="C1222" s="177"/>
      <c r="D1222" s="136"/>
      <c r="E1222" s="231"/>
      <c r="F1222" s="144"/>
      <c r="G1222" s="144"/>
      <c r="H1222" s="235"/>
      <c r="I1222" s="235"/>
      <c r="J1222" s="235"/>
      <c r="K1222" s="235"/>
      <c r="L1222" s="285"/>
    </row>
    <row r="1223" spans="1:12" ht="24.95" hidden="1" customHeight="1">
      <c r="A1223" s="136"/>
      <c r="B1223" s="176"/>
      <c r="C1223" s="177"/>
      <c r="D1223" s="136"/>
      <c r="E1223" s="231"/>
      <c r="F1223" s="144"/>
      <c r="G1223" s="144"/>
      <c r="H1223" s="235"/>
      <c r="I1223" s="235"/>
      <c r="J1223" s="235"/>
      <c r="K1223" s="235"/>
      <c r="L1223" s="285"/>
    </row>
    <row r="1224" spans="1:12" ht="24.95" hidden="1" customHeight="1">
      <c r="A1224" s="136"/>
      <c r="B1224" s="176"/>
      <c r="C1224" s="177"/>
      <c r="D1224" s="136"/>
      <c r="E1224" s="231"/>
      <c r="F1224" s="144"/>
      <c r="G1224" s="144"/>
      <c r="H1224" s="235"/>
      <c r="I1224" s="235"/>
      <c r="J1224" s="235"/>
      <c r="K1224" s="235"/>
      <c r="L1224" s="285"/>
    </row>
    <row r="1225" spans="1:12" ht="24.95" hidden="1" customHeight="1">
      <c r="A1225" s="136"/>
      <c r="B1225" s="176"/>
      <c r="C1225" s="177"/>
      <c r="D1225" s="136"/>
      <c r="E1225" s="231"/>
      <c r="F1225" s="144"/>
      <c r="G1225" s="144"/>
      <c r="H1225" s="235"/>
      <c r="I1225" s="235"/>
      <c r="J1225" s="235"/>
      <c r="K1225" s="235"/>
      <c r="L1225" s="285"/>
    </row>
    <row r="1226" spans="1:12" ht="24.95" hidden="1" customHeight="1">
      <c r="A1226" s="136"/>
      <c r="B1226" s="176"/>
      <c r="C1226" s="177"/>
      <c r="D1226" s="136"/>
      <c r="E1226" s="231"/>
      <c r="F1226" s="144"/>
      <c r="G1226" s="144"/>
      <c r="H1226" s="235"/>
      <c r="I1226" s="235"/>
      <c r="J1226" s="235"/>
      <c r="K1226" s="235"/>
      <c r="L1226" s="285"/>
    </row>
    <row r="1227" spans="1:12" ht="24.95" hidden="1" customHeight="1">
      <c r="A1227" s="136"/>
      <c r="B1227" s="176"/>
      <c r="C1227" s="177"/>
      <c r="D1227" s="136"/>
      <c r="E1227" s="231"/>
      <c r="F1227" s="144"/>
      <c r="G1227" s="144"/>
      <c r="H1227" s="235"/>
      <c r="I1227" s="235"/>
      <c r="J1227" s="235"/>
      <c r="K1227" s="235"/>
      <c r="L1227" s="285"/>
    </row>
    <row r="1228" spans="1:12" ht="24.95" hidden="1" customHeight="1">
      <c r="A1228" s="136"/>
      <c r="B1228" s="176"/>
      <c r="C1228" s="177"/>
      <c r="D1228" s="136"/>
      <c r="E1228" s="231"/>
      <c r="F1228" s="144"/>
      <c r="G1228" s="144"/>
      <c r="H1228" s="235"/>
      <c r="I1228" s="235"/>
      <c r="J1228" s="235"/>
      <c r="K1228" s="235"/>
      <c r="L1228" s="285"/>
    </row>
    <row r="1229" spans="1:12" ht="24.95" hidden="1" customHeight="1">
      <c r="A1229" s="136"/>
      <c r="B1229" s="176"/>
      <c r="C1229" s="177"/>
      <c r="D1229" s="136"/>
      <c r="E1229" s="231"/>
      <c r="F1229" s="144"/>
      <c r="G1229" s="144"/>
      <c r="H1229" s="235"/>
      <c r="I1229" s="235"/>
      <c r="J1229" s="235"/>
      <c r="K1229" s="235"/>
      <c r="L1229" s="285"/>
    </row>
    <row r="1230" spans="1:12" ht="24.95" hidden="1" customHeight="1">
      <c r="A1230" s="136"/>
      <c r="B1230" s="176"/>
      <c r="C1230" s="177"/>
      <c r="D1230" s="136"/>
      <c r="E1230" s="231"/>
      <c r="F1230" s="144"/>
      <c r="G1230" s="144"/>
      <c r="H1230" s="235"/>
      <c r="I1230" s="235"/>
      <c r="J1230" s="235"/>
      <c r="K1230" s="235"/>
      <c r="L1230" s="285"/>
    </row>
    <row r="1231" spans="1:12" ht="24.95" hidden="1" customHeight="1">
      <c r="A1231" s="136"/>
      <c r="B1231" s="176"/>
      <c r="C1231" s="177"/>
      <c r="D1231" s="136"/>
      <c r="E1231" s="231"/>
      <c r="F1231" s="144"/>
      <c r="G1231" s="144"/>
      <c r="H1231" s="235"/>
      <c r="I1231" s="235"/>
      <c r="J1231" s="235"/>
      <c r="K1231" s="235"/>
      <c r="L1231" s="285"/>
    </row>
    <row r="1232" spans="1:12" ht="24.95" hidden="1" customHeight="1">
      <c r="A1232" s="136"/>
      <c r="B1232" s="176"/>
      <c r="C1232" s="177"/>
      <c r="D1232" s="136"/>
      <c r="E1232" s="231"/>
      <c r="F1232" s="144"/>
      <c r="G1232" s="144"/>
      <c r="H1232" s="235"/>
      <c r="I1232" s="235"/>
      <c r="J1232" s="235"/>
      <c r="K1232" s="235"/>
      <c r="L1232" s="285"/>
    </row>
    <row r="1233" spans="1:12" ht="24.95" hidden="1" customHeight="1">
      <c r="A1233" s="136"/>
      <c r="B1233" s="176"/>
      <c r="C1233" s="177"/>
      <c r="D1233" s="136"/>
      <c r="E1233" s="231"/>
      <c r="F1233" s="144"/>
      <c r="G1233" s="144"/>
      <c r="H1233" s="235"/>
      <c r="I1233" s="235"/>
      <c r="J1233" s="235"/>
      <c r="K1233" s="235"/>
      <c r="L1233" s="285"/>
    </row>
    <row r="1234" spans="1:12" ht="24.95" hidden="1" customHeight="1">
      <c r="A1234" s="136"/>
      <c r="B1234" s="176"/>
      <c r="C1234" s="177"/>
      <c r="D1234" s="136"/>
      <c r="E1234" s="231"/>
      <c r="F1234" s="144"/>
      <c r="G1234" s="144"/>
      <c r="H1234" s="235"/>
      <c r="I1234" s="235"/>
      <c r="J1234" s="235"/>
      <c r="K1234" s="235"/>
      <c r="L1234" s="285"/>
    </row>
    <row r="1235" spans="1:12" ht="24.95" hidden="1" customHeight="1">
      <c r="A1235" s="136"/>
      <c r="B1235" s="176"/>
      <c r="C1235" s="177"/>
      <c r="D1235" s="136"/>
      <c r="E1235" s="231"/>
      <c r="F1235" s="144"/>
      <c r="G1235" s="144"/>
      <c r="H1235" s="235"/>
      <c r="I1235" s="235"/>
      <c r="J1235" s="235"/>
      <c r="K1235" s="235"/>
      <c r="L1235" s="285"/>
    </row>
    <row r="1236" spans="1:12" ht="24.95" hidden="1" customHeight="1">
      <c r="A1236" s="136"/>
      <c r="B1236" s="176"/>
      <c r="C1236" s="177"/>
      <c r="D1236" s="136"/>
      <c r="E1236" s="231"/>
      <c r="F1236" s="144"/>
      <c r="G1236" s="144"/>
      <c r="H1236" s="235"/>
      <c r="I1236" s="235"/>
      <c r="J1236" s="235"/>
      <c r="K1236" s="235"/>
      <c r="L1236" s="285"/>
    </row>
    <row r="1237" spans="1:12" ht="24.95" hidden="1" customHeight="1">
      <c r="A1237" s="136"/>
      <c r="B1237" s="176"/>
      <c r="C1237" s="177"/>
      <c r="D1237" s="136"/>
      <c r="E1237" s="231"/>
      <c r="F1237" s="144"/>
      <c r="G1237" s="144"/>
      <c r="H1237" s="235"/>
      <c r="I1237" s="235"/>
      <c r="J1237" s="235"/>
      <c r="K1237" s="235"/>
      <c r="L1237" s="285"/>
    </row>
    <row r="1238" spans="1:12" ht="24.95" hidden="1" customHeight="1">
      <c r="A1238" s="136"/>
      <c r="B1238" s="176"/>
      <c r="C1238" s="177"/>
      <c r="D1238" s="136"/>
      <c r="E1238" s="231"/>
      <c r="F1238" s="144"/>
      <c r="G1238" s="144"/>
      <c r="H1238" s="235"/>
      <c r="I1238" s="235"/>
      <c r="J1238" s="235"/>
      <c r="K1238" s="235"/>
      <c r="L1238" s="285"/>
    </row>
    <row r="1239" spans="1:12" ht="24.95" hidden="1" customHeight="1">
      <c r="A1239" s="136"/>
      <c r="B1239" s="176"/>
      <c r="C1239" s="177"/>
      <c r="D1239" s="136"/>
      <c r="E1239" s="231"/>
      <c r="F1239" s="144"/>
      <c r="G1239" s="144"/>
      <c r="H1239" s="235"/>
      <c r="I1239" s="235"/>
      <c r="J1239" s="235"/>
      <c r="K1239" s="235"/>
      <c r="L1239" s="285"/>
    </row>
    <row r="1240" spans="1:12" ht="24.95" hidden="1" customHeight="1">
      <c r="A1240" s="136"/>
      <c r="B1240" s="176"/>
      <c r="C1240" s="177"/>
      <c r="D1240" s="136"/>
      <c r="E1240" s="231"/>
      <c r="F1240" s="144"/>
      <c r="G1240" s="144"/>
      <c r="H1240" s="235"/>
      <c r="I1240" s="235"/>
      <c r="J1240" s="235"/>
      <c r="K1240" s="235"/>
      <c r="L1240" s="285"/>
    </row>
    <row r="1241" spans="1:12" ht="24.95" hidden="1" customHeight="1">
      <c r="A1241" s="136"/>
      <c r="B1241" s="176"/>
      <c r="C1241" s="177"/>
      <c r="D1241" s="136"/>
      <c r="E1241" s="231"/>
      <c r="F1241" s="144"/>
      <c r="G1241" s="144"/>
      <c r="H1241" s="235"/>
      <c r="I1241" s="235"/>
      <c r="J1241" s="235"/>
      <c r="K1241" s="235"/>
      <c r="L1241" s="285"/>
    </row>
    <row r="1242" spans="1:12" ht="24.95" hidden="1" customHeight="1">
      <c r="A1242" s="136"/>
      <c r="B1242" s="176"/>
      <c r="C1242" s="177"/>
      <c r="D1242" s="136"/>
      <c r="E1242" s="231"/>
      <c r="F1242" s="144"/>
      <c r="G1242" s="144"/>
      <c r="H1242" s="235"/>
      <c r="I1242" s="235"/>
      <c r="J1242" s="235"/>
      <c r="K1242" s="235"/>
      <c r="L1242" s="285"/>
    </row>
    <row r="1243" spans="1:12" ht="24.95" hidden="1" customHeight="1">
      <c r="A1243" s="136"/>
      <c r="B1243" s="176"/>
      <c r="C1243" s="177"/>
      <c r="D1243" s="136"/>
      <c r="E1243" s="231"/>
      <c r="F1243" s="144"/>
      <c r="G1243" s="144"/>
      <c r="H1243" s="235"/>
      <c r="I1243" s="235"/>
      <c r="J1243" s="235"/>
      <c r="K1243" s="235"/>
      <c r="L1243" s="285"/>
    </row>
    <row r="1244" spans="1:12" ht="24.95" hidden="1" customHeight="1">
      <c r="A1244" s="136"/>
      <c r="B1244" s="176"/>
      <c r="C1244" s="177"/>
      <c r="D1244" s="136"/>
      <c r="E1244" s="231"/>
      <c r="F1244" s="144"/>
      <c r="G1244" s="144"/>
      <c r="H1244" s="235"/>
      <c r="I1244" s="235"/>
      <c r="J1244" s="235"/>
      <c r="K1244" s="235"/>
      <c r="L1244" s="285"/>
    </row>
    <row r="1245" spans="1:12" ht="24.95" hidden="1" customHeight="1">
      <c r="A1245" s="136"/>
      <c r="B1245" s="176"/>
      <c r="C1245" s="177"/>
      <c r="D1245" s="136"/>
      <c r="E1245" s="231"/>
      <c r="F1245" s="144"/>
      <c r="G1245" s="144"/>
      <c r="H1245" s="235"/>
      <c r="I1245" s="235"/>
      <c r="J1245" s="235"/>
      <c r="K1245" s="235"/>
      <c r="L1245" s="285"/>
    </row>
    <row r="1246" spans="1:12" ht="24.95" hidden="1" customHeight="1">
      <c r="A1246" s="136"/>
      <c r="B1246" s="176"/>
      <c r="C1246" s="177"/>
      <c r="D1246" s="136"/>
      <c r="E1246" s="231"/>
      <c r="F1246" s="144"/>
      <c r="G1246" s="144"/>
      <c r="H1246" s="235"/>
      <c r="I1246" s="235"/>
      <c r="J1246" s="235"/>
      <c r="K1246" s="235"/>
      <c r="L1246" s="285"/>
    </row>
    <row r="1247" spans="1:12" ht="24.95" hidden="1" customHeight="1">
      <c r="A1247" s="136"/>
      <c r="B1247" s="176"/>
      <c r="C1247" s="177"/>
      <c r="D1247" s="136"/>
      <c r="E1247" s="231"/>
      <c r="F1247" s="144"/>
      <c r="G1247" s="144"/>
      <c r="H1247" s="235"/>
      <c r="I1247" s="235"/>
      <c r="J1247" s="235"/>
      <c r="K1247" s="235"/>
      <c r="L1247" s="285"/>
    </row>
    <row r="1248" spans="1:12" ht="24.95" hidden="1" customHeight="1">
      <c r="A1248" s="136"/>
      <c r="B1248" s="176"/>
      <c r="C1248" s="177"/>
      <c r="D1248" s="136"/>
      <c r="E1248" s="231"/>
      <c r="F1248" s="144"/>
      <c r="G1248" s="144"/>
      <c r="H1248" s="235"/>
      <c r="I1248" s="235"/>
      <c r="J1248" s="235"/>
      <c r="K1248" s="235"/>
      <c r="L1248" s="285"/>
    </row>
    <row r="1249" spans="1:12" ht="24.95" hidden="1" customHeight="1">
      <c r="A1249" s="136"/>
      <c r="B1249" s="176"/>
      <c r="C1249" s="177"/>
      <c r="D1249" s="136"/>
      <c r="E1249" s="231"/>
      <c r="F1249" s="144"/>
      <c r="G1249" s="144"/>
      <c r="H1249" s="235"/>
      <c r="I1249" s="235"/>
      <c r="J1249" s="235"/>
      <c r="K1249" s="235"/>
      <c r="L1249" s="285"/>
    </row>
    <row r="1250" spans="1:12" ht="24.95" hidden="1" customHeight="1">
      <c r="A1250" s="136"/>
      <c r="B1250" s="176"/>
      <c r="C1250" s="177"/>
      <c r="D1250" s="136"/>
      <c r="E1250" s="231"/>
      <c r="F1250" s="144"/>
      <c r="G1250" s="144"/>
      <c r="H1250" s="235"/>
      <c r="I1250" s="235"/>
      <c r="J1250" s="235"/>
      <c r="K1250" s="235"/>
      <c r="L1250" s="285"/>
    </row>
    <row r="1251" spans="1:12" ht="24.95" hidden="1" customHeight="1">
      <c r="A1251" s="136"/>
      <c r="B1251" s="176"/>
      <c r="C1251" s="177"/>
      <c r="D1251" s="136"/>
      <c r="E1251" s="231"/>
      <c r="F1251" s="144"/>
      <c r="G1251" s="144"/>
      <c r="H1251" s="235"/>
      <c r="I1251" s="235"/>
      <c r="J1251" s="235"/>
      <c r="K1251" s="235"/>
      <c r="L1251" s="285"/>
    </row>
    <row r="1252" spans="1:12" ht="24.95" hidden="1" customHeight="1">
      <c r="A1252" s="136"/>
      <c r="B1252" s="176"/>
      <c r="C1252" s="177"/>
      <c r="D1252" s="136"/>
      <c r="E1252" s="231"/>
      <c r="F1252" s="144"/>
      <c r="G1252" s="144"/>
      <c r="H1252" s="235"/>
      <c r="I1252" s="235"/>
      <c r="J1252" s="235"/>
      <c r="K1252" s="235"/>
      <c r="L1252" s="285"/>
    </row>
    <row r="1253" spans="1:12" ht="24.95" hidden="1" customHeight="1">
      <c r="A1253" s="136"/>
      <c r="B1253" s="176"/>
      <c r="C1253" s="177"/>
      <c r="D1253" s="136"/>
      <c r="E1253" s="231"/>
      <c r="F1253" s="144"/>
      <c r="G1253" s="144"/>
      <c r="H1253" s="235"/>
      <c r="I1253" s="235"/>
      <c r="J1253" s="235"/>
      <c r="K1253" s="235"/>
      <c r="L1253" s="285"/>
    </row>
    <row r="1254" spans="1:12" ht="24.95" hidden="1" customHeight="1">
      <c r="A1254" s="136"/>
      <c r="B1254" s="176"/>
      <c r="C1254" s="177"/>
      <c r="D1254" s="136"/>
      <c r="E1254" s="231"/>
      <c r="F1254" s="144"/>
      <c r="G1254" s="144"/>
      <c r="H1254" s="235"/>
      <c r="I1254" s="235"/>
      <c r="J1254" s="235"/>
      <c r="K1254" s="235"/>
      <c r="L1254" s="285"/>
    </row>
    <row r="1255" spans="1:12" ht="24.95" hidden="1" customHeight="1">
      <c r="A1255" s="136"/>
      <c r="B1255" s="176"/>
      <c r="C1255" s="177"/>
      <c r="D1255" s="136"/>
      <c r="E1255" s="231"/>
      <c r="F1255" s="144"/>
      <c r="G1255" s="144"/>
      <c r="H1255" s="235"/>
      <c r="I1255" s="235"/>
      <c r="J1255" s="235"/>
      <c r="K1255" s="235"/>
      <c r="L1255" s="285"/>
    </row>
    <row r="1256" spans="1:12" ht="24.95" hidden="1" customHeight="1">
      <c r="A1256" s="136"/>
      <c r="B1256" s="176"/>
      <c r="C1256" s="177"/>
      <c r="D1256" s="136"/>
      <c r="E1256" s="231"/>
      <c r="F1256" s="144"/>
      <c r="G1256" s="144"/>
      <c r="H1256" s="235"/>
      <c r="I1256" s="235"/>
      <c r="J1256" s="235"/>
      <c r="K1256" s="235"/>
      <c r="L1256" s="285"/>
    </row>
    <row r="1257" spans="1:12" ht="24.95" hidden="1" customHeight="1">
      <c r="A1257" s="136"/>
      <c r="B1257" s="176"/>
      <c r="C1257" s="177"/>
      <c r="D1257" s="136"/>
      <c r="E1257" s="231"/>
      <c r="F1257" s="144"/>
      <c r="G1257" s="144"/>
      <c r="H1257" s="235"/>
      <c r="I1257" s="235"/>
      <c r="J1257" s="235"/>
      <c r="K1257" s="235"/>
      <c r="L1257" s="285"/>
    </row>
    <row r="1258" spans="1:12" ht="24.95" hidden="1" customHeight="1">
      <c r="A1258" s="136"/>
      <c r="B1258" s="176"/>
      <c r="C1258" s="177"/>
      <c r="D1258" s="136"/>
      <c r="E1258" s="231"/>
      <c r="F1258" s="144"/>
      <c r="G1258" s="144"/>
      <c r="H1258" s="235"/>
      <c r="I1258" s="235"/>
      <c r="J1258" s="235"/>
      <c r="K1258" s="235"/>
      <c r="L1258" s="285"/>
    </row>
    <row r="1259" spans="1:12" ht="24.95" hidden="1" customHeight="1">
      <c r="A1259" s="136"/>
      <c r="B1259" s="176"/>
      <c r="C1259" s="177"/>
      <c r="D1259" s="136"/>
      <c r="E1259" s="231"/>
      <c r="F1259" s="144"/>
      <c r="G1259" s="144"/>
      <c r="H1259" s="235"/>
      <c r="I1259" s="235"/>
      <c r="J1259" s="235"/>
      <c r="K1259" s="235"/>
      <c r="L1259" s="285"/>
    </row>
    <row r="1260" spans="1:12" ht="24.95" hidden="1" customHeight="1">
      <c r="A1260" s="136"/>
      <c r="B1260" s="176"/>
      <c r="C1260" s="177"/>
      <c r="D1260" s="136"/>
      <c r="E1260" s="231"/>
      <c r="F1260" s="144"/>
      <c r="G1260" s="144"/>
      <c r="H1260" s="235"/>
      <c r="I1260" s="235"/>
      <c r="J1260" s="235"/>
      <c r="K1260" s="235"/>
      <c r="L1260" s="285"/>
    </row>
    <row r="1261" spans="1:12" ht="24.95" hidden="1" customHeight="1">
      <c r="A1261" s="136"/>
      <c r="B1261" s="176"/>
      <c r="C1261" s="177"/>
      <c r="D1261" s="136"/>
      <c r="E1261" s="231"/>
      <c r="F1261" s="144"/>
      <c r="G1261" s="144"/>
      <c r="H1261" s="235"/>
      <c r="I1261" s="235"/>
      <c r="J1261" s="235"/>
      <c r="K1261" s="235"/>
      <c r="L1261" s="285"/>
    </row>
    <row r="1262" spans="1:12" ht="24.95" hidden="1" customHeight="1">
      <c r="A1262" s="136"/>
      <c r="B1262" s="176"/>
      <c r="C1262" s="177"/>
      <c r="D1262" s="136"/>
      <c r="E1262" s="231"/>
      <c r="F1262" s="144"/>
      <c r="G1262" s="144"/>
      <c r="H1262" s="235"/>
      <c r="I1262" s="235"/>
      <c r="J1262" s="235"/>
      <c r="K1262" s="235"/>
      <c r="L1262" s="285"/>
    </row>
    <row r="1263" spans="1:12" ht="24.95" hidden="1" customHeight="1">
      <c r="A1263" s="136"/>
      <c r="B1263" s="176"/>
      <c r="C1263" s="177"/>
      <c r="D1263" s="136"/>
      <c r="E1263" s="231"/>
      <c r="F1263" s="144"/>
      <c r="G1263" s="144"/>
      <c r="H1263" s="235"/>
      <c r="I1263" s="235"/>
      <c r="J1263" s="235"/>
      <c r="K1263" s="235"/>
      <c r="L1263" s="285"/>
    </row>
    <row r="1264" spans="1:12" ht="24.95" hidden="1" customHeight="1">
      <c r="A1264" s="136"/>
      <c r="B1264" s="176"/>
      <c r="C1264" s="177"/>
      <c r="D1264" s="136"/>
      <c r="E1264" s="231"/>
      <c r="F1264" s="144"/>
      <c r="G1264" s="144"/>
      <c r="H1264" s="235"/>
      <c r="I1264" s="235"/>
      <c r="J1264" s="235"/>
      <c r="K1264" s="235"/>
      <c r="L1264" s="285"/>
    </row>
    <row r="1265" spans="1:12" ht="24.95" hidden="1" customHeight="1">
      <c r="A1265" s="136"/>
      <c r="B1265" s="176"/>
      <c r="C1265" s="177"/>
      <c r="D1265" s="136"/>
      <c r="E1265" s="231"/>
      <c r="F1265" s="144"/>
      <c r="G1265" s="144"/>
      <c r="H1265" s="235"/>
      <c r="I1265" s="235"/>
      <c r="J1265" s="235"/>
      <c r="K1265" s="235"/>
      <c r="L1265" s="285"/>
    </row>
    <row r="1266" spans="1:12" ht="24.95" hidden="1" customHeight="1">
      <c r="A1266" s="136"/>
      <c r="B1266" s="176"/>
      <c r="C1266" s="177"/>
      <c r="D1266" s="136"/>
      <c r="E1266" s="231"/>
      <c r="F1266" s="144"/>
      <c r="G1266" s="144"/>
      <c r="H1266" s="235"/>
      <c r="I1266" s="235"/>
      <c r="J1266" s="235"/>
      <c r="K1266" s="235"/>
      <c r="L1266" s="285"/>
    </row>
    <row r="1267" spans="1:12" ht="24.95" hidden="1" customHeight="1">
      <c r="A1267" s="136"/>
      <c r="B1267" s="176"/>
      <c r="C1267" s="177"/>
      <c r="D1267" s="136"/>
      <c r="E1267" s="231"/>
      <c r="F1267" s="144"/>
      <c r="G1267" s="144"/>
      <c r="H1267" s="235"/>
      <c r="I1267" s="235"/>
      <c r="J1267" s="235"/>
      <c r="K1267" s="235"/>
      <c r="L1267" s="285"/>
    </row>
    <row r="1268" spans="1:12" ht="24.95" hidden="1" customHeight="1">
      <c r="A1268" s="136"/>
      <c r="B1268" s="176"/>
      <c r="C1268" s="177"/>
      <c r="D1268" s="136"/>
      <c r="E1268" s="231"/>
      <c r="F1268" s="144"/>
      <c r="G1268" s="144"/>
      <c r="H1268" s="235"/>
      <c r="I1268" s="235"/>
      <c r="J1268" s="235"/>
      <c r="K1268" s="235"/>
      <c r="L1268" s="285"/>
    </row>
    <row r="1269" spans="1:12" ht="24.95" hidden="1" customHeight="1">
      <c r="A1269" s="136"/>
      <c r="B1269" s="176"/>
      <c r="C1269" s="177"/>
      <c r="D1269" s="136"/>
      <c r="E1269" s="231"/>
      <c r="F1269" s="144"/>
      <c r="G1269" s="144"/>
      <c r="H1269" s="235"/>
      <c r="I1269" s="235"/>
      <c r="J1269" s="235"/>
      <c r="K1269" s="235"/>
      <c r="L1269" s="285"/>
    </row>
    <row r="1270" spans="1:12" ht="24.95" hidden="1" customHeight="1">
      <c r="A1270" s="136"/>
      <c r="B1270" s="176"/>
      <c r="C1270" s="177"/>
      <c r="D1270" s="136"/>
      <c r="E1270" s="231"/>
      <c r="F1270" s="144"/>
      <c r="G1270" s="144"/>
      <c r="H1270" s="235"/>
      <c r="I1270" s="235"/>
      <c r="J1270" s="235"/>
      <c r="K1270" s="235"/>
      <c r="L1270" s="285"/>
    </row>
    <row r="1271" spans="1:12" ht="24.95" hidden="1" customHeight="1">
      <c r="A1271" s="136"/>
      <c r="B1271" s="176"/>
      <c r="C1271" s="177"/>
      <c r="D1271" s="136"/>
      <c r="E1271" s="231"/>
      <c r="F1271" s="144"/>
      <c r="G1271" s="144"/>
      <c r="H1271" s="235"/>
      <c r="I1271" s="235"/>
      <c r="J1271" s="235"/>
      <c r="K1271" s="235"/>
      <c r="L1271" s="285"/>
    </row>
    <row r="1272" spans="1:12" ht="24.95" hidden="1" customHeight="1">
      <c r="A1272" s="136"/>
      <c r="B1272" s="176"/>
      <c r="C1272" s="177"/>
      <c r="D1272" s="136"/>
      <c r="E1272" s="231"/>
      <c r="F1272" s="144"/>
      <c r="G1272" s="144"/>
      <c r="H1272" s="235"/>
      <c r="I1272" s="235"/>
      <c r="J1272" s="235"/>
      <c r="K1272" s="235"/>
      <c r="L1272" s="285"/>
    </row>
    <row r="1273" spans="1:12" ht="24.95" hidden="1" customHeight="1">
      <c r="A1273" s="136"/>
      <c r="B1273" s="176"/>
      <c r="C1273" s="177"/>
      <c r="D1273" s="136"/>
      <c r="E1273" s="231"/>
      <c r="F1273" s="144"/>
      <c r="G1273" s="144"/>
      <c r="H1273" s="235"/>
      <c r="I1273" s="235"/>
      <c r="J1273" s="235"/>
      <c r="K1273" s="235"/>
      <c r="L1273" s="285"/>
    </row>
    <row r="1274" spans="1:12" ht="24.95" hidden="1" customHeight="1">
      <c r="A1274" s="136"/>
      <c r="B1274" s="176"/>
      <c r="C1274" s="177"/>
      <c r="D1274" s="136"/>
      <c r="E1274" s="231"/>
      <c r="F1274" s="144"/>
      <c r="G1274" s="144"/>
      <c r="H1274" s="235"/>
      <c r="I1274" s="235"/>
      <c r="J1274" s="235"/>
      <c r="K1274" s="235"/>
      <c r="L1274" s="285"/>
    </row>
    <row r="1275" spans="1:12" ht="24.95" hidden="1" customHeight="1">
      <c r="A1275" s="136"/>
      <c r="B1275" s="176"/>
      <c r="C1275" s="177"/>
      <c r="D1275" s="136"/>
      <c r="E1275" s="231"/>
      <c r="F1275" s="144"/>
      <c r="G1275" s="144"/>
      <c r="H1275" s="235"/>
      <c r="I1275" s="235"/>
      <c r="J1275" s="235"/>
      <c r="K1275" s="235"/>
      <c r="L1275" s="285"/>
    </row>
    <row r="1276" spans="1:12" ht="24.95" hidden="1" customHeight="1">
      <c r="A1276" s="136"/>
      <c r="B1276" s="176"/>
      <c r="C1276" s="177"/>
      <c r="D1276" s="136"/>
      <c r="E1276" s="231"/>
      <c r="F1276" s="144"/>
      <c r="G1276" s="144"/>
      <c r="H1276" s="235"/>
      <c r="I1276" s="235"/>
      <c r="J1276" s="235"/>
      <c r="K1276" s="235"/>
      <c r="L1276" s="285"/>
    </row>
    <row r="1277" spans="1:12" ht="24.95" hidden="1" customHeight="1">
      <c r="A1277" s="136"/>
      <c r="B1277" s="176"/>
      <c r="C1277" s="177"/>
      <c r="D1277" s="136"/>
      <c r="E1277" s="231"/>
      <c r="F1277" s="144"/>
      <c r="G1277" s="144"/>
      <c r="H1277" s="235"/>
      <c r="I1277" s="235"/>
      <c r="J1277" s="235"/>
      <c r="K1277" s="235"/>
      <c r="L1277" s="285"/>
    </row>
    <row r="1278" spans="1:12" ht="24.95" hidden="1" customHeight="1">
      <c r="A1278" s="136"/>
      <c r="B1278" s="176"/>
      <c r="C1278" s="177"/>
      <c r="D1278" s="136"/>
      <c r="E1278" s="231"/>
      <c r="F1278" s="144"/>
      <c r="G1278" s="144"/>
      <c r="H1278" s="235"/>
      <c r="I1278" s="235"/>
      <c r="J1278" s="235"/>
      <c r="K1278" s="235"/>
      <c r="L1278" s="285"/>
    </row>
    <row r="1279" spans="1:12" ht="24.95" hidden="1" customHeight="1">
      <c r="A1279" s="136"/>
      <c r="B1279" s="176"/>
      <c r="C1279" s="177"/>
      <c r="D1279" s="136"/>
      <c r="E1279" s="231"/>
      <c r="F1279" s="144"/>
      <c r="G1279" s="144"/>
      <c r="H1279" s="235"/>
      <c r="I1279" s="235"/>
      <c r="J1279" s="235"/>
      <c r="K1279" s="235"/>
      <c r="L1279" s="285"/>
    </row>
    <row r="1280" spans="1:12" ht="24.95" hidden="1" customHeight="1">
      <c r="A1280" s="136"/>
      <c r="B1280" s="176"/>
      <c r="C1280" s="177"/>
      <c r="D1280" s="136"/>
      <c r="E1280" s="231"/>
      <c r="F1280" s="144"/>
      <c r="G1280" s="144"/>
      <c r="H1280" s="235"/>
      <c r="I1280" s="235"/>
      <c r="J1280" s="235"/>
      <c r="K1280" s="235"/>
      <c r="L1280" s="285"/>
    </row>
    <row r="1281" spans="1:12" ht="24.95" hidden="1" customHeight="1">
      <c r="A1281" s="136"/>
      <c r="B1281" s="176"/>
      <c r="C1281" s="177"/>
      <c r="D1281" s="136"/>
      <c r="E1281" s="231"/>
      <c r="F1281" s="144"/>
      <c r="G1281" s="144"/>
      <c r="H1281" s="235"/>
      <c r="I1281" s="235"/>
      <c r="J1281" s="235"/>
      <c r="K1281" s="235"/>
      <c r="L1281" s="285"/>
    </row>
    <row r="1282" spans="1:12" ht="24.95" hidden="1" customHeight="1">
      <c r="A1282" s="136"/>
      <c r="B1282" s="176"/>
      <c r="C1282" s="177"/>
      <c r="D1282" s="136"/>
      <c r="E1282" s="231"/>
      <c r="F1282" s="144"/>
      <c r="G1282" s="144"/>
      <c r="H1282" s="235"/>
      <c r="I1282" s="235"/>
      <c r="J1282" s="235"/>
      <c r="K1282" s="235"/>
      <c r="L1282" s="285"/>
    </row>
    <row r="1283" spans="1:12" ht="24.95" hidden="1" customHeight="1">
      <c r="A1283" s="136"/>
      <c r="B1283" s="176"/>
      <c r="C1283" s="177"/>
      <c r="D1283" s="136"/>
      <c r="E1283" s="231"/>
      <c r="F1283" s="144"/>
      <c r="G1283" s="144"/>
      <c r="H1283" s="235"/>
      <c r="I1283" s="235"/>
      <c r="J1283" s="235"/>
      <c r="K1283" s="235"/>
      <c r="L1283" s="285"/>
    </row>
    <row r="1284" spans="1:12" ht="24.95" hidden="1" customHeight="1">
      <c r="A1284" s="136"/>
      <c r="B1284" s="176"/>
      <c r="C1284" s="177"/>
      <c r="D1284" s="136"/>
      <c r="E1284" s="231"/>
      <c r="F1284" s="144"/>
      <c r="G1284" s="144"/>
      <c r="H1284" s="235"/>
      <c r="I1284" s="235"/>
      <c r="J1284" s="235"/>
      <c r="K1284" s="235"/>
      <c r="L1284" s="285"/>
    </row>
    <row r="1285" spans="1:12" ht="24.95" hidden="1" customHeight="1">
      <c r="A1285" s="136"/>
      <c r="B1285" s="176"/>
      <c r="C1285" s="177"/>
      <c r="D1285" s="136"/>
      <c r="E1285" s="231"/>
      <c r="F1285" s="144"/>
      <c r="G1285" s="144"/>
      <c r="H1285" s="235"/>
      <c r="I1285" s="235"/>
      <c r="J1285" s="235"/>
      <c r="K1285" s="235"/>
      <c r="L1285" s="285"/>
    </row>
    <row r="1286" spans="1:12" ht="24.95" hidden="1" customHeight="1">
      <c r="A1286" s="136"/>
      <c r="B1286" s="176"/>
      <c r="C1286" s="177"/>
      <c r="D1286" s="136"/>
      <c r="E1286" s="231"/>
      <c r="F1286" s="144"/>
      <c r="G1286" s="144"/>
      <c r="H1286" s="235"/>
      <c r="I1286" s="235"/>
      <c r="J1286" s="235"/>
      <c r="K1286" s="235"/>
      <c r="L1286" s="285"/>
    </row>
    <row r="1287" spans="1:12" ht="24.95" hidden="1" customHeight="1">
      <c r="A1287" s="136"/>
      <c r="B1287" s="176"/>
      <c r="C1287" s="177"/>
      <c r="D1287" s="136"/>
      <c r="E1287" s="231"/>
      <c r="F1287" s="144"/>
      <c r="G1287" s="144"/>
      <c r="H1287" s="235"/>
      <c r="I1287" s="235"/>
      <c r="J1287" s="235"/>
      <c r="K1287" s="235"/>
      <c r="L1287" s="285"/>
    </row>
    <row r="1288" spans="1:12" ht="24.95" hidden="1" customHeight="1">
      <c r="A1288" s="136"/>
      <c r="B1288" s="176"/>
      <c r="C1288" s="177"/>
      <c r="D1288" s="136"/>
      <c r="E1288" s="231"/>
      <c r="F1288" s="144"/>
      <c r="G1288" s="144"/>
      <c r="H1288" s="235"/>
      <c r="I1288" s="235"/>
      <c r="J1288" s="235"/>
      <c r="K1288" s="235"/>
      <c r="L1288" s="285"/>
    </row>
    <row r="1289" spans="1:12" ht="24.95" hidden="1" customHeight="1">
      <c r="A1289" s="136"/>
      <c r="B1289" s="176"/>
      <c r="C1289" s="177"/>
      <c r="D1289" s="136"/>
      <c r="E1289" s="231"/>
      <c r="F1289" s="144"/>
      <c r="G1289" s="144"/>
      <c r="H1289" s="235"/>
      <c r="I1289" s="235"/>
      <c r="J1289" s="235"/>
      <c r="K1289" s="235"/>
      <c r="L1289" s="285"/>
    </row>
    <row r="1290" spans="1:12" ht="24.95" hidden="1" customHeight="1">
      <c r="A1290" s="136"/>
      <c r="B1290" s="176"/>
      <c r="C1290" s="177"/>
      <c r="D1290" s="136"/>
      <c r="E1290" s="231"/>
      <c r="F1290" s="144"/>
      <c r="G1290" s="144"/>
      <c r="H1290" s="235"/>
      <c r="I1290" s="235"/>
      <c r="J1290" s="235"/>
      <c r="K1290" s="235"/>
      <c r="L1290" s="285"/>
    </row>
    <row r="1291" spans="1:12" ht="24.95" hidden="1" customHeight="1">
      <c r="A1291" s="136"/>
      <c r="B1291" s="176"/>
      <c r="C1291" s="177"/>
      <c r="D1291" s="136"/>
      <c r="E1291" s="231"/>
      <c r="F1291" s="144"/>
      <c r="G1291" s="144"/>
      <c r="H1291" s="235"/>
      <c r="I1291" s="235"/>
      <c r="J1291" s="235"/>
      <c r="K1291" s="235"/>
      <c r="L1291" s="285"/>
    </row>
    <row r="1292" spans="1:12" ht="24.95" hidden="1" customHeight="1">
      <c r="A1292" s="136"/>
      <c r="B1292" s="176"/>
      <c r="C1292" s="177"/>
      <c r="D1292" s="136"/>
      <c r="E1292" s="231"/>
      <c r="F1292" s="144"/>
      <c r="G1292" s="144"/>
      <c r="H1292" s="235"/>
      <c r="I1292" s="235"/>
      <c r="J1292" s="235"/>
      <c r="K1292" s="235"/>
      <c r="L1292" s="285"/>
    </row>
    <row r="1293" spans="1:12" ht="24.95" hidden="1" customHeight="1">
      <c r="A1293" s="136"/>
      <c r="B1293" s="176"/>
      <c r="C1293" s="177"/>
      <c r="D1293" s="136"/>
      <c r="E1293" s="231"/>
      <c r="F1293" s="144"/>
      <c r="G1293" s="144"/>
      <c r="H1293" s="235"/>
      <c r="I1293" s="235"/>
      <c r="J1293" s="235"/>
      <c r="K1293" s="235"/>
      <c r="L1293" s="285"/>
    </row>
    <row r="1294" spans="1:12" ht="24.95" hidden="1" customHeight="1">
      <c r="A1294" s="136"/>
      <c r="B1294" s="176"/>
      <c r="C1294" s="177"/>
      <c r="D1294" s="136"/>
      <c r="E1294" s="231"/>
      <c r="F1294" s="144"/>
      <c r="G1294" s="144"/>
      <c r="H1294" s="235"/>
      <c r="I1294" s="235"/>
      <c r="J1294" s="235"/>
      <c r="K1294" s="235"/>
      <c r="L1294" s="285"/>
    </row>
    <row r="1295" spans="1:12" ht="24.95" hidden="1" customHeight="1">
      <c r="A1295" s="136"/>
      <c r="B1295" s="176"/>
      <c r="C1295" s="177"/>
      <c r="D1295" s="136"/>
      <c r="E1295" s="231"/>
      <c r="F1295" s="144"/>
      <c r="G1295" s="144"/>
      <c r="H1295" s="235"/>
      <c r="I1295" s="235"/>
      <c r="J1295" s="235"/>
      <c r="K1295" s="235"/>
      <c r="L1295" s="285"/>
    </row>
    <row r="1296" spans="1:12" ht="24.95" hidden="1" customHeight="1">
      <c r="A1296" s="136"/>
      <c r="B1296" s="176"/>
      <c r="C1296" s="177"/>
      <c r="D1296" s="136"/>
      <c r="E1296" s="231"/>
      <c r="F1296" s="144"/>
      <c r="G1296" s="144"/>
      <c r="H1296" s="235"/>
      <c r="I1296" s="235"/>
      <c r="J1296" s="235"/>
      <c r="K1296" s="235"/>
      <c r="L1296" s="285"/>
    </row>
    <row r="1297" spans="1:12" ht="24.95" hidden="1" customHeight="1">
      <c r="A1297" s="136"/>
      <c r="B1297" s="176"/>
      <c r="C1297" s="177"/>
      <c r="D1297" s="136"/>
      <c r="E1297" s="231"/>
      <c r="F1297" s="144"/>
      <c r="G1297" s="144"/>
      <c r="H1297" s="235"/>
      <c r="I1297" s="235"/>
      <c r="J1297" s="235"/>
      <c r="K1297" s="235"/>
      <c r="L1297" s="285"/>
    </row>
    <row r="1298" spans="1:12" ht="24.95" hidden="1" customHeight="1">
      <c r="A1298" s="136"/>
      <c r="B1298" s="176"/>
      <c r="C1298" s="177"/>
      <c r="D1298" s="136"/>
      <c r="E1298" s="231"/>
      <c r="F1298" s="144"/>
      <c r="G1298" s="144"/>
      <c r="H1298" s="235"/>
      <c r="I1298" s="235"/>
      <c r="J1298" s="235"/>
      <c r="K1298" s="235"/>
      <c r="L1298" s="285"/>
    </row>
    <row r="1299" spans="1:12" ht="24.95" hidden="1" customHeight="1">
      <c r="A1299" s="136"/>
      <c r="B1299" s="176"/>
      <c r="C1299" s="177"/>
      <c r="D1299" s="136"/>
      <c r="E1299" s="231"/>
      <c r="F1299" s="144"/>
      <c r="G1299" s="144"/>
      <c r="H1299" s="235"/>
      <c r="I1299" s="235"/>
      <c r="J1299" s="235"/>
      <c r="K1299" s="235"/>
      <c r="L1299" s="285"/>
    </row>
    <row r="1300" spans="1:12" ht="24.95" hidden="1" customHeight="1">
      <c r="A1300" s="136"/>
      <c r="B1300" s="176"/>
      <c r="C1300" s="177"/>
      <c r="D1300" s="136"/>
      <c r="E1300" s="231"/>
      <c r="F1300" s="144"/>
      <c r="G1300" s="144"/>
      <c r="H1300" s="235"/>
      <c r="I1300" s="235"/>
      <c r="J1300" s="235"/>
      <c r="K1300" s="235"/>
      <c r="L1300" s="285"/>
    </row>
    <row r="1301" spans="1:12" ht="24.95" hidden="1" customHeight="1">
      <c r="A1301" s="136"/>
      <c r="B1301" s="176"/>
      <c r="C1301" s="177"/>
      <c r="D1301" s="136"/>
      <c r="E1301" s="231"/>
      <c r="F1301" s="144"/>
      <c r="G1301" s="144"/>
      <c r="H1301" s="235"/>
      <c r="I1301" s="235"/>
      <c r="J1301" s="235"/>
      <c r="K1301" s="235"/>
      <c r="L1301" s="285"/>
    </row>
    <row r="1302" spans="1:12" ht="24.95" hidden="1" customHeight="1">
      <c r="A1302" s="136"/>
      <c r="B1302" s="176"/>
      <c r="C1302" s="177"/>
      <c r="D1302" s="136"/>
      <c r="E1302" s="231"/>
      <c r="F1302" s="144"/>
      <c r="G1302" s="144"/>
      <c r="H1302" s="235"/>
      <c r="I1302" s="235"/>
      <c r="J1302" s="235"/>
      <c r="K1302" s="235"/>
      <c r="L1302" s="285"/>
    </row>
    <row r="1303" spans="1:12" ht="24.95" hidden="1" customHeight="1">
      <c r="A1303" s="136"/>
      <c r="B1303" s="176"/>
      <c r="C1303" s="177"/>
      <c r="D1303" s="136"/>
      <c r="E1303" s="231"/>
      <c r="F1303" s="144"/>
      <c r="G1303" s="144"/>
      <c r="H1303" s="235"/>
      <c r="I1303" s="235"/>
      <c r="J1303" s="235"/>
      <c r="K1303" s="235"/>
      <c r="L1303" s="285"/>
    </row>
    <row r="1304" spans="1:12" ht="24.95" hidden="1" customHeight="1">
      <c r="A1304" s="136"/>
      <c r="B1304" s="176"/>
      <c r="C1304" s="177"/>
      <c r="D1304" s="136"/>
      <c r="E1304" s="231"/>
      <c r="F1304" s="144"/>
      <c r="G1304" s="144"/>
      <c r="H1304" s="235"/>
      <c r="I1304" s="235"/>
      <c r="J1304" s="235"/>
      <c r="K1304" s="235"/>
      <c r="L1304" s="285"/>
    </row>
    <row r="1305" spans="1:12" ht="24.95" hidden="1" customHeight="1">
      <c r="A1305" s="136"/>
      <c r="B1305" s="176"/>
      <c r="C1305" s="177"/>
      <c r="D1305" s="136"/>
      <c r="E1305" s="231"/>
      <c r="F1305" s="144"/>
      <c r="G1305" s="144"/>
      <c r="H1305" s="235"/>
      <c r="I1305" s="235"/>
      <c r="J1305" s="235"/>
      <c r="K1305" s="235"/>
      <c r="L1305" s="285"/>
    </row>
    <row r="1306" spans="1:12" ht="24.95" hidden="1" customHeight="1">
      <c r="A1306" s="136"/>
      <c r="B1306" s="176"/>
      <c r="C1306" s="177"/>
      <c r="D1306" s="136"/>
      <c r="E1306" s="231"/>
      <c r="F1306" s="144"/>
      <c r="G1306" s="144"/>
      <c r="H1306" s="235"/>
      <c r="I1306" s="235"/>
      <c r="J1306" s="235"/>
      <c r="K1306" s="235"/>
      <c r="L1306" s="285"/>
    </row>
    <row r="1307" spans="1:12" ht="24.95" hidden="1" customHeight="1">
      <c r="A1307" s="136"/>
      <c r="B1307" s="176"/>
      <c r="C1307" s="177"/>
      <c r="D1307" s="136"/>
      <c r="E1307" s="231"/>
      <c r="F1307" s="144"/>
      <c r="G1307" s="144"/>
      <c r="H1307" s="235"/>
      <c r="I1307" s="235"/>
      <c r="J1307" s="235"/>
      <c r="K1307" s="235"/>
      <c r="L1307" s="285"/>
    </row>
    <row r="1308" spans="1:12" ht="24.95" hidden="1" customHeight="1">
      <c r="A1308" s="136"/>
      <c r="B1308" s="176"/>
      <c r="C1308" s="177"/>
      <c r="D1308" s="136"/>
      <c r="E1308" s="231"/>
      <c r="F1308" s="144"/>
      <c r="G1308" s="144"/>
      <c r="H1308" s="235"/>
      <c r="I1308" s="235"/>
      <c r="J1308" s="235"/>
      <c r="K1308" s="235"/>
      <c r="L1308" s="285"/>
    </row>
    <row r="1309" spans="1:12" ht="24.95" hidden="1" customHeight="1">
      <c r="A1309" s="136"/>
      <c r="B1309" s="176"/>
      <c r="C1309" s="177"/>
      <c r="D1309" s="136"/>
      <c r="E1309" s="231"/>
      <c r="F1309" s="144"/>
      <c r="G1309" s="144"/>
      <c r="H1309" s="235"/>
      <c r="I1309" s="235"/>
      <c r="J1309" s="235"/>
      <c r="K1309" s="235"/>
      <c r="L1309" s="285"/>
    </row>
    <row r="1310" spans="1:12" ht="24.95" hidden="1" customHeight="1">
      <c r="A1310" s="136"/>
      <c r="B1310" s="176"/>
      <c r="C1310" s="177"/>
      <c r="D1310" s="136"/>
      <c r="E1310" s="231"/>
      <c r="F1310" s="144"/>
      <c r="G1310" s="144"/>
      <c r="H1310" s="235"/>
      <c r="I1310" s="235"/>
      <c r="J1310" s="235"/>
      <c r="K1310" s="235"/>
      <c r="L1310" s="285"/>
    </row>
    <row r="1311" spans="1:12" ht="24.95" hidden="1" customHeight="1">
      <c r="A1311" s="136"/>
      <c r="B1311" s="176"/>
      <c r="C1311" s="177"/>
      <c r="D1311" s="136"/>
      <c r="E1311" s="231"/>
      <c r="F1311" s="144"/>
      <c r="G1311" s="144"/>
      <c r="H1311" s="235"/>
      <c r="I1311" s="235"/>
      <c r="J1311" s="235"/>
      <c r="K1311" s="235"/>
      <c r="L1311" s="285"/>
    </row>
    <row r="1312" spans="1:12" ht="24.95" hidden="1" customHeight="1">
      <c r="A1312" s="136"/>
      <c r="B1312" s="176"/>
      <c r="C1312" s="177"/>
      <c r="D1312" s="136"/>
      <c r="E1312" s="231"/>
      <c r="F1312" s="144"/>
      <c r="G1312" s="144"/>
      <c r="H1312" s="235"/>
      <c r="I1312" s="235"/>
      <c r="J1312" s="235"/>
      <c r="K1312" s="235"/>
      <c r="L1312" s="285"/>
    </row>
    <row r="1313" spans="1:12" ht="24.95" hidden="1" customHeight="1">
      <c r="A1313" s="136"/>
      <c r="B1313" s="176"/>
      <c r="C1313" s="177"/>
      <c r="D1313" s="136"/>
      <c r="E1313" s="231"/>
      <c r="F1313" s="144"/>
      <c r="G1313" s="144"/>
      <c r="H1313" s="235"/>
      <c r="I1313" s="235"/>
      <c r="J1313" s="235"/>
      <c r="K1313" s="235"/>
      <c r="L1313" s="285"/>
    </row>
    <row r="1314" spans="1:12" ht="24.95" hidden="1" customHeight="1">
      <c r="A1314" s="136"/>
      <c r="B1314" s="176"/>
      <c r="C1314" s="177"/>
      <c r="D1314" s="136"/>
      <c r="E1314" s="231"/>
      <c r="F1314" s="144"/>
      <c r="G1314" s="144"/>
      <c r="H1314" s="235"/>
      <c r="I1314" s="235"/>
      <c r="J1314" s="235"/>
      <c r="K1314" s="235"/>
      <c r="L1314" s="285"/>
    </row>
    <row r="1315" spans="1:12" ht="24.95" hidden="1" customHeight="1">
      <c r="A1315" s="136"/>
      <c r="B1315" s="176"/>
      <c r="C1315" s="177"/>
      <c r="D1315" s="136"/>
      <c r="E1315" s="231"/>
      <c r="F1315" s="144"/>
      <c r="G1315" s="144"/>
      <c r="H1315" s="235"/>
      <c r="I1315" s="235"/>
      <c r="J1315" s="235"/>
      <c r="K1315" s="235"/>
      <c r="L1315" s="285"/>
    </row>
    <row r="1316" spans="1:12" ht="24.95" hidden="1" customHeight="1">
      <c r="A1316" s="136"/>
      <c r="B1316" s="176"/>
      <c r="C1316" s="177"/>
      <c r="D1316" s="136"/>
      <c r="E1316" s="231"/>
      <c r="F1316" s="144"/>
      <c r="G1316" s="144"/>
      <c r="H1316" s="235"/>
      <c r="I1316" s="235"/>
      <c r="J1316" s="235"/>
      <c r="K1316" s="235"/>
      <c r="L1316" s="285"/>
    </row>
    <row r="1317" spans="1:12" ht="24.95" hidden="1" customHeight="1">
      <c r="A1317" s="136"/>
      <c r="B1317" s="176"/>
      <c r="C1317" s="177"/>
      <c r="D1317" s="136"/>
      <c r="E1317" s="231"/>
      <c r="F1317" s="144"/>
      <c r="G1317" s="144"/>
      <c r="H1317" s="235"/>
      <c r="I1317" s="235"/>
      <c r="J1317" s="235"/>
      <c r="K1317" s="235"/>
      <c r="L1317" s="285"/>
    </row>
    <row r="1318" spans="1:12" ht="24.95" hidden="1" customHeight="1">
      <c r="A1318" s="136"/>
      <c r="B1318" s="176"/>
      <c r="C1318" s="177"/>
      <c r="D1318" s="136"/>
      <c r="E1318" s="231"/>
      <c r="F1318" s="144"/>
      <c r="G1318" s="144"/>
      <c r="H1318" s="235"/>
      <c r="I1318" s="235"/>
      <c r="J1318" s="235"/>
      <c r="K1318" s="235"/>
      <c r="L1318" s="285"/>
    </row>
    <row r="1319" spans="1:12" ht="24.95" hidden="1" customHeight="1">
      <c r="A1319" s="136"/>
      <c r="B1319" s="176"/>
      <c r="C1319" s="177"/>
      <c r="D1319" s="136"/>
      <c r="E1319" s="231"/>
      <c r="F1319" s="144"/>
      <c r="G1319" s="144"/>
      <c r="H1319" s="235"/>
      <c r="I1319" s="235"/>
      <c r="J1319" s="235"/>
      <c r="K1319" s="235"/>
      <c r="L1319" s="285"/>
    </row>
    <row r="1320" spans="1:12" ht="24.95" hidden="1" customHeight="1">
      <c r="A1320" s="136"/>
      <c r="B1320" s="176"/>
      <c r="C1320" s="177"/>
      <c r="D1320" s="136"/>
      <c r="E1320" s="231"/>
      <c r="F1320" s="144"/>
      <c r="G1320" s="144"/>
      <c r="H1320" s="235"/>
      <c r="I1320" s="235"/>
      <c r="J1320" s="235"/>
      <c r="K1320" s="235"/>
      <c r="L1320" s="285"/>
    </row>
    <row r="1321" spans="1:12" ht="24.95" hidden="1" customHeight="1">
      <c r="A1321" s="136"/>
      <c r="B1321" s="176"/>
      <c r="C1321" s="177"/>
      <c r="D1321" s="136"/>
      <c r="E1321" s="231"/>
      <c r="F1321" s="144"/>
      <c r="G1321" s="144"/>
      <c r="H1321" s="235"/>
      <c r="I1321" s="235"/>
      <c r="J1321" s="235"/>
      <c r="K1321" s="235"/>
      <c r="L1321" s="285"/>
    </row>
    <row r="1322" spans="1:12" ht="24.95" hidden="1" customHeight="1">
      <c r="A1322" s="136"/>
      <c r="B1322" s="176"/>
      <c r="C1322" s="177"/>
      <c r="D1322" s="136"/>
      <c r="E1322" s="231"/>
      <c r="F1322" s="144"/>
      <c r="G1322" s="144"/>
      <c r="H1322" s="235"/>
      <c r="I1322" s="235"/>
      <c r="J1322" s="235"/>
      <c r="K1322" s="235"/>
      <c r="L1322" s="285"/>
    </row>
    <row r="1323" spans="1:12" ht="24.95" hidden="1" customHeight="1">
      <c r="A1323" s="136"/>
      <c r="B1323" s="176"/>
      <c r="C1323" s="177"/>
      <c r="D1323" s="136"/>
      <c r="E1323" s="231"/>
      <c r="F1323" s="144"/>
      <c r="G1323" s="144"/>
      <c r="H1323" s="235"/>
      <c r="I1323" s="235"/>
      <c r="J1323" s="235"/>
      <c r="K1323" s="235"/>
      <c r="L1323" s="285"/>
    </row>
    <row r="1324" spans="1:12" ht="24.95" hidden="1" customHeight="1">
      <c r="A1324" s="136"/>
      <c r="B1324" s="176"/>
      <c r="C1324" s="177"/>
      <c r="D1324" s="136"/>
      <c r="E1324" s="231"/>
      <c r="F1324" s="144"/>
      <c r="G1324" s="144"/>
      <c r="H1324" s="235"/>
      <c r="I1324" s="235"/>
      <c r="J1324" s="235"/>
      <c r="K1324" s="235"/>
      <c r="L1324" s="285"/>
    </row>
    <row r="1325" spans="1:12" ht="24.95" hidden="1" customHeight="1">
      <c r="A1325" s="136"/>
      <c r="B1325" s="176"/>
      <c r="C1325" s="177"/>
      <c r="D1325" s="136"/>
      <c r="E1325" s="231"/>
      <c r="F1325" s="144"/>
      <c r="G1325" s="144"/>
      <c r="H1325" s="235"/>
      <c r="I1325" s="235"/>
      <c r="J1325" s="235"/>
      <c r="K1325" s="235"/>
      <c r="L1325" s="285"/>
    </row>
    <row r="1326" spans="1:12" ht="24.95" hidden="1" customHeight="1">
      <c r="A1326" s="136"/>
      <c r="B1326" s="176"/>
      <c r="C1326" s="177"/>
      <c r="D1326" s="136"/>
      <c r="E1326" s="231"/>
      <c r="F1326" s="144"/>
      <c r="G1326" s="144"/>
      <c r="H1326" s="235"/>
      <c r="I1326" s="235"/>
      <c r="J1326" s="235"/>
      <c r="K1326" s="235"/>
      <c r="L1326" s="285"/>
    </row>
    <row r="1327" spans="1:12" ht="24.95" hidden="1" customHeight="1">
      <c r="A1327" s="136"/>
      <c r="B1327" s="176"/>
      <c r="C1327" s="177"/>
      <c r="D1327" s="136"/>
      <c r="E1327" s="231"/>
      <c r="F1327" s="144"/>
      <c r="G1327" s="144"/>
      <c r="H1327" s="235"/>
      <c r="I1327" s="235"/>
      <c r="J1327" s="235"/>
      <c r="K1327" s="235"/>
      <c r="L1327" s="285"/>
    </row>
    <row r="1328" spans="1:12" ht="24.95" hidden="1" customHeight="1">
      <c r="A1328" s="136"/>
      <c r="B1328" s="176"/>
      <c r="C1328" s="177"/>
      <c r="D1328" s="136"/>
      <c r="E1328" s="231"/>
      <c r="F1328" s="144"/>
      <c r="G1328" s="144"/>
      <c r="H1328" s="235"/>
      <c r="I1328" s="235"/>
      <c r="J1328" s="235"/>
      <c r="K1328" s="235"/>
      <c r="L1328" s="285"/>
    </row>
    <row r="1329" spans="1:12" ht="24.95" hidden="1" customHeight="1">
      <c r="A1329" s="136"/>
      <c r="B1329" s="176"/>
      <c r="C1329" s="177"/>
      <c r="D1329" s="136"/>
      <c r="E1329" s="231"/>
      <c r="F1329" s="144"/>
      <c r="G1329" s="144"/>
      <c r="H1329" s="235"/>
      <c r="I1329" s="235"/>
      <c r="J1329" s="235"/>
      <c r="K1329" s="235"/>
      <c r="L1329" s="285"/>
    </row>
    <row r="1330" spans="1:12" ht="24.95" hidden="1" customHeight="1">
      <c r="A1330" s="136"/>
      <c r="B1330" s="176"/>
      <c r="C1330" s="177"/>
      <c r="D1330" s="136"/>
      <c r="E1330" s="231"/>
      <c r="F1330" s="144"/>
      <c r="G1330" s="144"/>
      <c r="H1330" s="235"/>
      <c r="I1330" s="235"/>
      <c r="J1330" s="235"/>
      <c r="K1330" s="235"/>
      <c r="L1330" s="285"/>
    </row>
    <row r="1331" spans="1:12" ht="24.95" hidden="1" customHeight="1">
      <c r="A1331" s="136"/>
      <c r="B1331" s="176"/>
      <c r="C1331" s="177"/>
      <c r="D1331" s="136"/>
      <c r="E1331" s="231"/>
      <c r="F1331" s="144"/>
      <c r="G1331" s="144"/>
      <c r="H1331" s="235"/>
      <c r="I1331" s="235"/>
      <c r="J1331" s="235"/>
      <c r="K1331" s="235"/>
      <c r="L1331" s="285"/>
    </row>
    <row r="1332" spans="1:12" ht="24.95" hidden="1" customHeight="1">
      <c r="A1332" s="136"/>
      <c r="B1332" s="176"/>
      <c r="C1332" s="177"/>
      <c r="D1332" s="136"/>
      <c r="E1332" s="231"/>
      <c r="F1332" s="144"/>
      <c r="G1332" s="144"/>
      <c r="H1332" s="235"/>
      <c r="I1332" s="235"/>
      <c r="J1332" s="235"/>
      <c r="K1332" s="235"/>
      <c r="L1332" s="285"/>
    </row>
    <row r="1333" spans="1:12" ht="24.95" hidden="1" customHeight="1">
      <c r="A1333" s="136"/>
      <c r="B1333" s="176"/>
      <c r="C1333" s="177"/>
      <c r="D1333" s="136"/>
      <c r="E1333" s="231"/>
      <c r="F1333" s="144"/>
      <c r="G1333" s="144"/>
      <c r="H1333" s="235"/>
      <c r="I1333" s="235"/>
      <c r="J1333" s="235"/>
      <c r="K1333" s="235"/>
      <c r="L1333" s="285"/>
    </row>
    <row r="1334" spans="1:12" ht="24.95" hidden="1" customHeight="1">
      <c r="A1334" s="136"/>
      <c r="B1334" s="176"/>
      <c r="C1334" s="177"/>
      <c r="D1334" s="136"/>
      <c r="E1334" s="231"/>
      <c r="F1334" s="144"/>
      <c r="G1334" s="144"/>
      <c r="H1334" s="235"/>
      <c r="I1334" s="235"/>
      <c r="J1334" s="235"/>
      <c r="K1334" s="235"/>
      <c r="L1334" s="285"/>
    </row>
    <row r="1335" spans="1:12" ht="24.95" hidden="1" customHeight="1">
      <c r="A1335" s="136"/>
      <c r="B1335" s="176"/>
      <c r="C1335" s="177"/>
      <c r="D1335" s="136"/>
      <c r="E1335" s="231"/>
      <c r="F1335" s="144"/>
      <c r="G1335" s="144"/>
      <c r="H1335" s="235"/>
      <c r="I1335" s="235"/>
      <c r="J1335" s="235"/>
      <c r="K1335" s="235"/>
      <c r="L1335" s="285"/>
    </row>
    <row r="1336" spans="1:12" ht="24.95" hidden="1" customHeight="1">
      <c r="A1336" s="136"/>
      <c r="B1336" s="176"/>
      <c r="C1336" s="177"/>
      <c r="D1336" s="136"/>
      <c r="E1336" s="231"/>
      <c r="F1336" s="144"/>
      <c r="G1336" s="144"/>
      <c r="H1336" s="235"/>
      <c r="I1336" s="235"/>
      <c r="J1336" s="235"/>
      <c r="K1336" s="235"/>
      <c r="L1336" s="285"/>
    </row>
    <row r="1337" spans="1:12" ht="24.95" hidden="1" customHeight="1">
      <c r="A1337" s="136"/>
      <c r="B1337" s="176"/>
      <c r="C1337" s="177"/>
      <c r="D1337" s="136"/>
      <c r="E1337" s="231"/>
      <c r="F1337" s="144"/>
      <c r="G1337" s="144"/>
      <c r="H1337" s="235"/>
      <c r="I1337" s="235"/>
      <c r="J1337" s="235"/>
      <c r="K1337" s="235"/>
      <c r="L1337" s="285"/>
    </row>
    <row r="1338" spans="1:12" ht="24.95" hidden="1" customHeight="1">
      <c r="A1338" s="136"/>
      <c r="B1338" s="176"/>
      <c r="C1338" s="177"/>
      <c r="D1338" s="136"/>
      <c r="E1338" s="231"/>
      <c r="F1338" s="144"/>
      <c r="G1338" s="144"/>
      <c r="H1338" s="235"/>
      <c r="I1338" s="235"/>
      <c r="J1338" s="235"/>
      <c r="K1338" s="235"/>
      <c r="L1338" s="285"/>
    </row>
    <row r="1339" spans="1:12" ht="24.95" hidden="1" customHeight="1">
      <c r="A1339" s="136"/>
      <c r="B1339" s="176"/>
      <c r="C1339" s="177"/>
      <c r="D1339" s="136"/>
      <c r="E1339" s="231"/>
      <c r="F1339" s="144"/>
      <c r="G1339" s="144"/>
      <c r="H1339" s="235"/>
      <c r="I1339" s="235"/>
      <c r="J1339" s="235"/>
      <c r="K1339" s="235"/>
      <c r="L1339" s="285"/>
    </row>
    <row r="1340" spans="1:12" ht="24.95" hidden="1" customHeight="1">
      <c r="A1340" s="136"/>
      <c r="B1340" s="176"/>
      <c r="C1340" s="177"/>
      <c r="D1340" s="136"/>
      <c r="E1340" s="231"/>
      <c r="F1340" s="144"/>
      <c r="G1340" s="144"/>
      <c r="H1340" s="235"/>
      <c r="I1340" s="235"/>
      <c r="J1340" s="235"/>
      <c r="K1340" s="235"/>
      <c r="L1340" s="285"/>
    </row>
    <row r="1341" spans="1:12" ht="24.95" hidden="1" customHeight="1">
      <c r="A1341" s="136"/>
      <c r="B1341" s="176"/>
      <c r="C1341" s="177"/>
      <c r="D1341" s="136"/>
      <c r="E1341" s="231"/>
      <c r="F1341" s="144"/>
      <c r="G1341" s="144"/>
      <c r="H1341" s="235"/>
      <c r="I1341" s="235"/>
      <c r="J1341" s="235"/>
      <c r="K1341" s="235"/>
      <c r="L1341" s="285"/>
    </row>
    <row r="1342" spans="1:12" ht="24.95" hidden="1" customHeight="1">
      <c r="A1342" s="136"/>
      <c r="B1342" s="176"/>
      <c r="C1342" s="177"/>
      <c r="D1342" s="136"/>
      <c r="E1342" s="231"/>
      <c r="F1342" s="144"/>
      <c r="G1342" s="144"/>
      <c r="H1342" s="235"/>
      <c r="I1342" s="235"/>
      <c r="J1342" s="235"/>
      <c r="K1342" s="235"/>
      <c r="L1342" s="285"/>
    </row>
    <row r="1343" spans="1:12" ht="24.95" hidden="1" customHeight="1">
      <c r="A1343" s="136"/>
      <c r="B1343" s="176"/>
      <c r="C1343" s="177"/>
      <c r="D1343" s="136"/>
      <c r="E1343" s="231"/>
      <c r="F1343" s="144"/>
      <c r="G1343" s="144"/>
      <c r="H1343" s="235"/>
      <c r="I1343" s="235"/>
      <c r="J1343" s="235"/>
      <c r="K1343" s="235"/>
      <c r="L1343" s="285"/>
    </row>
    <row r="1344" spans="1:12" ht="24.95" hidden="1" customHeight="1">
      <c r="A1344" s="136"/>
      <c r="B1344" s="176"/>
      <c r="C1344" s="177"/>
      <c r="D1344" s="136"/>
      <c r="E1344" s="231"/>
      <c r="F1344" s="144"/>
      <c r="G1344" s="144"/>
      <c r="H1344" s="235"/>
      <c r="I1344" s="235"/>
      <c r="J1344" s="235"/>
      <c r="K1344" s="235"/>
      <c r="L1344" s="285"/>
    </row>
    <row r="1345" spans="1:12" ht="24.95" hidden="1" customHeight="1">
      <c r="A1345" s="136"/>
      <c r="B1345" s="176"/>
      <c r="C1345" s="177"/>
      <c r="D1345" s="136"/>
      <c r="E1345" s="231"/>
      <c r="F1345" s="144"/>
      <c r="G1345" s="144"/>
      <c r="H1345" s="235"/>
      <c r="I1345" s="235"/>
      <c r="J1345" s="235"/>
      <c r="K1345" s="235"/>
      <c r="L1345" s="285"/>
    </row>
    <row r="1346" spans="1:12" ht="24.95" hidden="1" customHeight="1">
      <c r="A1346" s="136"/>
      <c r="B1346" s="176"/>
      <c r="C1346" s="177"/>
      <c r="D1346" s="136"/>
      <c r="E1346" s="231"/>
      <c r="F1346" s="144"/>
      <c r="G1346" s="144"/>
      <c r="H1346" s="235"/>
      <c r="I1346" s="235"/>
      <c r="J1346" s="235"/>
      <c r="K1346" s="235"/>
      <c r="L1346" s="285"/>
    </row>
    <row r="1347" spans="1:12" ht="24.95" hidden="1" customHeight="1">
      <c r="A1347" s="136"/>
      <c r="B1347" s="176"/>
      <c r="C1347" s="177"/>
      <c r="D1347" s="136"/>
      <c r="E1347" s="231"/>
      <c r="F1347" s="144"/>
      <c r="G1347" s="144"/>
      <c r="H1347" s="235"/>
      <c r="I1347" s="235"/>
      <c r="J1347" s="235"/>
      <c r="K1347" s="235"/>
      <c r="L1347" s="285"/>
    </row>
    <row r="1348" spans="1:12" ht="24.95" hidden="1" customHeight="1">
      <c r="A1348" s="136"/>
      <c r="B1348" s="176"/>
      <c r="C1348" s="177"/>
      <c r="D1348" s="136"/>
      <c r="E1348" s="231"/>
      <c r="F1348" s="144"/>
      <c r="G1348" s="144"/>
      <c r="H1348" s="235"/>
      <c r="I1348" s="235"/>
      <c r="J1348" s="235"/>
      <c r="K1348" s="235"/>
      <c r="L1348" s="285"/>
    </row>
    <row r="1349" spans="1:12" ht="24.95" hidden="1" customHeight="1">
      <c r="A1349" s="136"/>
      <c r="B1349" s="176"/>
      <c r="C1349" s="177"/>
      <c r="D1349" s="136"/>
      <c r="E1349" s="231"/>
      <c r="F1349" s="144"/>
      <c r="G1349" s="144"/>
      <c r="H1349" s="235"/>
      <c r="I1349" s="235"/>
      <c r="J1349" s="235"/>
      <c r="K1349" s="235"/>
      <c r="L1349" s="285"/>
    </row>
    <row r="1350" spans="1:12" ht="24.95" hidden="1" customHeight="1">
      <c r="A1350" s="136"/>
      <c r="B1350" s="176"/>
      <c r="C1350" s="177"/>
      <c r="D1350" s="136"/>
      <c r="E1350" s="231"/>
      <c r="F1350" s="144"/>
      <c r="G1350" s="144"/>
      <c r="H1350" s="235"/>
      <c r="I1350" s="235"/>
      <c r="J1350" s="235"/>
      <c r="K1350" s="235"/>
      <c r="L1350" s="285"/>
    </row>
    <row r="1351" spans="1:12" ht="24.95" hidden="1" customHeight="1">
      <c r="A1351" s="136"/>
      <c r="B1351" s="176"/>
      <c r="C1351" s="177"/>
      <c r="D1351" s="136"/>
      <c r="E1351" s="231"/>
      <c r="F1351" s="144"/>
      <c r="G1351" s="144"/>
      <c r="H1351" s="235"/>
      <c r="I1351" s="235"/>
      <c r="J1351" s="235"/>
      <c r="K1351" s="235"/>
      <c r="L1351" s="285"/>
    </row>
    <row r="1352" spans="1:12" ht="24.95" hidden="1" customHeight="1">
      <c r="A1352" s="136"/>
      <c r="B1352" s="176"/>
      <c r="C1352" s="177"/>
      <c r="D1352" s="136"/>
      <c r="E1352" s="231"/>
      <c r="F1352" s="144"/>
      <c r="G1352" s="144"/>
      <c r="H1352" s="235"/>
      <c r="I1352" s="235"/>
      <c r="J1352" s="235"/>
      <c r="K1352" s="235"/>
      <c r="L1352" s="285"/>
    </row>
    <row r="1353" spans="1:12" ht="24.95" hidden="1" customHeight="1">
      <c r="A1353" s="136"/>
      <c r="B1353" s="176"/>
      <c r="C1353" s="177"/>
      <c r="D1353" s="136"/>
      <c r="E1353" s="231"/>
      <c r="F1353" s="144"/>
      <c r="G1353" s="144"/>
      <c r="H1353" s="235"/>
      <c r="I1353" s="235"/>
      <c r="J1353" s="235"/>
      <c r="K1353" s="235"/>
      <c r="L1353" s="285"/>
    </row>
    <row r="1354" spans="1:12" ht="24.95" hidden="1" customHeight="1">
      <c r="A1354" s="136"/>
      <c r="B1354" s="176"/>
      <c r="C1354" s="177"/>
      <c r="D1354" s="136"/>
      <c r="E1354" s="231"/>
      <c r="F1354" s="144"/>
      <c r="G1354" s="144"/>
      <c r="H1354" s="235"/>
      <c r="I1354" s="235"/>
      <c r="J1354" s="235"/>
      <c r="K1354" s="235"/>
      <c r="L1354" s="285"/>
    </row>
    <row r="1355" spans="1:12" ht="24.95" hidden="1" customHeight="1">
      <c r="A1355" s="136"/>
      <c r="B1355" s="176"/>
      <c r="C1355" s="177"/>
      <c r="D1355" s="136"/>
      <c r="E1355" s="231"/>
      <c r="F1355" s="144"/>
      <c r="G1355" s="144"/>
      <c r="H1355" s="235"/>
      <c r="I1355" s="235"/>
      <c r="J1355" s="235"/>
      <c r="K1355" s="235"/>
      <c r="L1355" s="285"/>
    </row>
    <row r="1356" spans="1:12" ht="24.95" hidden="1" customHeight="1">
      <c r="A1356" s="136"/>
      <c r="B1356" s="176"/>
      <c r="C1356" s="177"/>
      <c r="D1356" s="136"/>
      <c r="E1356" s="231"/>
      <c r="F1356" s="144"/>
      <c r="G1356" s="144"/>
      <c r="H1356" s="235"/>
      <c r="I1356" s="235"/>
      <c r="J1356" s="235"/>
      <c r="K1356" s="235"/>
      <c r="L1356" s="285"/>
    </row>
    <row r="1357" spans="1:12" ht="24.95" hidden="1" customHeight="1">
      <c r="A1357" s="136"/>
      <c r="B1357" s="176"/>
      <c r="C1357" s="177"/>
      <c r="D1357" s="136"/>
      <c r="E1357" s="231"/>
      <c r="F1357" s="144"/>
      <c r="G1357" s="144"/>
      <c r="H1357" s="235"/>
      <c r="I1357" s="235"/>
      <c r="J1357" s="235"/>
      <c r="K1357" s="235"/>
      <c r="L1357" s="285"/>
    </row>
    <row r="1358" spans="1:12" ht="24.95" hidden="1" customHeight="1">
      <c r="A1358" s="136"/>
      <c r="B1358" s="176"/>
      <c r="C1358" s="177"/>
      <c r="D1358" s="136"/>
      <c r="E1358" s="231"/>
      <c r="F1358" s="144"/>
      <c r="G1358" s="144"/>
      <c r="H1358" s="235"/>
      <c r="I1358" s="235"/>
      <c r="J1358" s="235"/>
      <c r="K1358" s="235"/>
      <c r="L1358" s="285"/>
    </row>
    <row r="1359" spans="1:12" ht="24.95" hidden="1" customHeight="1">
      <c r="A1359" s="136"/>
      <c r="B1359" s="176"/>
      <c r="C1359" s="177"/>
      <c r="D1359" s="136"/>
      <c r="E1359" s="231"/>
      <c r="F1359" s="144"/>
      <c r="G1359" s="144"/>
      <c r="H1359" s="235"/>
      <c r="I1359" s="235"/>
      <c r="J1359" s="235"/>
      <c r="K1359" s="235"/>
      <c r="L1359" s="285"/>
    </row>
    <row r="1360" spans="1:12" ht="24.95" hidden="1" customHeight="1">
      <c r="A1360" s="136"/>
      <c r="B1360" s="176"/>
      <c r="C1360" s="177"/>
      <c r="D1360" s="136"/>
      <c r="E1360" s="231"/>
      <c r="F1360" s="144"/>
      <c r="G1360" s="144"/>
      <c r="H1360" s="235"/>
      <c r="I1360" s="235"/>
      <c r="J1360" s="235"/>
      <c r="K1360" s="235"/>
      <c r="L1360" s="285"/>
    </row>
    <row r="1361" spans="1:12" ht="24.95" hidden="1" customHeight="1">
      <c r="A1361" s="136"/>
      <c r="B1361" s="176"/>
      <c r="C1361" s="177"/>
      <c r="D1361" s="136"/>
      <c r="E1361" s="231"/>
      <c r="F1361" s="144"/>
      <c r="G1361" s="144"/>
      <c r="H1361" s="235"/>
      <c r="I1361" s="235"/>
      <c r="J1361" s="235"/>
      <c r="K1361" s="235"/>
      <c r="L1361" s="285"/>
    </row>
    <row r="1362" spans="1:12" ht="24.95" hidden="1" customHeight="1">
      <c r="A1362" s="136"/>
      <c r="B1362" s="176"/>
      <c r="C1362" s="177"/>
      <c r="D1362" s="136"/>
      <c r="E1362" s="231"/>
      <c r="F1362" s="144"/>
      <c r="G1362" s="144"/>
      <c r="H1362" s="235"/>
      <c r="I1362" s="235"/>
      <c r="J1362" s="235"/>
      <c r="K1362" s="235"/>
      <c r="L1362" s="285"/>
    </row>
    <row r="1363" spans="1:12" ht="24.95" hidden="1" customHeight="1">
      <c r="A1363" s="136"/>
      <c r="B1363" s="176"/>
      <c r="C1363" s="177"/>
      <c r="D1363" s="136"/>
      <c r="E1363" s="231"/>
      <c r="F1363" s="144"/>
      <c r="G1363" s="144"/>
      <c r="H1363" s="235"/>
      <c r="I1363" s="235"/>
      <c r="J1363" s="235"/>
      <c r="K1363" s="235"/>
      <c r="L1363" s="285"/>
    </row>
    <row r="1364" spans="1:12" ht="24.95" hidden="1" customHeight="1">
      <c r="A1364" s="136"/>
      <c r="B1364" s="176"/>
      <c r="C1364" s="177"/>
      <c r="D1364" s="136"/>
      <c r="E1364" s="231"/>
      <c r="F1364" s="144"/>
      <c r="G1364" s="144"/>
      <c r="H1364" s="235"/>
      <c r="I1364" s="235"/>
      <c r="J1364" s="235"/>
      <c r="K1364" s="235"/>
      <c r="L1364" s="285"/>
    </row>
    <row r="1365" spans="1:12" ht="24.95" hidden="1" customHeight="1">
      <c r="A1365" s="136"/>
      <c r="B1365" s="176"/>
      <c r="C1365" s="177"/>
      <c r="D1365" s="136"/>
      <c r="E1365" s="231"/>
      <c r="F1365" s="144"/>
      <c r="G1365" s="144"/>
      <c r="H1365" s="235"/>
      <c r="I1365" s="235"/>
      <c r="J1365" s="235"/>
      <c r="K1365" s="235"/>
      <c r="L1365" s="285"/>
    </row>
    <row r="1366" spans="1:12" ht="24.95" hidden="1" customHeight="1">
      <c r="A1366" s="136"/>
      <c r="B1366" s="176"/>
      <c r="C1366" s="177"/>
      <c r="D1366" s="136"/>
      <c r="E1366" s="231"/>
      <c r="F1366" s="144"/>
      <c r="G1366" s="144"/>
      <c r="H1366" s="235"/>
      <c r="I1366" s="235"/>
      <c r="J1366" s="235"/>
      <c r="K1366" s="235"/>
      <c r="L1366" s="285"/>
    </row>
    <row r="1367" spans="1:12" ht="24.95" hidden="1" customHeight="1">
      <c r="A1367" s="136"/>
      <c r="B1367" s="176"/>
      <c r="C1367" s="177"/>
      <c r="D1367" s="136"/>
      <c r="E1367" s="231"/>
      <c r="F1367" s="144"/>
      <c r="G1367" s="144"/>
      <c r="H1367" s="235"/>
      <c r="I1367" s="235"/>
      <c r="J1367" s="235"/>
      <c r="K1367" s="235"/>
      <c r="L1367" s="285"/>
    </row>
    <row r="1368" spans="1:12" ht="24.95" hidden="1" customHeight="1">
      <c r="A1368" s="136"/>
      <c r="B1368" s="176"/>
      <c r="C1368" s="177"/>
      <c r="D1368" s="136"/>
      <c r="E1368" s="231"/>
      <c r="F1368" s="144"/>
      <c r="G1368" s="144"/>
      <c r="H1368" s="235"/>
      <c r="I1368" s="235"/>
      <c r="J1368" s="235"/>
      <c r="K1368" s="235"/>
      <c r="L1368" s="285"/>
    </row>
    <row r="1369" spans="1:12" ht="24.95" hidden="1" customHeight="1">
      <c r="A1369" s="136"/>
      <c r="B1369" s="176"/>
      <c r="C1369" s="177"/>
      <c r="D1369" s="136"/>
      <c r="E1369" s="231"/>
      <c r="F1369" s="144"/>
      <c r="G1369" s="144"/>
      <c r="H1369" s="235"/>
      <c r="I1369" s="235"/>
      <c r="J1369" s="235"/>
      <c r="K1369" s="235"/>
      <c r="L1369" s="285"/>
    </row>
    <row r="1370" spans="1:12" ht="24.95" hidden="1" customHeight="1">
      <c r="A1370" s="136"/>
      <c r="B1370" s="176"/>
      <c r="C1370" s="177"/>
      <c r="D1370" s="136"/>
      <c r="E1370" s="231"/>
      <c r="F1370" s="144"/>
      <c r="G1370" s="144"/>
      <c r="H1370" s="235"/>
      <c r="I1370" s="235"/>
      <c r="J1370" s="235"/>
      <c r="K1370" s="235"/>
      <c r="L1370" s="285"/>
    </row>
    <row r="1371" spans="1:12" ht="24.95" hidden="1" customHeight="1">
      <c r="A1371" s="136"/>
      <c r="B1371" s="176"/>
      <c r="C1371" s="177"/>
      <c r="D1371" s="136"/>
      <c r="E1371" s="231"/>
      <c r="F1371" s="144"/>
      <c r="G1371" s="144"/>
      <c r="H1371" s="235"/>
      <c r="I1371" s="235"/>
      <c r="J1371" s="235"/>
      <c r="K1371" s="235"/>
      <c r="L1371" s="285"/>
    </row>
    <row r="1372" spans="1:12" ht="24.95" hidden="1" customHeight="1">
      <c r="A1372" s="136"/>
      <c r="B1372" s="176"/>
      <c r="C1372" s="177"/>
      <c r="D1372" s="136"/>
      <c r="E1372" s="231"/>
      <c r="F1372" s="144"/>
      <c r="G1372" s="144"/>
      <c r="H1372" s="235"/>
      <c r="I1372" s="235"/>
      <c r="J1372" s="235"/>
      <c r="K1372" s="235"/>
      <c r="L1372" s="285"/>
    </row>
    <row r="1373" spans="1:12" ht="24.95" hidden="1" customHeight="1">
      <c r="A1373" s="136"/>
      <c r="B1373" s="176"/>
      <c r="C1373" s="177"/>
      <c r="D1373" s="136"/>
      <c r="E1373" s="231"/>
      <c r="F1373" s="144"/>
      <c r="G1373" s="144"/>
      <c r="H1373" s="235"/>
      <c r="I1373" s="235"/>
      <c r="J1373" s="235"/>
      <c r="K1373" s="235"/>
      <c r="L1373" s="285"/>
    </row>
    <row r="1374" spans="1:12" ht="24.95" hidden="1" customHeight="1">
      <c r="A1374" s="136"/>
      <c r="B1374" s="176"/>
      <c r="C1374" s="177"/>
      <c r="D1374" s="136"/>
      <c r="E1374" s="231"/>
      <c r="F1374" s="144"/>
      <c r="G1374" s="144"/>
      <c r="H1374" s="235"/>
      <c r="I1374" s="235"/>
      <c r="J1374" s="235"/>
      <c r="K1374" s="235"/>
      <c r="L1374" s="285"/>
    </row>
    <row r="1375" spans="1:12" ht="24.95" hidden="1" customHeight="1">
      <c r="A1375" s="136"/>
      <c r="B1375" s="176"/>
      <c r="C1375" s="177"/>
      <c r="D1375" s="136"/>
      <c r="E1375" s="231"/>
      <c r="F1375" s="144"/>
      <c r="G1375" s="144"/>
      <c r="H1375" s="235"/>
      <c r="I1375" s="235"/>
      <c r="J1375" s="235"/>
      <c r="K1375" s="235"/>
      <c r="L1375" s="285"/>
    </row>
    <row r="1376" spans="1:12" ht="24.95" hidden="1" customHeight="1">
      <c r="A1376" s="136"/>
      <c r="B1376" s="176"/>
      <c r="C1376" s="177"/>
      <c r="D1376" s="136"/>
      <c r="E1376" s="231"/>
      <c r="F1376" s="144"/>
      <c r="G1376" s="144"/>
      <c r="H1376" s="235"/>
      <c r="I1376" s="235"/>
      <c r="J1376" s="235"/>
      <c r="K1376" s="235"/>
      <c r="L1376" s="285"/>
    </row>
    <row r="1377" spans="1:12" ht="24.95" hidden="1" customHeight="1">
      <c r="A1377" s="136"/>
      <c r="B1377" s="176"/>
      <c r="C1377" s="177"/>
      <c r="D1377" s="136"/>
      <c r="E1377" s="231"/>
      <c r="F1377" s="144"/>
      <c r="G1377" s="144"/>
      <c r="H1377" s="235"/>
      <c r="I1377" s="235"/>
      <c r="J1377" s="235"/>
      <c r="K1377" s="235"/>
      <c r="L1377" s="285"/>
    </row>
    <row r="1378" spans="1:12" ht="24.95" hidden="1" customHeight="1">
      <c r="A1378" s="136"/>
      <c r="B1378" s="176"/>
      <c r="C1378" s="177"/>
      <c r="D1378" s="136"/>
      <c r="E1378" s="231"/>
      <c r="F1378" s="144"/>
      <c r="G1378" s="144"/>
      <c r="H1378" s="235"/>
      <c r="I1378" s="235"/>
      <c r="J1378" s="235"/>
      <c r="K1378" s="235"/>
      <c r="L1378" s="285"/>
    </row>
    <row r="1379" spans="1:12" ht="24.95" hidden="1" customHeight="1">
      <c r="A1379" s="136"/>
      <c r="B1379" s="176"/>
      <c r="C1379" s="177"/>
      <c r="D1379" s="136"/>
      <c r="E1379" s="231"/>
      <c r="F1379" s="144"/>
      <c r="G1379" s="144"/>
      <c r="H1379" s="235"/>
      <c r="I1379" s="235"/>
      <c r="J1379" s="235"/>
      <c r="K1379" s="235"/>
      <c r="L1379" s="285"/>
    </row>
    <row r="1380" spans="1:12" ht="24.95" hidden="1" customHeight="1">
      <c r="A1380" s="136"/>
      <c r="B1380" s="176"/>
      <c r="C1380" s="177"/>
      <c r="D1380" s="136"/>
      <c r="E1380" s="231"/>
      <c r="F1380" s="144"/>
      <c r="G1380" s="144"/>
      <c r="H1380" s="235"/>
      <c r="I1380" s="235"/>
      <c r="J1380" s="235"/>
      <c r="K1380" s="235"/>
      <c r="L1380" s="285"/>
    </row>
    <row r="1381" spans="1:12" ht="24.95" hidden="1" customHeight="1">
      <c r="A1381" s="136"/>
      <c r="B1381" s="176"/>
      <c r="C1381" s="177"/>
      <c r="D1381" s="136"/>
      <c r="E1381" s="231"/>
      <c r="F1381" s="144"/>
      <c r="G1381" s="144"/>
      <c r="H1381" s="235"/>
      <c r="I1381" s="235"/>
      <c r="J1381" s="235"/>
      <c r="K1381" s="235"/>
      <c r="L1381" s="285"/>
    </row>
    <row r="1382" spans="1:12" ht="24.95" hidden="1" customHeight="1">
      <c r="A1382" s="136"/>
      <c r="B1382" s="176"/>
      <c r="C1382" s="177"/>
      <c r="D1382" s="136"/>
      <c r="E1382" s="231"/>
      <c r="F1382" s="144"/>
      <c r="G1382" s="144"/>
      <c r="H1382" s="235"/>
      <c r="I1382" s="235"/>
      <c r="J1382" s="235"/>
      <c r="K1382" s="235"/>
      <c r="L1382" s="285"/>
    </row>
    <row r="1383" spans="1:12" ht="24.95" hidden="1" customHeight="1">
      <c r="A1383" s="136"/>
      <c r="B1383" s="176"/>
      <c r="C1383" s="177"/>
      <c r="D1383" s="136"/>
      <c r="E1383" s="231"/>
      <c r="F1383" s="144"/>
      <c r="G1383" s="144"/>
      <c r="H1383" s="235"/>
      <c r="I1383" s="235"/>
      <c r="J1383" s="235"/>
      <c r="K1383" s="235"/>
      <c r="L1383" s="285"/>
    </row>
    <row r="1384" spans="1:12" ht="24.95" hidden="1" customHeight="1">
      <c r="A1384" s="136"/>
      <c r="B1384" s="176"/>
      <c r="C1384" s="177"/>
      <c r="D1384" s="136"/>
      <c r="E1384" s="231"/>
      <c r="F1384" s="144"/>
      <c r="G1384" s="144"/>
      <c r="H1384" s="235"/>
      <c r="I1384" s="235"/>
      <c r="J1384" s="235"/>
      <c r="K1384" s="235"/>
      <c r="L1384" s="285"/>
    </row>
    <row r="1385" spans="1:12" ht="24.95" hidden="1" customHeight="1">
      <c r="A1385" s="136"/>
      <c r="B1385" s="176"/>
      <c r="C1385" s="177"/>
      <c r="D1385" s="136"/>
      <c r="E1385" s="231"/>
      <c r="F1385" s="144"/>
      <c r="G1385" s="144"/>
      <c r="H1385" s="235"/>
      <c r="I1385" s="235"/>
      <c r="J1385" s="235"/>
      <c r="K1385" s="235"/>
      <c r="L1385" s="285"/>
    </row>
    <row r="1386" spans="1:12" ht="24.95" hidden="1" customHeight="1">
      <c r="A1386" s="136"/>
      <c r="B1386" s="176"/>
      <c r="C1386" s="177"/>
      <c r="D1386" s="136"/>
      <c r="E1386" s="231"/>
      <c r="F1386" s="144"/>
      <c r="G1386" s="144"/>
      <c r="H1386" s="235"/>
      <c r="I1386" s="235"/>
      <c r="J1386" s="235"/>
      <c r="K1386" s="235"/>
      <c r="L1386" s="285"/>
    </row>
    <row r="1387" spans="1:12" ht="24.95" hidden="1" customHeight="1">
      <c r="A1387" s="136"/>
      <c r="B1387" s="176"/>
      <c r="C1387" s="177"/>
      <c r="D1387" s="136"/>
      <c r="E1387" s="231"/>
      <c r="F1387" s="144"/>
      <c r="G1387" s="144"/>
      <c r="H1387" s="235"/>
      <c r="I1387" s="235"/>
      <c r="J1387" s="235"/>
      <c r="K1387" s="235"/>
      <c r="L1387" s="285"/>
    </row>
    <row r="1388" spans="1:12" ht="24.95" hidden="1" customHeight="1">
      <c r="A1388" s="136"/>
      <c r="B1388" s="176"/>
      <c r="C1388" s="177"/>
      <c r="D1388" s="136"/>
      <c r="E1388" s="231"/>
      <c r="F1388" s="144"/>
      <c r="G1388" s="144"/>
      <c r="H1388" s="235"/>
      <c r="I1388" s="235"/>
      <c r="J1388" s="235"/>
      <c r="K1388" s="235"/>
      <c r="L1388" s="285"/>
    </row>
    <row r="1389" spans="1:12" ht="24.95" hidden="1" customHeight="1">
      <c r="A1389" s="136"/>
      <c r="B1389" s="176"/>
      <c r="C1389" s="177"/>
      <c r="D1389" s="136"/>
      <c r="E1389" s="231"/>
      <c r="F1389" s="144"/>
      <c r="G1389" s="144"/>
      <c r="H1389" s="235"/>
      <c r="I1389" s="235"/>
      <c r="J1389" s="235"/>
      <c r="K1389" s="235"/>
      <c r="L1389" s="285"/>
    </row>
    <row r="1390" spans="1:12" ht="24.95" hidden="1" customHeight="1">
      <c r="A1390" s="136"/>
      <c r="B1390" s="176"/>
      <c r="C1390" s="177"/>
      <c r="D1390" s="136"/>
      <c r="E1390" s="231"/>
      <c r="F1390" s="144"/>
      <c r="G1390" s="144"/>
      <c r="H1390" s="235"/>
      <c r="I1390" s="235"/>
      <c r="J1390" s="235"/>
      <c r="K1390" s="235"/>
      <c r="L1390" s="285"/>
    </row>
    <row r="1391" spans="1:12" ht="24.95" hidden="1" customHeight="1">
      <c r="A1391" s="136"/>
      <c r="B1391" s="176"/>
      <c r="C1391" s="177"/>
      <c r="D1391" s="136"/>
      <c r="E1391" s="231"/>
      <c r="F1391" s="144"/>
      <c r="G1391" s="144"/>
      <c r="H1391" s="235"/>
      <c r="I1391" s="235"/>
      <c r="J1391" s="235"/>
      <c r="K1391" s="235"/>
      <c r="L1391" s="285"/>
    </row>
    <row r="1392" spans="1:12" ht="24.95" hidden="1" customHeight="1">
      <c r="A1392" s="136"/>
      <c r="B1392" s="176"/>
      <c r="C1392" s="177"/>
      <c r="D1392" s="136"/>
      <c r="E1392" s="231"/>
      <c r="F1392" s="144"/>
      <c r="G1392" s="144"/>
      <c r="H1392" s="235"/>
      <c r="I1392" s="235"/>
      <c r="J1392" s="235"/>
      <c r="K1392" s="235"/>
      <c r="L1392" s="285"/>
    </row>
    <row r="1393" spans="1:12" ht="24.95" hidden="1" customHeight="1">
      <c r="A1393" s="136"/>
      <c r="B1393" s="176"/>
      <c r="C1393" s="177"/>
      <c r="D1393" s="136"/>
      <c r="E1393" s="231"/>
      <c r="F1393" s="144"/>
      <c r="G1393" s="144"/>
      <c r="H1393" s="235"/>
      <c r="I1393" s="235"/>
      <c r="J1393" s="235"/>
      <c r="K1393" s="235"/>
      <c r="L1393" s="285"/>
    </row>
    <row r="1394" spans="1:12" ht="24.95" hidden="1" customHeight="1">
      <c r="A1394" s="136"/>
      <c r="B1394" s="176"/>
      <c r="C1394" s="177"/>
      <c r="D1394" s="136"/>
      <c r="E1394" s="231"/>
      <c r="F1394" s="144"/>
      <c r="G1394" s="144"/>
      <c r="H1394" s="235"/>
      <c r="I1394" s="235"/>
      <c r="J1394" s="235"/>
      <c r="K1394" s="235"/>
      <c r="L1394" s="285"/>
    </row>
    <row r="1395" spans="1:12" ht="24.95" hidden="1" customHeight="1">
      <c r="A1395" s="136"/>
      <c r="B1395" s="176"/>
      <c r="C1395" s="177"/>
      <c r="D1395" s="136"/>
      <c r="E1395" s="231"/>
      <c r="F1395" s="144"/>
      <c r="G1395" s="144"/>
      <c r="H1395" s="235"/>
      <c r="I1395" s="235"/>
      <c r="J1395" s="235"/>
      <c r="K1395" s="235"/>
      <c r="L1395" s="285"/>
    </row>
    <row r="1396" spans="1:12" ht="24.95" hidden="1" customHeight="1">
      <c r="A1396" s="136"/>
      <c r="B1396" s="176"/>
      <c r="C1396" s="177"/>
      <c r="D1396" s="136"/>
      <c r="E1396" s="231"/>
      <c r="F1396" s="144"/>
      <c r="G1396" s="144"/>
      <c r="H1396" s="235"/>
      <c r="I1396" s="235"/>
      <c r="J1396" s="235"/>
      <c r="K1396" s="235"/>
      <c r="L1396" s="285"/>
    </row>
    <row r="1397" spans="1:12" ht="24.95" hidden="1" customHeight="1">
      <c r="A1397" s="136"/>
      <c r="B1397" s="176"/>
      <c r="C1397" s="177"/>
      <c r="D1397" s="136"/>
      <c r="E1397" s="231"/>
      <c r="F1397" s="144"/>
      <c r="G1397" s="144"/>
      <c r="H1397" s="235"/>
      <c r="I1397" s="235"/>
      <c r="J1397" s="235"/>
      <c r="K1397" s="235"/>
      <c r="L1397" s="285"/>
    </row>
    <row r="1398" spans="1:12" ht="24.95" hidden="1" customHeight="1">
      <c r="A1398" s="136"/>
      <c r="B1398" s="176"/>
      <c r="C1398" s="177"/>
      <c r="D1398" s="136"/>
      <c r="E1398" s="231"/>
      <c r="F1398" s="144"/>
      <c r="G1398" s="144"/>
      <c r="H1398" s="235"/>
      <c r="I1398" s="235"/>
      <c r="J1398" s="235"/>
      <c r="K1398" s="235"/>
      <c r="L1398" s="285"/>
    </row>
    <row r="1399" spans="1:12" ht="24.95" hidden="1" customHeight="1">
      <c r="A1399" s="136"/>
      <c r="B1399" s="176"/>
      <c r="C1399" s="177"/>
      <c r="D1399" s="136"/>
      <c r="E1399" s="231"/>
      <c r="F1399" s="144"/>
      <c r="G1399" s="144"/>
      <c r="H1399" s="235"/>
      <c r="I1399" s="235"/>
      <c r="J1399" s="235"/>
      <c r="K1399" s="235"/>
      <c r="L1399" s="285"/>
    </row>
    <row r="1400" spans="1:12" ht="24.95" hidden="1" customHeight="1">
      <c r="A1400" s="136"/>
      <c r="B1400" s="176"/>
      <c r="C1400" s="177"/>
      <c r="D1400" s="136"/>
      <c r="E1400" s="231"/>
      <c r="F1400" s="144"/>
      <c r="G1400" s="144"/>
      <c r="H1400" s="235"/>
      <c r="I1400" s="235"/>
      <c r="J1400" s="235"/>
      <c r="K1400" s="235"/>
      <c r="L1400" s="285"/>
    </row>
    <row r="1401" spans="1:12" ht="24.95" hidden="1" customHeight="1">
      <c r="A1401" s="136"/>
      <c r="B1401" s="176"/>
      <c r="C1401" s="177"/>
      <c r="D1401" s="136"/>
      <c r="E1401" s="231"/>
      <c r="F1401" s="144"/>
      <c r="G1401" s="144"/>
      <c r="H1401" s="235"/>
      <c r="I1401" s="235"/>
      <c r="J1401" s="235"/>
      <c r="K1401" s="235"/>
      <c r="L1401" s="285"/>
    </row>
    <row r="1402" spans="1:12" ht="24.95" hidden="1" customHeight="1">
      <c r="A1402" s="136"/>
      <c r="B1402" s="176"/>
      <c r="C1402" s="177"/>
      <c r="D1402" s="136"/>
      <c r="E1402" s="231"/>
      <c r="F1402" s="144"/>
      <c r="G1402" s="144"/>
      <c r="H1402" s="235"/>
      <c r="I1402" s="235"/>
      <c r="J1402" s="235"/>
      <c r="K1402" s="235"/>
      <c r="L1402" s="285"/>
    </row>
    <row r="1403" spans="1:12" ht="24.95" hidden="1" customHeight="1">
      <c r="A1403" s="136"/>
      <c r="B1403" s="176"/>
      <c r="C1403" s="177"/>
      <c r="D1403" s="136"/>
      <c r="E1403" s="231"/>
      <c r="F1403" s="144"/>
      <c r="G1403" s="144"/>
      <c r="H1403" s="235"/>
      <c r="I1403" s="235"/>
      <c r="J1403" s="235"/>
      <c r="K1403" s="235"/>
      <c r="L1403" s="285"/>
    </row>
    <row r="1404" spans="1:12" ht="24.95" hidden="1" customHeight="1">
      <c r="A1404" s="136"/>
      <c r="B1404" s="176"/>
      <c r="C1404" s="177"/>
      <c r="D1404" s="136"/>
      <c r="E1404" s="231"/>
      <c r="F1404" s="144"/>
      <c r="G1404" s="144"/>
      <c r="H1404" s="235"/>
      <c r="I1404" s="235"/>
      <c r="J1404" s="235"/>
      <c r="K1404" s="235"/>
      <c r="L1404" s="285"/>
    </row>
    <row r="1405" spans="1:12" ht="24.95" hidden="1" customHeight="1">
      <c r="A1405" s="136"/>
      <c r="B1405" s="176"/>
      <c r="C1405" s="177"/>
      <c r="D1405" s="136"/>
      <c r="E1405" s="231"/>
      <c r="F1405" s="144"/>
      <c r="G1405" s="144"/>
      <c r="H1405" s="235"/>
      <c r="I1405" s="235"/>
      <c r="J1405" s="235"/>
      <c r="K1405" s="235"/>
      <c r="L1405" s="285"/>
    </row>
    <row r="1406" spans="1:12" ht="24.95" hidden="1" customHeight="1">
      <c r="A1406" s="136"/>
      <c r="B1406" s="176"/>
      <c r="C1406" s="177"/>
      <c r="D1406" s="136"/>
      <c r="E1406" s="231"/>
      <c r="F1406" s="144"/>
      <c r="G1406" s="144"/>
      <c r="H1406" s="235"/>
      <c r="I1406" s="235"/>
      <c r="J1406" s="235"/>
      <c r="K1406" s="235"/>
      <c r="L1406" s="285"/>
    </row>
    <row r="1407" spans="1:12" ht="24.95" hidden="1" customHeight="1">
      <c r="A1407" s="136"/>
      <c r="B1407" s="176"/>
      <c r="C1407" s="177"/>
      <c r="D1407" s="136"/>
      <c r="E1407" s="231"/>
      <c r="F1407" s="144"/>
      <c r="G1407" s="144"/>
      <c r="H1407" s="235"/>
      <c r="I1407" s="235"/>
      <c r="J1407" s="235"/>
      <c r="K1407" s="235"/>
      <c r="L1407" s="285"/>
    </row>
    <row r="1408" spans="1:12" ht="24.95" hidden="1" customHeight="1">
      <c r="A1408" s="136"/>
      <c r="B1408" s="176"/>
      <c r="C1408" s="177"/>
      <c r="D1408" s="136"/>
      <c r="E1408" s="231"/>
      <c r="F1408" s="144"/>
      <c r="G1408" s="144"/>
      <c r="H1408" s="235"/>
      <c r="I1408" s="235"/>
      <c r="J1408" s="235"/>
      <c r="K1408" s="235"/>
      <c r="L1408" s="285"/>
    </row>
    <row r="1409" spans="1:12" ht="24.95" hidden="1" customHeight="1">
      <c r="A1409" s="136"/>
      <c r="B1409" s="176"/>
      <c r="C1409" s="177"/>
      <c r="D1409" s="136"/>
      <c r="E1409" s="231"/>
      <c r="F1409" s="144"/>
      <c r="G1409" s="144"/>
      <c r="H1409" s="235"/>
      <c r="I1409" s="235"/>
      <c r="J1409" s="235"/>
      <c r="K1409" s="235"/>
      <c r="L1409" s="285"/>
    </row>
    <row r="1410" spans="1:12" ht="24.95" hidden="1" customHeight="1">
      <c r="A1410" s="136"/>
      <c r="B1410" s="176"/>
      <c r="C1410" s="177"/>
      <c r="D1410" s="136"/>
      <c r="E1410" s="231"/>
      <c r="F1410" s="144"/>
      <c r="G1410" s="144"/>
      <c r="H1410" s="235"/>
      <c r="I1410" s="235"/>
      <c r="J1410" s="235"/>
      <c r="K1410" s="235"/>
      <c r="L1410" s="285"/>
    </row>
    <row r="1411" spans="1:12" ht="24.95" hidden="1" customHeight="1">
      <c r="A1411" s="136"/>
      <c r="B1411" s="176"/>
      <c r="C1411" s="177"/>
      <c r="D1411" s="136"/>
      <c r="E1411" s="231"/>
      <c r="F1411" s="144"/>
      <c r="G1411" s="144"/>
      <c r="H1411" s="235"/>
      <c r="I1411" s="235"/>
      <c r="J1411" s="235"/>
      <c r="K1411" s="235"/>
      <c r="L1411" s="285"/>
    </row>
    <row r="1412" spans="1:12" ht="24.95" hidden="1" customHeight="1">
      <c r="A1412" s="136"/>
      <c r="B1412" s="176"/>
      <c r="C1412" s="177"/>
      <c r="D1412" s="136"/>
      <c r="E1412" s="231"/>
      <c r="F1412" s="144"/>
      <c r="G1412" s="144"/>
      <c r="H1412" s="235"/>
      <c r="I1412" s="235"/>
      <c r="J1412" s="235"/>
      <c r="K1412" s="235"/>
      <c r="L1412" s="285"/>
    </row>
    <row r="1413" spans="1:12" ht="24.95" hidden="1" customHeight="1">
      <c r="A1413" s="136"/>
      <c r="B1413" s="176"/>
      <c r="C1413" s="177"/>
      <c r="D1413" s="136"/>
      <c r="E1413" s="231"/>
      <c r="F1413" s="144"/>
      <c r="G1413" s="144"/>
      <c r="H1413" s="235"/>
      <c r="I1413" s="235"/>
      <c r="J1413" s="235"/>
      <c r="K1413" s="235"/>
      <c r="L1413" s="285"/>
    </row>
    <row r="1414" spans="1:12" ht="24.95" hidden="1" customHeight="1">
      <c r="A1414" s="136"/>
      <c r="B1414" s="176"/>
      <c r="C1414" s="177"/>
      <c r="D1414" s="136"/>
      <c r="E1414" s="231"/>
      <c r="F1414" s="144"/>
      <c r="G1414" s="144"/>
      <c r="H1414" s="235"/>
      <c r="I1414" s="235"/>
      <c r="J1414" s="235"/>
      <c r="K1414" s="235"/>
      <c r="L1414" s="285"/>
    </row>
    <row r="1415" spans="1:12" ht="24.95" hidden="1" customHeight="1">
      <c r="A1415" s="136"/>
      <c r="B1415" s="176"/>
      <c r="C1415" s="177"/>
      <c r="D1415" s="136"/>
      <c r="E1415" s="231"/>
      <c r="F1415" s="144"/>
      <c r="G1415" s="144"/>
      <c r="H1415" s="235"/>
      <c r="I1415" s="235"/>
      <c r="J1415" s="235"/>
      <c r="K1415" s="235"/>
      <c r="L1415" s="285"/>
    </row>
    <row r="1416" spans="1:12" ht="24.95" hidden="1" customHeight="1">
      <c r="A1416" s="136"/>
      <c r="B1416" s="176"/>
      <c r="C1416" s="177"/>
      <c r="D1416" s="136"/>
      <c r="E1416" s="231"/>
      <c r="F1416" s="144"/>
      <c r="G1416" s="144"/>
      <c r="H1416" s="235"/>
      <c r="I1416" s="235"/>
      <c r="J1416" s="235"/>
      <c r="K1416" s="235"/>
      <c r="L1416" s="285"/>
    </row>
    <row r="1417" spans="1:12" ht="24.95" hidden="1" customHeight="1">
      <c r="A1417" s="136"/>
      <c r="B1417" s="176"/>
      <c r="C1417" s="177"/>
      <c r="D1417" s="136"/>
      <c r="E1417" s="231"/>
      <c r="F1417" s="144"/>
      <c r="G1417" s="144"/>
      <c r="H1417" s="235"/>
      <c r="I1417" s="235"/>
      <c r="J1417" s="235"/>
      <c r="K1417" s="235"/>
      <c r="L1417" s="285"/>
    </row>
    <row r="1418" spans="1:12" ht="24.95" hidden="1" customHeight="1">
      <c r="A1418" s="136"/>
      <c r="B1418" s="176"/>
      <c r="C1418" s="177"/>
      <c r="D1418" s="136"/>
      <c r="E1418" s="231"/>
      <c r="F1418" s="144"/>
      <c r="G1418" s="144"/>
      <c r="H1418" s="235"/>
      <c r="I1418" s="235"/>
      <c r="J1418" s="235"/>
      <c r="K1418" s="235"/>
      <c r="L1418" s="285"/>
    </row>
    <row r="1419" spans="1:12" ht="24.95" hidden="1" customHeight="1">
      <c r="A1419" s="136"/>
      <c r="B1419" s="176"/>
      <c r="C1419" s="177"/>
      <c r="D1419" s="136"/>
      <c r="E1419" s="231"/>
      <c r="F1419" s="144"/>
      <c r="G1419" s="144"/>
      <c r="H1419" s="235"/>
      <c r="I1419" s="235"/>
      <c r="J1419" s="235"/>
      <c r="K1419" s="235"/>
      <c r="L1419" s="285"/>
    </row>
    <row r="1420" spans="1:12" ht="24.95" hidden="1" customHeight="1">
      <c r="A1420" s="136"/>
      <c r="B1420" s="176"/>
      <c r="C1420" s="177"/>
      <c r="D1420" s="136"/>
      <c r="E1420" s="231"/>
      <c r="F1420" s="144"/>
      <c r="G1420" s="144"/>
      <c r="H1420" s="235"/>
      <c r="I1420" s="235"/>
      <c r="J1420" s="235"/>
      <c r="K1420" s="235"/>
      <c r="L1420" s="285"/>
    </row>
    <row r="1421" spans="1:12" ht="24.95" hidden="1" customHeight="1">
      <c r="A1421" s="136"/>
      <c r="B1421" s="176"/>
      <c r="C1421" s="177"/>
      <c r="D1421" s="136"/>
      <c r="E1421" s="231"/>
      <c r="F1421" s="144"/>
      <c r="G1421" s="144"/>
      <c r="H1421" s="235"/>
      <c r="I1421" s="235"/>
      <c r="J1421" s="235"/>
      <c r="K1421" s="235"/>
      <c r="L1421" s="285"/>
    </row>
    <row r="1422" spans="1:12" ht="24.95" hidden="1" customHeight="1">
      <c r="A1422" s="136"/>
      <c r="B1422" s="176"/>
      <c r="C1422" s="177"/>
      <c r="D1422" s="136"/>
      <c r="E1422" s="231"/>
      <c r="F1422" s="144"/>
      <c r="G1422" s="144"/>
      <c r="H1422" s="235"/>
      <c r="I1422" s="235"/>
      <c r="J1422" s="235"/>
      <c r="K1422" s="235"/>
      <c r="L1422" s="285"/>
    </row>
    <row r="1423" spans="1:12" ht="24.95" hidden="1" customHeight="1">
      <c r="A1423" s="136"/>
      <c r="B1423" s="176"/>
      <c r="C1423" s="177"/>
      <c r="D1423" s="136"/>
      <c r="E1423" s="231"/>
      <c r="F1423" s="144"/>
      <c r="G1423" s="144"/>
      <c r="H1423" s="235"/>
      <c r="I1423" s="235"/>
      <c r="J1423" s="235"/>
      <c r="K1423" s="235"/>
      <c r="L1423" s="285"/>
    </row>
    <row r="1424" spans="1:12" ht="24.95" hidden="1" customHeight="1">
      <c r="A1424" s="136"/>
      <c r="B1424" s="176"/>
      <c r="C1424" s="177"/>
      <c r="D1424" s="136"/>
      <c r="E1424" s="231"/>
      <c r="F1424" s="144"/>
      <c r="G1424" s="144"/>
      <c r="H1424" s="235"/>
      <c r="I1424" s="235"/>
      <c r="J1424" s="235"/>
      <c r="K1424" s="235"/>
      <c r="L1424" s="285"/>
    </row>
    <row r="1425" spans="1:12" ht="24.95" hidden="1" customHeight="1">
      <c r="A1425" s="136"/>
      <c r="B1425" s="176"/>
      <c r="C1425" s="177"/>
      <c r="D1425" s="136"/>
      <c r="E1425" s="231"/>
      <c r="F1425" s="144"/>
      <c r="G1425" s="144"/>
      <c r="H1425" s="235"/>
      <c r="I1425" s="235"/>
      <c r="J1425" s="235"/>
      <c r="K1425" s="235"/>
      <c r="L1425" s="285"/>
    </row>
    <row r="1426" spans="1:12" ht="24.95" hidden="1" customHeight="1">
      <c r="A1426" s="136"/>
      <c r="B1426" s="176"/>
      <c r="C1426" s="177"/>
      <c r="D1426" s="136"/>
      <c r="E1426" s="231"/>
      <c r="F1426" s="144"/>
      <c r="G1426" s="144"/>
      <c r="H1426" s="235"/>
      <c r="I1426" s="235"/>
      <c r="J1426" s="235"/>
      <c r="K1426" s="235"/>
      <c r="L1426" s="285"/>
    </row>
    <row r="1427" spans="1:12" ht="24.95" hidden="1" customHeight="1">
      <c r="A1427" s="136"/>
      <c r="B1427" s="176"/>
      <c r="C1427" s="177"/>
      <c r="D1427" s="136"/>
      <c r="E1427" s="231"/>
      <c r="F1427" s="144"/>
      <c r="G1427" s="144"/>
      <c r="H1427" s="235"/>
      <c r="I1427" s="235"/>
      <c r="J1427" s="235"/>
      <c r="K1427" s="235"/>
      <c r="L1427" s="285"/>
    </row>
    <row r="1428" spans="1:12" ht="24.95" hidden="1" customHeight="1">
      <c r="A1428" s="136"/>
      <c r="B1428" s="176"/>
      <c r="C1428" s="177"/>
      <c r="D1428" s="136"/>
      <c r="E1428" s="231"/>
      <c r="F1428" s="144"/>
      <c r="G1428" s="144"/>
      <c r="H1428" s="235"/>
      <c r="I1428" s="235"/>
      <c r="J1428" s="235"/>
      <c r="K1428" s="235"/>
      <c r="L1428" s="285"/>
    </row>
    <row r="1429" spans="1:12" ht="24.95" hidden="1" customHeight="1">
      <c r="A1429" s="136"/>
      <c r="B1429" s="176"/>
      <c r="C1429" s="177"/>
      <c r="D1429" s="136"/>
      <c r="E1429" s="231"/>
      <c r="F1429" s="144"/>
      <c r="G1429" s="144"/>
      <c r="H1429" s="235"/>
      <c r="I1429" s="235"/>
      <c r="J1429" s="235"/>
      <c r="K1429" s="235"/>
      <c r="L1429" s="285"/>
    </row>
    <row r="1430" spans="1:12" ht="24.95" hidden="1" customHeight="1">
      <c r="A1430" s="136"/>
      <c r="B1430" s="176"/>
      <c r="C1430" s="177"/>
      <c r="D1430" s="136"/>
      <c r="E1430" s="231"/>
      <c r="F1430" s="144"/>
      <c r="G1430" s="144"/>
      <c r="H1430" s="235"/>
      <c r="I1430" s="235"/>
      <c r="J1430" s="235"/>
      <c r="K1430" s="235"/>
      <c r="L1430" s="285"/>
    </row>
    <row r="1431" spans="1:12" ht="24.95" hidden="1" customHeight="1">
      <c r="A1431" s="136"/>
      <c r="B1431" s="176"/>
      <c r="C1431" s="177"/>
      <c r="D1431" s="136"/>
      <c r="E1431" s="231"/>
      <c r="F1431" s="144"/>
      <c r="G1431" s="144"/>
      <c r="H1431" s="235"/>
      <c r="I1431" s="235"/>
      <c r="J1431" s="235"/>
      <c r="K1431" s="235"/>
      <c r="L1431" s="285"/>
    </row>
    <row r="1432" spans="1:12" ht="24.95" hidden="1" customHeight="1">
      <c r="A1432" s="136"/>
      <c r="B1432" s="176"/>
      <c r="C1432" s="177"/>
      <c r="D1432" s="136"/>
      <c r="E1432" s="231"/>
      <c r="F1432" s="144"/>
      <c r="G1432" s="144"/>
      <c r="H1432" s="235"/>
      <c r="I1432" s="235"/>
      <c r="J1432" s="235"/>
      <c r="K1432" s="235"/>
      <c r="L1432" s="285"/>
    </row>
    <row r="1433" spans="1:12" ht="24.95" hidden="1" customHeight="1">
      <c r="A1433" s="136"/>
      <c r="B1433" s="176"/>
      <c r="C1433" s="177"/>
      <c r="D1433" s="136"/>
      <c r="E1433" s="231"/>
      <c r="F1433" s="144"/>
      <c r="G1433" s="144"/>
      <c r="H1433" s="235"/>
      <c r="I1433" s="235"/>
      <c r="J1433" s="235"/>
      <c r="K1433" s="235"/>
      <c r="L1433" s="285"/>
    </row>
    <row r="1434" spans="1:12" ht="24.95" hidden="1" customHeight="1">
      <c r="A1434" s="136"/>
      <c r="B1434" s="176"/>
      <c r="C1434" s="177"/>
      <c r="D1434" s="136"/>
      <c r="E1434" s="231"/>
      <c r="F1434" s="144"/>
      <c r="G1434" s="144"/>
      <c r="H1434" s="235"/>
      <c r="I1434" s="235"/>
      <c r="J1434" s="235"/>
      <c r="K1434" s="235"/>
      <c r="L1434" s="285"/>
    </row>
    <row r="1435" spans="1:12" ht="24.95" hidden="1" customHeight="1">
      <c r="A1435" s="136"/>
      <c r="B1435" s="176"/>
      <c r="C1435" s="177"/>
      <c r="D1435" s="136"/>
      <c r="E1435" s="231"/>
      <c r="F1435" s="144"/>
      <c r="G1435" s="144"/>
      <c r="H1435" s="235"/>
      <c r="I1435" s="235"/>
      <c r="J1435" s="235"/>
      <c r="K1435" s="235"/>
      <c r="L1435" s="285"/>
    </row>
    <row r="1436" spans="1:12" ht="24.95" hidden="1" customHeight="1">
      <c r="A1436" s="136"/>
      <c r="B1436" s="176"/>
      <c r="C1436" s="177"/>
      <c r="D1436" s="136"/>
      <c r="E1436" s="231"/>
      <c r="F1436" s="144"/>
      <c r="G1436" s="144"/>
      <c r="H1436" s="235"/>
      <c r="I1436" s="235"/>
      <c r="J1436" s="235"/>
      <c r="K1436" s="235"/>
      <c r="L1436" s="285"/>
    </row>
    <row r="1437" spans="1:12" ht="24.95" hidden="1" customHeight="1">
      <c r="A1437" s="136"/>
      <c r="B1437" s="176"/>
      <c r="C1437" s="177"/>
      <c r="D1437" s="136"/>
      <c r="E1437" s="231"/>
      <c r="F1437" s="144"/>
      <c r="G1437" s="144"/>
      <c r="H1437" s="235"/>
      <c r="I1437" s="235"/>
      <c r="J1437" s="235"/>
      <c r="K1437" s="235"/>
      <c r="L1437" s="285"/>
    </row>
    <row r="1438" spans="1:12" ht="24.95" hidden="1" customHeight="1">
      <c r="A1438" s="136"/>
      <c r="B1438" s="176"/>
      <c r="C1438" s="177"/>
      <c r="D1438" s="136"/>
      <c r="E1438" s="231"/>
      <c r="F1438" s="144"/>
      <c r="G1438" s="144"/>
      <c r="H1438" s="235"/>
      <c r="I1438" s="235"/>
      <c r="J1438" s="235"/>
      <c r="K1438" s="235"/>
      <c r="L1438" s="285"/>
    </row>
    <row r="1439" spans="1:12" ht="24.95" hidden="1" customHeight="1">
      <c r="A1439" s="136"/>
      <c r="B1439" s="176"/>
      <c r="C1439" s="177"/>
      <c r="D1439" s="136"/>
      <c r="E1439" s="231"/>
      <c r="F1439" s="144"/>
      <c r="G1439" s="144"/>
      <c r="H1439" s="235"/>
      <c r="I1439" s="235"/>
      <c r="J1439" s="235"/>
      <c r="K1439" s="235"/>
      <c r="L1439" s="285"/>
    </row>
    <row r="1440" spans="1:12" ht="24.95" hidden="1" customHeight="1">
      <c r="A1440" s="136"/>
      <c r="B1440" s="176"/>
      <c r="C1440" s="177"/>
      <c r="D1440" s="136"/>
      <c r="E1440" s="231"/>
      <c r="F1440" s="144"/>
      <c r="G1440" s="144"/>
      <c r="H1440" s="235"/>
      <c r="I1440" s="235"/>
      <c r="J1440" s="235"/>
      <c r="K1440" s="235"/>
      <c r="L1440" s="285"/>
    </row>
    <row r="1441" spans="1:12" ht="24.95" hidden="1" customHeight="1">
      <c r="A1441" s="136"/>
      <c r="B1441" s="176"/>
      <c r="C1441" s="177"/>
      <c r="D1441" s="136"/>
      <c r="E1441" s="231"/>
      <c r="F1441" s="144"/>
      <c r="G1441" s="144"/>
      <c r="H1441" s="235"/>
      <c r="I1441" s="235"/>
      <c r="J1441" s="235"/>
      <c r="K1441" s="235"/>
      <c r="L1441" s="285"/>
    </row>
    <row r="1442" spans="1:12" ht="24.95" hidden="1" customHeight="1">
      <c r="A1442" s="136"/>
      <c r="B1442" s="176"/>
      <c r="C1442" s="177"/>
      <c r="D1442" s="136"/>
      <c r="E1442" s="231"/>
      <c r="F1442" s="144"/>
      <c r="G1442" s="144"/>
      <c r="H1442" s="235"/>
      <c r="I1442" s="235"/>
      <c r="J1442" s="235"/>
      <c r="K1442" s="235"/>
      <c r="L1442" s="285"/>
    </row>
    <row r="1443" spans="1:12" ht="24.95" hidden="1" customHeight="1">
      <c r="A1443" s="136"/>
      <c r="B1443" s="176"/>
      <c r="C1443" s="177"/>
      <c r="D1443" s="136"/>
      <c r="E1443" s="231"/>
      <c r="F1443" s="144"/>
      <c r="G1443" s="144"/>
      <c r="H1443" s="235"/>
      <c r="I1443" s="235"/>
      <c r="J1443" s="235"/>
      <c r="K1443" s="235"/>
      <c r="L1443" s="285"/>
    </row>
    <row r="1444" spans="1:12" ht="24.95" hidden="1" customHeight="1">
      <c r="A1444" s="136"/>
      <c r="B1444" s="176"/>
      <c r="C1444" s="177"/>
      <c r="D1444" s="136"/>
      <c r="E1444" s="231"/>
      <c r="F1444" s="144"/>
      <c r="G1444" s="144"/>
      <c r="H1444" s="235"/>
      <c r="I1444" s="235"/>
      <c r="J1444" s="235"/>
      <c r="K1444" s="235"/>
      <c r="L1444" s="285"/>
    </row>
    <row r="1445" spans="1:12" ht="24.95" hidden="1" customHeight="1">
      <c r="A1445" s="136"/>
      <c r="B1445" s="176"/>
      <c r="C1445" s="177"/>
      <c r="D1445" s="136"/>
      <c r="E1445" s="231"/>
      <c r="F1445" s="144"/>
      <c r="G1445" s="144"/>
      <c r="H1445" s="235"/>
      <c r="I1445" s="235"/>
      <c r="J1445" s="235"/>
      <c r="K1445" s="235"/>
      <c r="L1445" s="285"/>
    </row>
    <row r="1446" spans="1:12" ht="24.95" hidden="1" customHeight="1">
      <c r="A1446" s="136"/>
      <c r="B1446" s="176"/>
      <c r="C1446" s="177"/>
      <c r="D1446" s="136"/>
      <c r="E1446" s="231"/>
      <c r="F1446" s="144"/>
      <c r="G1446" s="144"/>
      <c r="H1446" s="235"/>
      <c r="I1446" s="235"/>
      <c r="J1446" s="235"/>
      <c r="K1446" s="235"/>
      <c r="L1446" s="285"/>
    </row>
    <row r="1447" spans="1:12" ht="24.95" hidden="1" customHeight="1">
      <c r="A1447" s="136"/>
      <c r="B1447" s="176"/>
      <c r="C1447" s="177"/>
      <c r="D1447" s="136"/>
      <c r="E1447" s="231"/>
      <c r="F1447" s="144"/>
      <c r="G1447" s="144"/>
      <c r="H1447" s="235"/>
      <c r="I1447" s="235"/>
      <c r="J1447" s="235"/>
      <c r="K1447" s="235"/>
      <c r="L1447" s="285"/>
    </row>
    <row r="1448" spans="1:12" ht="24.95" hidden="1" customHeight="1">
      <c r="A1448" s="136"/>
      <c r="B1448" s="176"/>
      <c r="C1448" s="177"/>
      <c r="D1448" s="136"/>
      <c r="E1448" s="231"/>
      <c r="F1448" s="144"/>
      <c r="G1448" s="144"/>
      <c r="H1448" s="235"/>
      <c r="I1448" s="235"/>
      <c r="J1448" s="235"/>
      <c r="K1448" s="235"/>
      <c r="L1448" s="285"/>
    </row>
    <row r="1449" spans="1:12" ht="24.95" hidden="1" customHeight="1">
      <c r="A1449" s="136"/>
      <c r="B1449" s="176"/>
      <c r="C1449" s="177"/>
      <c r="D1449" s="136"/>
      <c r="E1449" s="231"/>
      <c r="F1449" s="144"/>
      <c r="G1449" s="144"/>
      <c r="H1449" s="235"/>
      <c r="I1449" s="235"/>
      <c r="J1449" s="235"/>
      <c r="K1449" s="235"/>
      <c r="L1449" s="285"/>
    </row>
    <row r="1450" spans="1:12" ht="24.95" hidden="1" customHeight="1">
      <c r="A1450" s="136"/>
      <c r="B1450" s="176"/>
      <c r="C1450" s="177"/>
      <c r="D1450" s="136"/>
      <c r="E1450" s="231"/>
      <c r="F1450" s="144"/>
      <c r="G1450" s="144"/>
      <c r="H1450" s="235"/>
      <c r="I1450" s="235"/>
      <c r="J1450" s="235"/>
      <c r="K1450" s="235"/>
      <c r="L1450" s="285"/>
    </row>
    <row r="1451" spans="1:12" ht="24.95" hidden="1" customHeight="1">
      <c r="A1451" s="136"/>
      <c r="B1451" s="176"/>
      <c r="C1451" s="177"/>
      <c r="D1451" s="136"/>
      <c r="E1451" s="231"/>
      <c r="F1451" s="144"/>
      <c r="G1451" s="144"/>
      <c r="H1451" s="235"/>
      <c r="I1451" s="235"/>
      <c r="J1451" s="235"/>
      <c r="K1451" s="235"/>
      <c r="L1451" s="285"/>
    </row>
    <row r="1452" spans="1:12" ht="24.95" hidden="1" customHeight="1">
      <c r="A1452" s="136"/>
      <c r="B1452" s="176"/>
      <c r="C1452" s="177"/>
      <c r="D1452" s="136"/>
      <c r="E1452" s="231"/>
      <c r="F1452" s="144"/>
      <c r="G1452" s="144"/>
      <c r="H1452" s="235"/>
      <c r="I1452" s="235"/>
      <c r="J1452" s="235"/>
      <c r="K1452" s="235"/>
      <c r="L1452" s="285"/>
    </row>
    <row r="1453" spans="1:12" ht="24.95" hidden="1" customHeight="1">
      <c r="A1453" s="136"/>
      <c r="B1453" s="176"/>
      <c r="C1453" s="177"/>
      <c r="D1453" s="136"/>
      <c r="E1453" s="231"/>
      <c r="F1453" s="144"/>
      <c r="G1453" s="144"/>
      <c r="H1453" s="235"/>
      <c r="I1453" s="235"/>
      <c r="J1453" s="235"/>
      <c r="K1453" s="235"/>
      <c r="L1453" s="285"/>
    </row>
    <row r="1454" spans="1:12" ht="24.95" hidden="1" customHeight="1">
      <c r="A1454" s="136"/>
      <c r="B1454" s="176"/>
      <c r="C1454" s="177"/>
      <c r="D1454" s="136"/>
      <c r="E1454" s="231"/>
      <c r="F1454" s="144"/>
      <c r="G1454" s="144"/>
      <c r="H1454" s="235"/>
      <c r="I1454" s="235"/>
      <c r="J1454" s="235"/>
      <c r="K1454" s="235"/>
      <c r="L1454" s="285"/>
    </row>
    <row r="1455" spans="1:12" ht="24.95" hidden="1" customHeight="1">
      <c r="A1455" s="136"/>
      <c r="B1455" s="176"/>
      <c r="C1455" s="177"/>
      <c r="D1455" s="136"/>
      <c r="E1455" s="231"/>
      <c r="F1455" s="144"/>
      <c r="G1455" s="144"/>
      <c r="H1455" s="235"/>
      <c r="I1455" s="235"/>
      <c r="J1455" s="235"/>
      <c r="K1455" s="235"/>
      <c r="L1455" s="285"/>
    </row>
    <row r="1456" spans="1:12" ht="24.95" hidden="1" customHeight="1">
      <c r="A1456" s="136"/>
      <c r="B1456" s="176"/>
      <c r="C1456" s="177"/>
      <c r="D1456" s="136"/>
      <c r="E1456" s="231"/>
      <c r="F1456" s="144"/>
      <c r="G1456" s="144"/>
      <c r="H1456" s="235"/>
      <c r="I1456" s="235"/>
      <c r="J1456" s="235"/>
      <c r="K1456" s="235"/>
      <c r="L1456" s="285"/>
    </row>
    <row r="1457" spans="1:12" ht="24.95" hidden="1" customHeight="1">
      <c r="A1457" s="136"/>
      <c r="B1457" s="176"/>
      <c r="C1457" s="177"/>
      <c r="D1457" s="136"/>
      <c r="E1457" s="231"/>
      <c r="F1457" s="144"/>
      <c r="G1457" s="144"/>
      <c r="H1457" s="235"/>
      <c r="I1457" s="235"/>
      <c r="J1457" s="235"/>
      <c r="K1457" s="235"/>
      <c r="L1457" s="285"/>
    </row>
    <row r="1458" spans="1:12" ht="24.95" hidden="1" customHeight="1">
      <c r="A1458" s="136"/>
      <c r="B1458" s="176"/>
      <c r="C1458" s="177"/>
      <c r="D1458" s="136"/>
      <c r="E1458" s="231"/>
      <c r="F1458" s="144"/>
      <c r="G1458" s="144"/>
      <c r="H1458" s="235"/>
      <c r="I1458" s="235"/>
      <c r="J1458" s="235"/>
      <c r="K1458" s="235"/>
      <c r="L1458" s="285"/>
    </row>
    <row r="1459" spans="1:12" ht="24.95" hidden="1" customHeight="1">
      <c r="A1459" s="136"/>
      <c r="B1459" s="176"/>
      <c r="C1459" s="177"/>
      <c r="D1459" s="136"/>
      <c r="E1459" s="231"/>
      <c r="F1459" s="144"/>
      <c r="G1459" s="144"/>
      <c r="H1459" s="235"/>
      <c r="I1459" s="235"/>
      <c r="J1459" s="235"/>
      <c r="K1459" s="235"/>
      <c r="L1459" s="285"/>
    </row>
    <row r="1460" spans="1:12" ht="24.95" hidden="1" customHeight="1">
      <c r="A1460" s="136"/>
      <c r="B1460" s="176"/>
      <c r="C1460" s="177"/>
      <c r="D1460" s="136"/>
      <c r="E1460" s="231"/>
      <c r="F1460" s="144"/>
      <c r="G1460" s="144"/>
      <c r="H1460" s="235"/>
      <c r="I1460" s="235"/>
      <c r="J1460" s="235"/>
      <c r="K1460" s="235"/>
      <c r="L1460" s="285"/>
    </row>
    <row r="1461" spans="1:12" ht="24.95" hidden="1" customHeight="1">
      <c r="A1461" s="136"/>
      <c r="B1461" s="176"/>
      <c r="C1461" s="177"/>
      <c r="D1461" s="136"/>
      <c r="E1461" s="231"/>
      <c r="F1461" s="144"/>
      <c r="G1461" s="144"/>
      <c r="H1461" s="235"/>
      <c r="I1461" s="235"/>
      <c r="J1461" s="235"/>
      <c r="K1461" s="235"/>
      <c r="L1461" s="285"/>
    </row>
    <row r="1462" spans="1:12" ht="24.95" hidden="1" customHeight="1">
      <c r="A1462" s="136"/>
      <c r="B1462" s="176"/>
      <c r="C1462" s="177"/>
      <c r="D1462" s="136"/>
      <c r="E1462" s="231"/>
      <c r="F1462" s="144"/>
      <c r="G1462" s="144"/>
      <c r="H1462" s="235"/>
      <c r="I1462" s="235"/>
      <c r="J1462" s="235"/>
      <c r="K1462" s="235"/>
      <c r="L1462" s="285"/>
    </row>
    <row r="1463" spans="1:12" ht="24.95" hidden="1" customHeight="1">
      <c r="A1463" s="136"/>
      <c r="B1463" s="176"/>
      <c r="C1463" s="177"/>
      <c r="D1463" s="136"/>
      <c r="E1463" s="231"/>
      <c r="F1463" s="144"/>
      <c r="G1463" s="144"/>
      <c r="H1463" s="235"/>
      <c r="I1463" s="235"/>
      <c r="J1463" s="235"/>
      <c r="K1463" s="235"/>
      <c r="L1463" s="285"/>
    </row>
    <row r="1464" spans="1:12" ht="24.95" hidden="1" customHeight="1">
      <c r="A1464" s="136"/>
      <c r="B1464" s="176"/>
      <c r="C1464" s="177"/>
      <c r="D1464" s="136"/>
      <c r="E1464" s="231"/>
      <c r="F1464" s="144"/>
      <c r="G1464" s="144"/>
      <c r="H1464" s="235"/>
      <c r="I1464" s="235"/>
      <c r="J1464" s="235"/>
      <c r="K1464" s="235"/>
      <c r="L1464" s="285"/>
    </row>
    <row r="1465" spans="1:12" ht="24.95" hidden="1" customHeight="1">
      <c r="A1465" s="136"/>
      <c r="B1465" s="176"/>
      <c r="C1465" s="177"/>
      <c r="D1465" s="136"/>
      <c r="E1465" s="231"/>
      <c r="F1465" s="144"/>
      <c r="G1465" s="144"/>
      <c r="H1465" s="235"/>
      <c r="I1465" s="235"/>
      <c r="J1465" s="235"/>
      <c r="K1465" s="235"/>
      <c r="L1465" s="285"/>
    </row>
    <row r="1466" spans="1:12" ht="24.95" hidden="1" customHeight="1">
      <c r="A1466" s="136"/>
      <c r="B1466" s="176"/>
      <c r="C1466" s="177"/>
      <c r="D1466" s="136"/>
      <c r="E1466" s="231"/>
      <c r="F1466" s="144"/>
      <c r="G1466" s="144"/>
      <c r="H1466" s="235"/>
      <c r="I1466" s="235"/>
      <c r="J1466" s="235"/>
      <c r="K1466" s="235"/>
      <c r="L1466" s="285"/>
    </row>
    <row r="1467" spans="1:12" ht="24.95" hidden="1" customHeight="1">
      <c r="A1467" s="136"/>
      <c r="B1467" s="176"/>
      <c r="C1467" s="177"/>
      <c r="D1467" s="136"/>
      <c r="E1467" s="231"/>
      <c r="F1467" s="144"/>
      <c r="G1467" s="144"/>
      <c r="H1467" s="235"/>
      <c r="I1467" s="235"/>
      <c r="J1467" s="235"/>
      <c r="K1467" s="235"/>
      <c r="L1467" s="285"/>
    </row>
    <row r="1468" spans="1:12" ht="24.95" hidden="1" customHeight="1">
      <c r="A1468" s="136"/>
      <c r="B1468" s="176"/>
      <c r="C1468" s="177"/>
      <c r="D1468" s="136"/>
      <c r="E1468" s="231"/>
      <c r="F1468" s="144"/>
      <c r="G1468" s="144"/>
      <c r="H1468" s="235"/>
      <c r="I1468" s="235"/>
      <c r="J1468" s="235"/>
      <c r="K1468" s="235"/>
      <c r="L1468" s="285"/>
    </row>
    <row r="1469" spans="1:12" ht="24.95" hidden="1" customHeight="1">
      <c r="A1469" s="136"/>
      <c r="B1469" s="176"/>
      <c r="C1469" s="177"/>
      <c r="D1469" s="136"/>
      <c r="E1469" s="231"/>
      <c r="F1469" s="144"/>
      <c r="G1469" s="144"/>
      <c r="H1469" s="235"/>
      <c r="I1469" s="235"/>
      <c r="J1469" s="235"/>
      <c r="K1469" s="235"/>
      <c r="L1469" s="285"/>
    </row>
    <row r="1470" spans="1:12" ht="24.95" hidden="1" customHeight="1">
      <c r="A1470" s="136"/>
      <c r="B1470" s="176"/>
      <c r="C1470" s="177"/>
      <c r="D1470" s="136"/>
      <c r="E1470" s="231"/>
      <c r="F1470" s="144"/>
      <c r="G1470" s="144"/>
      <c r="H1470" s="235"/>
      <c r="I1470" s="235"/>
      <c r="J1470" s="235"/>
      <c r="K1470" s="235"/>
      <c r="L1470" s="285"/>
    </row>
    <row r="1471" spans="1:12" ht="24.95" hidden="1" customHeight="1">
      <c r="A1471" s="136"/>
      <c r="B1471" s="176"/>
      <c r="C1471" s="177"/>
      <c r="D1471" s="136"/>
      <c r="E1471" s="231"/>
      <c r="F1471" s="144"/>
      <c r="G1471" s="144"/>
      <c r="H1471" s="235"/>
      <c r="I1471" s="235"/>
      <c r="J1471" s="235"/>
      <c r="K1471" s="235"/>
      <c r="L1471" s="285"/>
    </row>
    <row r="1472" spans="1:12" ht="24.95" hidden="1" customHeight="1">
      <c r="A1472" s="136"/>
      <c r="B1472" s="176"/>
      <c r="C1472" s="177"/>
      <c r="D1472" s="136"/>
      <c r="E1472" s="231"/>
      <c r="F1472" s="144"/>
      <c r="G1472" s="144"/>
      <c r="H1472" s="235"/>
      <c r="I1472" s="235"/>
      <c r="J1472" s="235"/>
      <c r="K1472" s="235"/>
      <c r="L1472" s="285"/>
    </row>
    <row r="1473" spans="1:12" ht="24.95" hidden="1" customHeight="1">
      <c r="A1473" s="136"/>
      <c r="B1473" s="176"/>
      <c r="C1473" s="177"/>
      <c r="D1473" s="136"/>
      <c r="E1473" s="231"/>
      <c r="F1473" s="144"/>
      <c r="G1473" s="144"/>
      <c r="H1473" s="235"/>
      <c r="I1473" s="235"/>
      <c r="J1473" s="235"/>
      <c r="K1473" s="235"/>
      <c r="L1473" s="285"/>
    </row>
    <row r="1474" spans="1:12" ht="24.95" hidden="1" customHeight="1">
      <c r="A1474" s="136"/>
      <c r="B1474" s="176"/>
      <c r="C1474" s="177"/>
      <c r="D1474" s="136"/>
      <c r="E1474" s="231"/>
      <c r="F1474" s="144"/>
      <c r="G1474" s="144"/>
      <c r="H1474" s="235"/>
      <c r="I1474" s="235"/>
      <c r="J1474" s="235"/>
      <c r="K1474" s="235"/>
      <c r="L1474" s="285"/>
    </row>
    <row r="1475" spans="1:12" ht="24.95" hidden="1" customHeight="1">
      <c r="A1475" s="136"/>
      <c r="B1475" s="176"/>
      <c r="C1475" s="177"/>
      <c r="D1475" s="136"/>
      <c r="E1475" s="231"/>
      <c r="F1475" s="144"/>
      <c r="G1475" s="144"/>
      <c r="H1475" s="235"/>
      <c r="I1475" s="235"/>
      <c r="J1475" s="235"/>
      <c r="K1475" s="235"/>
      <c r="L1475" s="285"/>
    </row>
    <row r="1476" spans="1:12" ht="24.95" hidden="1" customHeight="1">
      <c r="A1476" s="136"/>
      <c r="B1476" s="176"/>
      <c r="C1476" s="177"/>
      <c r="D1476" s="136"/>
      <c r="E1476" s="231"/>
      <c r="F1476" s="144"/>
      <c r="G1476" s="144"/>
      <c r="H1476" s="235"/>
      <c r="I1476" s="235"/>
      <c r="J1476" s="235"/>
      <c r="K1476" s="235"/>
      <c r="L1476" s="285"/>
    </row>
    <row r="1477" spans="1:12" ht="24.95" hidden="1" customHeight="1">
      <c r="A1477" s="136"/>
      <c r="B1477" s="176"/>
      <c r="C1477" s="177"/>
      <c r="D1477" s="136"/>
      <c r="E1477" s="231"/>
      <c r="F1477" s="144"/>
      <c r="G1477" s="144"/>
      <c r="H1477" s="235"/>
      <c r="I1477" s="235"/>
      <c r="J1477" s="235"/>
      <c r="K1477" s="235"/>
      <c r="L1477" s="285"/>
    </row>
    <row r="1478" spans="1:12" ht="24.95" hidden="1" customHeight="1">
      <c r="A1478" s="136"/>
      <c r="B1478" s="176"/>
      <c r="C1478" s="177"/>
      <c r="D1478" s="136"/>
      <c r="E1478" s="231"/>
      <c r="F1478" s="144"/>
      <c r="G1478" s="144"/>
      <c r="H1478" s="235"/>
      <c r="I1478" s="235"/>
      <c r="J1478" s="235"/>
      <c r="K1478" s="235"/>
      <c r="L1478" s="285"/>
    </row>
    <row r="1479" spans="1:12" ht="24.95" hidden="1" customHeight="1">
      <c r="A1479" s="136"/>
      <c r="B1479" s="176"/>
      <c r="C1479" s="177"/>
      <c r="D1479" s="136"/>
      <c r="E1479" s="231"/>
      <c r="F1479" s="144"/>
      <c r="G1479" s="144"/>
      <c r="H1479" s="235"/>
      <c r="I1479" s="235"/>
      <c r="J1479" s="235"/>
      <c r="K1479" s="235"/>
      <c r="L1479" s="285"/>
    </row>
    <row r="1480" spans="1:12" ht="24.95" hidden="1" customHeight="1">
      <c r="A1480" s="136"/>
      <c r="B1480" s="176"/>
      <c r="C1480" s="177"/>
      <c r="D1480" s="136"/>
      <c r="E1480" s="231"/>
      <c r="F1480" s="144"/>
      <c r="G1480" s="144"/>
      <c r="H1480" s="235"/>
      <c r="I1480" s="235"/>
      <c r="J1480" s="235"/>
      <c r="K1480" s="235"/>
      <c r="L1480" s="285"/>
    </row>
    <row r="1481" spans="1:12" ht="24.95" hidden="1" customHeight="1">
      <c r="A1481" s="136"/>
      <c r="B1481" s="176"/>
      <c r="C1481" s="177"/>
      <c r="D1481" s="136"/>
      <c r="E1481" s="231"/>
      <c r="F1481" s="144"/>
      <c r="G1481" s="144"/>
      <c r="H1481" s="235"/>
      <c r="I1481" s="235"/>
      <c r="J1481" s="235"/>
      <c r="K1481" s="235"/>
      <c r="L1481" s="285"/>
    </row>
    <row r="1482" spans="1:12" ht="24.95" hidden="1" customHeight="1">
      <c r="A1482" s="136"/>
      <c r="B1482" s="176"/>
      <c r="C1482" s="177"/>
      <c r="D1482" s="136"/>
      <c r="E1482" s="231"/>
      <c r="F1482" s="144"/>
      <c r="G1482" s="144"/>
      <c r="H1482" s="235"/>
      <c r="I1482" s="235"/>
      <c r="J1482" s="235"/>
      <c r="K1482" s="235"/>
      <c r="L1482" s="285"/>
    </row>
    <row r="1483" spans="1:12" ht="24.95" hidden="1" customHeight="1">
      <c r="A1483" s="136"/>
      <c r="B1483" s="176"/>
      <c r="C1483" s="177"/>
      <c r="D1483" s="136"/>
      <c r="E1483" s="231"/>
      <c r="F1483" s="144"/>
      <c r="G1483" s="144"/>
      <c r="H1483" s="235"/>
      <c r="I1483" s="235"/>
      <c r="J1483" s="235"/>
      <c r="K1483" s="235"/>
      <c r="L1483" s="285"/>
    </row>
    <row r="1484" spans="1:12" ht="24.95" hidden="1" customHeight="1">
      <c r="A1484" s="136"/>
      <c r="B1484" s="176"/>
      <c r="C1484" s="177"/>
      <c r="D1484" s="136"/>
      <c r="E1484" s="231"/>
      <c r="F1484" s="144"/>
      <c r="G1484" s="144"/>
      <c r="H1484" s="235"/>
      <c r="I1484" s="235"/>
      <c r="J1484" s="235"/>
      <c r="K1484" s="235"/>
      <c r="L1484" s="285"/>
    </row>
    <row r="1485" spans="1:12" ht="24.95" hidden="1" customHeight="1">
      <c r="A1485" s="136"/>
      <c r="B1485" s="176"/>
      <c r="C1485" s="177"/>
      <c r="D1485" s="136"/>
      <c r="E1485" s="231"/>
      <c r="F1485" s="144"/>
      <c r="G1485" s="144"/>
      <c r="H1485" s="235"/>
      <c r="I1485" s="235"/>
      <c r="J1485" s="235"/>
      <c r="K1485" s="235"/>
      <c r="L1485" s="285"/>
    </row>
    <row r="1486" spans="1:12" ht="24.95" hidden="1" customHeight="1">
      <c r="A1486" s="136"/>
      <c r="B1486" s="176"/>
      <c r="C1486" s="177"/>
      <c r="D1486" s="136"/>
      <c r="E1486" s="231"/>
      <c r="F1486" s="144"/>
      <c r="G1486" s="144"/>
      <c r="H1486" s="235"/>
      <c r="I1486" s="235"/>
      <c r="J1486" s="235"/>
      <c r="K1486" s="235"/>
      <c r="L1486" s="285"/>
    </row>
    <row r="1487" spans="1:12" ht="24.95" hidden="1" customHeight="1">
      <c r="A1487" s="136"/>
      <c r="B1487" s="176"/>
      <c r="C1487" s="177"/>
      <c r="D1487" s="136"/>
      <c r="E1487" s="231"/>
      <c r="F1487" s="144"/>
      <c r="G1487" s="144"/>
      <c r="H1487" s="235"/>
      <c r="I1487" s="235"/>
      <c r="J1487" s="235"/>
      <c r="K1487" s="235"/>
      <c r="L1487" s="285"/>
    </row>
    <row r="1488" spans="1:12" ht="24.95" hidden="1" customHeight="1">
      <c r="A1488" s="136"/>
      <c r="B1488" s="176"/>
      <c r="C1488" s="177"/>
      <c r="D1488" s="136"/>
      <c r="E1488" s="231"/>
      <c r="F1488" s="144"/>
      <c r="G1488" s="144"/>
      <c r="H1488" s="235"/>
      <c r="I1488" s="235"/>
      <c r="J1488" s="235"/>
      <c r="K1488" s="235"/>
      <c r="L1488" s="285"/>
    </row>
    <row r="1489" spans="1:12" ht="24.95" hidden="1" customHeight="1">
      <c r="A1489" s="136"/>
      <c r="B1489" s="176"/>
      <c r="C1489" s="177"/>
      <c r="D1489" s="136"/>
      <c r="E1489" s="231"/>
      <c r="F1489" s="144"/>
      <c r="G1489" s="144"/>
      <c r="H1489" s="235"/>
      <c r="I1489" s="235"/>
      <c r="J1489" s="235"/>
      <c r="K1489" s="235"/>
      <c r="L1489" s="285"/>
    </row>
    <row r="1490" spans="1:12" ht="24.95" hidden="1" customHeight="1">
      <c r="A1490" s="136"/>
      <c r="B1490" s="176"/>
      <c r="C1490" s="177"/>
      <c r="D1490" s="136"/>
      <c r="E1490" s="231"/>
      <c r="F1490" s="144"/>
      <c r="G1490" s="144"/>
      <c r="H1490" s="235"/>
      <c r="I1490" s="235"/>
      <c r="J1490" s="235"/>
      <c r="K1490" s="235"/>
      <c r="L1490" s="285"/>
    </row>
    <row r="1491" spans="1:12" ht="24.95" hidden="1" customHeight="1">
      <c r="A1491" s="136"/>
      <c r="B1491" s="176"/>
      <c r="C1491" s="177"/>
      <c r="D1491" s="136"/>
      <c r="E1491" s="231"/>
      <c r="F1491" s="144"/>
      <c r="G1491" s="144"/>
      <c r="H1491" s="235"/>
      <c r="I1491" s="235"/>
      <c r="J1491" s="235"/>
      <c r="K1491" s="235"/>
      <c r="L1491" s="285"/>
    </row>
    <row r="1492" spans="1:12" ht="24.95" hidden="1" customHeight="1">
      <c r="A1492" s="136"/>
      <c r="B1492" s="176"/>
      <c r="C1492" s="177"/>
      <c r="D1492" s="136"/>
      <c r="E1492" s="231"/>
      <c r="F1492" s="144"/>
      <c r="G1492" s="144"/>
      <c r="H1492" s="235"/>
      <c r="I1492" s="235"/>
      <c r="J1492" s="235"/>
      <c r="K1492" s="235"/>
      <c r="L1492" s="285"/>
    </row>
    <row r="1493" spans="1:12" ht="24.95" hidden="1" customHeight="1">
      <c r="A1493" s="136"/>
      <c r="B1493" s="176"/>
      <c r="C1493" s="177"/>
      <c r="D1493" s="136"/>
      <c r="E1493" s="231"/>
      <c r="F1493" s="144"/>
      <c r="G1493" s="144"/>
      <c r="H1493" s="235"/>
      <c r="I1493" s="235"/>
      <c r="J1493" s="235"/>
      <c r="K1493" s="235"/>
      <c r="L1493" s="285"/>
    </row>
    <row r="1494" spans="1:12" ht="24.95" hidden="1" customHeight="1">
      <c r="A1494" s="136"/>
      <c r="B1494" s="176"/>
      <c r="C1494" s="177"/>
      <c r="D1494" s="136"/>
      <c r="E1494" s="231"/>
      <c r="F1494" s="144"/>
      <c r="G1494" s="144"/>
      <c r="H1494" s="235"/>
      <c r="I1494" s="235"/>
      <c r="J1494" s="235"/>
      <c r="K1494" s="235"/>
      <c r="L1494" s="285"/>
    </row>
    <row r="1495" spans="1:12" ht="24.95" hidden="1" customHeight="1">
      <c r="A1495" s="136"/>
      <c r="B1495" s="176"/>
      <c r="C1495" s="177"/>
      <c r="D1495" s="136"/>
      <c r="E1495" s="231"/>
      <c r="F1495" s="144"/>
      <c r="G1495" s="144"/>
      <c r="H1495" s="235"/>
      <c r="I1495" s="235"/>
      <c r="J1495" s="235"/>
      <c r="K1495" s="235"/>
      <c r="L1495" s="285"/>
    </row>
    <row r="1496" spans="1:12" ht="24.95" hidden="1" customHeight="1">
      <c r="A1496" s="136"/>
      <c r="B1496" s="176"/>
      <c r="C1496" s="177"/>
      <c r="D1496" s="136"/>
      <c r="E1496" s="231"/>
      <c r="F1496" s="144"/>
      <c r="G1496" s="144"/>
      <c r="H1496" s="235"/>
      <c r="I1496" s="235"/>
      <c r="J1496" s="235"/>
      <c r="K1496" s="235"/>
      <c r="L1496" s="285"/>
    </row>
    <row r="1497" spans="1:12" ht="24.95" hidden="1" customHeight="1">
      <c r="A1497" s="136"/>
      <c r="B1497" s="176"/>
      <c r="C1497" s="177"/>
      <c r="D1497" s="136"/>
      <c r="E1497" s="231"/>
      <c r="F1497" s="144"/>
      <c r="G1497" s="144"/>
      <c r="H1497" s="235"/>
      <c r="I1497" s="235"/>
      <c r="J1497" s="235"/>
      <c r="K1497" s="235"/>
      <c r="L1497" s="285"/>
    </row>
    <row r="1498" spans="1:12" ht="24.95" hidden="1" customHeight="1">
      <c r="A1498" s="136"/>
      <c r="B1498" s="176"/>
      <c r="C1498" s="177"/>
      <c r="D1498" s="136"/>
      <c r="E1498" s="231"/>
      <c r="F1498" s="144"/>
      <c r="G1498" s="144"/>
      <c r="H1498" s="235"/>
      <c r="I1498" s="235"/>
      <c r="J1498" s="235"/>
      <c r="K1498" s="235"/>
      <c r="L1498" s="285"/>
    </row>
    <row r="1499" spans="1:12" ht="24.95" hidden="1" customHeight="1">
      <c r="A1499" s="136"/>
      <c r="B1499" s="176"/>
      <c r="C1499" s="177"/>
      <c r="D1499" s="136"/>
      <c r="E1499" s="231"/>
      <c r="F1499" s="144"/>
      <c r="G1499" s="144"/>
      <c r="H1499" s="235"/>
      <c r="I1499" s="235"/>
      <c r="J1499" s="235"/>
      <c r="K1499" s="235"/>
      <c r="L1499" s="285"/>
    </row>
    <row r="1500" spans="1:12" ht="24.95" hidden="1" customHeight="1">
      <c r="A1500" s="136"/>
      <c r="B1500" s="176"/>
      <c r="C1500" s="177"/>
      <c r="D1500" s="136"/>
      <c r="E1500" s="231"/>
      <c r="F1500" s="144"/>
      <c r="G1500" s="144"/>
      <c r="H1500" s="235"/>
      <c r="I1500" s="235"/>
      <c r="J1500" s="235"/>
      <c r="K1500" s="235"/>
      <c r="L1500" s="285"/>
    </row>
    <row r="1501" spans="1:12" ht="24.95" hidden="1" customHeight="1">
      <c r="A1501" s="136"/>
      <c r="B1501" s="176"/>
      <c r="C1501" s="177"/>
      <c r="D1501" s="136"/>
      <c r="E1501" s="231"/>
      <c r="F1501" s="144"/>
      <c r="G1501" s="144"/>
      <c r="H1501" s="235"/>
      <c r="I1501" s="235"/>
      <c r="J1501" s="235"/>
      <c r="K1501" s="235"/>
      <c r="L1501" s="285"/>
    </row>
    <row r="1502" spans="1:12" ht="24.95" hidden="1" customHeight="1">
      <c r="A1502" s="136"/>
      <c r="B1502" s="176"/>
      <c r="C1502" s="177"/>
      <c r="D1502" s="136"/>
      <c r="E1502" s="231"/>
      <c r="F1502" s="144"/>
      <c r="G1502" s="144"/>
      <c r="H1502" s="235"/>
      <c r="I1502" s="235"/>
      <c r="J1502" s="235"/>
      <c r="K1502" s="235"/>
      <c r="L1502" s="285"/>
    </row>
    <row r="1503" spans="1:12" ht="24.95" hidden="1" customHeight="1">
      <c r="A1503" s="136"/>
      <c r="B1503" s="176"/>
      <c r="C1503" s="177"/>
      <c r="D1503" s="136"/>
      <c r="E1503" s="231"/>
      <c r="F1503" s="144"/>
      <c r="G1503" s="144"/>
      <c r="H1503" s="235"/>
      <c r="I1503" s="235"/>
      <c r="J1503" s="235"/>
      <c r="K1503" s="235"/>
      <c r="L1503" s="285"/>
    </row>
    <row r="1504" spans="1:12" ht="24.95" hidden="1" customHeight="1">
      <c r="A1504" s="136"/>
      <c r="B1504" s="176"/>
      <c r="C1504" s="177"/>
      <c r="D1504" s="136"/>
      <c r="E1504" s="231"/>
      <c r="F1504" s="144"/>
      <c r="G1504" s="144"/>
      <c r="H1504" s="235"/>
      <c r="I1504" s="235"/>
      <c r="J1504" s="235"/>
      <c r="K1504" s="235"/>
      <c r="L1504" s="285"/>
    </row>
    <row r="1505" spans="1:12" ht="24.95" hidden="1" customHeight="1">
      <c r="A1505" s="136"/>
      <c r="B1505" s="176"/>
      <c r="C1505" s="177"/>
      <c r="D1505" s="136"/>
      <c r="E1505" s="231"/>
      <c r="F1505" s="144"/>
      <c r="G1505" s="144"/>
      <c r="H1505" s="235"/>
      <c r="I1505" s="235"/>
      <c r="J1505" s="235"/>
      <c r="K1505" s="235"/>
      <c r="L1505" s="285"/>
    </row>
    <row r="1506" spans="1:12" ht="24.95" hidden="1" customHeight="1">
      <c r="A1506" s="136"/>
      <c r="B1506" s="176"/>
      <c r="C1506" s="177"/>
      <c r="D1506" s="136"/>
      <c r="E1506" s="231"/>
      <c r="F1506" s="144"/>
      <c r="G1506" s="144"/>
      <c r="H1506" s="235"/>
      <c r="I1506" s="235"/>
      <c r="J1506" s="235"/>
      <c r="K1506" s="235"/>
      <c r="L1506" s="285"/>
    </row>
    <row r="1507" spans="1:12" ht="24.95" hidden="1" customHeight="1">
      <c r="A1507" s="136"/>
      <c r="B1507" s="176"/>
      <c r="C1507" s="177"/>
      <c r="D1507" s="136"/>
      <c r="E1507" s="231"/>
      <c r="F1507" s="144"/>
      <c r="G1507" s="144"/>
      <c r="H1507" s="235"/>
      <c r="I1507" s="235"/>
      <c r="J1507" s="235"/>
      <c r="K1507" s="235"/>
      <c r="L1507" s="285"/>
    </row>
    <row r="1508" spans="1:12" ht="24.95" hidden="1" customHeight="1">
      <c r="A1508" s="136"/>
      <c r="B1508" s="176"/>
      <c r="C1508" s="177"/>
      <c r="D1508" s="136"/>
      <c r="E1508" s="231"/>
      <c r="F1508" s="144"/>
      <c r="G1508" s="144"/>
      <c r="H1508" s="235"/>
      <c r="I1508" s="235"/>
      <c r="J1508" s="235"/>
      <c r="K1508" s="235"/>
      <c r="L1508" s="285"/>
    </row>
    <row r="1509" spans="1:12" ht="24.95" hidden="1" customHeight="1">
      <c r="A1509" s="136"/>
      <c r="B1509" s="176"/>
      <c r="C1509" s="177"/>
      <c r="D1509" s="136"/>
      <c r="E1509" s="231"/>
      <c r="F1509" s="144"/>
      <c r="G1509" s="144"/>
      <c r="H1509" s="235"/>
      <c r="I1509" s="235"/>
      <c r="J1509" s="235"/>
      <c r="K1509" s="235"/>
      <c r="L1509" s="285"/>
    </row>
    <row r="1510" spans="1:12" ht="24.95" hidden="1" customHeight="1">
      <c r="A1510" s="136"/>
      <c r="B1510" s="176"/>
      <c r="C1510" s="177"/>
      <c r="D1510" s="136"/>
      <c r="E1510" s="231"/>
      <c r="F1510" s="144"/>
      <c r="G1510" s="144"/>
      <c r="H1510" s="235"/>
      <c r="I1510" s="235"/>
      <c r="J1510" s="235"/>
      <c r="K1510" s="235"/>
      <c r="L1510" s="285"/>
    </row>
    <row r="1511" spans="1:12" ht="24.95" hidden="1" customHeight="1">
      <c r="A1511" s="136"/>
      <c r="B1511" s="176"/>
      <c r="C1511" s="177"/>
      <c r="D1511" s="136"/>
      <c r="E1511" s="231"/>
      <c r="F1511" s="144"/>
      <c r="G1511" s="144"/>
      <c r="H1511" s="235"/>
      <c r="I1511" s="235"/>
      <c r="J1511" s="235"/>
      <c r="K1511" s="235"/>
      <c r="L1511" s="285"/>
    </row>
    <row r="1512" spans="1:12" ht="24.95" hidden="1" customHeight="1">
      <c r="A1512" s="136"/>
      <c r="B1512" s="176"/>
      <c r="C1512" s="177"/>
      <c r="D1512" s="136"/>
      <c r="E1512" s="231"/>
      <c r="F1512" s="144"/>
      <c r="G1512" s="144"/>
      <c r="H1512" s="235"/>
      <c r="I1512" s="235"/>
      <c r="J1512" s="235"/>
      <c r="K1512" s="235"/>
      <c r="L1512" s="285"/>
    </row>
    <row r="1513" spans="1:12" ht="24.95" hidden="1" customHeight="1">
      <c r="A1513" s="136"/>
      <c r="B1513" s="176"/>
      <c r="C1513" s="177"/>
      <c r="D1513" s="136"/>
      <c r="E1513" s="231"/>
      <c r="F1513" s="144"/>
      <c r="G1513" s="144"/>
      <c r="H1513" s="235"/>
      <c r="I1513" s="235"/>
      <c r="J1513" s="235"/>
      <c r="K1513" s="235"/>
      <c r="L1513" s="285"/>
    </row>
    <row r="1514" spans="1:12" ht="24.95" hidden="1" customHeight="1">
      <c r="A1514" s="136"/>
      <c r="B1514" s="176"/>
      <c r="C1514" s="177"/>
      <c r="D1514" s="136"/>
      <c r="E1514" s="231"/>
      <c r="F1514" s="144"/>
      <c r="G1514" s="144"/>
      <c r="H1514" s="235"/>
      <c r="I1514" s="235"/>
      <c r="J1514" s="235"/>
      <c r="K1514" s="235"/>
      <c r="L1514" s="285"/>
    </row>
    <row r="1515" spans="1:12" ht="24.95" hidden="1" customHeight="1">
      <c r="A1515" s="136"/>
      <c r="B1515" s="176"/>
      <c r="C1515" s="177"/>
      <c r="D1515" s="136"/>
      <c r="E1515" s="231"/>
      <c r="F1515" s="144"/>
      <c r="G1515" s="144"/>
      <c r="H1515" s="235"/>
      <c r="I1515" s="235"/>
      <c r="J1515" s="235"/>
      <c r="K1515" s="235"/>
      <c r="L1515" s="285"/>
    </row>
    <row r="1516" spans="1:12" ht="24.95" hidden="1" customHeight="1">
      <c r="A1516" s="136"/>
      <c r="B1516" s="176"/>
      <c r="C1516" s="177"/>
      <c r="D1516" s="136"/>
      <c r="E1516" s="231"/>
      <c r="F1516" s="144"/>
      <c r="G1516" s="144"/>
      <c r="H1516" s="235"/>
      <c r="I1516" s="235"/>
      <c r="J1516" s="235"/>
      <c r="K1516" s="235"/>
      <c r="L1516" s="285"/>
    </row>
    <row r="1517" spans="1:12" ht="24.95" hidden="1" customHeight="1">
      <c r="A1517" s="136"/>
      <c r="B1517" s="176"/>
      <c r="C1517" s="177"/>
      <c r="D1517" s="136"/>
      <c r="E1517" s="231"/>
      <c r="F1517" s="144"/>
      <c r="G1517" s="144"/>
      <c r="H1517" s="235"/>
      <c r="I1517" s="235"/>
      <c r="J1517" s="235"/>
      <c r="K1517" s="235"/>
      <c r="L1517" s="285"/>
    </row>
    <row r="1518" spans="1:12" ht="24.95" hidden="1" customHeight="1">
      <c r="A1518" s="136"/>
      <c r="B1518" s="176"/>
      <c r="C1518" s="177"/>
      <c r="D1518" s="136"/>
      <c r="E1518" s="231"/>
      <c r="F1518" s="144"/>
      <c r="G1518" s="144"/>
      <c r="H1518" s="235"/>
      <c r="I1518" s="235"/>
      <c r="J1518" s="235"/>
      <c r="K1518" s="235"/>
      <c r="L1518" s="285"/>
    </row>
    <row r="1519" spans="1:12" ht="24.95" hidden="1" customHeight="1">
      <c r="A1519" s="136"/>
      <c r="B1519" s="176"/>
      <c r="C1519" s="177"/>
      <c r="D1519" s="136"/>
      <c r="E1519" s="231"/>
      <c r="F1519" s="144"/>
      <c r="G1519" s="144"/>
      <c r="H1519" s="235"/>
      <c r="I1519" s="235"/>
      <c r="J1519" s="235"/>
      <c r="K1519" s="235"/>
      <c r="L1519" s="285"/>
    </row>
    <row r="1520" spans="1:12" ht="24.95" hidden="1" customHeight="1">
      <c r="A1520" s="136"/>
      <c r="B1520" s="176"/>
      <c r="C1520" s="177"/>
      <c r="D1520" s="136"/>
      <c r="E1520" s="231"/>
      <c r="F1520" s="144"/>
      <c r="G1520" s="144"/>
      <c r="H1520" s="235"/>
      <c r="I1520" s="235"/>
      <c r="J1520" s="235"/>
      <c r="K1520" s="235"/>
      <c r="L1520" s="285"/>
    </row>
    <row r="1521" spans="1:12" ht="24.95" hidden="1" customHeight="1">
      <c r="A1521" s="136"/>
      <c r="B1521" s="176"/>
      <c r="C1521" s="177"/>
      <c r="D1521" s="136"/>
      <c r="E1521" s="231"/>
      <c r="F1521" s="144"/>
      <c r="G1521" s="144"/>
      <c r="H1521" s="235"/>
      <c r="I1521" s="235"/>
      <c r="J1521" s="235"/>
      <c r="K1521" s="235"/>
      <c r="L1521" s="285"/>
    </row>
    <row r="1522" spans="1:12" ht="24.95" hidden="1" customHeight="1">
      <c r="A1522" s="136"/>
      <c r="B1522" s="176"/>
      <c r="C1522" s="177"/>
      <c r="D1522" s="136"/>
      <c r="E1522" s="231"/>
      <c r="F1522" s="144"/>
      <c r="G1522" s="144"/>
      <c r="H1522" s="235"/>
      <c r="I1522" s="235"/>
      <c r="J1522" s="235"/>
      <c r="K1522" s="235"/>
      <c r="L1522" s="285"/>
    </row>
    <row r="1523" spans="1:12" ht="24.95" hidden="1" customHeight="1">
      <c r="A1523" s="136"/>
      <c r="B1523" s="176"/>
      <c r="C1523" s="177"/>
      <c r="D1523" s="136"/>
      <c r="E1523" s="231"/>
      <c r="F1523" s="144"/>
      <c r="G1523" s="144"/>
      <c r="H1523" s="235"/>
      <c r="I1523" s="235"/>
      <c r="J1523" s="235"/>
      <c r="K1523" s="235"/>
      <c r="L1523" s="285"/>
    </row>
    <row r="1524" spans="1:12" ht="24.95" hidden="1" customHeight="1">
      <c r="A1524" s="136"/>
      <c r="B1524" s="176"/>
      <c r="C1524" s="177"/>
      <c r="D1524" s="136"/>
      <c r="E1524" s="231"/>
      <c r="F1524" s="144"/>
      <c r="G1524" s="144"/>
      <c r="H1524" s="235"/>
      <c r="I1524" s="235"/>
      <c r="J1524" s="235"/>
      <c r="K1524" s="235"/>
      <c r="L1524" s="285"/>
    </row>
    <row r="1525" spans="1:12" ht="24.95" hidden="1" customHeight="1">
      <c r="A1525" s="136"/>
      <c r="B1525" s="176"/>
      <c r="C1525" s="177"/>
      <c r="D1525" s="136"/>
      <c r="E1525" s="231"/>
      <c r="F1525" s="144"/>
      <c r="G1525" s="144"/>
      <c r="H1525" s="235"/>
      <c r="I1525" s="235"/>
      <c r="J1525" s="235"/>
      <c r="K1525" s="235"/>
      <c r="L1525" s="285"/>
    </row>
    <row r="1526" spans="1:12" ht="24.95" hidden="1" customHeight="1">
      <c r="A1526" s="136"/>
      <c r="B1526" s="176"/>
      <c r="C1526" s="177"/>
      <c r="D1526" s="136"/>
      <c r="E1526" s="231"/>
      <c r="F1526" s="144"/>
      <c r="G1526" s="144"/>
      <c r="H1526" s="235"/>
      <c r="I1526" s="235"/>
      <c r="J1526" s="235"/>
      <c r="K1526" s="235"/>
      <c r="L1526" s="285"/>
    </row>
    <row r="1527" spans="1:12" ht="24.95" hidden="1" customHeight="1">
      <c r="A1527" s="136"/>
      <c r="B1527" s="176"/>
      <c r="C1527" s="177"/>
      <c r="D1527" s="136"/>
      <c r="E1527" s="231"/>
      <c r="F1527" s="144"/>
      <c r="G1527" s="144"/>
      <c r="H1527" s="235"/>
      <c r="I1527" s="235"/>
      <c r="J1527" s="235"/>
      <c r="K1527" s="235"/>
      <c r="L1527" s="285"/>
    </row>
    <row r="1528" spans="1:12" ht="24.95" hidden="1" customHeight="1">
      <c r="A1528" s="136"/>
      <c r="B1528" s="176"/>
      <c r="C1528" s="177"/>
      <c r="D1528" s="136"/>
      <c r="E1528" s="231"/>
      <c r="F1528" s="144"/>
      <c r="G1528" s="144"/>
      <c r="H1528" s="235"/>
      <c r="I1528" s="235"/>
      <c r="J1528" s="235"/>
      <c r="K1528" s="235"/>
      <c r="L1528" s="285"/>
    </row>
    <row r="1529" spans="1:12" ht="24.95" hidden="1" customHeight="1">
      <c r="A1529" s="136"/>
      <c r="B1529" s="176"/>
      <c r="C1529" s="177"/>
      <c r="D1529" s="136"/>
      <c r="E1529" s="231"/>
      <c r="F1529" s="144"/>
      <c r="G1529" s="144"/>
      <c r="H1529" s="235"/>
      <c r="I1529" s="235"/>
      <c r="J1529" s="235"/>
      <c r="K1529" s="235"/>
      <c r="L1529" s="285"/>
    </row>
    <row r="1530" spans="1:12" ht="24.95" hidden="1" customHeight="1">
      <c r="A1530" s="136"/>
      <c r="B1530" s="176"/>
      <c r="C1530" s="177"/>
      <c r="D1530" s="136"/>
      <c r="E1530" s="231"/>
      <c r="F1530" s="144"/>
      <c r="G1530" s="144"/>
      <c r="H1530" s="235"/>
      <c r="I1530" s="235"/>
      <c r="J1530" s="235"/>
      <c r="K1530" s="235"/>
      <c r="L1530" s="285"/>
    </row>
    <row r="1531" spans="1:12" ht="24.95" hidden="1" customHeight="1">
      <c r="A1531" s="136"/>
      <c r="B1531" s="176"/>
      <c r="C1531" s="177"/>
      <c r="D1531" s="136"/>
      <c r="E1531" s="231"/>
      <c r="F1531" s="144"/>
      <c r="G1531" s="144"/>
      <c r="H1531" s="235"/>
      <c r="I1531" s="235"/>
      <c r="J1531" s="235"/>
      <c r="K1531" s="235"/>
      <c r="L1531" s="285"/>
    </row>
    <row r="1532" spans="1:12" ht="24.95" hidden="1" customHeight="1">
      <c r="A1532" s="136"/>
      <c r="B1532" s="176"/>
      <c r="C1532" s="177"/>
      <c r="D1532" s="136"/>
      <c r="E1532" s="231"/>
      <c r="F1532" s="144"/>
      <c r="G1532" s="144"/>
      <c r="H1532" s="235"/>
      <c r="I1532" s="235"/>
      <c r="J1532" s="235"/>
      <c r="K1532" s="235"/>
      <c r="L1532" s="285"/>
    </row>
    <row r="1533" spans="1:12" ht="24.95" hidden="1" customHeight="1">
      <c r="A1533" s="136"/>
      <c r="B1533" s="176"/>
      <c r="C1533" s="177"/>
      <c r="D1533" s="136"/>
      <c r="E1533" s="231"/>
      <c r="F1533" s="144"/>
      <c r="G1533" s="144"/>
      <c r="H1533" s="235"/>
      <c r="I1533" s="235"/>
      <c r="J1533" s="235"/>
      <c r="K1533" s="235"/>
      <c r="L1533" s="285"/>
    </row>
    <row r="1534" spans="1:12" ht="24.95" hidden="1" customHeight="1">
      <c r="A1534" s="136"/>
      <c r="B1534" s="176"/>
      <c r="C1534" s="177"/>
      <c r="D1534" s="136"/>
      <c r="E1534" s="231"/>
      <c r="F1534" s="144"/>
      <c r="G1534" s="144"/>
      <c r="H1534" s="235"/>
      <c r="I1534" s="235"/>
      <c r="J1534" s="235"/>
      <c r="K1534" s="235"/>
      <c r="L1534" s="285"/>
    </row>
    <row r="1535" spans="1:12" ht="24.95" hidden="1" customHeight="1">
      <c r="A1535" s="136"/>
      <c r="B1535" s="176"/>
      <c r="C1535" s="177"/>
      <c r="D1535" s="136"/>
      <c r="E1535" s="231"/>
      <c r="F1535" s="144"/>
      <c r="G1535" s="144"/>
      <c r="H1535" s="235"/>
      <c r="I1535" s="235"/>
      <c r="J1535" s="235"/>
      <c r="K1535" s="235"/>
      <c r="L1535" s="285"/>
    </row>
    <row r="1536" spans="1:12" ht="24.95" hidden="1" customHeight="1">
      <c r="A1536" s="136"/>
      <c r="B1536" s="176"/>
      <c r="C1536" s="177"/>
      <c r="D1536" s="136"/>
      <c r="E1536" s="231"/>
      <c r="F1536" s="144"/>
      <c r="G1536" s="144"/>
      <c r="H1536" s="235"/>
      <c r="I1536" s="235"/>
      <c r="J1536" s="235"/>
      <c r="K1536" s="235"/>
      <c r="L1536" s="285"/>
    </row>
    <row r="1537" spans="1:12" ht="24.95" hidden="1" customHeight="1">
      <c r="A1537" s="136"/>
      <c r="B1537" s="176"/>
      <c r="C1537" s="177"/>
      <c r="D1537" s="136"/>
      <c r="E1537" s="231"/>
      <c r="F1537" s="144"/>
      <c r="G1537" s="144"/>
      <c r="H1537" s="235"/>
      <c r="I1537" s="235"/>
      <c r="J1537" s="235"/>
      <c r="K1537" s="235"/>
      <c r="L1537" s="285"/>
    </row>
    <row r="1538" spans="1:12" ht="24.95" hidden="1" customHeight="1">
      <c r="A1538" s="136"/>
      <c r="B1538" s="176"/>
      <c r="C1538" s="177"/>
      <c r="D1538" s="136"/>
      <c r="E1538" s="231"/>
      <c r="F1538" s="144"/>
      <c r="G1538" s="144"/>
      <c r="H1538" s="235"/>
      <c r="I1538" s="235"/>
      <c r="J1538" s="235"/>
      <c r="K1538" s="235"/>
      <c r="L1538" s="285"/>
    </row>
    <row r="1539" spans="1:12" ht="24.95" hidden="1" customHeight="1">
      <c r="A1539" s="136"/>
      <c r="B1539" s="176"/>
      <c r="C1539" s="177"/>
      <c r="D1539" s="136"/>
      <c r="E1539" s="231"/>
      <c r="F1539" s="144"/>
      <c r="G1539" s="144"/>
      <c r="H1539" s="235"/>
      <c r="I1539" s="235"/>
      <c r="J1539" s="235"/>
      <c r="K1539" s="235"/>
      <c r="L1539" s="285"/>
    </row>
    <row r="1540" spans="1:12" ht="24.95" hidden="1" customHeight="1">
      <c r="A1540" s="136"/>
      <c r="B1540" s="176"/>
      <c r="C1540" s="177"/>
      <c r="D1540" s="136"/>
      <c r="E1540" s="231"/>
      <c r="F1540" s="144"/>
      <c r="G1540" s="144"/>
      <c r="H1540" s="235"/>
      <c r="I1540" s="235"/>
      <c r="J1540" s="235"/>
      <c r="K1540" s="235"/>
      <c r="L1540" s="285"/>
    </row>
    <row r="1541" spans="1:12" ht="24.95" hidden="1" customHeight="1">
      <c r="A1541" s="136"/>
      <c r="B1541" s="176"/>
      <c r="C1541" s="177"/>
      <c r="D1541" s="136"/>
      <c r="E1541" s="231"/>
      <c r="F1541" s="144"/>
      <c r="G1541" s="144"/>
      <c r="H1541" s="235"/>
      <c r="I1541" s="235"/>
      <c r="J1541" s="235"/>
      <c r="K1541" s="235"/>
      <c r="L1541" s="285"/>
    </row>
    <row r="1542" spans="1:12" ht="24.95" hidden="1" customHeight="1">
      <c r="A1542" s="136"/>
      <c r="B1542" s="176"/>
      <c r="C1542" s="177"/>
      <c r="D1542" s="136"/>
      <c r="E1542" s="231"/>
      <c r="F1542" s="144"/>
      <c r="G1542" s="144"/>
      <c r="H1542" s="235"/>
      <c r="I1542" s="235"/>
      <c r="J1542" s="235"/>
      <c r="K1542" s="235"/>
      <c r="L1542" s="285"/>
    </row>
    <row r="1543" spans="1:12" ht="24.95" hidden="1" customHeight="1">
      <c r="A1543" s="136"/>
      <c r="B1543" s="176"/>
      <c r="C1543" s="177"/>
      <c r="D1543" s="136"/>
      <c r="E1543" s="231"/>
      <c r="F1543" s="144"/>
      <c r="G1543" s="144"/>
      <c r="H1543" s="235"/>
      <c r="I1543" s="235"/>
      <c r="J1543" s="235"/>
      <c r="K1543" s="235"/>
      <c r="L1543" s="285"/>
    </row>
    <row r="1544" spans="1:12" ht="24.95" hidden="1" customHeight="1">
      <c r="A1544" s="136"/>
      <c r="B1544" s="176"/>
      <c r="C1544" s="177"/>
      <c r="D1544" s="136"/>
      <c r="E1544" s="231"/>
      <c r="F1544" s="144"/>
      <c r="G1544" s="144"/>
      <c r="H1544" s="235"/>
      <c r="I1544" s="235"/>
      <c r="J1544" s="235"/>
      <c r="K1544" s="235"/>
      <c r="L1544" s="285"/>
    </row>
    <row r="1545" spans="1:12" ht="24.95" hidden="1" customHeight="1">
      <c r="A1545" s="136"/>
      <c r="B1545" s="176"/>
      <c r="C1545" s="177"/>
      <c r="D1545" s="136"/>
      <c r="E1545" s="231"/>
      <c r="F1545" s="144"/>
      <c r="G1545" s="144"/>
      <c r="H1545" s="235"/>
      <c r="I1545" s="235"/>
      <c r="J1545" s="235"/>
      <c r="K1545" s="235"/>
      <c r="L1545" s="285"/>
    </row>
    <row r="1546" spans="1:12" ht="24.95" hidden="1" customHeight="1">
      <c r="A1546" s="136"/>
      <c r="B1546" s="176"/>
      <c r="C1546" s="177"/>
      <c r="D1546" s="136"/>
      <c r="E1546" s="231"/>
      <c r="F1546" s="144"/>
      <c r="G1546" s="144"/>
      <c r="H1546" s="235"/>
      <c r="I1546" s="235"/>
      <c r="J1546" s="235"/>
      <c r="K1546" s="235"/>
      <c r="L1546" s="285"/>
    </row>
    <row r="1547" spans="1:12" ht="24.95" hidden="1" customHeight="1">
      <c r="A1547" s="136"/>
      <c r="B1547" s="176"/>
      <c r="C1547" s="177"/>
      <c r="D1547" s="136"/>
      <c r="E1547" s="231"/>
      <c r="F1547" s="144"/>
      <c r="G1547" s="144"/>
      <c r="H1547" s="235"/>
      <c r="I1547" s="235"/>
      <c r="J1547" s="235"/>
      <c r="K1547" s="235"/>
      <c r="L1547" s="285"/>
    </row>
    <row r="1548" spans="1:12" ht="24.95" hidden="1" customHeight="1">
      <c r="A1548" s="136"/>
      <c r="B1548" s="176"/>
      <c r="C1548" s="177"/>
      <c r="D1548" s="136"/>
      <c r="E1548" s="231"/>
      <c r="F1548" s="144"/>
      <c r="G1548" s="144"/>
      <c r="H1548" s="235"/>
      <c r="I1548" s="235"/>
      <c r="J1548" s="235"/>
      <c r="K1548" s="235"/>
      <c r="L1548" s="285"/>
    </row>
    <row r="1549" spans="1:12" ht="24.95" hidden="1" customHeight="1">
      <c r="A1549" s="136"/>
      <c r="B1549" s="176"/>
      <c r="C1549" s="177"/>
      <c r="D1549" s="136"/>
      <c r="E1549" s="231"/>
      <c r="F1549" s="144"/>
      <c r="G1549" s="144"/>
      <c r="H1549" s="235"/>
      <c r="I1549" s="235"/>
      <c r="J1549" s="235"/>
      <c r="K1549" s="235"/>
      <c r="L1549" s="285"/>
    </row>
    <row r="1550" spans="1:12" ht="24.95" hidden="1" customHeight="1">
      <c r="A1550" s="136"/>
      <c r="B1550" s="176"/>
      <c r="C1550" s="177"/>
      <c r="D1550" s="136"/>
      <c r="E1550" s="231"/>
      <c r="F1550" s="144"/>
      <c r="G1550" s="144"/>
      <c r="H1550" s="235"/>
      <c r="I1550" s="235"/>
      <c r="J1550" s="235"/>
      <c r="K1550" s="235"/>
      <c r="L1550" s="285"/>
    </row>
    <row r="1551" spans="1:12" ht="24.95" hidden="1" customHeight="1">
      <c r="A1551" s="136"/>
      <c r="B1551" s="176"/>
      <c r="C1551" s="177"/>
      <c r="D1551" s="136"/>
      <c r="E1551" s="231"/>
      <c r="F1551" s="144"/>
      <c r="G1551" s="144"/>
      <c r="H1551" s="235"/>
      <c r="I1551" s="235"/>
      <c r="J1551" s="235"/>
      <c r="K1551" s="235"/>
      <c r="L1551" s="285"/>
    </row>
    <row r="1552" spans="1:12" ht="24.95" hidden="1" customHeight="1">
      <c r="A1552" s="136"/>
      <c r="B1552" s="176"/>
      <c r="C1552" s="177"/>
      <c r="D1552" s="136"/>
      <c r="E1552" s="231"/>
      <c r="F1552" s="144"/>
      <c r="G1552" s="144"/>
      <c r="H1552" s="235"/>
      <c r="I1552" s="235"/>
      <c r="J1552" s="235"/>
      <c r="K1552" s="235"/>
      <c r="L1552" s="285"/>
    </row>
    <row r="1553" spans="1:12" ht="24.95" hidden="1" customHeight="1">
      <c r="A1553" s="136"/>
      <c r="B1553" s="176"/>
      <c r="C1553" s="177"/>
      <c r="D1553" s="136"/>
      <c r="E1553" s="231"/>
      <c r="F1553" s="144"/>
      <c r="G1553" s="144"/>
      <c r="H1553" s="235"/>
      <c r="I1553" s="235"/>
      <c r="J1553" s="235"/>
      <c r="K1553" s="235"/>
      <c r="L1553" s="285"/>
    </row>
    <row r="1554" spans="1:12" ht="24.95" hidden="1" customHeight="1">
      <c r="A1554" s="136"/>
      <c r="B1554" s="176"/>
      <c r="C1554" s="177"/>
      <c r="D1554" s="136"/>
      <c r="E1554" s="231"/>
      <c r="F1554" s="144"/>
      <c r="G1554" s="144"/>
      <c r="H1554" s="235"/>
      <c r="I1554" s="235"/>
      <c r="J1554" s="235"/>
      <c r="K1554" s="235"/>
      <c r="L1554" s="285"/>
    </row>
    <row r="1555" spans="1:12" ht="24.95" hidden="1" customHeight="1">
      <c r="A1555" s="136"/>
      <c r="B1555" s="176"/>
      <c r="C1555" s="177"/>
      <c r="D1555" s="136"/>
      <c r="E1555" s="231"/>
      <c r="F1555" s="144"/>
      <c r="G1555" s="144"/>
      <c r="H1555" s="235"/>
      <c r="I1555" s="235"/>
      <c r="J1555" s="235"/>
      <c r="K1555" s="235"/>
      <c r="L1555" s="285"/>
    </row>
    <row r="1556" spans="1:12" ht="24.95" hidden="1" customHeight="1">
      <c r="A1556" s="136"/>
      <c r="B1556" s="176"/>
      <c r="C1556" s="177"/>
      <c r="D1556" s="136"/>
      <c r="E1556" s="231"/>
      <c r="F1556" s="144"/>
      <c r="G1556" s="144"/>
      <c r="H1556" s="235"/>
      <c r="I1556" s="235"/>
      <c r="J1556" s="235"/>
      <c r="K1556" s="235"/>
      <c r="L1556" s="285"/>
    </row>
    <row r="1557" spans="1:12" ht="24.95" hidden="1" customHeight="1">
      <c r="A1557" s="136"/>
      <c r="B1557" s="176"/>
      <c r="C1557" s="177"/>
      <c r="D1557" s="136"/>
      <c r="E1557" s="231"/>
      <c r="F1557" s="144"/>
      <c r="G1557" s="144"/>
      <c r="H1557" s="235"/>
      <c r="I1557" s="235"/>
      <c r="J1557" s="235"/>
      <c r="K1557" s="235"/>
      <c r="L1557" s="285"/>
    </row>
    <row r="1558" spans="1:12" ht="24.95" hidden="1" customHeight="1">
      <c r="A1558" s="136"/>
      <c r="B1558" s="176"/>
      <c r="C1558" s="177"/>
      <c r="D1558" s="136"/>
      <c r="E1558" s="231"/>
      <c r="F1558" s="144"/>
      <c r="G1558" s="144"/>
      <c r="H1558" s="235"/>
      <c r="I1558" s="235"/>
      <c r="J1558" s="235"/>
      <c r="K1558" s="235"/>
      <c r="L1558" s="285"/>
    </row>
    <row r="1559" spans="1:12" ht="24.95" hidden="1" customHeight="1">
      <c r="A1559" s="136"/>
      <c r="B1559" s="176"/>
      <c r="C1559" s="177"/>
      <c r="D1559" s="136"/>
      <c r="E1559" s="231"/>
      <c r="F1559" s="144"/>
      <c r="G1559" s="144"/>
      <c r="H1559" s="235"/>
      <c r="I1559" s="235"/>
      <c r="J1559" s="235"/>
      <c r="K1559" s="235"/>
      <c r="L1559" s="285"/>
    </row>
    <row r="1560" spans="1:12" ht="24.95" hidden="1" customHeight="1">
      <c r="A1560" s="136"/>
      <c r="B1560" s="176"/>
      <c r="C1560" s="177"/>
      <c r="D1560" s="136"/>
      <c r="E1560" s="231"/>
      <c r="F1560" s="144"/>
      <c r="G1560" s="144"/>
      <c r="H1560" s="235"/>
      <c r="I1560" s="235"/>
      <c r="J1560" s="235"/>
      <c r="K1560" s="235"/>
      <c r="L1560" s="285"/>
    </row>
    <row r="1561" spans="1:12" ht="24.95" hidden="1" customHeight="1">
      <c r="A1561" s="136"/>
      <c r="B1561" s="176"/>
      <c r="C1561" s="177"/>
      <c r="D1561" s="136"/>
      <c r="E1561" s="231"/>
      <c r="F1561" s="144"/>
      <c r="G1561" s="144"/>
      <c r="H1561" s="235"/>
      <c r="I1561" s="235"/>
      <c r="J1561" s="235"/>
      <c r="K1561" s="235"/>
      <c r="L1561" s="285"/>
    </row>
    <row r="1562" spans="1:12" ht="24.95" hidden="1" customHeight="1">
      <c r="A1562" s="136"/>
      <c r="B1562" s="176"/>
      <c r="C1562" s="177"/>
      <c r="D1562" s="136"/>
      <c r="E1562" s="231"/>
      <c r="F1562" s="144"/>
      <c r="G1562" s="144"/>
      <c r="H1562" s="235"/>
      <c r="I1562" s="235"/>
      <c r="J1562" s="235"/>
      <c r="K1562" s="235"/>
      <c r="L1562" s="285"/>
    </row>
    <row r="1563" spans="1:12" ht="24.95" hidden="1" customHeight="1">
      <c r="A1563" s="136"/>
      <c r="B1563" s="176"/>
      <c r="C1563" s="177"/>
      <c r="D1563" s="136"/>
      <c r="E1563" s="231"/>
      <c r="F1563" s="144"/>
      <c r="G1563" s="144"/>
      <c r="H1563" s="235"/>
      <c r="I1563" s="235"/>
      <c r="J1563" s="235"/>
      <c r="K1563" s="235"/>
      <c r="L1563" s="285"/>
    </row>
    <row r="1564" spans="1:12" ht="24.95" hidden="1" customHeight="1">
      <c r="A1564" s="136"/>
      <c r="B1564" s="176"/>
      <c r="C1564" s="177"/>
      <c r="D1564" s="136"/>
      <c r="E1564" s="231"/>
      <c r="F1564" s="144"/>
      <c r="G1564" s="144"/>
      <c r="H1564" s="235"/>
      <c r="I1564" s="235"/>
      <c r="J1564" s="235"/>
      <c r="K1564" s="235"/>
      <c r="L1564" s="285"/>
    </row>
    <row r="1565" spans="1:12" ht="24.95" hidden="1" customHeight="1">
      <c r="A1565" s="136"/>
      <c r="B1565" s="176"/>
      <c r="C1565" s="177"/>
      <c r="D1565" s="136"/>
      <c r="E1565" s="231"/>
      <c r="F1565" s="144"/>
      <c r="G1565" s="144"/>
      <c r="H1565" s="235"/>
      <c r="I1565" s="235"/>
      <c r="J1565" s="235"/>
      <c r="K1565" s="235"/>
      <c r="L1565" s="285"/>
    </row>
    <row r="1566" spans="1:12" ht="24.95" hidden="1" customHeight="1">
      <c r="A1566" s="136"/>
      <c r="B1566" s="176"/>
      <c r="C1566" s="177"/>
      <c r="D1566" s="136"/>
      <c r="E1566" s="231"/>
      <c r="F1566" s="144"/>
      <c r="G1566" s="144"/>
      <c r="H1566" s="235"/>
      <c r="I1566" s="235"/>
      <c r="J1566" s="235"/>
      <c r="K1566" s="235"/>
      <c r="L1566" s="285"/>
    </row>
    <row r="1567" spans="1:12" ht="24.95" hidden="1" customHeight="1">
      <c r="A1567" s="136"/>
      <c r="B1567" s="176"/>
      <c r="C1567" s="177"/>
      <c r="D1567" s="136"/>
      <c r="E1567" s="231"/>
      <c r="F1567" s="144"/>
      <c r="G1567" s="144"/>
      <c r="H1567" s="235"/>
      <c r="I1567" s="235"/>
      <c r="J1567" s="235"/>
      <c r="K1567" s="235"/>
      <c r="L1567" s="285"/>
    </row>
    <row r="1568" spans="1:12" ht="24.95" hidden="1" customHeight="1">
      <c r="A1568" s="136"/>
      <c r="B1568" s="176"/>
      <c r="C1568" s="177"/>
      <c r="D1568" s="136"/>
      <c r="E1568" s="231"/>
      <c r="F1568" s="144"/>
      <c r="G1568" s="144"/>
      <c r="H1568" s="235"/>
      <c r="I1568" s="235"/>
      <c r="J1568" s="235"/>
      <c r="K1568" s="235"/>
      <c r="L1568" s="285"/>
    </row>
    <row r="1569" spans="1:12" ht="24.95" hidden="1" customHeight="1">
      <c r="A1569" s="136"/>
      <c r="B1569" s="176"/>
      <c r="C1569" s="177"/>
      <c r="D1569" s="136"/>
      <c r="E1569" s="231"/>
      <c r="F1569" s="144"/>
      <c r="G1569" s="144"/>
      <c r="H1569" s="235"/>
      <c r="I1569" s="235"/>
      <c r="J1569" s="235"/>
      <c r="K1569" s="235"/>
      <c r="L1569" s="285"/>
    </row>
    <row r="1570" spans="1:12" ht="24.95" hidden="1" customHeight="1">
      <c r="A1570" s="136"/>
      <c r="B1570" s="176"/>
      <c r="C1570" s="177"/>
      <c r="D1570" s="136"/>
      <c r="E1570" s="231"/>
      <c r="F1570" s="144"/>
      <c r="G1570" s="144"/>
      <c r="H1570" s="235"/>
      <c r="I1570" s="235"/>
      <c r="J1570" s="235"/>
      <c r="K1570" s="235"/>
      <c r="L1570" s="285"/>
    </row>
    <row r="1571" spans="1:12" ht="24.95" hidden="1" customHeight="1">
      <c r="A1571" s="136"/>
      <c r="B1571" s="176"/>
      <c r="C1571" s="177"/>
      <c r="D1571" s="136"/>
      <c r="E1571" s="231"/>
      <c r="F1571" s="144"/>
      <c r="G1571" s="144"/>
      <c r="H1571" s="235"/>
      <c r="I1571" s="235"/>
      <c r="J1571" s="235"/>
      <c r="K1571" s="235"/>
      <c r="L1571" s="285"/>
    </row>
    <row r="1572" spans="1:12" ht="24.95" hidden="1" customHeight="1">
      <c r="A1572" s="136"/>
      <c r="B1572" s="176"/>
      <c r="C1572" s="177"/>
      <c r="D1572" s="136"/>
      <c r="E1572" s="231"/>
      <c r="F1572" s="144"/>
      <c r="G1572" s="144"/>
      <c r="H1572" s="235"/>
      <c r="I1572" s="235"/>
      <c r="J1572" s="235"/>
      <c r="K1572" s="235"/>
      <c r="L1572" s="285"/>
    </row>
    <row r="1573" spans="1:12" ht="24.95" hidden="1" customHeight="1">
      <c r="A1573" s="136"/>
      <c r="B1573" s="176"/>
      <c r="C1573" s="177"/>
      <c r="D1573" s="136"/>
      <c r="E1573" s="231"/>
      <c r="F1573" s="144"/>
      <c r="G1573" s="144"/>
      <c r="H1573" s="235"/>
      <c r="I1573" s="235"/>
      <c r="J1573" s="235"/>
      <c r="K1573" s="235"/>
      <c r="L1573" s="285"/>
    </row>
    <row r="1574" spans="1:12" ht="24.95" hidden="1" customHeight="1">
      <c r="A1574" s="136"/>
      <c r="B1574" s="176"/>
      <c r="C1574" s="177"/>
      <c r="D1574" s="136"/>
      <c r="E1574" s="231"/>
      <c r="F1574" s="144"/>
      <c r="G1574" s="144"/>
      <c r="H1574" s="235"/>
      <c r="I1574" s="235"/>
      <c r="J1574" s="235"/>
      <c r="K1574" s="235"/>
      <c r="L1574" s="285"/>
    </row>
    <row r="1575" spans="1:12" ht="24.95" hidden="1" customHeight="1">
      <c r="A1575" s="136"/>
      <c r="B1575" s="176"/>
      <c r="C1575" s="177"/>
      <c r="D1575" s="136"/>
      <c r="E1575" s="231"/>
      <c r="F1575" s="144"/>
      <c r="G1575" s="144"/>
      <c r="H1575" s="235"/>
      <c r="I1575" s="235"/>
      <c r="J1575" s="235"/>
      <c r="K1575" s="235"/>
      <c r="L1575" s="285"/>
    </row>
    <row r="1576" spans="1:12" ht="24.95" hidden="1" customHeight="1">
      <c r="A1576" s="136"/>
      <c r="B1576" s="176"/>
      <c r="C1576" s="177"/>
      <c r="D1576" s="136"/>
      <c r="E1576" s="231"/>
      <c r="F1576" s="144"/>
      <c r="G1576" s="144"/>
      <c r="H1576" s="235"/>
      <c r="I1576" s="235"/>
      <c r="J1576" s="235"/>
      <c r="K1576" s="235"/>
      <c r="L1576" s="285"/>
    </row>
    <row r="1577" spans="1:12" ht="24.95" hidden="1" customHeight="1">
      <c r="A1577" s="136"/>
      <c r="B1577" s="176"/>
      <c r="C1577" s="177"/>
      <c r="D1577" s="136"/>
      <c r="E1577" s="231"/>
      <c r="F1577" s="144"/>
      <c r="G1577" s="144"/>
      <c r="H1577" s="235"/>
      <c r="I1577" s="235"/>
      <c r="J1577" s="235"/>
      <c r="K1577" s="235"/>
      <c r="L1577" s="285"/>
    </row>
    <row r="1578" spans="1:12" ht="24.95" hidden="1" customHeight="1">
      <c r="A1578" s="136"/>
      <c r="B1578" s="176"/>
      <c r="C1578" s="177"/>
      <c r="D1578" s="136"/>
      <c r="E1578" s="231"/>
      <c r="F1578" s="144"/>
      <c r="G1578" s="144"/>
      <c r="H1578" s="235"/>
      <c r="I1578" s="235"/>
      <c r="J1578" s="235"/>
      <c r="K1578" s="235"/>
      <c r="L1578" s="285"/>
    </row>
    <row r="1579" spans="1:12" ht="24.95" hidden="1" customHeight="1">
      <c r="A1579" s="136"/>
      <c r="B1579" s="176"/>
      <c r="C1579" s="177"/>
      <c r="D1579" s="136"/>
      <c r="E1579" s="231"/>
      <c r="F1579" s="144"/>
      <c r="G1579" s="144"/>
      <c r="H1579" s="235"/>
      <c r="I1579" s="235"/>
      <c r="J1579" s="235"/>
      <c r="K1579" s="235"/>
      <c r="L1579" s="285"/>
    </row>
    <row r="1580" spans="1:12" ht="24.95" hidden="1" customHeight="1">
      <c r="A1580" s="136"/>
      <c r="B1580" s="176"/>
      <c r="C1580" s="177"/>
      <c r="D1580" s="136"/>
      <c r="E1580" s="231"/>
      <c r="F1580" s="144"/>
      <c r="G1580" s="144"/>
      <c r="H1580" s="235"/>
      <c r="I1580" s="235"/>
      <c r="J1580" s="235"/>
      <c r="K1580" s="235"/>
      <c r="L1580" s="285"/>
    </row>
    <row r="1581" spans="1:12" ht="24.95" hidden="1" customHeight="1">
      <c r="A1581" s="136"/>
      <c r="B1581" s="176"/>
      <c r="C1581" s="177"/>
      <c r="D1581" s="136"/>
      <c r="E1581" s="231"/>
      <c r="F1581" s="144"/>
      <c r="G1581" s="144"/>
      <c r="H1581" s="235"/>
      <c r="I1581" s="235"/>
      <c r="J1581" s="235"/>
      <c r="K1581" s="235"/>
      <c r="L1581" s="285"/>
    </row>
    <row r="1582" spans="1:12" ht="24.95" hidden="1" customHeight="1">
      <c r="A1582" s="136"/>
      <c r="B1582" s="176"/>
      <c r="C1582" s="177"/>
      <c r="D1582" s="136"/>
      <c r="E1582" s="231"/>
      <c r="F1582" s="144"/>
      <c r="G1582" s="144"/>
      <c r="H1582" s="235"/>
      <c r="I1582" s="235"/>
      <c r="J1582" s="235"/>
      <c r="K1582" s="235"/>
      <c r="L1582" s="285"/>
    </row>
    <row r="1583" spans="1:12" ht="24.95" hidden="1" customHeight="1">
      <c r="A1583" s="136"/>
      <c r="B1583" s="176"/>
      <c r="C1583" s="177"/>
      <c r="D1583" s="136"/>
      <c r="E1583" s="231"/>
      <c r="F1583" s="144"/>
      <c r="G1583" s="144"/>
      <c r="H1583" s="235"/>
      <c r="I1583" s="235"/>
      <c r="J1583" s="235"/>
      <c r="K1583" s="235"/>
      <c r="L1583" s="285"/>
    </row>
    <row r="1584" spans="1:12" ht="24.95" hidden="1" customHeight="1">
      <c r="A1584" s="136"/>
      <c r="B1584" s="176"/>
      <c r="C1584" s="177"/>
      <c r="D1584" s="136"/>
      <c r="E1584" s="231"/>
      <c r="F1584" s="144"/>
      <c r="G1584" s="144"/>
      <c r="H1584" s="235"/>
      <c r="I1584" s="235"/>
      <c r="J1584" s="235"/>
      <c r="K1584" s="235"/>
      <c r="L1584" s="285"/>
    </row>
    <row r="1585" spans="1:12" ht="24.95" hidden="1" customHeight="1">
      <c r="A1585" s="136"/>
      <c r="B1585" s="176"/>
      <c r="C1585" s="177"/>
      <c r="D1585" s="136"/>
      <c r="E1585" s="231"/>
      <c r="F1585" s="144"/>
      <c r="G1585" s="144"/>
      <c r="H1585" s="235"/>
      <c r="I1585" s="235"/>
      <c r="J1585" s="235"/>
      <c r="K1585" s="235"/>
      <c r="L1585" s="285"/>
    </row>
    <row r="1586" spans="1:12" ht="24.95" hidden="1" customHeight="1">
      <c r="A1586" s="136"/>
      <c r="B1586" s="176"/>
      <c r="C1586" s="177"/>
      <c r="D1586" s="136"/>
      <c r="E1586" s="231"/>
      <c r="F1586" s="144"/>
      <c r="G1586" s="144"/>
      <c r="H1586" s="235"/>
      <c r="I1586" s="235"/>
      <c r="J1586" s="235"/>
      <c r="K1586" s="235"/>
      <c r="L1586" s="285"/>
    </row>
    <row r="1587" spans="1:12" ht="24.95" hidden="1" customHeight="1">
      <c r="A1587" s="136"/>
      <c r="B1587" s="176"/>
      <c r="C1587" s="177"/>
      <c r="D1587" s="136"/>
      <c r="E1587" s="231"/>
      <c r="F1587" s="144"/>
      <c r="G1587" s="144"/>
      <c r="H1587" s="235"/>
      <c r="I1587" s="235"/>
      <c r="J1587" s="235"/>
      <c r="K1587" s="235"/>
      <c r="L1587" s="285"/>
    </row>
    <row r="1588" spans="1:12" ht="24.95" hidden="1" customHeight="1">
      <c r="A1588" s="136"/>
      <c r="B1588" s="176"/>
      <c r="C1588" s="177"/>
      <c r="D1588" s="136"/>
      <c r="E1588" s="231"/>
      <c r="F1588" s="144"/>
      <c r="G1588" s="144"/>
      <c r="H1588" s="235"/>
      <c r="I1588" s="235"/>
      <c r="J1588" s="235"/>
      <c r="K1588" s="235"/>
      <c r="L1588" s="285"/>
    </row>
    <row r="1589" spans="1:12" ht="24.95" hidden="1" customHeight="1">
      <c r="A1589" s="136"/>
      <c r="B1589" s="176"/>
      <c r="C1589" s="177"/>
      <c r="D1589" s="136"/>
      <c r="E1589" s="231"/>
      <c r="F1589" s="144"/>
      <c r="G1589" s="144"/>
      <c r="H1589" s="235"/>
      <c r="I1589" s="235"/>
      <c r="J1589" s="235"/>
      <c r="K1589" s="235"/>
      <c r="L1589" s="285"/>
    </row>
    <row r="1590" spans="1:12" ht="24.95" hidden="1" customHeight="1">
      <c r="A1590" s="136"/>
      <c r="B1590" s="176"/>
      <c r="C1590" s="177"/>
      <c r="D1590" s="136"/>
      <c r="E1590" s="231"/>
      <c r="F1590" s="144"/>
      <c r="G1590" s="144"/>
      <c r="H1590" s="235"/>
      <c r="I1590" s="235"/>
      <c r="J1590" s="235"/>
      <c r="K1590" s="235"/>
      <c r="L1590" s="285"/>
    </row>
    <row r="1591" spans="1:12" ht="24.95" hidden="1" customHeight="1">
      <c r="A1591" s="136"/>
      <c r="B1591" s="176"/>
      <c r="C1591" s="177"/>
      <c r="D1591" s="136"/>
      <c r="E1591" s="231"/>
      <c r="F1591" s="144"/>
      <c r="G1591" s="144"/>
      <c r="H1591" s="235"/>
      <c r="I1591" s="235"/>
      <c r="J1591" s="235"/>
      <c r="K1591" s="235"/>
      <c r="L1591" s="285"/>
    </row>
    <row r="1592" spans="1:12" ht="24.95" hidden="1" customHeight="1">
      <c r="A1592" s="136"/>
      <c r="B1592" s="176"/>
      <c r="C1592" s="177"/>
      <c r="D1592" s="136"/>
      <c r="E1592" s="231"/>
      <c r="F1592" s="144"/>
      <c r="G1592" s="144"/>
      <c r="H1592" s="235"/>
      <c r="I1592" s="235"/>
      <c r="J1592" s="235"/>
      <c r="K1592" s="235"/>
      <c r="L1592" s="285"/>
    </row>
    <row r="1593" spans="1:12" ht="24.95" hidden="1" customHeight="1">
      <c r="A1593" s="136"/>
      <c r="B1593" s="176"/>
      <c r="C1593" s="177"/>
      <c r="D1593" s="136"/>
      <c r="E1593" s="231"/>
      <c r="F1593" s="144"/>
      <c r="G1593" s="144"/>
      <c r="H1593" s="235"/>
      <c r="I1593" s="235"/>
      <c r="J1593" s="235"/>
      <c r="K1593" s="235"/>
      <c r="L1593" s="285"/>
    </row>
    <row r="1594" spans="1:12" ht="24.95" hidden="1" customHeight="1">
      <c r="A1594" s="136"/>
      <c r="B1594" s="176"/>
      <c r="C1594" s="177"/>
      <c r="D1594" s="136"/>
      <c r="E1594" s="231"/>
      <c r="F1594" s="144"/>
      <c r="G1594" s="144"/>
      <c r="H1594" s="235"/>
      <c r="I1594" s="235"/>
      <c r="J1594" s="235"/>
      <c r="K1594" s="235"/>
      <c r="L1594" s="285"/>
    </row>
    <row r="1595" spans="1:12" ht="24.95" hidden="1" customHeight="1">
      <c r="A1595" s="136"/>
      <c r="B1595" s="176"/>
      <c r="C1595" s="177"/>
      <c r="D1595" s="136"/>
      <c r="E1595" s="231"/>
      <c r="F1595" s="144"/>
      <c r="G1595" s="144"/>
      <c r="H1595" s="235"/>
      <c r="I1595" s="235"/>
      <c r="J1595" s="235"/>
      <c r="K1595" s="235"/>
      <c r="L1595" s="285"/>
    </row>
    <row r="1596" spans="1:12" ht="24.95" hidden="1" customHeight="1">
      <c r="A1596" s="136"/>
      <c r="B1596" s="176"/>
      <c r="C1596" s="177"/>
      <c r="D1596" s="136"/>
      <c r="E1596" s="231"/>
      <c r="F1596" s="144"/>
      <c r="G1596" s="144"/>
      <c r="H1596" s="235"/>
      <c r="I1596" s="235"/>
      <c r="J1596" s="235"/>
      <c r="K1596" s="235"/>
      <c r="L1596" s="285"/>
    </row>
    <row r="1597" spans="1:12" ht="24.95" hidden="1" customHeight="1">
      <c r="A1597" s="136"/>
      <c r="B1597" s="176"/>
      <c r="C1597" s="177"/>
      <c r="D1597" s="136"/>
      <c r="E1597" s="231"/>
      <c r="F1597" s="144"/>
      <c r="G1597" s="144"/>
      <c r="H1597" s="235"/>
      <c r="I1597" s="235"/>
      <c r="J1597" s="235"/>
      <c r="K1597" s="235"/>
      <c r="L1597" s="285"/>
    </row>
    <row r="1598" spans="1:12" ht="24.95" hidden="1" customHeight="1">
      <c r="A1598" s="136"/>
      <c r="B1598" s="176"/>
      <c r="C1598" s="177"/>
      <c r="D1598" s="136"/>
      <c r="E1598" s="231"/>
      <c r="F1598" s="144"/>
      <c r="G1598" s="144"/>
      <c r="H1598" s="235"/>
      <c r="I1598" s="235"/>
      <c r="J1598" s="235"/>
      <c r="K1598" s="235"/>
      <c r="L1598" s="285"/>
    </row>
    <row r="1599" spans="1:12" ht="24.95" hidden="1" customHeight="1">
      <c r="A1599" s="136"/>
      <c r="B1599" s="176"/>
      <c r="C1599" s="177"/>
      <c r="D1599" s="136"/>
      <c r="E1599" s="231"/>
      <c r="F1599" s="144"/>
      <c r="G1599" s="144"/>
      <c r="H1599" s="235"/>
      <c r="I1599" s="235"/>
      <c r="J1599" s="235"/>
      <c r="K1599" s="235"/>
      <c r="L1599" s="285"/>
    </row>
    <row r="1600" spans="1:12" ht="24.95" hidden="1" customHeight="1">
      <c r="A1600" s="136"/>
      <c r="B1600" s="176"/>
      <c r="C1600" s="177"/>
      <c r="D1600" s="136"/>
      <c r="E1600" s="231"/>
      <c r="F1600" s="144"/>
      <c r="G1600" s="144"/>
      <c r="H1600" s="235"/>
      <c r="I1600" s="235"/>
      <c r="J1600" s="235"/>
      <c r="K1600" s="235"/>
      <c r="L1600" s="285"/>
    </row>
    <row r="1601" spans="1:12" ht="24.95" hidden="1" customHeight="1">
      <c r="A1601" s="136"/>
      <c r="B1601" s="176"/>
      <c r="C1601" s="177"/>
      <c r="D1601" s="136"/>
      <c r="E1601" s="231"/>
      <c r="F1601" s="144"/>
      <c r="G1601" s="144"/>
      <c r="H1601" s="235"/>
      <c r="I1601" s="235"/>
      <c r="J1601" s="235"/>
      <c r="K1601" s="235"/>
      <c r="L1601" s="285"/>
    </row>
    <row r="1602" spans="1:12" ht="24.95" hidden="1" customHeight="1">
      <c r="A1602" s="136"/>
      <c r="B1602" s="176"/>
      <c r="C1602" s="177"/>
      <c r="D1602" s="136"/>
      <c r="E1602" s="231"/>
      <c r="F1602" s="144"/>
      <c r="G1602" s="144"/>
      <c r="H1602" s="235"/>
      <c r="I1602" s="235"/>
      <c r="J1602" s="235"/>
      <c r="K1602" s="235"/>
      <c r="L1602" s="285"/>
    </row>
    <row r="1603" spans="1:12" ht="24.95" hidden="1" customHeight="1">
      <c r="A1603" s="136"/>
      <c r="B1603" s="176"/>
      <c r="C1603" s="177"/>
      <c r="D1603" s="136"/>
      <c r="E1603" s="231"/>
      <c r="F1603" s="144"/>
      <c r="G1603" s="144"/>
      <c r="H1603" s="235"/>
      <c r="I1603" s="235"/>
      <c r="J1603" s="235"/>
      <c r="K1603" s="235"/>
      <c r="L1603" s="285"/>
    </row>
    <row r="1604" spans="1:12" ht="24.95" hidden="1" customHeight="1">
      <c r="A1604" s="136"/>
      <c r="B1604" s="176"/>
      <c r="C1604" s="177"/>
      <c r="D1604" s="136"/>
      <c r="E1604" s="231"/>
      <c r="F1604" s="144"/>
      <c r="G1604" s="144"/>
      <c r="H1604" s="235"/>
      <c r="I1604" s="235"/>
      <c r="J1604" s="235"/>
      <c r="K1604" s="235"/>
      <c r="L1604" s="285"/>
    </row>
    <row r="1605" spans="1:12" ht="24.95" hidden="1" customHeight="1">
      <c r="A1605" s="136"/>
      <c r="B1605" s="176"/>
      <c r="C1605" s="177"/>
      <c r="D1605" s="136"/>
      <c r="E1605" s="231"/>
      <c r="F1605" s="144"/>
      <c r="G1605" s="144"/>
      <c r="H1605" s="235"/>
      <c r="I1605" s="235"/>
      <c r="J1605" s="235"/>
      <c r="K1605" s="235"/>
      <c r="L1605" s="285"/>
    </row>
    <row r="1606" spans="1:12" ht="24.95" hidden="1" customHeight="1">
      <c r="A1606" s="136"/>
      <c r="B1606" s="176"/>
      <c r="C1606" s="177"/>
      <c r="D1606" s="136"/>
      <c r="E1606" s="231"/>
      <c r="F1606" s="144"/>
      <c r="G1606" s="144"/>
      <c r="H1606" s="235"/>
      <c r="I1606" s="235"/>
      <c r="J1606" s="235"/>
      <c r="K1606" s="235"/>
      <c r="L1606" s="285"/>
    </row>
    <row r="1607" spans="1:12" ht="24.95" hidden="1" customHeight="1">
      <c r="A1607" s="136"/>
      <c r="B1607" s="176"/>
      <c r="C1607" s="177"/>
      <c r="D1607" s="136"/>
      <c r="E1607" s="231"/>
      <c r="F1607" s="144"/>
      <c r="G1607" s="144"/>
      <c r="H1607" s="235"/>
      <c r="I1607" s="235"/>
      <c r="J1607" s="235"/>
      <c r="K1607" s="235"/>
      <c r="L1607" s="285"/>
    </row>
    <row r="1608" spans="1:12" ht="24.95" hidden="1" customHeight="1">
      <c r="A1608" s="136"/>
      <c r="B1608" s="176"/>
      <c r="C1608" s="177"/>
      <c r="D1608" s="136"/>
      <c r="E1608" s="231"/>
      <c r="F1608" s="144"/>
      <c r="G1608" s="144"/>
      <c r="H1608" s="235"/>
      <c r="I1608" s="235"/>
      <c r="J1608" s="235"/>
      <c r="K1608" s="235"/>
      <c r="L1608" s="285"/>
    </row>
    <row r="1609" spans="1:12" ht="24.95" hidden="1" customHeight="1">
      <c r="A1609" s="136"/>
      <c r="B1609" s="176"/>
      <c r="C1609" s="177"/>
      <c r="D1609" s="136"/>
      <c r="E1609" s="231"/>
      <c r="F1609" s="144"/>
      <c r="G1609" s="144"/>
      <c r="H1609" s="235"/>
      <c r="I1609" s="235"/>
      <c r="J1609" s="235"/>
      <c r="K1609" s="235"/>
      <c r="L1609" s="285"/>
    </row>
    <row r="1610" spans="1:12" ht="24.95" hidden="1" customHeight="1">
      <c r="A1610" s="136"/>
      <c r="B1610" s="176"/>
      <c r="C1610" s="177"/>
      <c r="D1610" s="136"/>
      <c r="E1610" s="231"/>
      <c r="F1610" s="144"/>
      <c r="G1610" s="144"/>
      <c r="H1610" s="235"/>
      <c r="I1610" s="235"/>
      <c r="J1610" s="235"/>
      <c r="K1610" s="235"/>
      <c r="L1610" s="285"/>
    </row>
    <row r="1611" spans="1:12" ht="24.95" hidden="1" customHeight="1">
      <c r="A1611" s="136"/>
      <c r="B1611" s="176"/>
      <c r="C1611" s="177"/>
      <c r="D1611" s="136"/>
      <c r="E1611" s="231"/>
      <c r="F1611" s="144"/>
      <c r="G1611" s="144"/>
      <c r="H1611" s="235"/>
      <c r="I1611" s="235"/>
      <c r="J1611" s="235"/>
      <c r="K1611" s="235"/>
      <c r="L1611" s="285"/>
    </row>
    <row r="1612" spans="1:12" ht="24.95" hidden="1" customHeight="1">
      <c r="A1612" s="136"/>
      <c r="B1612" s="176"/>
      <c r="C1612" s="177"/>
      <c r="D1612" s="136"/>
      <c r="E1612" s="231"/>
      <c r="F1612" s="144"/>
      <c r="G1612" s="144"/>
      <c r="H1612" s="235"/>
      <c r="I1612" s="235"/>
      <c r="J1612" s="235"/>
      <c r="K1612" s="235"/>
      <c r="L1612" s="285"/>
    </row>
    <row r="1613" spans="1:12" ht="24.95" hidden="1" customHeight="1">
      <c r="A1613" s="136"/>
      <c r="B1613" s="176"/>
      <c r="C1613" s="177"/>
      <c r="D1613" s="136"/>
      <c r="E1613" s="231"/>
      <c r="F1613" s="144"/>
      <c r="G1613" s="144"/>
      <c r="H1613" s="235"/>
      <c r="I1613" s="235"/>
      <c r="J1613" s="235"/>
      <c r="K1613" s="235"/>
      <c r="L1613" s="285"/>
    </row>
    <row r="1614" spans="1:12" ht="24.95" hidden="1" customHeight="1">
      <c r="A1614" s="136"/>
      <c r="B1614" s="176"/>
      <c r="C1614" s="177"/>
      <c r="D1614" s="136"/>
      <c r="E1614" s="231"/>
      <c r="F1614" s="144"/>
      <c r="G1614" s="144"/>
      <c r="H1614" s="235"/>
      <c r="I1614" s="235"/>
      <c r="J1614" s="235"/>
      <c r="K1614" s="235"/>
      <c r="L1614" s="285"/>
    </row>
    <row r="1615" spans="1:12" ht="24.95" hidden="1" customHeight="1">
      <c r="A1615" s="136"/>
      <c r="B1615" s="176"/>
      <c r="C1615" s="177"/>
      <c r="D1615" s="136"/>
      <c r="E1615" s="231"/>
      <c r="F1615" s="144"/>
      <c r="G1615" s="144"/>
      <c r="H1615" s="235"/>
      <c r="I1615" s="235"/>
      <c r="J1615" s="235"/>
      <c r="K1615" s="235"/>
      <c r="L1615" s="285"/>
    </row>
    <row r="1616" spans="1:12" ht="24.95" hidden="1" customHeight="1">
      <c r="A1616" s="136"/>
      <c r="B1616" s="176"/>
      <c r="C1616" s="177"/>
      <c r="D1616" s="136"/>
      <c r="E1616" s="231"/>
      <c r="F1616" s="144"/>
      <c r="G1616" s="144"/>
      <c r="H1616" s="235"/>
      <c r="I1616" s="235"/>
      <c r="J1616" s="235"/>
      <c r="K1616" s="235"/>
      <c r="L1616" s="285"/>
    </row>
    <row r="1617" spans="1:12" ht="24.95" hidden="1" customHeight="1">
      <c r="A1617" s="136"/>
      <c r="B1617" s="176"/>
      <c r="C1617" s="177"/>
      <c r="D1617" s="136"/>
      <c r="E1617" s="231"/>
      <c r="F1617" s="144"/>
      <c r="G1617" s="144"/>
      <c r="H1617" s="235"/>
      <c r="I1617" s="235"/>
      <c r="J1617" s="235"/>
      <c r="K1617" s="235"/>
      <c r="L1617" s="285"/>
    </row>
    <row r="1618" spans="1:12" ht="24.95" hidden="1" customHeight="1">
      <c r="A1618" s="136"/>
      <c r="B1618" s="176"/>
      <c r="C1618" s="177"/>
      <c r="D1618" s="136"/>
      <c r="E1618" s="231"/>
      <c r="F1618" s="144"/>
      <c r="G1618" s="144"/>
      <c r="H1618" s="235"/>
      <c r="I1618" s="235"/>
      <c r="J1618" s="235"/>
      <c r="K1618" s="235"/>
      <c r="L1618" s="285"/>
    </row>
    <row r="1619" spans="1:12" ht="24.95" hidden="1" customHeight="1">
      <c r="A1619" s="136"/>
      <c r="B1619" s="176"/>
      <c r="C1619" s="177"/>
      <c r="D1619" s="136"/>
      <c r="E1619" s="231"/>
      <c r="F1619" s="144"/>
      <c r="G1619" s="144"/>
      <c r="H1619" s="235"/>
      <c r="I1619" s="235"/>
      <c r="J1619" s="235"/>
      <c r="K1619" s="235"/>
      <c r="L1619" s="285"/>
    </row>
    <row r="1620" spans="1:12" ht="24.95" hidden="1" customHeight="1">
      <c r="A1620" s="136"/>
      <c r="B1620" s="176"/>
      <c r="C1620" s="177"/>
      <c r="D1620" s="136"/>
      <c r="E1620" s="231"/>
      <c r="F1620" s="144"/>
      <c r="G1620" s="144"/>
      <c r="H1620" s="235"/>
      <c r="I1620" s="235"/>
      <c r="J1620" s="235"/>
      <c r="K1620" s="235"/>
      <c r="L1620" s="285"/>
    </row>
    <row r="1621" spans="1:12" ht="24.95" hidden="1" customHeight="1">
      <c r="A1621" s="136"/>
      <c r="B1621" s="176"/>
      <c r="C1621" s="177"/>
      <c r="D1621" s="136"/>
      <c r="E1621" s="231"/>
      <c r="F1621" s="144"/>
      <c r="G1621" s="144"/>
      <c r="H1621" s="235"/>
      <c r="I1621" s="235"/>
      <c r="J1621" s="235"/>
      <c r="K1621" s="235"/>
      <c r="L1621" s="285"/>
    </row>
    <row r="1622" spans="1:12" ht="24.95" hidden="1" customHeight="1">
      <c r="A1622" s="136"/>
      <c r="B1622" s="176"/>
      <c r="C1622" s="177"/>
      <c r="D1622" s="136"/>
      <c r="E1622" s="231"/>
      <c r="F1622" s="144"/>
      <c r="G1622" s="144"/>
      <c r="H1622" s="235"/>
      <c r="I1622" s="235"/>
      <c r="J1622" s="235"/>
      <c r="K1622" s="235"/>
      <c r="L1622" s="285"/>
    </row>
    <row r="1623" spans="1:12" ht="24.95" hidden="1" customHeight="1">
      <c r="A1623" s="136"/>
      <c r="B1623" s="176"/>
      <c r="C1623" s="177"/>
      <c r="D1623" s="136"/>
      <c r="E1623" s="231"/>
      <c r="F1623" s="144"/>
      <c r="G1623" s="144"/>
      <c r="H1623" s="235"/>
      <c r="I1623" s="235"/>
      <c r="J1623" s="235"/>
      <c r="K1623" s="235"/>
      <c r="L1623" s="285"/>
    </row>
    <row r="1624" spans="1:12" ht="24.95" hidden="1" customHeight="1">
      <c r="A1624" s="136"/>
      <c r="B1624" s="176"/>
      <c r="C1624" s="177"/>
      <c r="D1624" s="136"/>
      <c r="E1624" s="231"/>
      <c r="F1624" s="144"/>
      <c r="G1624" s="144"/>
      <c r="H1624" s="235"/>
      <c r="I1624" s="235"/>
      <c r="J1624" s="235"/>
      <c r="K1624" s="235"/>
      <c r="L1624" s="285"/>
    </row>
    <row r="1625" spans="1:12" ht="24.95" hidden="1" customHeight="1">
      <c r="A1625" s="136"/>
      <c r="B1625" s="176"/>
      <c r="C1625" s="177"/>
      <c r="D1625" s="136"/>
      <c r="E1625" s="231"/>
      <c r="F1625" s="144"/>
      <c r="G1625" s="144"/>
      <c r="H1625" s="235"/>
      <c r="I1625" s="235"/>
      <c r="J1625" s="235"/>
      <c r="K1625" s="235"/>
      <c r="L1625" s="285"/>
    </row>
    <row r="1626" spans="1:12" ht="24.95" hidden="1" customHeight="1">
      <c r="A1626" s="136"/>
      <c r="B1626" s="176"/>
      <c r="C1626" s="177"/>
      <c r="D1626" s="136"/>
      <c r="E1626" s="231"/>
      <c r="F1626" s="144"/>
      <c r="G1626" s="144"/>
      <c r="H1626" s="235"/>
      <c r="I1626" s="235"/>
      <c r="J1626" s="235"/>
      <c r="K1626" s="235"/>
      <c r="L1626" s="285"/>
    </row>
    <row r="1627" spans="1:12" ht="24.95" hidden="1" customHeight="1">
      <c r="A1627" s="136"/>
      <c r="B1627" s="176"/>
      <c r="C1627" s="177"/>
      <c r="D1627" s="136"/>
      <c r="E1627" s="231"/>
      <c r="F1627" s="144"/>
      <c r="G1627" s="144"/>
      <c r="H1627" s="235"/>
      <c r="I1627" s="235"/>
      <c r="J1627" s="235"/>
      <c r="K1627" s="235"/>
      <c r="L1627" s="285"/>
    </row>
    <row r="1628" spans="1:12" ht="24.95" hidden="1" customHeight="1">
      <c r="A1628" s="136"/>
      <c r="B1628" s="176"/>
      <c r="C1628" s="177"/>
      <c r="D1628" s="136"/>
      <c r="E1628" s="231"/>
      <c r="F1628" s="144"/>
      <c r="G1628" s="144"/>
      <c r="H1628" s="235"/>
      <c r="I1628" s="235"/>
      <c r="J1628" s="235"/>
      <c r="K1628" s="235"/>
      <c r="L1628" s="285"/>
    </row>
    <row r="1629" spans="1:12" ht="24.95" hidden="1" customHeight="1">
      <c r="A1629" s="136"/>
      <c r="B1629" s="176"/>
      <c r="C1629" s="177"/>
      <c r="D1629" s="136"/>
      <c r="E1629" s="231"/>
      <c r="F1629" s="144"/>
      <c r="G1629" s="144"/>
      <c r="H1629" s="235"/>
      <c r="I1629" s="235"/>
      <c r="J1629" s="235"/>
      <c r="K1629" s="235"/>
      <c r="L1629" s="285"/>
    </row>
    <row r="1630" spans="1:12" ht="24.95" hidden="1" customHeight="1">
      <c r="A1630" s="136"/>
      <c r="B1630" s="176"/>
      <c r="C1630" s="177"/>
      <c r="D1630" s="136"/>
      <c r="E1630" s="231"/>
      <c r="F1630" s="144"/>
      <c r="G1630" s="144"/>
      <c r="H1630" s="235"/>
      <c r="I1630" s="235"/>
      <c r="J1630" s="235"/>
      <c r="K1630" s="235"/>
      <c r="L1630" s="285"/>
    </row>
    <row r="1631" spans="1:12" ht="24.95" hidden="1" customHeight="1">
      <c r="A1631" s="136"/>
      <c r="B1631" s="176"/>
      <c r="C1631" s="177"/>
      <c r="D1631" s="136"/>
      <c r="E1631" s="231"/>
      <c r="F1631" s="144"/>
      <c r="G1631" s="144"/>
      <c r="H1631" s="235"/>
      <c r="I1631" s="235"/>
      <c r="J1631" s="235"/>
      <c r="K1631" s="235"/>
      <c r="L1631" s="285"/>
    </row>
    <row r="1632" spans="1:12" ht="24.95" hidden="1" customHeight="1">
      <c r="A1632" s="136"/>
      <c r="B1632" s="176"/>
      <c r="C1632" s="177"/>
      <c r="D1632" s="136"/>
      <c r="E1632" s="231"/>
      <c r="F1632" s="144"/>
      <c r="G1632" s="144"/>
      <c r="H1632" s="235"/>
      <c r="I1632" s="235"/>
      <c r="J1632" s="235"/>
      <c r="K1632" s="235"/>
      <c r="L1632" s="285"/>
    </row>
    <row r="1633" spans="1:12" ht="24.95" hidden="1" customHeight="1">
      <c r="A1633" s="136"/>
      <c r="B1633" s="176"/>
      <c r="C1633" s="177"/>
      <c r="D1633" s="136"/>
      <c r="E1633" s="231"/>
      <c r="F1633" s="144"/>
      <c r="G1633" s="144"/>
      <c r="H1633" s="235"/>
      <c r="I1633" s="235"/>
      <c r="J1633" s="235"/>
      <c r="K1633" s="235"/>
      <c r="L1633" s="285"/>
    </row>
    <row r="1634" spans="1:12" ht="24.95" hidden="1" customHeight="1">
      <c r="A1634" s="136"/>
      <c r="B1634" s="176"/>
      <c r="C1634" s="177"/>
      <c r="D1634" s="136"/>
      <c r="E1634" s="231"/>
      <c r="F1634" s="144"/>
      <c r="G1634" s="144"/>
      <c r="H1634" s="235"/>
      <c r="I1634" s="235"/>
      <c r="J1634" s="235"/>
      <c r="K1634" s="235"/>
      <c r="L1634" s="285"/>
    </row>
    <row r="1635" spans="1:12" ht="24.95" hidden="1" customHeight="1">
      <c r="A1635" s="136"/>
      <c r="B1635" s="176"/>
      <c r="C1635" s="177"/>
      <c r="D1635" s="136"/>
      <c r="E1635" s="231"/>
      <c r="F1635" s="144"/>
      <c r="G1635" s="144"/>
      <c r="H1635" s="235"/>
      <c r="I1635" s="235"/>
      <c r="J1635" s="235"/>
      <c r="K1635" s="235"/>
      <c r="L1635" s="285"/>
    </row>
    <row r="1636" spans="1:12" ht="24.95" hidden="1" customHeight="1">
      <c r="A1636" s="136"/>
      <c r="B1636" s="176"/>
      <c r="C1636" s="177"/>
      <c r="D1636" s="136"/>
      <c r="E1636" s="231"/>
      <c r="F1636" s="144"/>
      <c r="G1636" s="144"/>
      <c r="H1636" s="235"/>
      <c r="I1636" s="235"/>
      <c r="J1636" s="235"/>
      <c r="K1636" s="235"/>
      <c r="L1636" s="285"/>
    </row>
    <row r="1637" spans="1:12" ht="24.95" hidden="1" customHeight="1">
      <c r="A1637" s="136"/>
      <c r="B1637" s="176"/>
      <c r="C1637" s="177"/>
      <c r="D1637" s="136"/>
      <c r="E1637" s="231"/>
      <c r="F1637" s="144"/>
      <c r="G1637" s="144"/>
      <c r="H1637" s="235"/>
      <c r="I1637" s="235"/>
      <c r="J1637" s="235"/>
      <c r="K1637" s="235"/>
      <c r="L1637" s="285"/>
    </row>
    <row r="1638" spans="1:12" ht="24.95" hidden="1" customHeight="1">
      <c r="A1638" s="136"/>
      <c r="B1638" s="176"/>
      <c r="C1638" s="177"/>
      <c r="D1638" s="136"/>
      <c r="E1638" s="231"/>
      <c r="F1638" s="144"/>
      <c r="G1638" s="144"/>
      <c r="H1638" s="235"/>
      <c r="I1638" s="235"/>
      <c r="J1638" s="235"/>
      <c r="K1638" s="235"/>
      <c r="L1638" s="285"/>
    </row>
    <row r="1639" spans="1:12" ht="24.95" hidden="1" customHeight="1">
      <c r="A1639" s="136"/>
      <c r="B1639" s="176"/>
      <c r="C1639" s="177"/>
      <c r="D1639" s="136"/>
      <c r="E1639" s="231"/>
      <c r="F1639" s="144"/>
      <c r="G1639" s="144"/>
      <c r="H1639" s="235"/>
      <c r="I1639" s="235"/>
      <c r="J1639" s="235"/>
      <c r="K1639" s="235"/>
      <c r="L1639" s="285"/>
    </row>
    <row r="1640" spans="1:12" ht="24.95" hidden="1" customHeight="1">
      <c r="A1640" s="136"/>
      <c r="B1640" s="176"/>
      <c r="C1640" s="177"/>
      <c r="D1640" s="136"/>
      <c r="E1640" s="231"/>
      <c r="F1640" s="144"/>
      <c r="G1640" s="144"/>
      <c r="H1640" s="235"/>
      <c r="I1640" s="235"/>
      <c r="J1640" s="235"/>
      <c r="K1640" s="235"/>
      <c r="L1640" s="285"/>
    </row>
    <row r="1641" spans="1:12" ht="24.95" hidden="1" customHeight="1">
      <c r="A1641" s="136"/>
      <c r="B1641" s="176"/>
      <c r="C1641" s="177"/>
      <c r="D1641" s="136"/>
      <c r="E1641" s="231"/>
      <c r="F1641" s="144"/>
      <c r="G1641" s="144"/>
      <c r="H1641" s="235"/>
      <c r="I1641" s="235"/>
      <c r="J1641" s="235"/>
      <c r="K1641" s="235"/>
      <c r="L1641" s="285"/>
    </row>
    <row r="1642" spans="1:12" ht="24.95" hidden="1" customHeight="1">
      <c r="A1642" s="136"/>
      <c r="B1642" s="176"/>
      <c r="C1642" s="177"/>
      <c r="D1642" s="136"/>
      <c r="E1642" s="231"/>
      <c r="F1642" s="144"/>
      <c r="G1642" s="144"/>
      <c r="H1642" s="235"/>
      <c r="I1642" s="235"/>
      <c r="J1642" s="235"/>
      <c r="K1642" s="235"/>
      <c r="L1642" s="285"/>
    </row>
    <row r="1643" spans="1:12" ht="24.95" hidden="1" customHeight="1">
      <c r="A1643" s="136"/>
      <c r="B1643" s="176"/>
      <c r="C1643" s="177"/>
      <c r="D1643" s="136"/>
      <c r="E1643" s="231"/>
      <c r="F1643" s="144"/>
      <c r="G1643" s="144"/>
      <c r="H1643" s="235"/>
      <c r="I1643" s="235"/>
      <c r="J1643" s="235"/>
      <c r="K1643" s="235"/>
      <c r="L1643" s="285"/>
    </row>
    <row r="1644" spans="1:12" ht="24.95" hidden="1" customHeight="1">
      <c r="A1644" s="136"/>
      <c r="B1644" s="176"/>
      <c r="C1644" s="177"/>
      <c r="D1644" s="136"/>
      <c r="E1644" s="231"/>
      <c r="F1644" s="144"/>
      <c r="G1644" s="144"/>
      <c r="H1644" s="235"/>
      <c r="I1644" s="235"/>
      <c r="J1644" s="235"/>
      <c r="K1644" s="235"/>
      <c r="L1644" s="285"/>
    </row>
    <row r="1645" spans="1:12" ht="24.95" hidden="1" customHeight="1">
      <c r="A1645" s="136"/>
      <c r="B1645" s="176"/>
      <c r="C1645" s="177"/>
      <c r="D1645" s="136"/>
      <c r="E1645" s="231"/>
      <c r="F1645" s="144"/>
      <c r="G1645" s="144"/>
      <c r="H1645" s="235"/>
      <c r="I1645" s="235"/>
      <c r="J1645" s="235"/>
      <c r="K1645" s="235"/>
      <c r="L1645" s="285"/>
    </row>
    <row r="1646" spans="1:12" ht="24.95" hidden="1" customHeight="1">
      <c r="A1646" s="136"/>
      <c r="B1646" s="176"/>
      <c r="C1646" s="177"/>
      <c r="D1646" s="136"/>
      <c r="E1646" s="231"/>
      <c r="F1646" s="144"/>
      <c r="G1646" s="144"/>
      <c r="H1646" s="235"/>
      <c r="I1646" s="235"/>
      <c r="J1646" s="235"/>
      <c r="K1646" s="235"/>
      <c r="L1646" s="285"/>
    </row>
    <row r="1647" spans="1:12" ht="24.95" hidden="1" customHeight="1">
      <c r="A1647" s="136"/>
      <c r="B1647" s="176"/>
      <c r="C1647" s="177"/>
      <c r="D1647" s="136"/>
      <c r="E1647" s="231"/>
      <c r="F1647" s="144"/>
      <c r="G1647" s="144"/>
      <c r="H1647" s="235"/>
      <c r="I1647" s="235"/>
      <c r="J1647" s="235"/>
      <c r="K1647" s="235"/>
      <c r="L1647" s="285"/>
    </row>
    <row r="1648" spans="1:12" ht="24.95" hidden="1" customHeight="1">
      <c r="A1648" s="136"/>
      <c r="B1648" s="176"/>
      <c r="C1648" s="177"/>
      <c r="D1648" s="136"/>
      <c r="E1648" s="231"/>
      <c r="F1648" s="144"/>
      <c r="G1648" s="144"/>
      <c r="H1648" s="235"/>
      <c r="I1648" s="235"/>
      <c r="J1648" s="235"/>
      <c r="K1648" s="235"/>
      <c r="L1648" s="285"/>
    </row>
    <row r="1649" spans="1:12" ht="24.95" hidden="1" customHeight="1">
      <c r="A1649" s="136"/>
      <c r="B1649" s="176"/>
      <c r="C1649" s="177"/>
      <c r="D1649" s="136"/>
      <c r="E1649" s="231"/>
      <c r="F1649" s="144"/>
      <c r="G1649" s="144"/>
      <c r="H1649" s="235"/>
      <c r="I1649" s="235"/>
      <c r="J1649" s="235"/>
      <c r="K1649" s="235"/>
      <c r="L1649" s="285"/>
    </row>
    <row r="1650" spans="1:12" ht="24.95" hidden="1" customHeight="1">
      <c r="A1650" s="136"/>
      <c r="B1650" s="176"/>
      <c r="C1650" s="177"/>
      <c r="D1650" s="136"/>
      <c r="E1650" s="231"/>
      <c r="F1650" s="144"/>
      <c r="G1650" s="144"/>
      <c r="H1650" s="235"/>
      <c r="I1650" s="235"/>
      <c r="J1650" s="235"/>
      <c r="K1650" s="235"/>
      <c r="L1650" s="285"/>
    </row>
    <row r="1651" spans="1:12" ht="24.95" hidden="1" customHeight="1">
      <c r="A1651" s="136"/>
      <c r="B1651" s="176"/>
      <c r="C1651" s="177"/>
      <c r="D1651" s="136"/>
      <c r="E1651" s="231"/>
      <c r="F1651" s="144"/>
      <c r="G1651" s="144"/>
      <c r="H1651" s="235"/>
      <c r="I1651" s="235"/>
      <c r="J1651" s="235"/>
      <c r="K1651" s="235"/>
      <c r="L1651" s="285"/>
    </row>
    <row r="1652" spans="1:12" ht="24.95" hidden="1" customHeight="1">
      <c r="A1652" s="136"/>
      <c r="B1652" s="176"/>
      <c r="C1652" s="177"/>
      <c r="D1652" s="136"/>
      <c r="E1652" s="231"/>
      <c r="F1652" s="144"/>
      <c r="G1652" s="144"/>
      <c r="H1652" s="235"/>
      <c r="I1652" s="235"/>
      <c r="J1652" s="235"/>
      <c r="K1652" s="235"/>
      <c r="L1652" s="285"/>
    </row>
    <row r="1653" spans="1:12" ht="24.95" hidden="1" customHeight="1">
      <c r="A1653" s="136"/>
      <c r="B1653" s="176"/>
      <c r="C1653" s="177"/>
      <c r="D1653" s="136"/>
      <c r="E1653" s="231"/>
      <c r="F1653" s="144"/>
      <c r="G1653" s="144"/>
      <c r="H1653" s="235"/>
      <c r="I1653" s="235"/>
      <c r="J1653" s="235"/>
      <c r="K1653" s="235"/>
      <c r="L1653" s="285"/>
    </row>
    <row r="1654" spans="1:12" ht="24.95" hidden="1" customHeight="1">
      <c r="A1654" s="136"/>
      <c r="B1654" s="176"/>
      <c r="C1654" s="177"/>
      <c r="D1654" s="136"/>
      <c r="E1654" s="231"/>
      <c r="F1654" s="144"/>
      <c r="G1654" s="144"/>
      <c r="H1654" s="235"/>
      <c r="I1654" s="235"/>
      <c r="J1654" s="235"/>
      <c r="K1654" s="235"/>
      <c r="L1654" s="285"/>
    </row>
    <row r="1655" spans="1:12" ht="24.95" hidden="1" customHeight="1">
      <c r="A1655" s="136"/>
      <c r="B1655" s="176"/>
      <c r="C1655" s="177"/>
      <c r="D1655" s="136"/>
      <c r="E1655" s="231"/>
      <c r="F1655" s="144"/>
      <c r="G1655" s="144"/>
      <c r="H1655" s="235"/>
      <c r="I1655" s="235"/>
      <c r="J1655" s="235"/>
      <c r="K1655" s="235"/>
      <c r="L1655" s="285"/>
    </row>
    <row r="1656" spans="1:12" ht="24.95" hidden="1" customHeight="1">
      <c r="A1656" s="136"/>
      <c r="B1656" s="176"/>
      <c r="C1656" s="177"/>
      <c r="D1656" s="136"/>
      <c r="E1656" s="231"/>
      <c r="F1656" s="144"/>
      <c r="G1656" s="144"/>
      <c r="H1656" s="235"/>
      <c r="I1656" s="235"/>
      <c r="J1656" s="235"/>
      <c r="K1656" s="235"/>
      <c r="L1656" s="285"/>
    </row>
    <row r="1657" spans="1:12" ht="24.95" hidden="1" customHeight="1">
      <c r="A1657" s="136"/>
      <c r="B1657" s="176"/>
      <c r="C1657" s="177"/>
      <c r="D1657" s="136"/>
      <c r="E1657" s="231"/>
      <c r="F1657" s="144"/>
      <c r="G1657" s="144"/>
      <c r="H1657" s="235"/>
      <c r="I1657" s="235"/>
      <c r="J1657" s="235"/>
      <c r="K1657" s="235"/>
      <c r="L1657" s="285"/>
    </row>
    <row r="1658" spans="1:12" ht="24.95" hidden="1" customHeight="1">
      <c r="A1658" s="136"/>
      <c r="B1658" s="176"/>
      <c r="C1658" s="177"/>
      <c r="D1658" s="136"/>
      <c r="E1658" s="231"/>
      <c r="F1658" s="144"/>
      <c r="G1658" s="144"/>
      <c r="H1658" s="235"/>
      <c r="I1658" s="235"/>
      <c r="J1658" s="235"/>
      <c r="K1658" s="235"/>
      <c r="L1658" s="285"/>
    </row>
    <row r="1659" spans="1:12" ht="24.95" hidden="1" customHeight="1">
      <c r="A1659" s="136"/>
      <c r="B1659" s="176"/>
      <c r="C1659" s="177"/>
      <c r="D1659" s="136"/>
      <c r="E1659" s="231"/>
      <c r="F1659" s="144"/>
      <c r="G1659" s="144"/>
      <c r="H1659" s="235"/>
      <c r="I1659" s="235"/>
      <c r="J1659" s="235"/>
      <c r="K1659" s="235"/>
      <c r="L1659" s="285"/>
    </row>
    <row r="1660" spans="1:12" ht="24.95" hidden="1" customHeight="1">
      <c r="A1660" s="136"/>
      <c r="B1660" s="176"/>
      <c r="C1660" s="177"/>
      <c r="D1660" s="136"/>
      <c r="E1660" s="231"/>
      <c r="F1660" s="144"/>
      <c r="G1660" s="144"/>
      <c r="H1660" s="235"/>
      <c r="I1660" s="235"/>
      <c r="J1660" s="235"/>
      <c r="K1660" s="235"/>
      <c r="L1660" s="285"/>
    </row>
    <row r="1661" spans="1:12" ht="24.95" hidden="1" customHeight="1">
      <c r="A1661" s="136"/>
      <c r="B1661" s="176"/>
      <c r="C1661" s="177"/>
      <c r="D1661" s="136"/>
      <c r="E1661" s="231"/>
      <c r="F1661" s="144"/>
      <c r="G1661" s="144"/>
      <c r="H1661" s="235"/>
      <c r="I1661" s="235"/>
      <c r="J1661" s="235"/>
      <c r="K1661" s="235"/>
      <c r="L1661" s="285"/>
    </row>
    <row r="1662" spans="1:12" ht="24.95" hidden="1" customHeight="1">
      <c r="A1662" s="136"/>
      <c r="B1662" s="176"/>
      <c r="C1662" s="177"/>
      <c r="D1662" s="136"/>
      <c r="E1662" s="231"/>
      <c r="F1662" s="144"/>
      <c r="G1662" s="144"/>
      <c r="H1662" s="235"/>
      <c r="I1662" s="235"/>
      <c r="J1662" s="235"/>
      <c r="K1662" s="235"/>
      <c r="L1662" s="285"/>
    </row>
    <row r="1663" spans="1:12" ht="24.95" hidden="1" customHeight="1">
      <c r="A1663" s="136"/>
      <c r="B1663" s="176"/>
      <c r="C1663" s="177"/>
      <c r="D1663" s="136"/>
      <c r="E1663" s="231"/>
      <c r="F1663" s="144"/>
      <c r="G1663" s="144"/>
      <c r="H1663" s="235"/>
      <c r="I1663" s="235"/>
      <c r="J1663" s="235"/>
      <c r="K1663" s="235"/>
      <c r="L1663" s="285"/>
    </row>
    <row r="1664" spans="1:12" ht="24.95" hidden="1" customHeight="1">
      <c r="A1664" s="136"/>
      <c r="B1664" s="176"/>
      <c r="C1664" s="177"/>
      <c r="D1664" s="136"/>
      <c r="E1664" s="231"/>
      <c r="F1664" s="144"/>
      <c r="G1664" s="144"/>
      <c r="H1664" s="235"/>
      <c r="I1664" s="235"/>
      <c r="J1664" s="235"/>
      <c r="K1664" s="235"/>
      <c r="L1664" s="285"/>
    </row>
    <row r="1665" spans="1:12" ht="24.95" hidden="1" customHeight="1">
      <c r="A1665" s="136"/>
      <c r="B1665" s="176"/>
      <c r="C1665" s="177"/>
      <c r="D1665" s="136"/>
      <c r="E1665" s="231"/>
      <c r="F1665" s="144"/>
      <c r="G1665" s="144"/>
      <c r="H1665" s="235"/>
      <c r="I1665" s="235"/>
      <c r="J1665" s="235"/>
      <c r="K1665" s="235"/>
      <c r="L1665" s="285"/>
    </row>
    <row r="1666" spans="1:12" ht="24.95" hidden="1" customHeight="1">
      <c r="A1666" s="136"/>
      <c r="B1666" s="176"/>
      <c r="C1666" s="177"/>
      <c r="D1666" s="136"/>
      <c r="E1666" s="231"/>
      <c r="F1666" s="144"/>
      <c r="G1666" s="144"/>
      <c r="H1666" s="235"/>
      <c r="I1666" s="235"/>
      <c r="J1666" s="235"/>
      <c r="K1666" s="235"/>
      <c r="L1666" s="285"/>
    </row>
    <row r="1667" spans="1:12" ht="24.95" hidden="1" customHeight="1">
      <c r="A1667" s="136"/>
      <c r="B1667" s="176"/>
      <c r="C1667" s="177"/>
      <c r="D1667" s="136"/>
      <c r="E1667" s="231"/>
      <c r="F1667" s="144"/>
      <c r="G1667" s="144"/>
      <c r="H1667" s="235"/>
      <c r="I1667" s="235"/>
      <c r="J1667" s="235"/>
      <c r="K1667" s="235"/>
      <c r="L1667" s="285"/>
    </row>
    <row r="1668" spans="1:12" ht="24.95" hidden="1" customHeight="1">
      <c r="A1668" s="136"/>
      <c r="B1668" s="176"/>
      <c r="C1668" s="177"/>
      <c r="D1668" s="136"/>
      <c r="E1668" s="231"/>
      <c r="F1668" s="144"/>
      <c r="G1668" s="144"/>
      <c r="H1668" s="235"/>
      <c r="I1668" s="235"/>
      <c r="J1668" s="235"/>
      <c r="K1668" s="235"/>
      <c r="L1668" s="285"/>
    </row>
    <row r="1669" spans="1:12" ht="24.95" hidden="1" customHeight="1">
      <c r="A1669" s="136"/>
      <c r="B1669" s="176"/>
      <c r="C1669" s="177"/>
      <c r="D1669" s="136"/>
      <c r="E1669" s="231"/>
      <c r="F1669" s="144"/>
      <c r="G1669" s="144"/>
      <c r="H1669" s="235"/>
      <c r="I1669" s="235"/>
      <c r="J1669" s="235"/>
      <c r="K1669" s="235"/>
      <c r="L1669" s="285"/>
    </row>
    <row r="1670" spans="1:12" ht="24.95" hidden="1" customHeight="1">
      <c r="A1670" s="136"/>
      <c r="B1670" s="176"/>
      <c r="C1670" s="177"/>
      <c r="D1670" s="136"/>
      <c r="E1670" s="231"/>
      <c r="F1670" s="144"/>
      <c r="G1670" s="144"/>
      <c r="H1670" s="235"/>
      <c r="I1670" s="235"/>
      <c r="J1670" s="235"/>
      <c r="K1670" s="235"/>
      <c r="L1670" s="285"/>
    </row>
    <row r="1671" spans="1:12" ht="24.95" hidden="1" customHeight="1">
      <c r="A1671" s="136"/>
      <c r="B1671" s="176"/>
      <c r="C1671" s="177"/>
      <c r="D1671" s="136"/>
      <c r="E1671" s="231"/>
      <c r="F1671" s="144"/>
      <c r="G1671" s="144"/>
      <c r="H1671" s="235"/>
      <c r="I1671" s="235"/>
      <c r="J1671" s="235"/>
      <c r="K1671" s="235"/>
      <c r="L1671" s="285"/>
    </row>
    <row r="1672" spans="1:12" ht="24.95" hidden="1" customHeight="1">
      <c r="A1672" s="136"/>
      <c r="B1672" s="176"/>
      <c r="C1672" s="177"/>
      <c r="D1672" s="136"/>
      <c r="E1672" s="231"/>
      <c r="F1672" s="144"/>
      <c r="G1672" s="144"/>
      <c r="H1672" s="235"/>
      <c r="I1672" s="235"/>
      <c r="J1672" s="235"/>
      <c r="K1672" s="235"/>
      <c r="L1672" s="285"/>
    </row>
    <row r="1673" spans="1:12" ht="24.95" hidden="1" customHeight="1">
      <c r="A1673" s="136"/>
      <c r="B1673" s="176"/>
      <c r="C1673" s="177"/>
      <c r="D1673" s="136"/>
      <c r="E1673" s="231"/>
      <c r="F1673" s="144"/>
      <c r="G1673" s="144"/>
      <c r="H1673" s="235"/>
      <c r="I1673" s="235"/>
      <c r="J1673" s="235"/>
      <c r="K1673" s="235"/>
      <c r="L1673" s="285"/>
    </row>
    <row r="1674" spans="1:12" ht="24.95" hidden="1" customHeight="1">
      <c r="A1674" s="136"/>
      <c r="B1674" s="176"/>
      <c r="C1674" s="177"/>
      <c r="D1674" s="136"/>
      <c r="E1674" s="231"/>
      <c r="F1674" s="144"/>
      <c r="G1674" s="144"/>
      <c r="H1674" s="235"/>
      <c r="I1674" s="235"/>
      <c r="J1674" s="235"/>
      <c r="K1674" s="235"/>
      <c r="L1674" s="285"/>
    </row>
    <row r="1675" spans="1:12" ht="24.95" hidden="1" customHeight="1">
      <c r="A1675" s="136"/>
      <c r="B1675" s="176"/>
      <c r="C1675" s="177"/>
      <c r="D1675" s="136"/>
      <c r="E1675" s="231"/>
      <c r="F1675" s="144"/>
      <c r="G1675" s="144"/>
      <c r="H1675" s="235"/>
      <c r="I1675" s="235"/>
      <c r="J1675" s="235"/>
      <c r="K1675" s="235"/>
      <c r="L1675" s="285"/>
    </row>
    <row r="1676" spans="1:12" ht="24.95" hidden="1" customHeight="1">
      <c r="A1676" s="136"/>
      <c r="B1676" s="176"/>
      <c r="C1676" s="177"/>
      <c r="D1676" s="136"/>
      <c r="E1676" s="231"/>
      <c r="F1676" s="144"/>
      <c r="G1676" s="144"/>
      <c r="H1676" s="235"/>
      <c r="I1676" s="235"/>
      <c r="J1676" s="235"/>
      <c r="K1676" s="235"/>
      <c r="L1676" s="285"/>
    </row>
    <row r="1677" spans="1:12" ht="24.95" hidden="1" customHeight="1">
      <c r="A1677" s="136"/>
      <c r="B1677" s="176"/>
      <c r="C1677" s="177"/>
      <c r="D1677" s="136"/>
      <c r="E1677" s="231"/>
      <c r="F1677" s="144"/>
      <c r="G1677" s="144"/>
      <c r="H1677" s="235"/>
      <c r="I1677" s="235"/>
      <c r="J1677" s="235"/>
      <c r="K1677" s="235"/>
      <c r="L1677" s="285"/>
    </row>
    <row r="1678" spans="1:12" ht="24.95" hidden="1" customHeight="1">
      <c r="A1678" s="136"/>
      <c r="B1678" s="176"/>
      <c r="C1678" s="177"/>
      <c r="D1678" s="136"/>
      <c r="E1678" s="231"/>
      <c r="F1678" s="144"/>
      <c r="G1678" s="144"/>
      <c r="H1678" s="235"/>
      <c r="I1678" s="235"/>
      <c r="J1678" s="235"/>
      <c r="K1678" s="235"/>
      <c r="L1678" s="285"/>
    </row>
    <row r="1679" spans="1:12" ht="24.95" hidden="1" customHeight="1">
      <c r="A1679" s="136"/>
      <c r="B1679" s="176"/>
      <c r="C1679" s="177"/>
      <c r="D1679" s="136"/>
      <c r="E1679" s="231"/>
      <c r="F1679" s="144"/>
      <c r="G1679" s="144"/>
      <c r="H1679" s="235"/>
      <c r="I1679" s="235"/>
      <c r="J1679" s="235"/>
      <c r="K1679" s="235"/>
      <c r="L1679" s="285"/>
    </row>
    <row r="1680" spans="1:12" ht="24.95" hidden="1" customHeight="1">
      <c r="A1680" s="136"/>
      <c r="B1680" s="176"/>
      <c r="C1680" s="177"/>
      <c r="D1680" s="136"/>
      <c r="E1680" s="231"/>
      <c r="F1680" s="144"/>
      <c r="G1680" s="144"/>
      <c r="H1680" s="235"/>
      <c r="I1680" s="235"/>
      <c r="J1680" s="235"/>
      <c r="K1680" s="235"/>
      <c r="L1680" s="285"/>
    </row>
    <row r="1681" spans="1:12" ht="24.95" hidden="1" customHeight="1">
      <c r="A1681" s="136"/>
      <c r="B1681" s="176"/>
      <c r="C1681" s="177"/>
      <c r="D1681" s="136"/>
      <c r="E1681" s="231"/>
      <c r="F1681" s="144"/>
      <c r="G1681" s="144"/>
      <c r="H1681" s="235"/>
      <c r="I1681" s="235"/>
      <c r="J1681" s="235"/>
      <c r="K1681" s="235"/>
      <c r="L1681" s="285"/>
    </row>
    <row r="1682" spans="1:12" ht="24.95" hidden="1" customHeight="1">
      <c r="A1682" s="136"/>
      <c r="B1682" s="176"/>
      <c r="C1682" s="177"/>
      <c r="D1682" s="136"/>
      <c r="E1682" s="231"/>
      <c r="F1682" s="144"/>
      <c r="G1682" s="144"/>
      <c r="H1682" s="235"/>
      <c r="I1682" s="235"/>
      <c r="J1682" s="235"/>
      <c r="K1682" s="235"/>
      <c r="L1682" s="285"/>
    </row>
    <row r="1683" spans="1:12" ht="24.95" hidden="1" customHeight="1">
      <c r="A1683" s="136"/>
      <c r="B1683" s="176"/>
      <c r="C1683" s="177"/>
      <c r="D1683" s="136"/>
      <c r="E1683" s="231"/>
      <c r="F1683" s="144"/>
      <c r="G1683" s="144"/>
      <c r="H1683" s="235"/>
      <c r="I1683" s="235"/>
      <c r="J1683" s="235"/>
      <c r="K1683" s="235"/>
      <c r="L1683" s="285"/>
    </row>
    <row r="1684" spans="1:12" ht="24.95" hidden="1" customHeight="1">
      <c r="A1684" s="136"/>
      <c r="B1684" s="176"/>
      <c r="C1684" s="177"/>
      <c r="D1684" s="136"/>
      <c r="E1684" s="231"/>
      <c r="F1684" s="144"/>
      <c r="G1684" s="144"/>
      <c r="H1684" s="235"/>
      <c r="I1684" s="235"/>
      <c r="J1684" s="235"/>
      <c r="K1684" s="235"/>
      <c r="L1684" s="285"/>
    </row>
    <row r="1685" spans="1:12" ht="24.95" hidden="1" customHeight="1">
      <c r="A1685" s="136"/>
      <c r="B1685" s="176"/>
      <c r="C1685" s="177"/>
      <c r="D1685" s="136"/>
      <c r="E1685" s="231"/>
      <c r="F1685" s="144"/>
      <c r="G1685" s="144"/>
      <c r="H1685" s="235"/>
      <c r="I1685" s="235"/>
      <c r="J1685" s="235"/>
      <c r="K1685" s="235"/>
      <c r="L1685" s="285"/>
    </row>
    <row r="1686" spans="1:12" ht="24.95" hidden="1" customHeight="1">
      <c r="A1686" s="136"/>
      <c r="B1686" s="176"/>
      <c r="C1686" s="177"/>
      <c r="D1686" s="136"/>
      <c r="E1686" s="231"/>
      <c r="F1686" s="144"/>
      <c r="G1686" s="144"/>
      <c r="H1686" s="235"/>
      <c r="I1686" s="235"/>
      <c r="J1686" s="235"/>
      <c r="K1686" s="235"/>
      <c r="L1686" s="285"/>
    </row>
    <row r="1687" spans="1:12" ht="24.95" hidden="1" customHeight="1">
      <c r="A1687" s="136"/>
      <c r="B1687" s="176"/>
      <c r="C1687" s="177"/>
      <c r="D1687" s="136"/>
      <c r="E1687" s="231"/>
      <c r="F1687" s="144"/>
      <c r="G1687" s="144"/>
      <c r="H1687" s="235"/>
      <c r="I1687" s="235"/>
      <c r="J1687" s="235"/>
      <c r="K1687" s="235"/>
      <c r="L1687" s="285"/>
    </row>
    <row r="1688" spans="1:12" ht="24.95" hidden="1" customHeight="1">
      <c r="A1688" s="136"/>
      <c r="B1688" s="176"/>
      <c r="C1688" s="177"/>
      <c r="D1688" s="136"/>
      <c r="E1688" s="231"/>
      <c r="F1688" s="144"/>
      <c r="G1688" s="144"/>
      <c r="H1688" s="235"/>
      <c r="I1688" s="235"/>
      <c r="J1688" s="235"/>
      <c r="K1688" s="235"/>
      <c r="L1688" s="285"/>
    </row>
    <row r="1689" spans="1:12" ht="24.95" hidden="1" customHeight="1">
      <c r="A1689" s="136"/>
      <c r="B1689" s="176"/>
      <c r="C1689" s="177"/>
      <c r="D1689" s="136"/>
      <c r="E1689" s="231"/>
      <c r="F1689" s="144"/>
      <c r="G1689" s="144"/>
      <c r="H1689" s="235"/>
      <c r="I1689" s="235"/>
      <c r="J1689" s="235"/>
      <c r="K1689" s="235"/>
      <c r="L1689" s="285"/>
    </row>
    <row r="1690" spans="1:12" ht="24.95" hidden="1" customHeight="1">
      <c r="A1690" s="136"/>
      <c r="B1690" s="176"/>
      <c r="C1690" s="177"/>
      <c r="D1690" s="136"/>
      <c r="E1690" s="231"/>
      <c r="F1690" s="144"/>
      <c r="G1690" s="144"/>
      <c r="H1690" s="235"/>
      <c r="I1690" s="235"/>
      <c r="J1690" s="235"/>
      <c r="K1690" s="235"/>
      <c r="L1690" s="285"/>
    </row>
    <row r="1691" spans="1:12" ht="24.95" hidden="1" customHeight="1">
      <c r="A1691" s="136"/>
      <c r="B1691" s="176"/>
      <c r="C1691" s="177"/>
      <c r="D1691" s="136"/>
      <c r="E1691" s="231"/>
      <c r="F1691" s="144"/>
      <c r="G1691" s="144"/>
      <c r="H1691" s="235"/>
      <c r="I1691" s="235"/>
      <c r="J1691" s="235"/>
      <c r="K1691" s="235"/>
      <c r="L1691" s="285"/>
    </row>
    <row r="1692" spans="1:12" ht="24.95" hidden="1" customHeight="1">
      <c r="A1692" s="136"/>
      <c r="B1692" s="176"/>
      <c r="C1692" s="177"/>
      <c r="D1692" s="136"/>
      <c r="E1692" s="231"/>
      <c r="F1692" s="144"/>
      <c r="G1692" s="144"/>
      <c r="H1692" s="235"/>
      <c r="I1692" s="235"/>
      <c r="J1692" s="235"/>
      <c r="K1692" s="235"/>
      <c r="L1692" s="285"/>
    </row>
    <row r="1693" spans="1:12" ht="24.95" hidden="1" customHeight="1">
      <c r="A1693" s="136"/>
      <c r="B1693" s="176"/>
      <c r="C1693" s="177"/>
      <c r="D1693" s="136"/>
      <c r="E1693" s="231"/>
      <c r="F1693" s="144"/>
      <c r="G1693" s="144"/>
      <c r="H1693" s="235"/>
      <c r="I1693" s="235"/>
      <c r="J1693" s="235"/>
      <c r="K1693" s="235"/>
      <c r="L1693" s="285"/>
    </row>
    <row r="1694" spans="1:12" ht="24.95" hidden="1" customHeight="1">
      <c r="A1694" s="136"/>
      <c r="B1694" s="176"/>
      <c r="C1694" s="177"/>
      <c r="D1694" s="136"/>
      <c r="E1694" s="231"/>
      <c r="F1694" s="144"/>
      <c r="G1694" s="144"/>
      <c r="H1694" s="235"/>
      <c r="I1694" s="235"/>
      <c r="J1694" s="235"/>
      <c r="K1694" s="235"/>
      <c r="L1694" s="285"/>
    </row>
    <row r="1695" spans="1:12" ht="24.95" hidden="1" customHeight="1">
      <c r="A1695" s="136"/>
      <c r="B1695" s="176"/>
      <c r="C1695" s="177"/>
      <c r="D1695" s="136"/>
      <c r="E1695" s="231"/>
      <c r="F1695" s="144"/>
      <c r="G1695" s="144"/>
      <c r="H1695" s="235"/>
      <c r="I1695" s="235"/>
      <c r="J1695" s="235"/>
      <c r="K1695" s="235"/>
      <c r="L1695" s="285"/>
    </row>
    <row r="1696" spans="1:12" ht="24.95" hidden="1" customHeight="1">
      <c r="A1696" s="136"/>
      <c r="B1696" s="176"/>
      <c r="C1696" s="177"/>
      <c r="D1696" s="136"/>
      <c r="E1696" s="231"/>
      <c r="F1696" s="144"/>
      <c r="G1696" s="144"/>
      <c r="H1696" s="235"/>
      <c r="I1696" s="235"/>
      <c r="J1696" s="235"/>
      <c r="K1696" s="235"/>
      <c r="L1696" s="285"/>
    </row>
    <row r="1697" spans="1:12" ht="24.95" hidden="1" customHeight="1">
      <c r="A1697" s="136"/>
      <c r="B1697" s="176"/>
      <c r="C1697" s="177"/>
      <c r="D1697" s="136"/>
      <c r="E1697" s="231"/>
      <c r="F1697" s="144"/>
      <c r="G1697" s="144"/>
      <c r="H1697" s="235"/>
      <c r="I1697" s="235"/>
      <c r="J1697" s="235"/>
      <c r="K1697" s="235"/>
      <c r="L1697" s="285"/>
    </row>
    <row r="1698" spans="1:12" ht="24.95" hidden="1" customHeight="1">
      <c r="A1698" s="136"/>
      <c r="B1698" s="176"/>
      <c r="C1698" s="177"/>
      <c r="D1698" s="136"/>
      <c r="E1698" s="231"/>
      <c r="F1698" s="144"/>
      <c r="G1698" s="144"/>
      <c r="H1698" s="235"/>
      <c r="I1698" s="235"/>
      <c r="J1698" s="235"/>
      <c r="K1698" s="235"/>
      <c r="L1698" s="285"/>
    </row>
    <row r="1699" spans="1:12" ht="24.95" hidden="1" customHeight="1">
      <c r="A1699" s="136"/>
      <c r="B1699" s="176"/>
      <c r="C1699" s="177"/>
      <c r="D1699" s="136"/>
      <c r="E1699" s="231"/>
      <c r="F1699" s="144"/>
      <c r="G1699" s="144"/>
      <c r="H1699" s="235"/>
      <c r="I1699" s="235"/>
      <c r="J1699" s="235"/>
      <c r="K1699" s="235"/>
      <c r="L1699" s="285"/>
    </row>
    <row r="1700" spans="1:12" ht="24.95" hidden="1" customHeight="1">
      <c r="A1700" s="136"/>
      <c r="B1700" s="176"/>
      <c r="C1700" s="177"/>
      <c r="D1700" s="136"/>
      <c r="E1700" s="231"/>
      <c r="F1700" s="144"/>
      <c r="G1700" s="144"/>
      <c r="H1700" s="235"/>
      <c r="I1700" s="235"/>
      <c r="J1700" s="235"/>
      <c r="K1700" s="235"/>
      <c r="L1700" s="285"/>
    </row>
    <row r="1701" spans="1:12" ht="24.95" hidden="1" customHeight="1">
      <c r="A1701" s="136"/>
      <c r="B1701" s="176"/>
      <c r="C1701" s="177"/>
      <c r="D1701" s="136"/>
      <c r="E1701" s="231"/>
      <c r="F1701" s="144"/>
      <c r="G1701" s="144"/>
      <c r="H1701" s="235"/>
      <c r="I1701" s="235"/>
      <c r="J1701" s="235"/>
      <c r="K1701" s="235"/>
      <c r="L1701" s="285"/>
    </row>
    <row r="1702" spans="1:12" ht="24.95" hidden="1" customHeight="1">
      <c r="A1702" s="136"/>
      <c r="B1702" s="176"/>
      <c r="C1702" s="177"/>
      <c r="D1702" s="136"/>
      <c r="E1702" s="231"/>
      <c r="F1702" s="144"/>
      <c r="G1702" s="144"/>
      <c r="H1702" s="235"/>
      <c r="I1702" s="235"/>
      <c r="J1702" s="235"/>
      <c r="K1702" s="235"/>
      <c r="L1702" s="285"/>
    </row>
    <row r="1703" spans="1:12" ht="24.95" hidden="1" customHeight="1">
      <c r="A1703" s="136"/>
      <c r="B1703" s="176"/>
      <c r="C1703" s="177"/>
      <c r="D1703" s="136"/>
      <c r="E1703" s="231"/>
      <c r="F1703" s="144"/>
      <c r="G1703" s="144"/>
      <c r="H1703" s="235"/>
      <c r="I1703" s="235"/>
      <c r="J1703" s="235"/>
      <c r="K1703" s="235"/>
      <c r="L1703" s="285"/>
    </row>
    <row r="1704" spans="1:12" ht="24.95" hidden="1" customHeight="1">
      <c r="A1704" s="136"/>
      <c r="B1704" s="176"/>
      <c r="C1704" s="177"/>
      <c r="D1704" s="136"/>
      <c r="E1704" s="231"/>
      <c r="F1704" s="144"/>
      <c r="G1704" s="144"/>
      <c r="H1704" s="235"/>
      <c r="I1704" s="235"/>
      <c r="J1704" s="235"/>
      <c r="K1704" s="235"/>
      <c r="L1704" s="285"/>
    </row>
    <row r="1705" spans="1:12" ht="24.95" hidden="1" customHeight="1">
      <c r="A1705" s="136"/>
      <c r="B1705" s="176"/>
      <c r="C1705" s="177"/>
      <c r="D1705" s="136"/>
      <c r="E1705" s="231"/>
      <c r="F1705" s="144"/>
      <c r="G1705" s="144"/>
      <c r="H1705" s="235"/>
      <c r="I1705" s="235"/>
      <c r="J1705" s="235"/>
      <c r="K1705" s="235"/>
      <c r="L1705" s="285"/>
    </row>
    <row r="1706" spans="1:12" ht="24.95" hidden="1" customHeight="1">
      <c r="A1706" s="136"/>
      <c r="B1706" s="176"/>
      <c r="C1706" s="177"/>
      <c r="D1706" s="136"/>
      <c r="E1706" s="231"/>
      <c r="F1706" s="144"/>
      <c r="G1706" s="144"/>
      <c r="H1706" s="235"/>
      <c r="I1706" s="235"/>
      <c r="J1706" s="235"/>
      <c r="K1706" s="235"/>
      <c r="L1706" s="285"/>
    </row>
    <row r="1707" spans="1:12" ht="24.95" hidden="1" customHeight="1">
      <c r="A1707" s="136"/>
      <c r="B1707" s="176"/>
      <c r="C1707" s="177"/>
      <c r="D1707" s="136"/>
      <c r="E1707" s="231"/>
      <c r="F1707" s="144"/>
      <c r="G1707" s="144"/>
      <c r="H1707" s="235"/>
      <c r="I1707" s="235"/>
      <c r="J1707" s="235"/>
      <c r="K1707" s="235"/>
      <c r="L1707" s="285"/>
    </row>
    <row r="1708" spans="1:12" ht="24.95" hidden="1" customHeight="1">
      <c r="A1708" s="136"/>
      <c r="B1708" s="176"/>
      <c r="C1708" s="177"/>
      <c r="D1708" s="136"/>
      <c r="E1708" s="231"/>
      <c r="F1708" s="144"/>
      <c r="G1708" s="144"/>
      <c r="H1708" s="235"/>
      <c r="I1708" s="235"/>
      <c r="J1708" s="235"/>
      <c r="K1708" s="235"/>
      <c r="L1708" s="285"/>
    </row>
    <row r="1709" spans="1:12" ht="24.95" hidden="1" customHeight="1">
      <c r="A1709" s="136"/>
      <c r="B1709" s="176"/>
      <c r="C1709" s="177"/>
      <c r="D1709" s="136"/>
      <c r="E1709" s="231"/>
      <c r="F1709" s="144"/>
      <c r="G1709" s="144"/>
      <c r="H1709" s="235"/>
      <c r="I1709" s="235"/>
      <c r="J1709" s="235"/>
      <c r="K1709" s="235"/>
      <c r="L1709" s="285"/>
    </row>
    <row r="1710" spans="1:12" ht="24.95" hidden="1" customHeight="1">
      <c r="A1710" s="136"/>
      <c r="B1710" s="176"/>
      <c r="C1710" s="177"/>
      <c r="D1710" s="136"/>
      <c r="E1710" s="231"/>
      <c r="F1710" s="144"/>
      <c r="G1710" s="144"/>
      <c r="H1710" s="235"/>
      <c r="I1710" s="235"/>
      <c r="J1710" s="235"/>
      <c r="K1710" s="235"/>
      <c r="L1710" s="285"/>
    </row>
    <row r="1711" spans="1:12" ht="24.95" hidden="1" customHeight="1">
      <c r="A1711" s="136"/>
      <c r="B1711" s="176"/>
      <c r="C1711" s="177"/>
      <c r="D1711" s="136"/>
      <c r="E1711" s="231"/>
      <c r="F1711" s="144"/>
      <c r="G1711" s="144"/>
      <c r="H1711" s="235"/>
      <c r="I1711" s="235"/>
      <c r="J1711" s="235"/>
      <c r="K1711" s="235"/>
      <c r="L1711" s="285"/>
    </row>
    <row r="1712" spans="1:12" ht="24.95" hidden="1" customHeight="1">
      <c r="A1712" s="136"/>
      <c r="B1712" s="176"/>
      <c r="C1712" s="177"/>
      <c r="D1712" s="136"/>
      <c r="E1712" s="231"/>
      <c r="F1712" s="144"/>
      <c r="G1712" s="144"/>
      <c r="H1712" s="235"/>
      <c r="I1712" s="235"/>
      <c r="J1712" s="235"/>
      <c r="K1712" s="235"/>
      <c r="L1712" s="285"/>
    </row>
    <row r="1713" spans="1:12" ht="24.95" hidden="1" customHeight="1">
      <c r="A1713" s="136"/>
      <c r="B1713" s="176"/>
      <c r="C1713" s="177"/>
      <c r="D1713" s="136"/>
      <c r="E1713" s="231"/>
      <c r="F1713" s="144"/>
      <c r="G1713" s="144"/>
      <c r="H1713" s="235"/>
      <c r="I1713" s="235"/>
      <c r="J1713" s="235"/>
      <c r="K1713" s="235"/>
      <c r="L1713" s="285"/>
    </row>
    <row r="1714" spans="1:12" ht="24.95" hidden="1" customHeight="1">
      <c r="A1714" s="136"/>
      <c r="B1714" s="176"/>
      <c r="C1714" s="177"/>
      <c r="D1714" s="136"/>
      <c r="E1714" s="231"/>
      <c r="F1714" s="144"/>
      <c r="G1714" s="144"/>
      <c r="H1714" s="235"/>
      <c r="I1714" s="235"/>
      <c r="J1714" s="235"/>
      <c r="K1714" s="235"/>
      <c r="L1714" s="285"/>
    </row>
    <row r="1715" spans="1:12" ht="24.95" hidden="1" customHeight="1">
      <c r="A1715" s="136"/>
      <c r="B1715" s="176"/>
      <c r="C1715" s="177"/>
      <c r="D1715" s="136"/>
      <c r="E1715" s="231"/>
      <c r="F1715" s="144"/>
      <c r="G1715" s="144"/>
      <c r="H1715" s="235"/>
      <c r="I1715" s="235"/>
      <c r="J1715" s="235"/>
      <c r="K1715" s="235"/>
      <c r="L1715" s="285"/>
    </row>
    <row r="1716" spans="1:12" ht="24.95" hidden="1" customHeight="1">
      <c r="A1716" s="136"/>
      <c r="B1716" s="176"/>
      <c r="C1716" s="177"/>
      <c r="D1716" s="136"/>
      <c r="E1716" s="231"/>
      <c r="F1716" s="144"/>
      <c r="G1716" s="144"/>
      <c r="H1716" s="235"/>
      <c r="I1716" s="235"/>
      <c r="J1716" s="235"/>
      <c r="K1716" s="235"/>
      <c r="L1716" s="285"/>
    </row>
    <row r="1717" spans="1:12" ht="24.95" hidden="1" customHeight="1">
      <c r="A1717" s="136"/>
      <c r="B1717" s="176"/>
      <c r="C1717" s="177"/>
      <c r="D1717" s="136"/>
      <c r="E1717" s="231"/>
      <c r="F1717" s="144"/>
      <c r="G1717" s="144"/>
      <c r="H1717" s="235"/>
      <c r="I1717" s="235"/>
      <c r="J1717" s="235"/>
      <c r="K1717" s="235"/>
      <c r="L1717" s="285"/>
    </row>
    <row r="1718" spans="1:12" ht="24.95" hidden="1" customHeight="1">
      <c r="A1718" s="136"/>
      <c r="B1718" s="176"/>
      <c r="C1718" s="177"/>
      <c r="D1718" s="136"/>
      <c r="E1718" s="231"/>
      <c r="F1718" s="144"/>
      <c r="G1718" s="144"/>
      <c r="H1718" s="235"/>
      <c r="I1718" s="235"/>
      <c r="J1718" s="235"/>
      <c r="K1718" s="235"/>
      <c r="L1718" s="285"/>
    </row>
    <row r="1719" spans="1:12" ht="24.95" hidden="1" customHeight="1">
      <c r="A1719" s="136"/>
      <c r="B1719" s="176"/>
      <c r="C1719" s="177"/>
      <c r="D1719" s="136"/>
      <c r="E1719" s="231"/>
      <c r="F1719" s="144"/>
      <c r="G1719" s="144"/>
      <c r="H1719" s="235"/>
      <c r="I1719" s="235"/>
      <c r="J1719" s="235"/>
      <c r="K1719" s="235"/>
      <c r="L1719" s="285"/>
    </row>
    <row r="1720" spans="1:12" ht="24.95" hidden="1" customHeight="1">
      <c r="A1720" s="136"/>
      <c r="B1720" s="176"/>
      <c r="C1720" s="177"/>
      <c r="D1720" s="136"/>
      <c r="E1720" s="231"/>
      <c r="F1720" s="144"/>
      <c r="G1720" s="144"/>
      <c r="H1720" s="235"/>
      <c r="I1720" s="235"/>
      <c r="J1720" s="235"/>
      <c r="K1720" s="235"/>
      <c r="L1720" s="285"/>
    </row>
    <row r="1721" spans="1:12" ht="24.95" hidden="1" customHeight="1">
      <c r="A1721" s="136"/>
      <c r="B1721" s="176"/>
      <c r="C1721" s="177"/>
      <c r="D1721" s="136"/>
      <c r="E1721" s="231"/>
      <c r="F1721" s="144"/>
      <c r="G1721" s="144"/>
      <c r="H1721" s="235"/>
      <c r="I1721" s="235"/>
      <c r="J1721" s="235"/>
      <c r="K1721" s="235"/>
      <c r="L1721" s="285"/>
    </row>
    <row r="1722" spans="1:12" ht="24.95" hidden="1" customHeight="1">
      <c r="A1722" s="136"/>
      <c r="B1722" s="176"/>
      <c r="C1722" s="177"/>
      <c r="D1722" s="136"/>
      <c r="E1722" s="231"/>
      <c r="F1722" s="144"/>
      <c r="G1722" s="144"/>
      <c r="H1722" s="235"/>
      <c r="I1722" s="235"/>
      <c r="J1722" s="235"/>
      <c r="K1722" s="235"/>
      <c r="L1722" s="285"/>
    </row>
    <row r="1723" spans="1:12" ht="24.95" hidden="1" customHeight="1">
      <c r="A1723" s="136"/>
      <c r="B1723" s="176"/>
      <c r="C1723" s="177"/>
      <c r="D1723" s="136"/>
      <c r="E1723" s="231"/>
      <c r="F1723" s="144"/>
      <c r="G1723" s="144"/>
      <c r="H1723" s="235"/>
      <c r="I1723" s="235"/>
      <c r="J1723" s="235"/>
      <c r="K1723" s="235"/>
      <c r="L1723" s="285"/>
    </row>
    <row r="1724" spans="1:12" ht="24.95" hidden="1" customHeight="1">
      <c r="A1724" s="136"/>
      <c r="B1724" s="176"/>
      <c r="C1724" s="177"/>
      <c r="D1724" s="136"/>
      <c r="E1724" s="231"/>
      <c r="F1724" s="144"/>
      <c r="G1724" s="144"/>
      <c r="H1724" s="235"/>
      <c r="I1724" s="235"/>
      <c r="J1724" s="235"/>
      <c r="K1724" s="235"/>
      <c r="L1724" s="285"/>
    </row>
    <row r="1725" spans="1:12" ht="24.95" hidden="1" customHeight="1">
      <c r="A1725" s="136"/>
      <c r="B1725" s="176"/>
      <c r="C1725" s="177"/>
      <c r="D1725" s="136"/>
      <c r="E1725" s="231"/>
      <c r="F1725" s="144"/>
      <c r="G1725" s="144"/>
      <c r="H1725" s="235"/>
      <c r="I1725" s="235"/>
      <c r="J1725" s="235"/>
      <c r="K1725" s="235"/>
      <c r="L1725" s="285"/>
    </row>
    <row r="1726" spans="1:12" ht="24.95" hidden="1" customHeight="1">
      <c r="A1726" s="136"/>
      <c r="B1726" s="176"/>
      <c r="C1726" s="177"/>
      <c r="D1726" s="136"/>
      <c r="E1726" s="231"/>
      <c r="F1726" s="144"/>
      <c r="G1726" s="144"/>
      <c r="H1726" s="235"/>
      <c r="I1726" s="235"/>
      <c r="J1726" s="235"/>
      <c r="K1726" s="235"/>
      <c r="L1726" s="285"/>
    </row>
    <row r="1727" spans="1:12" ht="24.95" hidden="1" customHeight="1">
      <c r="A1727" s="136"/>
      <c r="B1727" s="176"/>
      <c r="C1727" s="177"/>
      <c r="D1727" s="136"/>
      <c r="E1727" s="231"/>
      <c r="F1727" s="144"/>
      <c r="G1727" s="144"/>
      <c r="H1727" s="235"/>
      <c r="I1727" s="235"/>
      <c r="J1727" s="235"/>
      <c r="K1727" s="235"/>
      <c r="L1727" s="285"/>
    </row>
    <row r="1728" spans="1:12" ht="24.95" hidden="1" customHeight="1">
      <c r="A1728" s="136"/>
      <c r="B1728" s="176"/>
      <c r="C1728" s="177"/>
      <c r="D1728" s="136"/>
      <c r="E1728" s="231"/>
      <c r="F1728" s="144"/>
      <c r="G1728" s="144"/>
      <c r="H1728" s="235"/>
      <c r="I1728" s="235"/>
      <c r="J1728" s="235"/>
      <c r="K1728" s="235"/>
      <c r="L1728" s="285"/>
    </row>
    <row r="1729" spans="1:12" ht="24.95" hidden="1" customHeight="1">
      <c r="A1729" s="136"/>
      <c r="B1729" s="176"/>
      <c r="C1729" s="177"/>
      <c r="D1729" s="136"/>
      <c r="E1729" s="231"/>
      <c r="F1729" s="144"/>
      <c r="G1729" s="144"/>
      <c r="H1729" s="235"/>
      <c r="I1729" s="235"/>
      <c r="J1729" s="235"/>
      <c r="K1729" s="235"/>
      <c r="L1729" s="285"/>
    </row>
    <row r="1730" spans="1:12" ht="24.95" hidden="1" customHeight="1">
      <c r="A1730" s="136"/>
      <c r="B1730" s="176"/>
      <c r="C1730" s="177"/>
      <c r="D1730" s="136"/>
      <c r="E1730" s="231"/>
      <c r="F1730" s="144"/>
      <c r="G1730" s="144"/>
      <c r="H1730" s="235"/>
      <c r="I1730" s="235"/>
      <c r="J1730" s="235"/>
      <c r="K1730" s="235"/>
      <c r="L1730" s="285"/>
    </row>
    <row r="1731" spans="1:12" ht="24.95" hidden="1" customHeight="1">
      <c r="A1731" s="136"/>
      <c r="B1731" s="176"/>
      <c r="C1731" s="177"/>
      <c r="D1731" s="136"/>
      <c r="E1731" s="231"/>
      <c r="F1731" s="144"/>
      <c r="G1731" s="144"/>
      <c r="H1731" s="235"/>
      <c r="I1731" s="235"/>
      <c r="J1731" s="235"/>
      <c r="K1731" s="235"/>
      <c r="L1731" s="285"/>
    </row>
    <row r="1732" spans="1:12" ht="24.95" hidden="1" customHeight="1">
      <c r="A1732" s="136"/>
      <c r="B1732" s="176"/>
      <c r="C1732" s="177"/>
      <c r="D1732" s="136"/>
      <c r="E1732" s="231"/>
      <c r="F1732" s="144"/>
      <c r="G1732" s="144"/>
      <c r="H1732" s="235"/>
      <c r="I1732" s="235"/>
      <c r="J1732" s="235"/>
      <c r="K1732" s="235"/>
      <c r="L1732" s="285"/>
    </row>
    <row r="1733" spans="1:12" ht="24.95" hidden="1" customHeight="1">
      <c r="A1733" s="136"/>
      <c r="B1733" s="176"/>
      <c r="C1733" s="177"/>
      <c r="D1733" s="136"/>
      <c r="E1733" s="231"/>
      <c r="F1733" s="144"/>
      <c r="G1733" s="144"/>
      <c r="H1733" s="235"/>
      <c r="I1733" s="235"/>
      <c r="J1733" s="235"/>
      <c r="K1733" s="235"/>
      <c r="L1733" s="285"/>
    </row>
    <row r="1734" spans="1:12" ht="24.95" hidden="1" customHeight="1">
      <c r="A1734" s="136"/>
      <c r="B1734" s="176"/>
      <c r="C1734" s="177"/>
      <c r="D1734" s="136"/>
      <c r="E1734" s="231"/>
      <c r="F1734" s="144"/>
      <c r="G1734" s="144"/>
      <c r="H1734" s="235"/>
      <c r="I1734" s="235"/>
      <c r="J1734" s="235"/>
      <c r="K1734" s="235"/>
      <c r="L1734" s="285"/>
    </row>
    <row r="1735" spans="1:12" ht="24.95" hidden="1" customHeight="1">
      <c r="A1735" s="136"/>
      <c r="B1735" s="176"/>
      <c r="C1735" s="177"/>
      <c r="D1735" s="136"/>
      <c r="E1735" s="231"/>
      <c r="F1735" s="144"/>
      <c r="G1735" s="144"/>
      <c r="H1735" s="235"/>
      <c r="I1735" s="235"/>
      <c r="J1735" s="235"/>
      <c r="K1735" s="235"/>
      <c r="L1735" s="285"/>
    </row>
    <row r="1736" spans="1:12" ht="24.95" hidden="1" customHeight="1">
      <c r="A1736" s="136"/>
      <c r="B1736" s="176"/>
      <c r="C1736" s="177"/>
      <c r="D1736" s="136"/>
      <c r="E1736" s="231"/>
      <c r="F1736" s="144"/>
      <c r="G1736" s="144"/>
      <c r="H1736" s="235"/>
      <c r="I1736" s="235"/>
      <c r="J1736" s="235"/>
      <c r="K1736" s="235"/>
      <c r="L1736" s="285"/>
    </row>
    <row r="1737" spans="1:12" ht="24.95" hidden="1" customHeight="1">
      <c r="A1737" s="136"/>
      <c r="B1737" s="176"/>
      <c r="C1737" s="177"/>
      <c r="D1737" s="136"/>
      <c r="E1737" s="231"/>
      <c r="F1737" s="144"/>
      <c r="G1737" s="144"/>
      <c r="H1737" s="235"/>
      <c r="I1737" s="235"/>
      <c r="J1737" s="235"/>
      <c r="K1737" s="235"/>
      <c r="L1737" s="285"/>
    </row>
    <row r="1738" spans="1:12" ht="24.95" hidden="1" customHeight="1">
      <c r="A1738" s="136"/>
      <c r="B1738" s="176"/>
      <c r="C1738" s="177"/>
      <c r="D1738" s="136"/>
      <c r="E1738" s="231"/>
      <c r="F1738" s="144"/>
      <c r="G1738" s="144"/>
      <c r="H1738" s="235"/>
      <c r="I1738" s="235"/>
      <c r="J1738" s="235"/>
      <c r="K1738" s="235"/>
      <c r="L1738" s="285"/>
    </row>
    <row r="1739" spans="1:12" ht="24.95" hidden="1" customHeight="1">
      <c r="A1739" s="136"/>
      <c r="B1739" s="176"/>
      <c r="C1739" s="177"/>
      <c r="D1739" s="136"/>
      <c r="E1739" s="231"/>
      <c r="F1739" s="144"/>
      <c r="G1739" s="144"/>
      <c r="H1739" s="235"/>
      <c r="I1739" s="235"/>
      <c r="J1739" s="235"/>
      <c r="K1739" s="235"/>
      <c r="L1739" s="285"/>
    </row>
    <row r="1740" spans="1:12" ht="24.95" hidden="1" customHeight="1">
      <c r="A1740" s="136"/>
      <c r="B1740" s="176"/>
      <c r="C1740" s="177"/>
      <c r="D1740" s="136"/>
      <c r="E1740" s="231"/>
      <c r="F1740" s="144"/>
      <c r="G1740" s="144"/>
      <c r="H1740" s="235"/>
      <c r="I1740" s="235"/>
      <c r="J1740" s="235"/>
      <c r="K1740" s="235"/>
      <c r="L1740" s="285"/>
    </row>
    <row r="1741" spans="1:12" ht="24.95" hidden="1" customHeight="1">
      <c r="A1741" s="136"/>
      <c r="B1741" s="176"/>
      <c r="C1741" s="177"/>
      <c r="D1741" s="136"/>
      <c r="E1741" s="231"/>
      <c r="F1741" s="144"/>
      <c r="G1741" s="144"/>
      <c r="H1741" s="235"/>
      <c r="I1741" s="235"/>
      <c r="J1741" s="235"/>
      <c r="K1741" s="235"/>
      <c r="L1741" s="285"/>
    </row>
    <row r="1742" spans="1:12" ht="24.95" hidden="1" customHeight="1">
      <c r="A1742" s="136"/>
      <c r="B1742" s="176"/>
      <c r="C1742" s="177"/>
      <c r="D1742" s="136"/>
      <c r="E1742" s="231"/>
      <c r="F1742" s="144"/>
      <c r="G1742" s="144"/>
      <c r="H1742" s="235"/>
      <c r="I1742" s="235"/>
      <c r="J1742" s="235"/>
      <c r="K1742" s="235"/>
      <c r="L1742" s="285"/>
    </row>
    <row r="1743" spans="1:12" ht="24.95" hidden="1" customHeight="1">
      <c r="A1743" s="136"/>
      <c r="B1743" s="176"/>
      <c r="C1743" s="177"/>
      <c r="D1743" s="136"/>
      <c r="E1743" s="231"/>
      <c r="F1743" s="144"/>
      <c r="G1743" s="144"/>
      <c r="H1743" s="235"/>
      <c r="I1743" s="235"/>
      <c r="J1743" s="235"/>
      <c r="K1743" s="235"/>
      <c r="L1743" s="285"/>
    </row>
    <row r="1744" spans="1:12" ht="24.95" hidden="1" customHeight="1">
      <c r="A1744" s="136"/>
      <c r="B1744" s="176"/>
      <c r="C1744" s="177"/>
      <c r="D1744" s="136"/>
      <c r="E1744" s="231"/>
      <c r="F1744" s="144"/>
      <c r="G1744" s="144"/>
      <c r="H1744" s="235"/>
      <c r="I1744" s="235"/>
      <c r="J1744" s="235"/>
      <c r="K1744" s="235"/>
      <c r="L1744" s="285"/>
    </row>
    <row r="1745" spans="1:12" ht="24.95" hidden="1" customHeight="1">
      <c r="A1745" s="136"/>
      <c r="B1745" s="176"/>
      <c r="C1745" s="177"/>
      <c r="D1745" s="136"/>
      <c r="E1745" s="231"/>
      <c r="F1745" s="144"/>
      <c r="G1745" s="144"/>
      <c r="H1745" s="235"/>
      <c r="I1745" s="235"/>
      <c r="J1745" s="235"/>
      <c r="K1745" s="235"/>
      <c r="L1745" s="285"/>
    </row>
    <row r="1746" spans="1:12" ht="24.95" hidden="1" customHeight="1">
      <c r="A1746" s="136"/>
      <c r="B1746" s="176"/>
      <c r="C1746" s="177"/>
      <c r="D1746" s="136"/>
      <c r="E1746" s="231"/>
      <c r="F1746" s="144"/>
      <c r="G1746" s="144"/>
      <c r="H1746" s="235"/>
      <c r="I1746" s="235"/>
      <c r="J1746" s="235"/>
      <c r="K1746" s="235"/>
      <c r="L1746" s="285"/>
    </row>
    <row r="1747" spans="1:12" ht="24.95" hidden="1" customHeight="1">
      <c r="A1747" s="136"/>
      <c r="B1747" s="176"/>
      <c r="C1747" s="177"/>
      <c r="D1747" s="136"/>
      <c r="E1747" s="231"/>
      <c r="F1747" s="144"/>
      <c r="G1747" s="144"/>
      <c r="H1747" s="235"/>
      <c r="I1747" s="235"/>
      <c r="J1747" s="235"/>
      <c r="K1747" s="235"/>
      <c r="L1747" s="285"/>
    </row>
    <row r="1748" spans="1:12" ht="24.95" hidden="1" customHeight="1">
      <c r="A1748" s="136"/>
      <c r="B1748" s="176"/>
      <c r="C1748" s="177"/>
      <c r="D1748" s="136"/>
      <c r="E1748" s="231"/>
      <c r="F1748" s="144"/>
      <c r="G1748" s="144"/>
      <c r="H1748" s="235"/>
      <c r="I1748" s="235"/>
      <c r="J1748" s="235"/>
      <c r="K1748" s="235"/>
      <c r="L1748" s="285"/>
    </row>
    <row r="1749" spans="1:12" ht="24.95" hidden="1" customHeight="1">
      <c r="A1749" s="136"/>
      <c r="B1749" s="176"/>
      <c r="C1749" s="177"/>
      <c r="D1749" s="136"/>
      <c r="E1749" s="231"/>
      <c r="F1749" s="144"/>
      <c r="G1749" s="144"/>
      <c r="H1749" s="235"/>
      <c r="I1749" s="235"/>
      <c r="J1749" s="235"/>
      <c r="K1749" s="235"/>
      <c r="L1749" s="285"/>
    </row>
    <row r="1750" spans="1:12" ht="24.95" hidden="1" customHeight="1">
      <c r="A1750" s="136"/>
      <c r="B1750" s="176"/>
      <c r="C1750" s="177"/>
      <c r="D1750" s="136"/>
      <c r="E1750" s="231"/>
      <c r="F1750" s="144"/>
      <c r="G1750" s="144"/>
      <c r="H1750" s="235"/>
      <c r="I1750" s="235"/>
      <c r="J1750" s="235"/>
      <c r="K1750" s="235"/>
      <c r="L1750" s="285"/>
    </row>
    <row r="1751" spans="1:12" ht="24.95" hidden="1" customHeight="1">
      <c r="A1751" s="136"/>
      <c r="B1751" s="176"/>
      <c r="C1751" s="177"/>
      <c r="D1751" s="136"/>
      <c r="E1751" s="231"/>
      <c r="F1751" s="144"/>
      <c r="G1751" s="144"/>
      <c r="H1751" s="235"/>
      <c r="I1751" s="235"/>
      <c r="J1751" s="235"/>
      <c r="K1751" s="235"/>
      <c r="L1751" s="285"/>
    </row>
    <row r="1752" spans="1:12" ht="24.95" hidden="1" customHeight="1">
      <c r="A1752" s="136"/>
      <c r="B1752" s="176"/>
      <c r="C1752" s="177"/>
      <c r="D1752" s="136"/>
      <c r="E1752" s="231"/>
      <c r="F1752" s="144"/>
      <c r="G1752" s="144"/>
      <c r="H1752" s="235"/>
      <c r="I1752" s="235"/>
      <c r="J1752" s="235"/>
      <c r="K1752" s="235"/>
      <c r="L1752" s="285"/>
    </row>
    <row r="1753" spans="1:12" ht="24.95" hidden="1" customHeight="1">
      <c r="A1753" s="136"/>
      <c r="B1753" s="176"/>
      <c r="C1753" s="177"/>
      <c r="D1753" s="136"/>
      <c r="E1753" s="231"/>
      <c r="F1753" s="144"/>
      <c r="G1753" s="144"/>
      <c r="H1753" s="235"/>
      <c r="I1753" s="235"/>
      <c r="J1753" s="235"/>
      <c r="K1753" s="235"/>
      <c r="L1753" s="285"/>
    </row>
    <row r="1754" spans="1:12" ht="24.95" hidden="1" customHeight="1">
      <c r="A1754" s="136"/>
      <c r="B1754" s="176"/>
      <c r="C1754" s="177"/>
      <c r="D1754" s="136"/>
      <c r="E1754" s="231"/>
      <c r="F1754" s="144"/>
      <c r="G1754" s="144"/>
      <c r="H1754" s="235"/>
      <c r="I1754" s="235"/>
      <c r="J1754" s="235"/>
      <c r="K1754" s="235"/>
      <c r="L1754" s="285"/>
    </row>
    <row r="1755" spans="1:12" ht="24.95" hidden="1" customHeight="1">
      <c r="A1755" s="136"/>
      <c r="B1755" s="176"/>
      <c r="C1755" s="177"/>
      <c r="D1755" s="136"/>
      <c r="E1755" s="231"/>
      <c r="F1755" s="144"/>
      <c r="G1755" s="144"/>
      <c r="H1755" s="235"/>
      <c r="I1755" s="235"/>
      <c r="J1755" s="235"/>
      <c r="K1755" s="235"/>
      <c r="L1755" s="285"/>
    </row>
    <row r="1756" spans="1:12" ht="24.95" hidden="1" customHeight="1">
      <c r="A1756" s="136"/>
      <c r="B1756" s="176"/>
      <c r="C1756" s="177"/>
      <c r="D1756" s="136"/>
      <c r="E1756" s="231"/>
      <c r="F1756" s="144"/>
      <c r="G1756" s="144"/>
      <c r="H1756" s="235"/>
      <c r="I1756" s="235"/>
      <c r="J1756" s="235"/>
      <c r="K1756" s="235"/>
      <c r="L1756" s="285"/>
    </row>
    <row r="1757" spans="1:12" ht="24.95" hidden="1" customHeight="1">
      <c r="A1757" s="136"/>
      <c r="B1757" s="176"/>
      <c r="C1757" s="177"/>
      <c r="D1757" s="136"/>
      <c r="E1757" s="231"/>
      <c r="F1757" s="144"/>
      <c r="G1757" s="144"/>
      <c r="H1757" s="235"/>
      <c r="I1757" s="235"/>
      <c r="J1757" s="235"/>
      <c r="K1757" s="235"/>
      <c r="L1757" s="285"/>
    </row>
    <row r="1758" spans="1:12" ht="24.95" hidden="1" customHeight="1">
      <c r="A1758" s="136"/>
      <c r="B1758" s="176"/>
      <c r="C1758" s="177"/>
      <c r="D1758" s="136"/>
      <c r="E1758" s="231"/>
      <c r="F1758" s="144"/>
      <c r="G1758" s="144"/>
      <c r="H1758" s="235"/>
      <c r="I1758" s="235"/>
      <c r="J1758" s="235"/>
      <c r="K1758" s="235"/>
      <c r="L1758" s="285"/>
    </row>
    <row r="1759" spans="1:12" ht="24.95" hidden="1" customHeight="1">
      <c r="A1759" s="136"/>
      <c r="B1759" s="176"/>
      <c r="C1759" s="177"/>
      <c r="D1759" s="136"/>
      <c r="E1759" s="231"/>
      <c r="F1759" s="144"/>
      <c r="G1759" s="144"/>
      <c r="H1759" s="235"/>
      <c r="I1759" s="235"/>
      <c r="J1759" s="235"/>
      <c r="K1759" s="235"/>
      <c r="L1759" s="285"/>
    </row>
    <row r="1760" spans="1:12" ht="24.95" hidden="1" customHeight="1">
      <c r="A1760" s="136"/>
      <c r="B1760" s="176"/>
      <c r="C1760" s="177"/>
      <c r="D1760" s="136"/>
      <c r="E1760" s="231"/>
      <c r="F1760" s="144"/>
      <c r="G1760" s="144"/>
      <c r="H1760" s="235"/>
      <c r="I1760" s="235"/>
      <c r="J1760" s="235"/>
      <c r="K1760" s="235"/>
      <c r="L1760" s="285"/>
    </row>
    <row r="1761" spans="1:12" ht="24.95" hidden="1" customHeight="1">
      <c r="A1761" s="136"/>
      <c r="B1761" s="176"/>
      <c r="C1761" s="177"/>
      <c r="D1761" s="136"/>
      <c r="E1761" s="231"/>
      <c r="F1761" s="144"/>
      <c r="G1761" s="144"/>
      <c r="H1761" s="235"/>
      <c r="I1761" s="235"/>
      <c r="J1761" s="235"/>
      <c r="K1761" s="235"/>
      <c r="L1761" s="285"/>
    </row>
    <row r="1762" spans="1:12" ht="24.95" hidden="1" customHeight="1">
      <c r="A1762" s="136"/>
      <c r="B1762" s="176"/>
      <c r="C1762" s="177"/>
      <c r="D1762" s="136"/>
      <c r="E1762" s="231"/>
      <c r="F1762" s="144"/>
      <c r="G1762" s="144"/>
      <c r="H1762" s="235"/>
      <c r="I1762" s="235"/>
      <c r="J1762" s="235"/>
      <c r="K1762" s="235"/>
      <c r="L1762" s="285"/>
    </row>
    <row r="1763" spans="1:12" ht="24.95" hidden="1" customHeight="1">
      <c r="A1763" s="136"/>
      <c r="B1763" s="176"/>
      <c r="C1763" s="177"/>
      <c r="D1763" s="136"/>
      <c r="E1763" s="231"/>
      <c r="F1763" s="144"/>
      <c r="G1763" s="144"/>
      <c r="H1763" s="235"/>
      <c r="I1763" s="235"/>
      <c r="J1763" s="235"/>
      <c r="K1763" s="235"/>
      <c r="L1763" s="285"/>
    </row>
    <row r="1764" spans="1:12" ht="24.95" hidden="1" customHeight="1">
      <c r="A1764" s="136"/>
      <c r="B1764" s="176"/>
      <c r="C1764" s="177"/>
      <c r="D1764" s="136"/>
      <c r="E1764" s="231"/>
      <c r="F1764" s="144"/>
      <c r="G1764" s="144"/>
      <c r="H1764" s="235"/>
      <c r="I1764" s="235"/>
      <c r="J1764" s="235"/>
      <c r="K1764" s="235"/>
      <c r="L1764" s="285"/>
    </row>
    <row r="1765" spans="1:12" ht="24.95" hidden="1" customHeight="1">
      <c r="A1765" s="136"/>
      <c r="B1765" s="176"/>
      <c r="C1765" s="177"/>
      <c r="D1765" s="136"/>
      <c r="E1765" s="231"/>
      <c r="F1765" s="144"/>
      <c r="G1765" s="144"/>
      <c r="H1765" s="235"/>
      <c r="I1765" s="235"/>
      <c r="J1765" s="235"/>
      <c r="K1765" s="235"/>
      <c r="L1765" s="285"/>
    </row>
    <row r="1766" spans="1:12" ht="24.95" hidden="1" customHeight="1">
      <c r="A1766" s="136"/>
      <c r="B1766" s="176"/>
      <c r="C1766" s="177"/>
      <c r="D1766" s="136"/>
      <c r="E1766" s="231"/>
      <c r="F1766" s="144"/>
      <c r="G1766" s="144"/>
      <c r="H1766" s="235"/>
      <c r="I1766" s="235"/>
      <c r="J1766" s="235"/>
      <c r="K1766" s="235"/>
      <c r="L1766" s="285"/>
    </row>
    <row r="1767" spans="1:12" ht="24.95" hidden="1" customHeight="1">
      <c r="A1767" s="136"/>
      <c r="B1767" s="176"/>
      <c r="C1767" s="177"/>
      <c r="D1767" s="136"/>
      <c r="E1767" s="231"/>
      <c r="F1767" s="144"/>
      <c r="G1767" s="144"/>
      <c r="H1767" s="235"/>
      <c r="I1767" s="235"/>
      <c r="J1767" s="235"/>
      <c r="K1767" s="235"/>
      <c r="L1767" s="285"/>
    </row>
    <row r="1768" spans="1:12" ht="24.95" hidden="1" customHeight="1">
      <c r="A1768" s="136"/>
      <c r="B1768" s="176"/>
      <c r="C1768" s="177"/>
      <c r="D1768" s="136"/>
      <c r="E1768" s="231"/>
      <c r="F1768" s="144"/>
      <c r="G1768" s="144"/>
      <c r="H1768" s="235"/>
      <c r="I1768" s="235"/>
      <c r="J1768" s="235"/>
      <c r="K1768" s="235"/>
      <c r="L1768" s="285"/>
    </row>
    <row r="1769" spans="1:12" ht="24.95" hidden="1" customHeight="1">
      <c r="A1769" s="136"/>
      <c r="B1769" s="176"/>
      <c r="C1769" s="177"/>
      <c r="D1769" s="136"/>
      <c r="E1769" s="231"/>
      <c r="F1769" s="144"/>
      <c r="G1769" s="144"/>
      <c r="H1769" s="235"/>
      <c r="I1769" s="235"/>
      <c r="J1769" s="235"/>
      <c r="K1769" s="235"/>
      <c r="L1769" s="285"/>
    </row>
    <row r="1770" spans="1:12" ht="24.95" hidden="1" customHeight="1">
      <c r="A1770" s="136"/>
      <c r="B1770" s="176"/>
      <c r="C1770" s="177"/>
      <c r="D1770" s="136"/>
      <c r="E1770" s="231"/>
      <c r="F1770" s="144"/>
      <c r="G1770" s="144"/>
      <c r="H1770" s="235"/>
      <c r="I1770" s="235"/>
      <c r="J1770" s="235"/>
      <c r="K1770" s="235"/>
      <c r="L1770" s="285"/>
    </row>
    <row r="1771" spans="1:12" ht="24.95" hidden="1" customHeight="1">
      <c r="A1771" s="136"/>
      <c r="B1771" s="176"/>
      <c r="C1771" s="177"/>
      <c r="D1771" s="136"/>
      <c r="E1771" s="231"/>
      <c r="F1771" s="144"/>
      <c r="G1771" s="144"/>
      <c r="H1771" s="235"/>
      <c r="I1771" s="235"/>
      <c r="J1771" s="235"/>
      <c r="K1771" s="235"/>
      <c r="L1771" s="285"/>
    </row>
    <row r="1772" spans="1:12" ht="24.95" hidden="1" customHeight="1">
      <c r="A1772" s="136"/>
      <c r="B1772" s="176"/>
      <c r="C1772" s="177"/>
      <c r="D1772" s="136"/>
      <c r="E1772" s="231"/>
      <c r="F1772" s="144"/>
      <c r="G1772" s="144"/>
      <c r="H1772" s="235"/>
      <c r="I1772" s="235"/>
      <c r="J1772" s="235"/>
      <c r="K1772" s="235"/>
      <c r="L1772" s="285"/>
    </row>
    <row r="1773" spans="1:12" ht="24.95" hidden="1" customHeight="1">
      <c r="A1773" s="136"/>
      <c r="B1773" s="176"/>
      <c r="C1773" s="177"/>
      <c r="D1773" s="136"/>
      <c r="E1773" s="231"/>
      <c r="F1773" s="144"/>
      <c r="G1773" s="144"/>
      <c r="H1773" s="235"/>
      <c r="I1773" s="235"/>
      <c r="J1773" s="235"/>
      <c r="K1773" s="235"/>
      <c r="L1773" s="285"/>
    </row>
    <row r="1774" spans="1:12" ht="24.95" hidden="1" customHeight="1">
      <c r="A1774" s="136"/>
      <c r="B1774" s="176"/>
      <c r="C1774" s="177"/>
      <c r="D1774" s="136"/>
      <c r="E1774" s="231"/>
      <c r="F1774" s="144"/>
      <c r="G1774" s="144"/>
      <c r="H1774" s="235"/>
      <c r="I1774" s="235"/>
      <c r="J1774" s="235"/>
      <c r="K1774" s="235"/>
      <c r="L1774" s="285"/>
    </row>
    <row r="1775" spans="1:12" ht="24.95" hidden="1" customHeight="1">
      <c r="A1775" s="136"/>
      <c r="B1775" s="176"/>
      <c r="C1775" s="177"/>
      <c r="D1775" s="136"/>
      <c r="E1775" s="231"/>
      <c r="F1775" s="144"/>
      <c r="G1775" s="144"/>
      <c r="H1775" s="235"/>
      <c r="I1775" s="235"/>
      <c r="J1775" s="235"/>
      <c r="K1775" s="235"/>
      <c r="L1775" s="285"/>
    </row>
    <row r="1776" spans="1:12" ht="24.95" hidden="1" customHeight="1">
      <c r="A1776" s="136"/>
      <c r="B1776" s="176"/>
      <c r="C1776" s="177"/>
      <c r="D1776" s="136"/>
      <c r="E1776" s="231"/>
      <c r="F1776" s="144"/>
      <c r="G1776" s="144"/>
      <c r="H1776" s="235"/>
      <c r="I1776" s="235"/>
      <c r="J1776" s="235"/>
      <c r="K1776" s="235"/>
      <c r="L1776" s="285"/>
    </row>
    <row r="1777" spans="1:12" ht="24.95" hidden="1" customHeight="1">
      <c r="A1777" s="136"/>
      <c r="B1777" s="176"/>
      <c r="C1777" s="177"/>
      <c r="D1777" s="136"/>
      <c r="E1777" s="231"/>
      <c r="F1777" s="144"/>
      <c r="G1777" s="144"/>
      <c r="H1777" s="235"/>
      <c r="I1777" s="235"/>
      <c r="J1777" s="235"/>
      <c r="K1777" s="235"/>
      <c r="L1777" s="285"/>
    </row>
    <row r="1778" spans="1:12" ht="24.95" hidden="1" customHeight="1">
      <c r="A1778" s="136"/>
      <c r="B1778" s="176"/>
      <c r="C1778" s="177"/>
      <c r="D1778" s="136"/>
      <c r="E1778" s="231"/>
      <c r="F1778" s="144"/>
      <c r="G1778" s="144"/>
      <c r="H1778" s="235"/>
      <c r="I1778" s="235"/>
      <c r="J1778" s="235"/>
      <c r="K1778" s="235"/>
      <c r="L1778" s="285"/>
    </row>
    <row r="1779" spans="1:12" ht="24.95" hidden="1" customHeight="1">
      <c r="A1779" s="136"/>
      <c r="B1779" s="176"/>
      <c r="C1779" s="177"/>
      <c r="D1779" s="136"/>
      <c r="E1779" s="231"/>
      <c r="F1779" s="144"/>
      <c r="G1779" s="144"/>
      <c r="H1779" s="235"/>
      <c r="I1779" s="235"/>
      <c r="J1779" s="235"/>
      <c r="K1779" s="235"/>
      <c r="L1779" s="285"/>
    </row>
    <row r="1780" spans="1:12" ht="24.95" hidden="1" customHeight="1">
      <c r="A1780" s="136"/>
      <c r="B1780" s="176"/>
      <c r="C1780" s="177"/>
      <c r="D1780" s="136"/>
      <c r="E1780" s="231"/>
      <c r="F1780" s="144"/>
      <c r="G1780" s="144"/>
      <c r="H1780" s="235"/>
      <c r="I1780" s="235"/>
      <c r="J1780" s="235"/>
      <c r="K1780" s="235"/>
      <c r="L1780" s="285"/>
    </row>
    <row r="1781" spans="1:12" ht="24.95" hidden="1" customHeight="1">
      <c r="A1781" s="136"/>
      <c r="B1781" s="176"/>
      <c r="C1781" s="177"/>
      <c r="D1781" s="136"/>
      <c r="E1781" s="231"/>
      <c r="F1781" s="144"/>
      <c r="G1781" s="144"/>
      <c r="H1781" s="235"/>
      <c r="I1781" s="235"/>
      <c r="J1781" s="235"/>
      <c r="K1781" s="235"/>
      <c r="L1781" s="285"/>
    </row>
    <row r="1782" spans="1:12" ht="24.95" hidden="1" customHeight="1">
      <c r="A1782" s="136"/>
      <c r="B1782" s="176"/>
      <c r="C1782" s="177"/>
      <c r="D1782" s="136"/>
      <c r="E1782" s="231"/>
      <c r="F1782" s="144"/>
      <c r="G1782" s="144"/>
      <c r="H1782" s="235"/>
      <c r="I1782" s="235"/>
      <c r="J1782" s="235"/>
      <c r="K1782" s="235"/>
      <c r="L1782" s="285"/>
    </row>
    <row r="1783" spans="1:12" ht="24.95" hidden="1" customHeight="1">
      <c r="A1783" s="136"/>
      <c r="B1783" s="176"/>
      <c r="C1783" s="177"/>
      <c r="D1783" s="136"/>
      <c r="E1783" s="231"/>
      <c r="F1783" s="144"/>
      <c r="G1783" s="144"/>
      <c r="H1783" s="235"/>
      <c r="I1783" s="235"/>
      <c r="J1783" s="235"/>
      <c r="K1783" s="235"/>
      <c r="L1783" s="285"/>
    </row>
    <row r="1784" spans="1:12" ht="24.95" hidden="1" customHeight="1">
      <c r="A1784" s="136"/>
      <c r="B1784" s="176"/>
      <c r="C1784" s="177"/>
      <c r="D1784" s="136"/>
      <c r="E1784" s="231"/>
      <c r="F1784" s="144"/>
      <c r="G1784" s="144"/>
      <c r="H1784" s="235"/>
      <c r="I1784" s="235"/>
      <c r="J1784" s="235"/>
      <c r="K1784" s="235"/>
      <c r="L1784" s="285"/>
    </row>
    <row r="1785" spans="1:12" ht="24.95" hidden="1" customHeight="1">
      <c r="A1785" s="136"/>
      <c r="B1785" s="176"/>
      <c r="C1785" s="177"/>
      <c r="D1785" s="136"/>
      <c r="E1785" s="231"/>
      <c r="F1785" s="144"/>
      <c r="G1785" s="144"/>
      <c r="H1785" s="235"/>
      <c r="I1785" s="235"/>
      <c r="J1785" s="235"/>
      <c r="K1785" s="235"/>
      <c r="L1785" s="285"/>
    </row>
    <row r="1786" spans="1:12" ht="24.95" hidden="1" customHeight="1">
      <c r="A1786" s="136"/>
      <c r="B1786" s="176"/>
      <c r="C1786" s="177"/>
      <c r="D1786" s="136"/>
      <c r="E1786" s="231"/>
      <c r="F1786" s="144"/>
      <c r="G1786" s="144"/>
      <c r="H1786" s="235"/>
      <c r="I1786" s="235"/>
      <c r="J1786" s="235"/>
      <c r="K1786" s="235"/>
      <c r="L1786" s="285"/>
    </row>
    <row r="1787" spans="1:12" ht="24.95" hidden="1" customHeight="1">
      <c r="A1787" s="136"/>
      <c r="B1787" s="176"/>
      <c r="C1787" s="177"/>
      <c r="D1787" s="136"/>
      <c r="E1787" s="231"/>
      <c r="F1787" s="144"/>
      <c r="G1787" s="144"/>
      <c r="H1787" s="235"/>
      <c r="I1787" s="235"/>
      <c r="J1787" s="235"/>
      <c r="K1787" s="235"/>
      <c r="L1787" s="285"/>
    </row>
    <row r="1788" spans="1:12" ht="24.95" hidden="1" customHeight="1">
      <c r="A1788" s="136"/>
      <c r="B1788" s="176"/>
      <c r="C1788" s="177"/>
      <c r="D1788" s="136"/>
      <c r="E1788" s="231"/>
      <c r="F1788" s="144"/>
      <c r="G1788" s="144"/>
      <c r="H1788" s="235"/>
      <c r="I1788" s="235"/>
      <c r="J1788" s="235"/>
      <c r="K1788" s="235"/>
      <c r="L1788" s="285"/>
    </row>
    <row r="1789" spans="1:12" ht="24.95" hidden="1" customHeight="1">
      <c r="A1789" s="136"/>
      <c r="B1789" s="176"/>
      <c r="C1789" s="177"/>
      <c r="D1789" s="136"/>
      <c r="E1789" s="231"/>
      <c r="F1789" s="144"/>
      <c r="G1789" s="144"/>
      <c r="H1789" s="235"/>
      <c r="I1789" s="235"/>
      <c r="J1789" s="235"/>
      <c r="K1789" s="235"/>
      <c r="L1789" s="285"/>
    </row>
    <row r="1790" spans="1:12" ht="24.95" hidden="1" customHeight="1">
      <c r="A1790" s="136"/>
      <c r="B1790" s="176"/>
      <c r="C1790" s="177"/>
      <c r="D1790" s="136"/>
      <c r="E1790" s="231"/>
      <c r="F1790" s="144"/>
      <c r="G1790" s="144"/>
      <c r="H1790" s="235"/>
      <c r="I1790" s="235"/>
      <c r="J1790" s="235"/>
      <c r="K1790" s="235"/>
      <c r="L1790" s="285"/>
    </row>
    <row r="1791" spans="1:12" ht="24.95" hidden="1" customHeight="1">
      <c r="A1791" s="136"/>
      <c r="B1791" s="176"/>
      <c r="C1791" s="177"/>
      <c r="D1791" s="136"/>
      <c r="E1791" s="231"/>
      <c r="F1791" s="144"/>
      <c r="G1791" s="144"/>
      <c r="H1791" s="235"/>
      <c r="I1791" s="235"/>
      <c r="J1791" s="235"/>
      <c r="K1791" s="235"/>
      <c r="L1791" s="285"/>
    </row>
    <row r="1792" spans="1:12" ht="24.95" hidden="1" customHeight="1">
      <c r="A1792" s="136"/>
      <c r="B1792" s="176"/>
      <c r="C1792" s="177"/>
      <c r="D1792" s="136"/>
      <c r="E1792" s="231"/>
      <c r="F1792" s="144"/>
      <c r="G1792" s="144"/>
      <c r="H1792" s="235"/>
      <c r="I1792" s="235"/>
      <c r="J1792" s="235"/>
      <c r="K1792" s="235"/>
      <c r="L1792" s="285"/>
    </row>
    <row r="1793" spans="1:12" ht="24.95" hidden="1" customHeight="1">
      <c r="A1793" s="136"/>
      <c r="B1793" s="176"/>
      <c r="C1793" s="177"/>
      <c r="D1793" s="136"/>
      <c r="E1793" s="231"/>
      <c r="F1793" s="144"/>
      <c r="G1793" s="144"/>
      <c r="H1793" s="235"/>
      <c r="I1793" s="235"/>
      <c r="J1793" s="235"/>
      <c r="K1793" s="235"/>
      <c r="L1793" s="285"/>
    </row>
    <row r="1794" spans="1:12" ht="24.95" hidden="1" customHeight="1">
      <c r="A1794" s="136"/>
      <c r="B1794" s="176"/>
      <c r="C1794" s="177"/>
      <c r="D1794" s="136"/>
      <c r="E1794" s="231"/>
      <c r="F1794" s="144"/>
      <c r="G1794" s="144"/>
      <c r="H1794" s="235"/>
      <c r="I1794" s="235"/>
      <c r="J1794" s="235"/>
      <c r="K1794" s="235"/>
      <c r="L1794" s="285"/>
    </row>
    <row r="1795" spans="1:12" ht="24.95" hidden="1" customHeight="1">
      <c r="A1795" s="136"/>
      <c r="B1795" s="176"/>
      <c r="C1795" s="177"/>
      <c r="D1795" s="136"/>
      <c r="E1795" s="231"/>
      <c r="F1795" s="144"/>
      <c r="G1795" s="144"/>
      <c r="H1795" s="235"/>
      <c r="I1795" s="235"/>
      <c r="J1795" s="235"/>
      <c r="K1795" s="235"/>
      <c r="L1795" s="285"/>
    </row>
    <row r="1796" spans="1:12" ht="24.95" hidden="1" customHeight="1">
      <c r="A1796" s="136"/>
      <c r="B1796" s="176"/>
      <c r="C1796" s="177"/>
      <c r="D1796" s="136"/>
      <c r="E1796" s="231"/>
      <c r="F1796" s="144"/>
      <c r="G1796" s="144"/>
      <c r="H1796" s="235"/>
      <c r="I1796" s="235"/>
      <c r="J1796" s="235"/>
      <c r="K1796" s="235"/>
      <c r="L1796" s="285"/>
    </row>
    <row r="1797" spans="1:12" ht="24.95" hidden="1" customHeight="1">
      <c r="A1797" s="136"/>
      <c r="B1797" s="176"/>
      <c r="C1797" s="177"/>
      <c r="D1797" s="136"/>
      <c r="E1797" s="231"/>
      <c r="F1797" s="144"/>
      <c r="G1797" s="144"/>
      <c r="H1797" s="235"/>
      <c r="I1797" s="235"/>
      <c r="J1797" s="235"/>
      <c r="K1797" s="235"/>
      <c r="L1797" s="285"/>
    </row>
    <row r="1798" spans="1:12" ht="24.95" hidden="1" customHeight="1">
      <c r="A1798" s="136"/>
      <c r="B1798" s="176"/>
      <c r="C1798" s="177"/>
      <c r="D1798" s="136"/>
      <c r="E1798" s="231"/>
      <c r="F1798" s="144"/>
      <c r="G1798" s="144"/>
      <c r="H1798" s="235"/>
      <c r="I1798" s="235"/>
      <c r="J1798" s="235"/>
      <c r="K1798" s="235"/>
      <c r="L1798" s="285"/>
    </row>
    <row r="1799" spans="1:12" ht="24.95" hidden="1" customHeight="1">
      <c r="A1799" s="136"/>
      <c r="B1799" s="176"/>
      <c r="C1799" s="177"/>
      <c r="D1799" s="136"/>
      <c r="E1799" s="231"/>
      <c r="F1799" s="144"/>
      <c r="G1799" s="144"/>
      <c r="H1799" s="235"/>
      <c r="I1799" s="235"/>
      <c r="J1799" s="235"/>
      <c r="K1799" s="235"/>
      <c r="L1799" s="285"/>
    </row>
    <row r="1800" spans="1:12" ht="24.95" hidden="1" customHeight="1">
      <c r="A1800" s="136"/>
      <c r="B1800" s="176"/>
      <c r="C1800" s="177"/>
      <c r="D1800" s="136"/>
      <c r="E1800" s="231"/>
      <c r="F1800" s="144"/>
      <c r="G1800" s="144"/>
      <c r="H1800" s="235"/>
      <c r="I1800" s="235"/>
      <c r="J1800" s="235"/>
      <c r="K1800" s="235"/>
      <c r="L1800" s="285"/>
    </row>
    <row r="1801" spans="1:12" ht="24.95" hidden="1" customHeight="1">
      <c r="A1801" s="136"/>
      <c r="B1801" s="176"/>
      <c r="C1801" s="177"/>
      <c r="D1801" s="136"/>
      <c r="E1801" s="231"/>
      <c r="F1801" s="144"/>
      <c r="G1801" s="144"/>
      <c r="H1801" s="235"/>
      <c r="I1801" s="235"/>
      <c r="J1801" s="235"/>
      <c r="K1801" s="235"/>
      <c r="L1801" s="285"/>
    </row>
    <row r="1802" spans="1:12" ht="24.95" hidden="1" customHeight="1">
      <c r="A1802" s="136"/>
      <c r="B1802" s="176"/>
      <c r="C1802" s="177"/>
      <c r="D1802" s="136"/>
      <c r="E1802" s="231"/>
      <c r="F1802" s="144"/>
      <c r="G1802" s="144"/>
      <c r="H1802" s="235"/>
      <c r="I1802" s="235"/>
      <c r="J1802" s="235"/>
      <c r="K1802" s="235"/>
      <c r="L1802" s="285"/>
    </row>
    <row r="1803" spans="1:12" ht="24.95" hidden="1" customHeight="1">
      <c r="A1803" s="136"/>
      <c r="B1803" s="176"/>
      <c r="C1803" s="177"/>
      <c r="D1803" s="136"/>
      <c r="E1803" s="231"/>
      <c r="F1803" s="144"/>
      <c r="G1803" s="144"/>
      <c r="H1803" s="235"/>
      <c r="I1803" s="235"/>
      <c r="J1803" s="235"/>
      <c r="K1803" s="235"/>
      <c r="L1803" s="285"/>
    </row>
    <row r="1804" spans="1:12" ht="24.95" hidden="1" customHeight="1">
      <c r="A1804" s="136"/>
      <c r="B1804" s="176"/>
      <c r="C1804" s="177"/>
      <c r="D1804" s="136"/>
      <c r="E1804" s="231"/>
      <c r="F1804" s="144"/>
      <c r="G1804" s="144"/>
      <c r="H1804" s="235"/>
      <c r="I1804" s="235"/>
      <c r="J1804" s="235"/>
      <c r="K1804" s="235"/>
      <c r="L1804" s="285"/>
    </row>
    <row r="1805" spans="1:12" ht="24.95" hidden="1" customHeight="1">
      <c r="A1805" s="136"/>
      <c r="B1805" s="176"/>
      <c r="C1805" s="177"/>
      <c r="D1805" s="136"/>
      <c r="E1805" s="231"/>
      <c r="F1805" s="144"/>
      <c r="G1805" s="144"/>
      <c r="H1805" s="235"/>
      <c r="I1805" s="235"/>
      <c r="J1805" s="235"/>
      <c r="K1805" s="235"/>
      <c r="L1805" s="285"/>
    </row>
    <row r="1806" spans="1:12" ht="24.95" hidden="1" customHeight="1">
      <c r="A1806" s="136"/>
      <c r="B1806" s="176"/>
      <c r="C1806" s="177"/>
      <c r="D1806" s="136"/>
      <c r="E1806" s="231"/>
      <c r="F1806" s="144"/>
      <c r="G1806" s="144"/>
      <c r="H1806" s="235"/>
      <c r="I1806" s="235"/>
      <c r="J1806" s="235"/>
      <c r="K1806" s="235"/>
      <c r="L1806" s="285"/>
    </row>
    <row r="1807" spans="1:12" ht="24.95" hidden="1" customHeight="1">
      <c r="A1807" s="136"/>
      <c r="B1807" s="176"/>
      <c r="C1807" s="177"/>
      <c r="D1807" s="136"/>
      <c r="E1807" s="231"/>
      <c r="F1807" s="144"/>
      <c r="G1807" s="144"/>
      <c r="H1807" s="235"/>
      <c r="I1807" s="235"/>
      <c r="J1807" s="235"/>
      <c r="K1807" s="235"/>
      <c r="L1807" s="285"/>
    </row>
    <row r="1808" spans="1:12" ht="24.95" hidden="1" customHeight="1">
      <c r="A1808" s="136"/>
      <c r="B1808" s="176"/>
      <c r="C1808" s="177"/>
      <c r="D1808" s="136"/>
      <c r="E1808" s="231"/>
      <c r="F1808" s="144"/>
      <c r="G1808" s="144"/>
      <c r="H1808" s="235"/>
      <c r="I1808" s="235"/>
      <c r="J1808" s="235"/>
      <c r="K1808" s="235"/>
      <c r="L1808" s="285"/>
    </row>
    <row r="1809" spans="1:12" ht="24.95" hidden="1" customHeight="1">
      <c r="A1809" s="136"/>
      <c r="B1809" s="176"/>
      <c r="C1809" s="177"/>
      <c r="D1809" s="136"/>
      <c r="E1809" s="231"/>
      <c r="F1809" s="144"/>
      <c r="G1809" s="144"/>
      <c r="H1809" s="235"/>
      <c r="I1809" s="235"/>
      <c r="J1809" s="235"/>
      <c r="K1809" s="235"/>
      <c r="L1809" s="285"/>
    </row>
    <row r="1810" spans="1:12" ht="24.95" hidden="1" customHeight="1">
      <c r="A1810" s="136"/>
      <c r="B1810" s="176"/>
      <c r="C1810" s="177"/>
      <c r="D1810" s="136"/>
      <c r="E1810" s="231"/>
      <c r="F1810" s="144"/>
      <c r="G1810" s="144"/>
      <c r="H1810" s="235"/>
      <c r="I1810" s="235"/>
      <c r="J1810" s="235"/>
      <c r="K1810" s="235"/>
      <c r="L1810" s="285"/>
    </row>
    <row r="1811" spans="1:12" ht="24.95" hidden="1" customHeight="1">
      <c r="A1811" s="136"/>
      <c r="B1811" s="176"/>
      <c r="C1811" s="177"/>
      <c r="D1811" s="136"/>
      <c r="E1811" s="231"/>
      <c r="F1811" s="144"/>
      <c r="G1811" s="144"/>
      <c r="H1811" s="235"/>
      <c r="I1811" s="235"/>
      <c r="J1811" s="235"/>
      <c r="K1811" s="235"/>
      <c r="L1811" s="285"/>
    </row>
    <row r="1812" spans="1:12" ht="24.95" hidden="1" customHeight="1">
      <c r="A1812" s="136"/>
      <c r="B1812" s="176"/>
      <c r="C1812" s="177"/>
      <c r="D1812" s="136"/>
      <c r="E1812" s="231"/>
      <c r="F1812" s="144"/>
      <c r="G1812" s="144"/>
      <c r="H1812" s="235"/>
      <c r="I1812" s="235"/>
      <c r="J1812" s="235"/>
      <c r="K1812" s="235"/>
      <c r="L1812" s="285"/>
    </row>
    <row r="1813" spans="1:12" ht="24.95" hidden="1" customHeight="1">
      <c r="A1813" s="136"/>
      <c r="B1813" s="176"/>
      <c r="C1813" s="177"/>
      <c r="D1813" s="136"/>
      <c r="E1813" s="231"/>
      <c r="F1813" s="144"/>
      <c r="G1813" s="144"/>
      <c r="H1813" s="235"/>
      <c r="I1813" s="235"/>
      <c r="J1813" s="235"/>
      <c r="K1813" s="235"/>
      <c r="L1813" s="285"/>
    </row>
    <row r="1814" spans="1:12" ht="24.95" hidden="1" customHeight="1">
      <c r="A1814" s="136"/>
      <c r="B1814" s="176"/>
      <c r="C1814" s="177"/>
      <c r="D1814" s="136"/>
      <c r="E1814" s="231"/>
      <c r="F1814" s="144"/>
      <c r="G1814" s="144"/>
      <c r="H1814" s="235"/>
      <c r="I1814" s="235"/>
      <c r="J1814" s="235"/>
      <c r="K1814" s="235"/>
      <c r="L1814" s="285"/>
    </row>
    <row r="1815" spans="1:12" ht="24.95" hidden="1" customHeight="1">
      <c r="A1815" s="136"/>
      <c r="B1815" s="176"/>
      <c r="C1815" s="177"/>
      <c r="D1815" s="136"/>
      <c r="E1815" s="231"/>
      <c r="F1815" s="144"/>
      <c r="G1815" s="144"/>
      <c r="H1815" s="235"/>
      <c r="I1815" s="235"/>
      <c r="J1815" s="235"/>
      <c r="K1815" s="235"/>
      <c r="L1815" s="285"/>
    </row>
    <row r="1816" spans="1:12" ht="24.95" hidden="1" customHeight="1">
      <c r="A1816" s="136"/>
      <c r="B1816" s="176"/>
      <c r="C1816" s="177"/>
      <c r="D1816" s="136"/>
      <c r="E1816" s="231"/>
      <c r="F1816" s="144"/>
      <c r="G1816" s="144"/>
      <c r="H1816" s="235"/>
      <c r="I1816" s="235"/>
      <c r="J1816" s="235"/>
      <c r="K1816" s="235"/>
      <c r="L1816" s="285"/>
    </row>
    <row r="1817" spans="1:12" ht="24.95" hidden="1" customHeight="1">
      <c r="A1817" s="136"/>
      <c r="B1817" s="176"/>
      <c r="C1817" s="177"/>
      <c r="D1817" s="136"/>
      <c r="E1817" s="231"/>
      <c r="F1817" s="144"/>
      <c r="G1817" s="144"/>
      <c r="H1817" s="235"/>
      <c r="I1817" s="235"/>
      <c r="J1817" s="235"/>
      <c r="K1817" s="235"/>
      <c r="L1817" s="285"/>
    </row>
    <row r="1818" spans="1:12" ht="24.95" hidden="1" customHeight="1">
      <c r="A1818" s="136"/>
      <c r="B1818" s="176"/>
      <c r="C1818" s="177"/>
      <c r="D1818" s="136"/>
      <c r="E1818" s="231"/>
      <c r="F1818" s="144"/>
      <c r="G1818" s="144"/>
      <c r="H1818" s="235"/>
      <c r="I1818" s="235"/>
      <c r="J1818" s="235"/>
      <c r="K1818" s="235"/>
      <c r="L1818" s="285"/>
    </row>
    <row r="1819" spans="1:12" ht="24.95" hidden="1" customHeight="1">
      <c r="A1819" s="136"/>
      <c r="B1819" s="176"/>
      <c r="C1819" s="177"/>
      <c r="D1819" s="136"/>
      <c r="E1819" s="231"/>
      <c r="F1819" s="144"/>
      <c r="G1819" s="144"/>
      <c r="H1819" s="235"/>
      <c r="I1819" s="235"/>
      <c r="J1819" s="235"/>
      <c r="K1819" s="235"/>
      <c r="L1819" s="285"/>
    </row>
    <row r="1820" spans="1:12" ht="24.95" hidden="1" customHeight="1">
      <c r="A1820" s="136"/>
      <c r="B1820" s="176"/>
      <c r="C1820" s="177"/>
      <c r="D1820" s="136"/>
      <c r="E1820" s="231"/>
      <c r="F1820" s="144"/>
      <c r="G1820" s="144"/>
      <c r="H1820" s="235"/>
      <c r="I1820" s="235"/>
      <c r="J1820" s="235"/>
      <c r="K1820" s="235"/>
      <c r="L1820" s="285"/>
    </row>
    <row r="1821" spans="1:12" ht="24.95" hidden="1" customHeight="1">
      <c r="A1821" s="136"/>
      <c r="B1821" s="176"/>
      <c r="C1821" s="177"/>
      <c r="D1821" s="136"/>
      <c r="E1821" s="231"/>
      <c r="F1821" s="144"/>
      <c r="G1821" s="144"/>
      <c r="H1821" s="235"/>
      <c r="I1821" s="235"/>
      <c r="J1821" s="235"/>
      <c r="K1821" s="235"/>
      <c r="L1821" s="285"/>
    </row>
    <row r="1822" spans="1:12" ht="24.95" hidden="1" customHeight="1">
      <c r="A1822" s="136"/>
      <c r="B1822" s="176"/>
      <c r="C1822" s="177"/>
      <c r="D1822" s="136"/>
      <c r="E1822" s="231"/>
      <c r="F1822" s="144"/>
      <c r="G1822" s="144"/>
      <c r="H1822" s="235"/>
      <c r="I1822" s="235"/>
      <c r="J1822" s="235"/>
      <c r="K1822" s="235"/>
      <c r="L1822" s="285"/>
    </row>
    <row r="1823" spans="1:12" ht="24.95" hidden="1" customHeight="1">
      <c r="A1823" s="136"/>
      <c r="B1823" s="176"/>
      <c r="C1823" s="177"/>
      <c r="D1823" s="136"/>
      <c r="E1823" s="231"/>
      <c r="F1823" s="144"/>
      <c r="G1823" s="144"/>
      <c r="H1823" s="235"/>
      <c r="I1823" s="235"/>
      <c r="J1823" s="235"/>
      <c r="K1823" s="235"/>
      <c r="L1823" s="285"/>
    </row>
    <row r="1824" spans="1:12" ht="24.95" hidden="1" customHeight="1">
      <c r="A1824" s="136"/>
      <c r="B1824" s="176"/>
      <c r="C1824" s="177"/>
      <c r="D1824" s="136"/>
      <c r="E1824" s="231"/>
      <c r="F1824" s="144"/>
      <c r="G1824" s="144"/>
      <c r="H1824" s="235"/>
      <c r="I1824" s="235"/>
      <c r="J1824" s="235"/>
      <c r="K1824" s="235"/>
      <c r="L1824" s="285"/>
    </row>
    <row r="1825" spans="1:12" ht="24.95" hidden="1" customHeight="1">
      <c r="A1825" s="136"/>
      <c r="B1825" s="176"/>
      <c r="C1825" s="177"/>
      <c r="D1825" s="136"/>
      <c r="E1825" s="231"/>
      <c r="F1825" s="144"/>
      <c r="G1825" s="144"/>
      <c r="H1825" s="235"/>
      <c r="I1825" s="235"/>
      <c r="J1825" s="235"/>
      <c r="K1825" s="235"/>
      <c r="L1825" s="285"/>
    </row>
    <row r="1826" spans="1:12" ht="24.95" hidden="1" customHeight="1">
      <c r="A1826" s="136"/>
      <c r="B1826" s="176"/>
      <c r="C1826" s="177"/>
      <c r="D1826" s="136"/>
      <c r="E1826" s="231"/>
      <c r="F1826" s="144"/>
      <c r="G1826" s="144"/>
      <c r="H1826" s="235"/>
      <c r="I1826" s="235"/>
      <c r="J1826" s="235"/>
      <c r="K1826" s="235"/>
      <c r="L1826" s="285"/>
    </row>
    <row r="1827" spans="1:12" ht="24.95" hidden="1" customHeight="1">
      <c r="A1827" s="136"/>
      <c r="B1827" s="176"/>
      <c r="C1827" s="177"/>
      <c r="D1827" s="136"/>
      <c r="E1827" s="231"/>
      <c r="F1827" s="144"/>
      <c r="G1827" s="144"/>
      <c r="H1827" s="235"/>
      <c r="I1827" s="235"/>
      <c r="J1827" s="235"/>
      <c r="K1827" s="235"/>
      <c r="L1827" s="285"/>
    </row>
    <row r="1828" spans="1:12" ht="24.95" hidden="1" customHeight="1">
      <c r="A1828" s="136"/>
      <c r="B1828" s="176"/>
      <c r="C1828" s="177"/>
      <c r="D1828" s="136"/>
      <c r="E1828" s="231"/>
      <c r="F1828" s="144"/>
      <c r="G1828" s="144"/>
      <c r="H1828" s="235"/>
      <c r="I1828" s="235"/>
      <c r="J1828" s="235"/>
      <c r="K1828" s="235"/>
      <c r="L1828" s="285"/>
    </row>
    <row r="1829" spans="1:12" ht="24.95" hidden="1" customHeight="1">
      <c r="A1829" s="136"/>
      <c r="B1829" s="176"/>
      <c r="C1829" s="177"/>
      <c r="D1829" s="136"/>
      <c r="E1829" s="231"/>
      <c r="F1829" s="144"/>
      <c r="G1829" s="144"/>
      <c r="H1829" s="235"/>
      <c r="I1829" s="235"/>
      <c r="J1829" s="235"/>
      <c r="K1829" s="235"/>
      <c r="L1829" s="285"/>
    </row>
    <row r="1830" spans="1:12" ht="24.95" hidden="1" customHeight="1">
      <c r="A1830" s="136"/>
      <c r="B1830" s="176"/>
      <c r="C1830" s="177"/>
      <c r="D1830" s="136"/>
      <c r="E1830" s="231"/>
      <c r="F1830" s="144"/>
      <c r="G1830" s="144"/>
      <c r="H1830" s="235"/>
      <c r="I1830" s="235"/>
      <c r="J1830" s="235"/>
      <c r="K1830" s="235"/>
      <c r="L1830" s="285"/>
    </row>
    <row r="1831" spans="1:12" ht="24.95" hidden="1" customHeight="1">
      <c r="A1831" s="136"/>
      <c r="B1831" s="176"/>
      <c r="C1831" s="177"/>
      <c r="D1831" s="136"/>
      <c r="E1831" s="231"/>
      <c r="F1831" s="144"/>
      <c r="G1831" s="144"/>
      <c r="H1831" s="235"/>
      <c r="I1831" s="235"/>
      <c r="J1831" s="235"/>
      <c r="K1831" s="235"/>
      <c r="L1831" s="285"/>
    </row>
    <row r="1832" spans="1:12" ht="24.95" hidden="1" customHeight="1">
      <c r="A1832" s="136"/>
      <c r="B1832" s="176"/>
      <c r="C1832" s="177"/>
      <c r="D1832" s="136"/>
      <c r="E1832" s="231"/>
      <c r="F1832" s="144"/>
      <c r="G1832" s="144"/>
      <c r="H1832" s="235"/>
      <c r="I1832" s="235"/>
      <c r="J1832" s="235"/>
      <c r="K1832" s="235"/>
      <c r="L1832" s="285"/>
    </row>
    <row r="1833" spans="1:12" ht="24.95" hidden="1" customHeight="1">
      <c r="A1833" s="136"/>
      <c r="B1833" s="176"/>
      <c r="C1833" s="177"/>
      <c r="D1833" s="136"/>
      <c r="E1833" s="231"/>
      <c r="F1833" s="144"/>
      <c r="G1833" s="144"/>
      <c r="H1833" s="235"/>
      <c r="I1833" s="235"/>
      <c r="J1833" s="235"/>
      <c r="K1833" s="235"/>
      <c r="L1833" s="285"/>
    </row>
    <row r="1834" spans="1:12" ht="24.95" hidden="1" customHeight="1">
      <c r="A1834" s="136"/>
      <c r="B1834" s="176"/>
      <c r="C1834" s="177"/>
      <c r="D1834" s="136"/>
      <c r="E1834" s="231"/>
      <c r="F1834" s="144"/>
      <c r="G1834" s="144"/>
      <c r="H1834" s="235"/>
      <c r="I1834" s="235"/>
      <c r="J1834" s="235"/>
      <c r="K1834" s="235"/>
      <c r="L1834" s="285"/>
    </row>
    <row r="1835" spans="1:12" ht="24.95" hidden="1" customHeight="1">
      <c r="A1835" s="136"/>
      <c r="B1835" s="176"/>
      <c r="C1835" s="177"/>
      <c r="D1835" s="136"/>
      <c r="E1835" s="231"/>
      <c r="F1835" s="144"/>
      <c r="G1835" s="144"/>
      <c r="H1835" s="235"/>
      <c r="I1835" s="235"/>
      <c r="J1835" s="235"/>
      <c r="K1835" s="235"/>
      <c r="L1835" s="285"/>
    </row>
    <row r="1836" spans="1:12" ht="24.95" hidden="1" customHeight="1">
      <c r="A1836" s="136"/>
      <c r="B1836" s="176"/>
      <c r="C1836" s="177"/>
      <c r="D1836" s="136"/>
      <c r="E1836" s="231"/>
      <c r="F1836" s="144"/>
      <c r="G1836" s="144"/>
      <c r="H1836" s="235"/>
      <c r="I1836" s="235"/>
      <c r="J1836" s="235"/>
      <c r="K1836" s="235"/>
      <c r="L1836" s="285"/>
    </row>
    <row r="1837" spans="1:12" ht="24.95" hidden="1" customHeight="1">
      <c r="A1837" s="136"/>
      <c r="B1837" s="176"/>
      <c r="C1837" s="177"/>
      <c r="D1837" s="136"/>
      <c r="E1837" s="231"/>
      <c r="F1837" s="144"/>
      <c r="G1837" s="144"/>
      <c r="H1837" s="235"/>
      <c r="I1837" s="235"/>
      <c r="J1837" s="235"/>
      <c r="K1837" s="235"/>
      <c r="L1837" s="285"/>
    </row>
    <row r="1838" spans="1:12" ht="24.95" hidden="1" customHeight="1">
      <c r="A1838" s="136"/>
      <c r="B1838" s="176"/>
      <c r="C1838" s="177"/>
      <c r="D1838" s="136"/>
      <c r="E1838" s="231"/>
      <c r="F1838" s="144"/>
      <c r="G1838" s="144"/>
      <c r="H1838" s="235"/>
      <c r="I1838" s="235"/>
      <c r="J1838" s="235"/>
      <c r="K1838" s="235"/>
      <c r="L1838" s="285"/>
    </row>
    <row r="1839" spans="1:12" ht="24.95" hidden="1" customHeight="1">
      <c r="A1839" s="136"/>
      <c r="B1839" s="176"/>
      <c r="C1839" s="177"/>
      <c r="D1839" s="136"/>
      <c r="E1839" s="231"/>
      <c r="F1839" s="144"/>
      <c r="G1839" s="144"/>
      <c r="H1839" s="235"/>
      <c r="I1839" s="235"/>
      <c r="J1839" s="235"/>
      <c r="K1839" s="235"/>
      <c r="L1839" s="285"/>
    </row>
    <row r="1840" spans="1:12" ht="24.95" hidden="1" customHeight="1">
      <c r="A1840" s="136"/>
      <c r="B1840" s="176"/>
      <c r="C1840" s="177"/>
      <c r="D1840" s="136"/>
      <c r="E1840" s="231"/>
      <c r="F1840" s="144"/>
      <c r="G1840" s="144"/>
      <c r="H1840" s="235"/>
      <c r="I1840" s="235"/>
      <c r="J1840" s="235"/>
      <c r="K1840" s="235"/>
      <c r="L1840" s="285"/>
    </row>
    <row r="1841" spans="1:12" ht="24.95" hidden="1" customHeight="1">
      <c r="A1841" s="136"/>
      <c r="B1841" s="176"/>
      <c r="C1841" s="177"/>
      <c r="D1841" s="136"/>
      <c r="E1841" s="231"/>
      <c r="F1841" s="144"/>
      <c r="G1841" s="144"/>
      <c r="H1841" s="235"/>
      <c r="I1841" s="235"/>
      <c r="J1841" s="235"/>
      <c r="K1841" s="235"/>
      <c r="L1841" s="285"/>
    </row>
    <row r="1842" spans="1:12" ht="24.95" hidden="1" customHeight="1">
      <c r="A1842" s="136"/>
      <c r="B1842" s="176"/>
      <c r="C1842" s="177"/>
      <c r="D1842" s="136"/>
      <c r="E1842" s="231"/>
      <c r="F1842" s="144"/>
      <c r="G1842" s="144"/>
      <c r="H1842" s="235"/>
      <c r="I1842" s="235"/>
      <c r="J1842" s="235"/>
      <c r="K1842" s="235"/>
      <c r="L1842" s="285"/>
    </row>
    <row r="1843" spans="1:12" ht="24.95" hidden="1" customHeight="1">
      <c r="A1843" s="136"/>
      <c r="B1843" s="176"/>
      <c r="C1843" s="177"/>
      <c r="D1843" s="136"/>
      <c r="E1843" s="231"/>
      <c r="F1843" s="144"/>
      <c r="G1843" s="144"/>
      <c r="H1843" s="235"/>
      <c r="I1843" s="235"/>
      <c r="J1843" s="235"/>
      <c r="K1843" s="235"/>
      <c r="L1843" s="285"/>
    </row>
    <row r="1844" spans="1:12" ht="24.95" hidden="1" customHeight="1">
      <c r="A1844" s="136"/>
      <c r="B1844" s="176"/>
      <c r="C1844" s="177"/>
      <c r="D1844" s="136"/>
      <c r="E1844" s="231"/>
      <c r="F1844" s="144"/>
      <c r="G1844" s="144"/>
      <c r="H1844" s="235"/>
      <c r="I1844" s="235"/>
      <c r="J1844" s="235"/>
      <c r="K1844" s="235"/>
      <c r="L1844" s="285"/>
    </row>
    <row r="1845" spans="1:12" ht="24.95" hidden="1" customHeight="1">
      <c r="A1845" s="136"/>
      <c r="B1845" s="176"/>
      <c r="C1845" s="177"/>
      <c r="D1845" s="136"/>
      <c r="E1845" s="231"/>
      <c r="F1845" s="144"/>
      <c r="G1845" s="144"/>
      <c r="H1845" s="235"/>
      <c r="I1845" s="235"/>
      <c r="J1845" s="235"/>
      <c r="K1845" s="235"/>
      <c r="L1845" s="285"/>
    </row>
    <row r="1846" spans="1:12" ht="24.95" hidden="1" customHeight="1">
      <c r="A1846" s="136"/>
      <c r="B1846" s="176"/>
      <c r="C1846" s="177"/>
      <c r="D1846" s="136"/>
      <c r="E1846" s="231"/>
      <c r="F1846" s="144"/>
      <c r="G1846" s="144"/>
      <c r="H1846" s="235"/>
      <c r="I1846" s="235"/>
      <c r="J1846" s="235"/>
      <c r="K1846" s="235"/>
      <c r="L1846" s="285"/>
    </row>
    <row r="1847" spans="1:12" ht="24.95" hidden="1" customHeight="1">
      <c r="A1847" s="136"/>
      <c r="B1847" s="176"/>
      <c r="C1847" s="177"/>
      <c r="D1847" s="136"/>
      <c r="E1847" s="231"/>
      <c r="F1847" s="144"/>
      <c r="G1847" s="144"/>
      <c r="H1847" s="235"/>
      <c r="I1847" s="235"/>
      <c r="J1847" s="235"/>
      <c r="K1847" s="235"/>
      <c r="L1847" s="285"/>
    </row>
    <row r="1848" spans="1:12" ht="24.95" hidden="1" customHeight="1">
      <c r="A1848" s="136"/>
      <c r="B1848" s="176"/>
      <c r="C1848" s="177"/>
      <c r="D1848" s="136"/>
      <c r="E1848" s="231"/>
      <c r="F1848" s="144"/>
      <c r="G1848" s="144"/>
      <c r="H1848" s="235"/>
      <c r="I1848" s="235"/>
      <c r="J1848" s="235"/>
      <c r="K1848" s="235"/>
      <c r="L1848" s="285"/>
    </row>
    <row r="1849" spans="1:12" ht="24.95" hidden="1" customHeight="1">
      <c r="A1849" s="136"/>
      <c r="B1849" s="176"/>
      <c r="C1849" s="177"/>
      <c r="D1849" s="136"/>
      <c r="E1849" s="231"/>
      <c r="F1849" s="144"/>
      <c r="G1849" s="144"/>
      <c r="H1849" s="235"/>
      <c r="I1849" s="235"/>
      <c r="J1849" s="235"/>
      <c r="K1849" s="235"/>
      <c r="L1849" s="285"/>
    </row>
    <row r="1850" spans="1:12" ht="24.95" hidden="1" customHeight="1">
      <c r="A1850" s="136"/>
      <c r="B1850" s="176"/>
      <c r="C1850" s="177"/>
      <c r="D1850" s="136"/>
      <c r="E1850" s="231"/>
      <c r="F1850" s="144"/>
      <c r="G1850" s="144"/>
      <c r="H1850" s="235"/>
      <c r="I1850" s="235"/>
      <c r="J1850" s="235"/>
      <c r="K1850" s="235"/>
      <c r="L1850" s="285"/>
    </row>
    <row r="1851" spans="1:12" ht="24.95" hidden="1" customHeight="1">
      <c r="A1851" s="136"/>
      <c r="B1851" s="176"/>
      <c r="C1851" s="177"/>
      <c r="D1851" s="136"/>
      <c r="E1851" s="231"/>
      <c r="F1851" s="144"/>
      <c r="G1851" s="144"/>
      <c r="H1851" s="235"/>
      <c r="I1851" s="235"/>
      <c r="J1851" s="235"/>
      <c r="K1851" s="235"/>
      <c r="L1851" s="285"/>
    </row>
    <row r="1852" spans="1:12" ht="24.95" hidden="1" customHeight="1">
      <c r="A1852" s="136"/>
      <c r="B1852" s="176"/>
      <c r="C1852" s="177"/>
      <c r="D1852" s="136"/>
      <c r="E1852" s="231"/>
      <c r="F1852" s="144"/>
      <c r="G1852" s="144"/>
      <c r="H1852" s="235"/>
      <c r="I1852" s="235"/>
      <c r="J1852" s="235"/>
      <c r="K1852" s="235"/>
      <c r="L1852" s="285"/>
    </row>
    <row r="1853" spans="1:12" ht="24.95" hidden="1" customHeight="1">
      <c r="A1853" s="136"/>
      <c r="B1853" s="176"/>
      <c r="C1853" s="177"/>
      <c r="D1853" s="136"/>
      <c r="E1853" s="231"/>
      <c r="F1853" s="144"/>
      <c r="G1853" s="144"/>
      <c r="H1853" s="235"/>
      <c r="I1853" s="235"/>
      <c r="J1853" s="235"/>
      <c r="K1853" s="235"/>
      <c r="L1853" s="285"/>
    </row>
    <row r="1854" spans="1:12" ht="24.95" hidden="1" customHeight="1">
      <c r="A1854" s="136"/>
      <c r="B1854" s="176"/>
      <c r="C1854" s="177"/>
      <c r="D1854" s="136"/>
      <c r="E1854" s="231"/>
      <c r="F1854" s="144"/>
      <c r="G1854" s="144"/>
      <c r="H1854" s="235"/>
      <c r="I1854" s="235"/>
      <c r="J1854" s="235"/>
      <c r="K1854" s="235"/>
      <c r="L1854" s="285"/>
    </row>
    <row r="1855" spans="1:12" ht="24.95" hidden="1" customHeight="1">
      <c r="A1855" s="136"/>
      <c r="B1855" s="176"/>
      <c r="C1855" s="177"/>
      <c r="D1855" s="136"/>
      <c r="E1855" s="231"/>
      <c r="F1855" s="144"/>
      <c r="G1855" s="144"/>
      <c r="H1855" s="235"/>
      <c r="I1855" s="235"/>
      <c r="J1855" s="235"/>
      <c r="K1855" s="235"/>
      <c r="L1855" s="285"/>
    </row>
    <row r="1856" spans="1:12" ht="24.95" hidden="1" customHeight="1">
      <c r="A1856" s="136"/>
      <c r="B1856" s="176"/>
      <c r="C1856" s="177"/>
      <c r="D1856" s="136"/>
      <c r="E1856" s="231"/>
      <c r="F1856" s="144"/>
      <c r="G1856" s="144"/>
      <c r="H1856" s="235"/>
      <c r="I1856" s="235"/>
      <c r="J1856" s="235"/>
      <c r="K1856" s="235"/>
      <c r="L1856" s="285"/>
    </row>
    <row r="1857" spans="1:12" ht="24.95" hidden="1" customHeight="1">
      <c r="A1857" s="136"/>
      <c r="B1857" s="176"/>
      <c r="C1857" s="177"/>
      <c r="D1857" s="136"/>
      <c r="E1857" s="231"/>
      <c r="F1857" s="144"/>
      <c r="G1857" s="144"/>
      <c r="H1857" s="235"/>
      <c r="I1857" s="235"/>
      <c r="J1857" s="235"/>
      <c r="K1857" s="235"/>
      <c r="L1857" s="285"/>
    </row>
    <row r="1858" spans="1:12" ht="24.95" hidden="1" customHeight="1">
      <c r="A1858" s="136"/>
      <c r="B1858" s="176"/>
      <c r="C1858" s="177"/>
      <c r="D1858" s="136"/>
      <c r="E1858" s="231"/>
      <c r="F1858" s="144"/>
      <c r="G1858" s="144"/>
      <c r="H1858" s="235"/>
      <c r="I1858" s="235"/>
      <c r="J1858" s="235"/>
      <c r="K1858" s="235"/>
      <c r="L1858" s="285"/>
    </row>
    <row r="1859" spans="1:12" ht="24.95" hidden="1" customHeight="1">
      <c r="A1859" s="136"/>
      <c r="B1859" s="176"/>
      <c r="C1859" s="177"/>
      <c r="D1859" s="136"/>
      <c r="E1859" s="231"/>
      <c r="F1859" s="144"/>
      <c r="G1859" s="144"/>
      <c r="H1859" s="235"/>
      <c r="I1859" s="235"/>
      <c r="J1859" s="235"/>
      <c r="K1859" s="235"/>
      <c r="L1859" s="285"/>
    </row>
    <row r="1860" spans="1:12" ht="24.95" hidden="1" customHeight="1">
      <c r="A1860" s="136"/>
      <c r="B1860" s="176"/>
      <c r="C1860" s="177"/>
      <c r="D1860" s="136"/>
      <c r="E1860" s="231"/>
      <c r="F1860" s="144"/>
      <c r="G1860" s="144"/>
      <c r="H1860" s="235"/>
      <c r="I1860" s="235"/>
      <c r="J1860" s="235"/>
      <c r="K1860" s="235"/>
      <c r="L1860" s="285"/>
    </row>
    <row r="1861" spans="1:12" ht="24.95" hidden="1" customHeight="1">
      <c r="A1861" s="136"/>
      <c r="B1861" s="176"/>
      <c r="C1861" s="177"/>
      <c r="D1861" s="136"/>
      <c r="E1861" s="231"/>
      <c r="F1861" s="144"/>
      <c r="G1861" s="144"/>
      <c r="H1861" s="235"/>
      <c r="I1861" s="235"/>
      <c r="J1861" s="235"/>
      <c r="K1861" s="235"/>
      <c r="L1861" s="285"/>
    </row>
    <row r="1862" spans="1:12" ht="24.95" hidden="1" customHeight="1">
      <c r="A1862" s="136"/>
      <c r="B1862" s="176"/>
      <c r="C1862" s="177"/>
      <c r="D1862" s="136"/>
      <c r="E1862" s="231"/>
      <c r="F1862" s="144"/>
      <c r="G1862" s="144"/>
      <c r="H1862" s="235"/>
      <c r="I1862" s="235"/>
      <c r="J1862" s="235"/>
      <c r="K1862" s="235"/>
      <c r="L1862" s="285"/>
    </row>
    <row r="1863" spans="1:12" ht="24.95" hidden="1" customHeight="1">
      <c r="A1863" s="136"/>
      <c r="B1863" s="176"/>
      <c r="C1863" s="177"/>
      <c r="D1863" s="177"/>
      <c r="E1863" s="231"/>
      <c r="F1863" s="144"/>
      <c r="G1863" s="144"/>
      <c r="H1863" s="235"/>
      <c r="I1863" s="235"/>
      <c r="J1863" s="235"/>
      <c r="K1863" s="235"/>
      <c r="L1863" s="285"/>
    </row>
    <row r="1864" spans="1:12" ht="24.95" hidden="1" customHeight="1">
      <c r="A1864" s="136"/>
      <c r="B1864" s="176"/>
      <c r="C1864" s="177"/>
      <c r="D1864" s="177"/>
      <c r="E1864" s="231"/>
      <c r="F1864" s="144"/>
      <c r="G1864" s="144"/>
      <c r="H1864" s="235"/>
      <c r="I1864" s="235"/>
      <c r="J1864" s="235"/>
      <c r="K1864" s="235"/>
      <c r="L1864" s="285"/>
    </row>
    <row r="1865" spans="1:12" ht="24.95" hidden="1" customHeight="1">
      <c r="A1865" s="136"/>
      <c r="B1865" s="176"/>
      <c r="C1865" s="177"/>
      <c r="D1865" s="136"/>
      <c r="E1865" s="231"/>
      <c r="F1865" s="144"/>
      <c r="G1865" s="144"/>
      <c r="H1865" s="235"/>
      <c r="I1865" s="235"/>
      <c r="J1865" s="235"/>
      <c r="K1865" s="235"/>
      <c r="L1865" s="285"/>
    </row>
    <row r="1866" spans="1:12" ht="24.95" hidden="1" customHeight="1">
      <c r="A1866" s="136"/>
      <c r="B1866" s="176"/>
      <c r="C1866" s="177"/>
      <c r="D1866" s="136"/>
      <c r="E1866" s="231"/>
      <c r="F1866" s="144"/>
      <c r="G1866" s="144"/>
      <c r="H1866" s="235"/>
      <c r="I1866" s="235"/>
      <c r="J1866" s="235"/>
      <c r="K1866" s="235"/>
      <c r="L1866" s="285"/>
    </row>
    <row r="1867" spans="1:12" ht="24.95" hidden="1" customHeight="1">
      <c r="A1867" s="136"/>
      <c r="B1867" s="176"/>
      <c r="C1867" s="177"/>
      <c r="D1867" s="136"/>
      <c r="E1867" s="231"/>
      <c r="F1867" s="144"/>
      <c r="G1867" s="144"/>
      <c r="H1867" s="235"/>
      <c r="I1867" s="235"/>
      <c r="J1867" s="235"/>
      <c r="K1867" s="235"/>
      <c r="L1867" s="285"/>
    </row>
    <row r="1868" spans="1:12" ht="24.95" hidden="1" customHeight="1">
      <c r="A1868" s="136"/>
      <c r="B1868" s="176"/>
      <c r="C1868" s="177"/>
      <c r="D1868" s="136"/>
      <c r="E1868" s="231"/>
      <c r="F1868" s="144"/>
      <c r="G1868" s="144"/>
      <c r="H1868" s="235"/>
      <c r="I1868" s="235"/>
      <c r="J1868" s="235"/>
      <c r="K1868" s="235"/>
      <c r="L1868" s="285"/>
    </row>
    <row r="1869" spans="1:12" ht="24.95" hidden="1" customHeight="1">
      <c r="A1869" s="136"/>
      <c r="B1869" s="176"/>
      <c r="C1869" s="177"/>
      <c r="D1869" s="136"/>
      <c r="E1869" s="231"/>
      <c r="F1869" s="144"/>
      <c r="G1869" s="144"/>
      <c r="H1869" s="235"/>
      <c r="I1869" s="235"/>
      <c r="J1869" s="235"/>
      <c r="K1869" s="235"/>
      <c r="L1869" s="285"/>
    </row>
    <row r="1870" spans="1:12" ht="24.95" hidden="1" customHeight="1">
      <c r="A1870" s="136"/>
      <c r="B1870" s="176"/>
      <c r="C1870" s="177"/>
      <c r="D1870" s="136"/>
      <c r="E1870" s="231"/>
      <c r="F1870" s="144"/>
      <c r="G1870" s="144"/>
      <c r="H1870" s="235"/>
      <c r="I1870" s="235"/>
      <c r="J1870" s="235"/>
      <c r="K1870" s="235"/>
      <c r="L1870" s="285"/>
    </row>
    <row r="1871" spans="1:12" ht="24.95" hidden="1" customHeight="1">
      <c r="A1871" s="136"/>
      <c r="B1871" s="176"/>
      <c r="C1871" s="177"/>
      <c r="D1871" s="136"/>
      <c r="E1871" s="231"/>
      <c r="F1871" s="144"/>
      <c r="G1871" s="144"/>
      <c r="H1871" s="235"/>
      <c r="I1871" s="235"/>
      <c r="J1871" s="235"/>
      <c r="K1871" s="235"/>
      <c r="L1871" s="285"/>
    </row>
    <row r="1872" spans="1:12" ht="24.95" hidden="1" customHeight="1">
      <c r="A1872" s="136"/>
      <c r="B1872" s="176"/>
      <c r="C1872" s="177"/>
      <c r="D1872" s="136"/>
      <c r="E1872" s="231"/>
      <c r="F1872" s="144"/>
      <c r="G1872" s="144"/>
      <c r="H1872" s="235"/>
      <c r="I1872" s="235"/>
      <c r="J1872" s="235"/>
      <c r="K1872" s="235"/>
      <c r="L1872" s="285"/>
    </row>
    <row r="1873" spans="1:12" ht="24.95" hidden="1" customHeight="1">
      <c r="A1873" s="136"/>
      <c r="B1873" s="176"/>
      <c r="C1873" s="177"/>
      <c r="D1873" s="136"/>
      <c r="E1873" s="231"/>
      <c r="F1873" s="144"/>
      <c r="G1873" s="144"/>
      <c r="H1873" s="235"/>
      <c r="I1873" s="235"/>
      <c r="J1873" s="235"/>
      <c r="K1873" s="235"/>
      <c r="L1873" s="285"/>
    </row>
    <row r="1874" spans="1:12" ht="24.95" hidden="1" customHeight="1">
      <c r="A1874" s="136"/>
      <c r="B1874" s="176"/>
      <c r="C1874" s="177"/>
      <c r="D1874" s="136"/>
      <c r="E1874" s="231"/>
      <c r="F1874" s="144"/>
      <c r="G1874" s="144"/>
      <c r="H1874" s="235"/>
      <c r="I1874" s="235"/>
      <c r="J1874" s="235"/>
      <c r="K1874" s="235"/>
      <c r="L1874" s="285"/>
    </row>
    <row r="1875" spans="1:12" ht="24.95" hidden="1" customHeight="1">
      <c r="A1875" s="136"/>
      <c r="B1875" s="176"/>
      <c r="C1875" s="177"/>
      <c r="D1875" s="136"/>
      <c r="E1875" s="231"/>
      <c r="F1875" s="144"/>
      <c r="G1875" s="144"/>
      <c r="H1875" s="235"/>
      <c r="I1875" s="235"/>
      <c r="J1875" s="235"/>
      <c r="K1875" s="235"/>
      <c r="L1875" s="285"/>
    </row>
    <row r="1876" spans="1:12" ht="24.95" hidden="1" customHeight="1">
      <c r="A1876" s="136"/>
      <c r="B1876" s="176"/>
      <c r="C1876" s="177"/>
      <c r="D1876" s="136"/>
      <c r="E1876" s="231"/>
      <c r="F1876" s="144"/>
      <c r="G1876" s="144"/>
      <c r="H1876" s="235"/>
      <c r="I1876" s="235"/>
      <c r="J1876" s="235"/>
      <c r="K1876" s="235"/>
      <c r="L1876" s="285"/>
    </row>
    <row r="1877" spans="1:12" ht="24.95" hidden="1" customHeight="1">
      <c r="A1877" s="136"/>
      <c r="B1877" s="176"/>
      <c r="C1877" s="177"/>
      <c r="D1877" s="136"/>
      <c r="E1877" s="231"/>
      <c r="F1877" s="144"/>
      <c r="G1877" s="144"/>
      <c r="H1877" s="235"/>
      <c r="I1877" s="235"/>
      <c r="J1877" s="235"/>
      <c r="K1877" s="235"/>
      <c r="L1877" s="285"/>
    </row>
    <row r="1878" spans="1:12" ht="24.95" hidden="1" customHeight="1">
      <c r="A1878" s="136"/>
      <c r="B1878" s="176"/>
      <c r="C1878" s="177"/>
      <c r="D1878" s="136"/>
      <c r="E1878" s="231"/>
      <c r="F1878" s="144"/>
      <c r="G1878" s="144"/>
      <c r="H1878" s="235"/>
      <c r="I1878" s="235"/>
      <c r="J1878" s="235"/>
      <c r="K1878" s="235"/>
      <c r="L1878" s="285"/>
    </row>
    <row r="1879" spans="1:12" ht="24.95" hidden="1" customHeight="1">
      <c r="A1879" s="136"/>
      <c r="B1879" s="176"/>
      <c r="C1879" s="177"/>
      <c r="D1879" s="136"/>
      <c r="E1879" s="231"/>
      <c r="F1879" s="144"/>
      <c r="G1879" s="144"/>
      <c r="H1879" s="235"/>
      <c r="I1879" s="235"/>
      <c r="J1879" s="235"/>
      <c r="K1879" s="235"/>
      <c r="L1879" s="285"/>
    </row>
    <row r="1880" spans="1:12" ht="24.95" hidden="1" customHeight="1">
      <c r="A1880" s="136"/>
      <c r="B1880" s="176"/>
      <c r="C1880" s="177"/>
      <c r="D1880" s="136"/>
      <c r="E1880" s="231"/>
      <c r="F1880" s="144"/>
      <c r="G1880" s="144"/>
      <c r="H1880" s="235"/>
      <c r="I1880" s="235"/>
      <c r="J1880" s="235"/>
      <c r="K1880" s="235"/>
      <c r="L1880" s="285"/>
    </row>
    <row r="1881" spans="1:12" ht="24.95" hidden="1" customHeight="1">
      <c r="A1881" s="136"/>
      <c r="B1881" s="176"/>
      <c r="C1881" s="177"/>
      <c r="D1881" s="136"/>
      <c r="E1881" s="231"/>
      <c r="F1881" s="144"/>
      <c r="G1881" s="144"/>
      <c r="H1881" s="235"/>
      <c r="I1881" s="235"/>
      <c r="J1881" s="235"/>
      <c r="K1881" s="235"/>
      <c r="L1881" s="285"/>
    </row>
    <row r="1882" spans="1:12" ht="24.95" hidden="1" customHeight="1">
      <c r="A1882" s="136"/>
      <c r="B1882" s="176"/>
      <c r="C1882" s="177"/>
      <c r="D1882" s="136"/>
      <c r="E1882" s="231"/>
      <c r="F1882" s="144"/>
      <c r="G1882" s="144"/>
      <c r="H1882" s="235"/>
      <c r="I1882" s="235"/>
      <c r="J1882" s="235"/>
      <c r="K1882" s="235"/>
      <c r="L1882" s="285"/>
    </row>
    <row r="1883" spans="1:12" ht="24.95" hidden="1" customHeight="1">
      <c r="A1883" s="136"/>
      <c r="B1883" s="176"/>
      <c r="C1883" s="177"/>
      <c r="D1883" s="136"/>
      <c r="E1883" s="231"/>
      <c r="F1883" s="144"/>
      <c r="G1883" s="144"/>
      <c r="H1883" s="235"/>
      <c r="I1883" s="235"/>
      <c r="J1883" s="235"/>
      <c r="K1883" s="235"/>
      <c r="L1883" s="285"/>
    </row>
    <row r="1884" spans="1:12" ht="24.95" hidden="1" customHeight="1">
      <c r="A1884" s="136"/>
      <c r="B1884" s="176"/>
      <c r="C1884" s="177"/>
      <c r="D1884" s="136"/>
      <c r="E1884" s="231"/>
      <c r="F1884" s="144"/>
      <c r="G1884" s="144"/>
      <c r="H1884" s="235"/>
      <c r="I1884" s="235"/>
      <c r="J1884" s="235"/>
      <c r="K1884" s="235"/>
      <c r="L1884" s="285"/>
    </row>
    <row r="1885" spans="1:12" ht="24.95" hidden="1" customHeight="1">
      <c r="A1885" s="136"/>
      <c r="B1885" s="176"/>
      <c r="C1885" s="177"/>
      <c r="D1885" s="136"/>
      <c r="E1885" s="231"/>
      <c r="F1885" s="144"/>
      <c r="G1885" s="144"/>
      <c r="H1885" s="235"/>
      <c r="I1885" s="235"/>
      <c r="J1885" s="235"/>
      <c r="K1885" s="235"/>
      <c r="L1885" s="285"/>
    </row>
    <row r="1886" spans="1:12" ht="24.95" hidden="1" customHeight="1">
      <c r="A1886" s="136"/>
      <c r="B1886" s="176"/>
      <c r="C1886" s="177"/>
      <c r="D1886" s="136"/>
      <c r="E1886" s="231"/>
      <c r="F1886" s="144"/>
      <c r="G1886" s="144"/>
      <c r="H1886" s="235"/>
      <c r="I1886" s="235"/>
      <c r="J1886" s="235"/>
      <c r="K1886" s="235"/>
      <c r="L1886" s="285"/>
    </row>
    <row r="1887" spans="1:12" ht="24.95" hidden="1" customHeight="1">
      <c r="A1887" s="136"/>
      <c r="B1887" s="176"/>
      <c r="C1887" s="177"/>
      <c r="D1887" s="136"/>
      <c r="E1887" s="231"/>
      <c r="F1887" s="144"/>
      <c r="G1887" s="144"/>
      <c r="H1887" s="235"/>
      <c r="I1887" s="235"/>
      <c r="J1887" s="235"/>
      <c r="K1887" s="235"/>
      <c r="L1887" s="285"/>
    </row>
    <row r="1888" spans="1:12" ht="24.95" hidden="1" customHeight="1">
      <c r="A1888" s="136"/>
      <c r="B1888" s="176"/>
      <c r="C1888" s="177"/>
      <c r="D1888" s="136"/>
      <c r="E1888" s="231"/>
      <c r="F1888" s="144"/>
      <c r="G1888" s="144"/>
      <c r="H1888" s="235"/>
      <c r="I1888" s="235"/>
      <c r="J1888" s="235"/>
      <c r="K1888" s="235"/>
      <c r="L1888" s="285"/>
    </row>
    <row r="1889" spans="1:12" ht="24.95" hidden="1" customHeight="1">
      <c r="A1889" s="136"/>
      <c r="B1889" s="176"/>
      <c r="C1889" s="177"/>
      <c r="D1889" s="136"/>
      <c r="E1889" s="231"/>
      <c r="F1889" s="144"/>
      <c r="G1889" s="144"/>
      <c r="H1889" s="235"/>
      <c r="I1889" s="235"/>
      <c r="J1889" s="235"/>
      <c r="K1889" s="235"/>
      <c r="L1889" s="285"/>
    </row>
    <row r="1890" spans="1:12" ht="24.95" hidden="1" customHeight="1">
      <c r="A1890" s="136"/>
      <c r="B1890" s="176"/>
      <c r="C1890" s="177"/>
      <c r="D1890" s="136"/>
      <c r="E1890" s="231"/>
      <c r="F1890" s="144"/>
      <c r="G1890" s="144"/>
      <c r="H1890" s="235"/>
      <c r="I1890" s="235"/>
      <c r="J1890" s="235"/>
      <c r="K1890" s="235"/>
      <c r="L1890" s="285"/>
    </row>
    <row r="1891" spans="1:12" ht="24.95" hidden="1" customHeight="1">
      <c r="A1891" s="136"/>
      <c r="B1891" s="176"/>
      <c r="C1891" s="177"/>
      <c r="D1891" s="136"/>
      <c r="E1891" s="231"/>
      <c r="F1891" s="144"/>
      <c r="G1891" s="144"/>
      <c r="H1891" s="235"/>
      <c r="I1891" s="235"/>
      <c r="J1891" s="235"/>
      <c r="K1891" s="235"/>
      <c r="L1891" s="285"/>
    </row>
    <row r="1892" spans="1:12" ht="24.95" hidden="1" customHeight="1">
      <c r="A1892" s="136"/>
      <c r="B1892" s="176"/>
      <c r="C1892" s="177"/>
      <c r="D1892" s="136"/>
      <c r="E1892" s="231"/>
      <c r="F1892" s="144"/>
      <c r="G1892" s="144"/>
      <c r="H1892" s="235"/>
      <c r="I1892" s="235"/>
      <c r="J1892" s="235"/>
      <c r="K1892" s="235"/>
      <c r="L1892" s="285"/>
    </row>
    <row r="1893" spans="1:12" ht="24.95" hidden="1" customHeight="1">
      <c r="A1893" s="136"/>
      <c r="B1893" s="176"/>
      <c r="C1893" s="177"/>
      <c r="D1893" s="136"/>
      <c r="E1893" s="231"/>
      <c r="F1893" s="144"/>
      <c r="G1893" s="144"/>
      <c r="H1893" s="235"/>
      <c r="I1893" s="235"/>
      <c r="J1893" s="235"/>
      <c r="K1893" s="235"/>
      <c r="L1893" s="285"/>
    </row>
    <row r="1894" spans="1:12" ht="24.95" hidden="1" customHeight="1">
      <c r="A1894" s="136"/>
      <c r="B1894" s="176"/>
      <c r="C1894" s="177"/>
      <c r="D1894" s="136"/>
      <c r="E1894" s="231"/>
      <c r="F1894" s="144"/>
      <c r="G1894" s="144"/>
      <c r="H1894" s="235"/>
      <c r="I1894" s="235"/>
      <c r="J1894" s="235"/>
      <c r="K1894" s="235"/>
      <c r="L1894" s="285"/>
    </row>
    <row r="1895" spans="1:12" ht="24.95" hidden="1" customHeight="1">
      <c r="A1895" s="136"/>
      <c r="B1895" s="176"/>
      <c r="C1895" s="177"/>
      <c r="D1895" s="136"/>
      <c r="E1895" s="231"/>
      <c r="F1895" s="144"/>
      <c r="G1895" s="144"/>
      <c r="H1895" s="235"/>
      <c r="I1895" s="235"/>
      <c r="J1895" s="235"/>
      <c r="K1895" s="235"/>
      <c r="L1895" s="285"/>
    </row>
    <row r="1896" spans="1:12" ht="24.95" hidden="1" customHeight="1">
      <c r="A1896" s="136"/>
      <c r="B1896" s="176"/>
      <c r="C1896" s="177"/>
      <c r="D1896" s="136"/>
      <c r="E1896" s="231"/>
      <c r="F1896" s="144"/>
      <c r="G1896" s="144"/>
      <c r="H1896" s="235"/>
      <c r="I1896" s="235"/>
      <c r="J1896" s="235"/>
      <c r="K1896" s="235"/>
      <c r="L1896" s="285"/>
    </row>
    <row r="1897" spans="1:12" ht="24.95" hidden="1" customHeight="1">
      <c r="A1897" s="136"/>
      <c r="B1897" s="176"/>
      <c r="C1897" s="177"/>
      <c r="D1897" s="136"/>
      <c r="E1897" s="231"/>
      <c r="F1897" s="144"/>
      <c r="G1897" s="144"/>
      <c r="H1897" s="235"/>
      <c r="I1897" s="235"/>
      <c r="J1897" s="235"/>
      <c r="K1897" s="235"/>
      <c r="L1897" s="285"/>
    </row>
    <row r="1898" spans="1:12" ht="24.95" hidden="1" customHeight="1">
      <c r="A1898" s="136"/>
      <c r="B1898" s="176"/>
      <c r="C1898" s="177"/>
      <c r="D1898" s="136"/>
      <c r="E1898" s="231"/>
      <c r="F1898" s="144"/>
      <c r="G1898" s="144"/>
      <c r="H1898" s="235"/>
      <c r="I1898" s="235"/>
      <c r="J1898" s="235"/>
      <c r="K1898" s="235"/>
      <c r="L1898" s="285"/>
    </row>
    <row r="1899" spans="1:12" ht="24.95" hidden="1" customHeight="1">
      <c r="A1899" s="136"/>
      <c r="B1899" s="176"/>
      <c r="C1899" s="177"/>
      <c r="D1899" s="136"/>
      <c r="E1899" s="231"/>
      <c r="F1899" s="144"/>
      <c r="G1899" s="144"/>
      <c r="H1899" s="235"/>
      <c r="I1899" s="235"/>
      <c r="J1899" s="235"/>
      <c r="K1899" s="235"/>
      <c r="L1899" s="285"/>
    </row>
    <row r="1900" spans="1:12" ht="24.95" hidden="1" customHeight="1">
      <c r="A1900" s="136"/>
      <c r="B1900" s="176"/>
      <c r="C1900" s="177"/>
      <c r="D1900" s="136"/>
      <c r="E1900" s="231"/>
      <c r="F1900" s="144"/>
      <c r="G1900" s="144"/>
      <c r="H1900" s="235"/>
      <c r="I1900" s="235"/>
      <c r="J1900" s="235"/>
      <c r="K1900" s="235"/>
      <c r="L1900" s="285"/>
    </row>
    <row r="1901" spans="1:12" ht="24.95" hidden="1" customHeight="1">
      <c r="A1901" s="136"/>
      <c r="B1901" s="176"/>
      <c r="C1901" s="177"/>
      <c r="D1901" s="136"/>
      <c r="E1901" s="231"/>
      <c r="F1901" s="144"/>
      <c r="G1901" s="144"/>
      <c r="H1901" s="235"/>
      <c r="I1901" s="235"/>
      <c r="J1901" s="235"/>
      <c r="K1901" s="235"/>
      <c r="L1901" s="285"/>
    </row>
    <row r="1902" spans="1:12" ht="24.95" hidden="1" customHeight="1">
      <c r="A1902" s="136"/>
      <c r="B1902" s="176"/>
      <c r="C1902" s="177"/>
      <c r="D1902" s="136"/>
      <c r="E1902" s="231"/>
      <c r="F1902" s="144"/>
      <c r="G1902" s="144"/>
      <c r="H1902" s="235"/>
      <c r="I1902" s="235"/>
      <c r="J1902" s="235"/>
      <c r="K1902" s="235"/>
      <c r="L1902" s="285"/>
    </row>
    <row r="1903" spans="1:12" ht="24.95" hidden="1" customHeight="1">
      <c r="A1903" s="136"/>
      <c r="B1903" s="176"/>
      <c r="C1903" s="177"/>
      <c r="D1903" s="136"/>
      <c r="E1903" s="231"/>
      <c r="F1903" s="144"/>
      <c r="G1903" s="144"/>
      <c r="H1903" s="235"/>
      <c r="I1903" s="235"/>
      <c r="J1903" s="235"/>
      <c r="K1903" s="235"/>
      <c r="L1903" s="285"/>
    </row>
    <row r="1904" spans="1:12" ht="24.95" hidden="1" customHeight="1">
      <c r="A1904" s="136"/>
      <c r="B1904" s="176"/>
      <c r="C1904" s="177"/>
      <c r="D1904" s="136"/>
      <c r="E1904" s="231"/>
      <c r="F1904" s="144"/>
      <c r="G1904" s="144"/>
      <c r="H1904" s="235"/>
      <c r="I1904" s="235"/>
      <c r="J1904" s="235"/>
      <c r="K1904" s="235"/>
      <c r="L1904" s="285"/>
    </row>
    <row r="1905" spans="1:12" ht="24.95" hidden="1" customHeight="1">
      <c r="A1905" s="136"/>
      <c r="B1905" s="176"/>
      <c r="C1905" s="177"/>
      <c r="D1905" s="136"/>
      <c r="E1905" s="231"/>
      <c r="F1905" s="144"/>
      <c r="G1905" s="144"/>
      <c r="H1905" s="235"/>
      <c r="I1905" s="235"/>
      <c r="J1905" s="235"/>
      <c r="K1905" s="235"/>
      <c r="L1905" s="285"/>
    </row>
    <row r="1906" spans="1:12" ht="24.95" hidden="1" customHeight="1">
      <c r="A1906" s="136"/>
      <c r="B1906" s="176"/>
      <c r="C1906" s="177"/>
      <c r="D1906" s="136"/>
      <c r="E1906" s="231"/>
      <c r="F1906" s="144"/>
      <c r="G1906" s="144"/>
      <c r="H1906" s="235"/>
      <c r="I1906" s="235"/>
      <c r="J1906" s="235"/>
      <c r="K1906" s="235"/>
      <c r="L1906" s="285"/>
    </row>
    <row r="1907" spans="1:12" ht="24.95" hidden="1" customHeight="1">
      <c r="A1907" s="136"/>
      <c r="B1907" s="176"/>
      <c r="C1907" s="177"/>
      <c r="D1907" s="136"/>
      <c r="E1907" s="231"/>
      <c r="F1907" s="144"/>
      <c r="G1907" s="144"/>
      <c r="H1907" s="235"/>
      <c r="I1907" s="235"/>
      <c r="J1907" s="235"/>
      <c r="K1907" s="235"/>
      <c r="L1907" s="285"/>
    </row>
    <row r="1908" spans="1:12" ht="24.95" hidden="1" customHeight="1">
      <c r="A1908" s="136"/>
      <c r="B1908" s="176"/>
      <c r="C1908" s="177"/>
      <c r="D1908" s="136"/>
      <c r="E1908" s="231"/>
      <c r="F1908" s="144"/>
      <c r="G1908" s="144"/>
      <c r="H1908" s="235"/>
      <c r="I1908" s="235"/>
      <c r="J1908" s="235"/>
      <c r="K1908" s="235"/>
      <c r="L1908" s="285"/>
    </row>
    <row r="1909" spans="1:12" ht="24.95" hidden="1" customHeight="1">
      <c r="A1909" s="136"/>
      <c r="B1909" s="176"/>
      <c r="C1909" s="177"/>
      <c r="D1909" s="136"/>
      <c r="E1909" s="231"/>
      <c r="F1909" s="144"/>
      <c r="G1909" s="144"/>
      <c r="H1909" s="235"/>
      <c r="I1909" s="235"/>
      <c r="J1909" s="235"/>
      <c r="K1909" s="235"/>
      <c r="L1909" s="285"/>
    </row>
    <row r="1910" spans="1:12" ht="24.95" hidden="1" customHeight="1">
      <c r="A1910" s="136"/>
      <c r="B1910" s="176"/>
      <c r="C1910" s="177"/>
      <c r="D1910" s="136"/>
      <c r="E1910" s="231"/>
      <c r="F1910" s="144"/>
      <c r="G1910" s="144"/>
      <c r="H1910" s="235"/>
      <c r="I1910" s="235"/>
      <c r="J1910" s="235"/>
      <c r="K1910" s="235"/>
      <c r="L1910" s="285"/>
    </row>
    <row r="1911" spans="1:12" ht="24.95" hidden="1" customHeight="1">
      <c r="A1911" s="136"/>
      <c r="B1911" s="176"/>
      <c r="C1911" s="177"/>
      <c r="D1911" s="136"/>
      <c r="E1911" s="231"/>
      <c r="F1911" s="144"/>
      <c r="G1911" s="144"/>
      <c r="H1911" s="235"/>
      <c r="I1911" s="235"/>
      <c r="J1911" s="235"/>
      <c r="K1911" s="235"/>
      <c r="L1911" s="285"/>
    </row>
    <row r="1912" spans="1:12" ht="24.95" hidden="1" customHeight="1">
      <c r="A1912" s="136"/>
      <c r="B1912" s="176"/>
      <c r="C1912" s="177"/>
      <c r="D1912" s="136"/>
      <c r="E1912" s="231"/>
      <c r="F1912" s="144"/>
      <c r="G1912" s="144"/>
      <c r="H1912" s="235"/>
      <c r="I1912" s="235"/>
      <c r="J1912" s="235"/>
      <c r="K1912" s="235"/>
      <c r="L1912" s="285"/>
    </row>
    <row r="1913" spans="1:12" ht="24.95" hidden="1" customHeight="1">
      <c r="A1913" s="136"/>
      <c r="B1913" s="176"/>
      <c r="C1913" s="177"/>
      <c r="D1913" s="136"/>
      <c r="E1913" s="231"/>
      <c r="F1913" s="144"/>
      <c r="G1913" s="144"/>
      <c r="H1913" s="235"/>
      <c r="I1913" s="235"/>
      <c r="J1913" s="235"/>
      <c r="K1913" s="235"/>
      <c r="L1913" s="285"/>
    </row>
    <row r="1914" spans="1:12" ht="24.95" hidden="1" customHeight="1">
      <c r="A1914" s="136"/>
      <c r="B1914" s="176"/>
      <c r="C1914" s="177"/>
      <c r="D1914" s="136"/>
      <c r="E1914" s="231"/>
      <c r="F1914" s="144"/>
      <c r="G1914" s="144"/>
      <c r="H1914" s="235"/>
      <c r="I1914" s="235"/>
      <c r="J1914" s="235"/>
      <c r="K1914" s="235"/>
      <c r="L1914" s="285"/>
    </row>
    <row r="1915" spans="1:12" ht="24.95" hidden="1" customHeight="1">
      <c r="A1915" s="136"/>
      <c r="B1915" s="176"/>
      <c r="C1915" s="177"/>
      <c r="D1915" s="136"/>
      <c r="E1915" s="231"/>
      <c r="F1915" s="144"/>
      <c r="G1915" s="144"/>
      <c r="H1915" s="235"/>
      <c r="I1915" s="235"/>
      <c r="J1915" s="235"/>
      <c r="K1915" s="235"/>
      <c r="L1915" s="285"/>
    </row>
    <row r="1916" spans="1:12" ht="24.95" hidden="1" customHeight="1">
      <c r="A1916" s="136"/>
      <c r="B1916" s="176"/>
      <c r="C1916" s="177"/>
      <c r="D1916" s="136"/>
      <c r="E1916" s="231"/>
      <c r="F1916" s="144"/>
      <c r="G1916" s="144"/>
      <c r="H1916" s="235"/>
      <c r="I1916" s="235"/>
      <c r="J1916" s="235"/>
      <c r="K1916" s="235"/>
      <c r="L1916" s="285"/>
    </row>
    <row r="1917" spans="1:12" ht="24.95" hidden="1" customHeight="1">
      <c r="A1917" s="136"/>
      <c r="B1917" s="176"/>
      <c r="C1917" s="177"/>
      <c r="D1917" s="136"/>
      <c r="E1917" s="231"/>
      <c r="F1917" s="144"/>
      <c r="G1917" s="144"/>
      <c r="H1917" s="235"/>
      <c r="I1917" s="235"/>
      <c r="J1917" s="235"/>
      <c r="K1917" s="235"/>
      <c r="L1917" s="285"/>
    </row>
    <row r="1918" spans="1:12" ht="24.95" hidden="1" customHeight="1">
      <c r="A1918" s="136"/>
      <c r="B1918" s="176"/>
      <c r="C1918" s="177"/>
      <c r="D1918" s="136"/>
      <c r="E1918" s="231"/>
      <c r="F1918" s="144"/>
      <c r="G1918" s="144"/>
      <c r="H1918" s="235"/>
      <c r="I1918" s="235"/>
      <c r="J1918" s="235"/>
      <c r="K1918" s="235"/>
      <c r="L1918" s="285"/>
    </row>
    <row r="1919" spans="1:12" ht="24.95" hidden="1" customHeight="1">
      <c r="A1919" s="136"/>
      <c r="B1919" s="176"/>
      <c r="C1919" s="177"/>
      <c r="D1919" s="136"/>
      <c r="E1919" s="231"/>
      <c r="F1919" s="144"/>
      <c r="G1919" s="144"/>
      <c r="H1919" s="235"/>
      <c r="I1919" s="235"/>
      <c r="J1919" s="235"/>
      <c r="K1919" s="235"/>
      <c r="L1919" s="285"/>
    </row>
    <row r="1920" spans="1:12" ht="24.95" hidden="1" customHeight="1">
      <c r="A1920" s="136"/>
      <c r="B1920" s="176"/>
      <c r="C1920" s="177"/>
      <c r="D1920" s="136"/>
      <c r="E1920" s="231"/>
      <c r="F1920" s="144"/>
      <c r="G1920" s="144"/>
      <c r="H1920" s="235"/>
      <c r="I1920" s="235"/>
      <c r="J1920" s="235"/>
      <c r="K1920" s="235"/>
      <c r="L1920" s="285"/>
    </row>
    <row r="1921" spans="1:12" ht="24.95" hidden="1" customHeight="1">
      <c r="A1921" s="136"/>
      <c r="B1921" s="176"/>
      <c r="C1921" s="177"/>
      <c r="D1921" s="136"/>
      <c r="E1921" s="231"/>
      <c r="F1921" s="144"/>
      <c r="G1921" s="144"/>
      <c r="H1921" s="235"/>
      <c r="I1921" s="235"/>
      <c r="J1921" s="235"/>
      <c r="K1921" s="235"/>
      <c r="L1921" s="285"/>
    </row>
    <row r="1922" spans="1:12" ht="24.95" hidden="1" customHeight="1">
      <c r="A1922" s="136"/>
      <c r="B1922" s="176"/>
      <c r="C1922" s="177"/>
      <c r="D1922" s="136"/>
      <c r="E1922" s="231"/>
      <c r="F1922" s="144"/>
      <c r="G1922" s="144"/>
      <c r="H1922" s="235"/>
      <c r="I1922" s="235"/>
      <c r="J1922" s="235"/>
      <c r="K1922" s="235"/>
      <c r="L1922" s="285"/>
    </row>
    <row r="1923" spans="1:12" ht="24.95" hidden="1" customHeight="1">
      <c r="A1923" s="136"/>
      <c r="B1923" s="176"/>
      <c r="C1923" s="177"/>
      <c r="D1923" s="136"/>
      <c r="E1923" s="231"/>
      <c r="F1923" s="144"/>
      <c r="G1923" s="144"/>
      <c r="H1923" s="235"/>
      <c r="I1923" s="235"/>
      <c r="J1923" s="235"/>
      <c r="K1923" s="235"/>
      <c r="L1923" s="285"/>
    </row>
    <row r="1924" spans="1:12" ht="24.95" hidden="1" customHeight="1">
      <c r="A1924" s="136"/>
      <c r="B1924" s="176"/>
      <c r="C1924" s="177"/>
      <c r="D1924" s="136"/>
      <c r="E1924" s="231"/>
      <c r="F1924" s="144"/>
      <c r="G1924" s="144"/>
      <c r="H1924" s="235"/>
      <c r="I1924" s="235"/>
      <c r="J1924" s="235"/>
      <c r="K1924" s="235"/>
      <c r="L1924" s="285"/>
    </row>
    <row r="1925" spans="1:12" ht="24.95" hidden="1" customHeight="1">
      <c r="A1925" s="136"/>
      <c r="B1925" s="176"/>
      <c r="C1925" s="177"/>
      <c r="D1925" s="136"/>
      <c r="E1925" s="231"/>
      <c r="F1925" s="144"/>
      <c r="G1925" s="144"/>
      <c r="H1925" s="235"/>
      <c r="I1925" s="235"/>
      <c r="J1925" s="235"/>
      <c r="K1925" s="235"/>
      <c r="L1925" s="285"/>
    </row>
    <row r="1926" spans="1:12" ht="24.95" hidden="1" customHeight="1">
      <c r="A1926" s="136"/>
      <c r="B1926" s="176"/>
      <c r="C1926" s="177"/>
      <c r="D1926" s="136"/>
      <c r="E1926" s="231"/>
      <c r="F1926" s="144"/>
      <c r="G1926" s="144"/>
      <c r="H1926" s="235"/>
      <c r="I1926" s="235"/>
      <c r="J1926" s="235"/>
      <c r="K1926" s="235"/>
      <c r="L1926" s="285"/>
    </row>
    <row r="1927" spans="1:12" ht="24.95" hidden="1" customHeight="1">
      <c r="A1927" s="136"/>
      <c r="B1927" s="176"/>
      <c r="C1927" s="177"/>
      <c r="D1927" s="136"/>
      <c r="E1927" s="231"/>
      <c r="F1927" s="144"/>
      <c r="G1927" s="144"/>
      <c r="H1927" s="235"/>
      <c r="I1927" s="235"/>
      <c r="J1927" s="235"/>
      <c r="K1927" s="235"/>
      <c r="L1927" s="285"/>
    </row>
    <row r="1928" spans="1:12" ht="24.95" hidden="1" customHeight="1">
      <c r="A1928" s="136"/>
      <c r="B1928" s="176"/>
      <c r="C1928" s="177"/>
      <c r="D1928" s="136"/>
      <c r="E1928" s="231"/>
      <c r="F1928" s="144"/>
      <c r="G1928" s="144"/>
      <c r="H1928" s="235"/>
      <c r="I1928" s="235"/>
      <c r="J1928" s="235"/>
      <c r="K1928" s="235"/>
      <c r="L1928" s="285"/>
    </row>
    <row r="1929" spans="1:12" ht="24.95" hidden="1" customHeight="1">
      <c r="A1929" s="136"/>
      <c r="B1929" s="176"/>
      <c r="C1929" s="177"/>
      <c r="D1929" s="136"/>
      <c r="E1929" s="231"/>
      <c r="F1929" s="144"/>
      <c r="G1929" s="144"/>
      <c r="H1929" s="235"/>
      <c r="I1929" s="235"/>
      <c r="J1929" s="235"/>
      <c r="K1929" s="235"/>
      <c r="L1929" s="285"/>
    </row>
    <row r="1930" spans="1:12" ht="24.95" hidden="1" customHeight="1">
      <c r="A1930" s="136"/>
      <c r="B1930" s="176"/>
      <c r="C1930" s="177"/>
      <c r="D1930" s="136"/>
      <c r="E1930" s="231"/>
      <c r="F1930" s="144"/>
      <c r="G1930" s="144"/>
      <c r="H1930" s="235"/>
      <c r="I1930" s="235"/>
      <c r="J1930" s="235"/>
      <c r="K1930" s="235"/>
      <c r="L1930" s="285"/>
    </row>
    <row r="1931" spans="1:12" ht="24.95" hidden="1" customHeight="1">
      <c r="A1931" s="136"/>
      <c r="B1931" s="176"/>
      <c r="C1931" s="177"/>
      <c r="D1931" s="136"/>
      <c r="E1931" s="231"/>
      <c r="F1931" s="144"/>
      <c r="G1931" s="144"/>
      <c r="H1931" s="235"/>
      <c r="I1931" s="235"/>
      <c r="J1931" s="235"/>
      <c r="K1931" s="235"/>
      <c r="L1931" s="285"/>
    </row>
    <row r="1932" spans="1:12" ht="24.95" hidden="1" customHeight="1">
      <c r="A1932" s="136"/>
      <c r="B1932" s="176"/>
      <c r="C1932" s="177"/>
      <c r="D1932" s="136"/>
      <c r="E1932" s="231"/>
      <c r="F1932" s="144"/>
      <c r="G1932" s="144"/>
      <c r="H1932" s="235"/>
      <c r="I1932" s="235"/>
      <c r="J1932" s="235"/>
      <c r="K1932" s="235"/>
      <c r="L1932" s="285"/>
    </row>
    <row r="1933" spans="1:12" ht="24.95" hidden="1" customHeight="1">
      <c r="A1933" s="162"/>
      <c r="B1933" s="159"/>
      <c r="C1933" s="272"/>
      <c r="D1933" s="162"/>
      <c r="E1933" s="163"/>
      <c r="F1933" s="273"/>
      <c r="G1933" s="273"/>
      <c r="H1933" s="274"/>
      <c r="I1933" s="274"/>
      <c r="J1933" s="274"/>
      <c r="K1933" s="274"/>
      <c r="L1933" s="167"/>
    </row>
    <row r="1934" spans="1:12" ht="24.95" hidden="1" customHeight="1">
      <c r="A1934" s="162"/>
      <c r="B1934" s="159"/>
      <c r="C1934" s="272"/>
      <c r="D1934" s="162"/>
      <c r="E1934" s="163"/>
      <c r="F1934" s="273"/>
      <c r="G1934" s="273"/>
      <c r="H1934" s="274"/>
      <c r="I1934" s="274"/>
      <c r="J1934" s="274"/>
      <c r="K1934" s="274"/>
      <c r="L1934" s="167"/>
    </row>
    <row r="1935" spans="1:12" ht="24.95" hidden="1" customHeight="1">
      <c r="A1935" s="162"/>
      <c r="B1935" s="159"/>
      <c r="C1935" s="272"/>
      <c r="D1935" s="162"/>
      <c r="E1935" s="163"/>
      <c r="F1935" s="273"/>
      <c r="G1935" s="273"/>
      <c r="H1935" s="274"/>
      <c r="I1935" s="274"/>
      <c r="J1935" s="274"/>
      <c r="K1935" s="274"/>
      <c r="L1935" s="167"/>
    </row>
    <row r="1936" spans="1:12" ht="24.95" hidden="1" customHeight="1">
      <c r="A1936" s="162"/>
      <c r="B1936" s="159"/>
      <c r="C1936" s="272"/>
      <c r="D1936" s="162"/>
      <c r="E1936" s="163"/>
      <c r="F1936" s="273"/>
      <c r="G1936" s="273"/>
      <c r="H1936" s="274"/>
      <c r="I1936" s="274"/>
      <c r="J1936" s="274"/>
      <c r="K1936" s="274"/>
      <c r="L1936" s="167"/>
    </row>
    <row r="1937" spans="1:12" ht="24.95" hidden="1" customHeight="1">
      <c r="A1937" s="162"/>
      <c r="B1937" s="159"/>
      <c r="C1937" s="272"/>
      <c r="D1937" s="162"/>
      <c r="E1937" s="163"/>
      <c r="F1937" s="273"/>
      <c r="G1937" s="273"/>
      <c r="H1937" s="274"/>
      <c r="I1937" s="274"/>
      <c r="J1937" s="274"/>
      <c r="K1937" s="274"/>
      <c r="L1937" s="167"/>
    </row>
    <row r="1938" spans="1:12" ht="24.95" hidden="1" customHeight="1">
      <c r="A1938" s="162"/>
      <c r="B1938" s="159"/>
      <c r="C1938" s="272"/>
      <c r="D1938" s="162"/>
      <c r="E1938" s="163"/>
      <c r="F1938" s="273"/>
      <c r="G1938" s="273"/>
      <c r="H1938" s="274"/>
      <c r="I1938" s="274"/>
      <c r="J1938" s="274"/>
      <c r="K1938" s="274"/>
      <c r="L1938" s="167"/>
    </row>
    <row r="1939" spans="1:12" ht="24.95" hidden="1" customHeight="1">
      <c r="A1939" s="162"/>
      <c r="B1939" s="159"/>
      <c r="C1939" s="272"/>
      <c r="D1939" s="162"/>
      <c r="E1939" s="163"/>
      <c r="F1939" s="273"/>
      <c r="G1939" s="273"/>
      <c r="H1939" s="274"/>
      <c r="I1939" s="274"/>
      <c r="J1939" s="274"/>
      <c r="K1939" s="274"/>
      <c r="L1939" s="167"/>
    </row>
    <row r="1940" spans="1:12" ht="24.95" hidden="1" customHeight="1">
      <c r="A1940" s="162"/>
      <c r="B1940" s="159"/>
      <c r="C1940" s="272"/>
      <c r="D1940" s="162"/>
      <c r="E1940" s="163"/>
      <c r="F1940" s="273"/>
      <c r="G1940" s="273"/>
      <c r="H1940" s="274"/>
      <c r="I1940" s="274"/>
      <c r="J1940" s="274"/>
      <c r="K1940" s="274"/>
      <c r="L1940" s="167"/>
    </row>
    <row r="1941" spans="1:12" ht="24.95" hidden="1" customHeight="1">
      <c r="A1941" s="162"/>
      <c r="B1941" s="159"/>
      <c r="C1941" s="272"/>
      <c r="D1941" s="162"/>
      <c r="E1941" s="163"/>
      <c r="F1941" s="273"/>
      <c r="G1941" s="273"/>
      <c r="H1941" s="274"/>
      <c r="I1941" s="274"/>
      <c r="J1941" s="274"/>
      <c r="K1941" s="274"/>
      <c r="L1941" s="167"/>
    </row>
    <row r="1942" spans="1:12" ht="24.95" hidden="1" customHeight="1">
      <c r="A1942" s="162"/>
      <c r="B1942" s="159"/>
      <c r="C1942" s="272"/>
      <c r="D1942" s="162"/>
      <c r="E1942" s="163"/>
      <c r="F1942" s="273"/>
      <c r="G1942" s="273"/>
      <c r="H1942" s="274"/>
      <c r="I1942" s="274"/>
      <c r="J1942" s="274"/>
      <c r="K1942" s="274"/>
      <c r="L1942" s="167"/>
    </row>
    <row r="1943" spans="1:12" ht="24.95" hidden="1" customHeight="1">
      <c r="A1943" s="162"/>
      <c r="B1943" s="159"/>
      <c r="C1943" s="272"/>
      <c r="D1943" s="162"/>
      <c r="E1943" s="163"/>
      <c r="F1943" s="273"/>
      <c r="G1943" s="273"/>
      <c r="H1943" s="274"/>
      <c r="I1943" s="274"/>
      <c r="J1943" s="274"/>
      <c r="K1943" s="274"/>
      <c r="L1943" s="167"/>
    </row>
    <row r="1944" spans="1:12" ht="24.95" hidden="1" customHeight="1">
      <c r="A1944" s="162"/>
      <c r="B1944" s="159"/>
      <c r="C1944" s="272"/>
      <c r="D1944" s="162"/>
      <c r="E1944" s="163"/>
      <c r="F1944" s="273"/>
      <c r="G1944" s="273"/>
      <c r="H1944" s="274"/>
      <c r="I1944" s="274"/>
      <c r="J1944" s="274"/>
      <c r="K1944" s="274"/>
      <c r="L1944" s="167"/>
    </row>
    <row r="1945" spans="1:12" ht="24.95" hidden="1" customHeight="1">
      <c r="A1945" s="162"/>
      <c r="B1945" s="159"/>
      <c r="C1945" s="272"/>
      <c r="D1945" s="162"/>
      <c r="E1945" s="163"/>
      <c r="F1945" s="273"/>
      <c r="G1945" s="273"/>
      <c r="H1945" s="274"/>
      <c r="I1945" s="274"/>
      <c r="J1945" s="274"/>
      <c r="K1945" s="274"/>
      <c r="L1945" s="167"/>
    </row>
    <row r="1946" spans="1:12" ht="24.95" hidden="1" customHeight="1">
      <c r="A1946" s="162"/>
      <c r="B1946" s="159"/>
      <c r="C1946" s="272"/>
      <c r="D1946" s="162"/>
      <c r="E1946" s="163"/>
      <c r="F1946" s="273"/>
      <c r="G1946" s="273"/>
      <c r="H1946" s="274"/>
      <c r="I1946" s="274"/>
      <c r="J1946" s="274"/>
      <c r="K1946" s="274"/>
      <c r="L1946" s="167"/>
    </row>
    <row r="1947" spans="1:12" ht="24.95" hidden="1" customHeight="1">
      <c r="A1947" s="162"/>
      <c r="B1947" s="159"/>
      <c r="C1947" s="272"/>
      <c r="D1947" s="162"/>
      <c r="E1947" s="163"/>
      <c r="F1947" s="273"/>
      <c r="G1947" s="273"/>
      <c r="H1947" s="274"/>
      <c r="I1947" s="274"/>
      <c r="J1947" s="274"/>
      <c r="K1947" s="274"/>
      <c r="L1947" s="167"/>
    </row>
    <row r="1948" spans="1:12" ht="24.95" hidden="1" customHeight="1">
      <c r="A1948" s="162"/>
      <c r="B1948" s="159"/>
      <c r="C1948" s="272"/>
      <c r="D1948" s="162"/>
      <c r="E1948" s="163"/>
      <c r="F1948" s="273"/>
      <c r="G1948" s="273"/>
      <c r="H1948" s="274"/>
      <c r="I1948" s="274"/>
      <c r="J1948" s="274"/>
      <c r="K1948" s="274"/>
      <c r="L1948" s="167"/>
    </row>
    <row r="1949" spans="1:12" ht="24.95" hidden="1" customHeight="1">
      <c r="A1949" s="162"/>
      <c r="B1949" s="159"/>
      <c r="C1949" s="272"/>
      <c r="D1949" s="162"/>
      <c r="E1949" s="163"/>
      <c r="F1949" s="273"/>
      <c r="G1949" s="273"/>
      <c r="H1949" s="274"/>
      <c r="I1949" s="274"/>
      <c r="J1949" s="274"/>
      <c r="K1949" s="274"/>
      <c r="L1949" s="167"/>
    </row>
    <row r="1950" spans="1:12" ht="24.95" hidden="1" customHeight="1">
      <c r="A1950" s="162"/>
      <c r="B1950" s="159"/>
      <c r="C1950" s="272"/>
      <c r="D1950" s="162"/>
      <c r="E1950" s="163"/>
      <c r="F1950" s="273"/>
      <c r="G1950" s="273"/>
      <c r="H1950" s="274"/>
      <c r="I1950" s="274"/>
      <c r="J1950" s="274"/>
      <c r="K1950" s="274"/>
      <c r="L1950" s="167"/>
    </row>
    <row r="1951" spans="1:12" ht="24.95" hidden="1" customHeight="1">
      <c r="A1951" s="162"/>
      <c r="B1951" s="159"/>
      <c r="C1951" s="272"/>
      <c r="D1951" s="162"/>
      <c r="E1951" s="163"/>
      <c r="F1951" s="273"/>
      <c r="G1951" s="273"/>
      <c r="H1951" s="274"/>
      <c r="I1951" s="274"/>
      <c r="J1951" s="274"/>
      <c r="K1951" s="274"/>
      <c r="L1951" s="167"/>
    </row>
    <row r="1952" spans="1:12" ht="24.95" hidden="1" customHeight="1">
      <c r="A1952" s="162"/>
      <c r="B1952" s="159"/>
      <c r="C1952" s="272"/>
      <c r="D1952" s="162"/>
      <c r="E1952" s="163"/>
      <c r="F1952" s="273"/>
      <c r="G1952" s="273"/>
      <c r="H1952" s="274"/>
      <c r="I1952" s="274"/>
      <c r="J1952" s="274"/>
      <c r="K1952" s="274"/>
      <c r="L1952" s="167"/>
    </row>
    <row r="1953" spans="1:12" ht="24.95" hidden="1" customHeight="1">
      <c r="A1953" s="162"/>
      <c r="B1953" s="159"/>
      <c r="C1953" s="272"/>
      <c r="D1953" s="162"/>
      <c r="E1953" s="163"/>
      <c r="F1953" s="273"/>
      <c r="G1953" s="273"/>
      <c r="H1953" s="274"/>
      <c r="I1953" s="274"/>
      <c r="J1953" s="274"/>
      <c r="K1953" s="274"/>
      <c r="L1953" s="167"/>
    </row>
    <row r="1954" spans="1:12" ht="24.95" hidden="1" customHeight="1">
      <c r="A1954" s="162"/>
      <c r="B1954" s="159"/>
      <c r="C1954" s="272"/>
      <c r="D1954" s="162"/>
      <c r="E1954" s="163"/>
      <c r="F1954" s="273"/>
      <c r="G1954" s="273"/>
      <c r="H1954" s="274"/>
      <c r="I1954" s="274"/>
      <c r="J1954" s="274"/>
      <c r="K1954" s="274"/>
      <c r="L1954" s="167"/>
    </row>
    <row r="1955" spans="1:12" ht="24.95" hidden="1" customHeight="1">
      <c r="A1955" s="162"/>
      <c r="B1955" s="159"/>
      <c r="C1955" s="272"/>
      <c r="D1955" s="162"/>
      <c r="E1955" s="163"/>
      <c r="F1955" s="273"/>
      <c r="G1955" s="273"/>
      <c r="H1955" s="274"/>
      <c r="I1955" s="274"/>
      <c r="J1955" s="274"/>
      <c r="K1955" s="274"/>
      <c r="L1955" s="167"/>
    </row>
    <row r="1956" spans="1:12" ht="24.95" hidden="1" customHeight="1">
      <c r="A1956" s="162"/>
      <c r="B1956" s="159"/>
      <c r="C1956" s="272"/>
      <c r="D1956" s="162"/>
      <c r="E1956" s="163"/>
      <c r="F1956" s="273"/>
      <c r="G1956" s="273"/>
      <c r="H1956" s="274"/>
      <c r="I1956" s="274"/>
      <c r="J1956" s="274"/>
      <c r="K1956" s="274"/>
      <c r="L1956" s="167"/>
    </row>
    <row r="1957" spans="1:12" ht="24.95" hidden="1" customHeight="1">
      <c r="A1957" s="162"/>
      <c r="B1957" s="159"/>
      <c r="C1957" s="272"/>
      <c r="D1957" s="162"/>
      <c r="E1957" s="163"/>
      <c r="F1957" s="273"/>
      <c r="G1957" s="273"/>
      <c r="H1957" s="274"/>
      <c r="I1957" s="274"/>
      <c r="J1957" s="274"/>
      <c r="K1957" s="274"/>
      <c r="L1957" s="167"/>
    </row>
    <row r="1958" spans="1:12" ht="24.95" hidden="1" customHeight="1">
      <c r="A1958" s="162"/>
      <c r="B1958" s="159"/>
      <c r="C1958" s="272"/>
      <c r="D1958" s="162"/>
      <c r="E1958" s="163"/>
      <c r="F1958" s="273"/>
      <c r="G1958" s="273"/>
      <c r="H1958" s="274"/>
      <c r="I1958" s="274"/>
      <c r="J1958" s="274"/>
      <c r="K1958" s="274"/>
      <c r="L1958" s="167"/>
    </row>
    <row r="1959" spans="1:12" ht="24.95" hidden="1" customHeight="1">
      <c r="A1959" s="162"/>
      <c r="B1959" s="159"/>
      <c r="C1959" s="272"/>
      <c r="D1959" s="162"/>
      <c r="E1959" s="163"/>
      <c r="F1959" s="273"/>
      <c r="G1959" s="273"/>
      <c r="H1959" s="274"/>
      <c r="I1959" s="274"/>
      <c r="J1959" s="274"/>
      <c r="K1959" s="274"/>
      <c r="L1959" s="167"/>
    </row>
    <row r="1960" spans="1:12" ht="24.95" hidden="1" customHeight="1">
      <c r="A1960" s="162"/>
      <c r="B1960" s="159"/>
      <c r="C1960" s="272"/>
      <c r="D1960" s="162"/>
      <c r="E1960" s="163"/>
      <c r="F1960" s="273"/>
      <c r="G1960" s="273"/>
      <c r="H1960" s="274"/>
      <c r="I1960" s="274"/>
      <c r="J1960" s="274"/>
      <c r="K1960" s="274"/>
      <c r="L1960" s="167"/>
    </row>
    <row r="1961" spans="1:12" ht="24.95" hidden="1" customHeight="1">
      <c r="A1961" s="162"/>
      <c r="B1961" s="159"/>
      <c r="C1961" s="272"/>
      <c r="D1961" s="162"/>
      <c r="E1961" s="163"/>
      <c r="F1961" s="273"/>
      <c r="G1961" s="273"/>
      <c r="H1961" s="274"/>
      <c r="I1961" s="274"/>
      <c r="J1961" s="274"/>
      <c r="K1961" s="274"/>
      <c r="L1961" s="167"/>
    </row>
    <row r="1962" spans="1:12" ht="24.95" hidden="1" customHeight="1">
      <c r="A1962" s="162"/>
      <c r="B1962" s="159"/>
      <c r="C1962" s="272"/>
      <c r="D1962" s="162"/>
      <c r="E1962" s="163"/>
      <c r="F1962" s="273"/>
      <c r="G1962" s="273"/>
      <c r="H1962" s="274"/>
      <c r="I1962" s="274"/>
      <c r="J1962" s="274"/>
      <c r="K1962" s="274"/>
      <c r="L1962" s="167"/>
    </row>
    <row r="1963" spans="1:12" ht="24.95" hidden="1" customHeight="1">
      <c r="A1963" s="162"/>
      <c r="B1963" s="159"/>
      <c r="C1963" s="272"/>
      <c r="D1963" s="162"/>
      <c r="E1963" s="163"/>
      <c r="F1963" s="273"/>
      <c r="G1963" s="273"/>
      <c r="H1963" s="274"/>
      <c r="I1963" s="274"/>
      <c r="J1963" s="274"/>
      <c r="K1963" s="274"/>
      <c r="L1963" s="167"/>
    </row>
    <row r="1964" spans="1:12" ht="24.95" hidden="1" customHeight="1">
      <c r="A1964" s="162"/>
      <c r="B1964" s="159"/>
      <c r="C1964" s="272"/>
      <c r="D1964" s="162"/>
      <c r="E1964" s="163"/>
      <c r="F1964" s="273"/>
      <c r="G1964" s="273"/>
      <c r="H1964" s="274"/>
      <c r="I1964" s="274"/>
      <c r="J1964" s="274"/>
      <c r="K1964" s="274"/>
      <c r="L1964" s="167"/>
    </row>
    <row r="1965" spans="1:12" ht="24.95" hidden="1" customHeight="1">
      <c r="A1965" s="162"/>
      <c r="B1965" s="159"/>
      <c r="C1965" s="272"/>
      <c r="D1965" s="162"/>
      <c r="E1965" s="163"/>
      <c r="F1965" s="273"/>
      <c r="G1965" s="273"/>
      <c r="H1965" s="274"/>
      <c r="I1965" s="274"/>
      <c r="J1965" s="274"/>
      <c r="K1965" s="274"/>
      <c r="L1965" s="167"/>
    </row>
    <row r="1966" spans="1:12" ht="24.95" hidden="1" customHeight="1">
      <c r="A1966" s="162"/>
      <c r="B1966" s="159"/>
      <c r="C1966" s="272"/>
      <c r="D1966" s="162"/>
      <c r="E1966" s="163"/>
      <c r="F1966" s="273"/>
      <c r="G1966" s="273"/>
      <c r="H1966" s="274"/>
      <c r="I1966" s="274"/>
      <c r="J1966" s="274"/>
      <c r="K1966" s="274"/>
      <c r="L1966" s="167"/>
    </row>
    <row r="1967" spans="1:12" ht="24.95" hidden="1" customHeight="1">
      <c r="A1967" s="162"/>
      <c r="B1967" s="159"/>
      <c r="C1967" s="272"/>
      <c r="D1967" s="162"/>
      <c r="E1967" s="163"/>
      <c r="F1967" s="273"/>
      <c r="G1967" s="273"/>
      <c r="H1967" s="274"/>
      <c r="I1967" s="274"/>
      <c r="J1967" s="274"/>
      <c r="K1967" s="274"/>
      <c r="L1967" s="167"/>
    </row>
    <row r="1968" spans="1:12" ht="24.95" hidden="1" customHeight="1">
      <c r="A1968" s="162"/>
      <c r="B1968" s="159"/>
      <c r="C1968" s="272"/>
      <c r="D1968" s="162"/>
      <c r="E1968" s="163"/>
      <c r="F1968" s="273"/>
      <c r="G1968" s="273"/>
      <c r="H1968" s="274"/>
      <c r="I1968" s="274"/>
      <c r="J1968" s="274"/>
      <c r="K1968" s="274"/>
      <c r="L1968" s="167"/>
    </row>
    <row r="1969" spans="1:12" ht="24.95" hidden="1" customHeight="1">
      <c r="A1969" s="162"/>
      <c r="B1969" s="159"/>
      <c r="C1969" s="272"/>
      <c r="D1969" s="162"/>
      <c r="E1969" s="163"/>
      <c r="F1969" s="273"/>
      <c r="G1969" s="273"/>
      <c r="H1969" s="274"/>
      <c r="I1969" s="274"/>
      <c r="J1969" s="274"/>
      <c r="K1969" s="274"/>
      <c r="L1969" s="167"/>
    </row>
    <row r="1970" spans="1:12" ht="24.95" hidden="1" customHeight="1">
      <c r="A1970" s="162"/>
      <c r="B1970" s="159"/>
      <c r="C1970" s="272"/>
      <c r="D1970" s="162"/>
      <c r="E1970" s="163"/>
      <c r="F1970" s="273"/>
      <c r="G1970" s="273"/>
      <c r="H1970" s="274"/>
      <c r="I1970" s="274"/>
      <c r="J1970" s="274"/>
      <c r="K1970" s="274"/>
      <c r="L1970" s="167"/>
    </row>
    <row r="1971" spans="1:12" ht="24.95" hidden="1" customHeight="1">
      <c r="A1971" s="162"/>
      <c r="B1971" s="159"/>
      <c r="C1971" s="272"/>
      <c r="D1971" s="162"/>
      <c r="E1971" s="163"/>
      <c r="F1971" s="273"/>
      <c r="G1971" s="273"/>
      <c r="H1971" s="274"/>
      <c r="I1971" s="274"/>
      <c r="J1971" s="274"/>
      <c r="K1971" s="274"/>
      <c r="L1971" s="167"/>
    </row>
    <row r="1972" spans="1:12" ht="24.95" hidden="1" customHeight="1">
      <c r="A1972" s="162"/>
      <c r="B1972" s="159"/>
      <c r="C1972" s="272"/>
      <c r="D1972" s="162"/>
      <c r="E1972" s="163"/>
      <c r="F1972" s="273"/>
      <c r="G1972" s="273"/>
      <c r="H1972" s="274"/>
      <c r="I1972" s="274"/>
      <c r="J1972" s="274"/>
      <c r="K1972" s="274"/>
      <c r="L1972" s="167"/>
    </row>
    <row r="1973" spans="1:12" ht="24.95" hidden="1" customHeight="1">
      <c r="A1973" s="162"/>
      <c r="B1973" s="159"/>
      <c r="C1973" s="272"/>
      <c r="D1973" s="162"/>
      <c r="E1973" s="163"/>
      <c r="F1973" s="273"/>
      <c r="G1973" s="273"/>
      <c r="H1973" s="274"/>
      <c r="I1973" s="274"/>
      <c r="J1973" s="274"/>
      <c r="K1973" s="274"/>
      <c r="L1973" s="167"/>
    </row>
    <row r="1974" spans="1:12" ht="24.95" hidden="1" customHeight="1">
      <c r="A1974" s="162"/>
      <c r="B1974" s="159"/>
      <c r="C1974" s="272"/>
      <c r="D1974" s="162"/>
      <c r="E1974" s="163"/>
      <c r="F1974" s="273"/>
      <c r="G1974" s="273"/>
      <c r="H1974" s="274"/>
      <c r="I1974" s="274"/>
      <c r="J1974" s="274"/>
      <c r="K1974" s="274"/>
      <c r="L1974" s="167"/>
    </row>
    <row r="1975" spans="1:12" ht="24.95" hidden="1" customHeight="1">
      <c r="A1975" s="162"/>
      <c r="B1975" s="159"/>
      <c r="C1975" s="272"/>
      <c r="D1975" s="162"/>
      <c r="E1975" s="163"/>
      <c r="F1975" s="273"/>
      <c r="G1975" s="273"/>
      <c r="H1975" s="274"/>
      <c r="I1975" s="274"/>
      <c r="J1975" s="274"/>
      <c r="K1975" s="274"/>
      <c r="L1975" s="167"/>
    </row>
    <row r="1976" spans="1:12" ht="24.95" hidden="1" customHeight="1">
      <c r="A1976" s="162"/>
      <c r="B1976" s="159"/>
      <c r="C1976" s="272"/>
      <c r="D1976" s="162"/>
      <c r="E1976" s="163"/>
      <c r="F1976" s="273"/>
      <c r="G1976" s="273"/>
      <c r="H1976" s="274"/>
      <c r="I1976" s="274"/>
      <c r="J1976" s="274"/>
      <c r="K1976" s="274"/>
      <c r="L1976" s="167"/>
    </row>
    <row r="1977" spans="1:12" ht="24.95" hidden="1" customHeight="1">
      <c r="A1977" s="162"/>
      <c r="B1977" s="159"/>
      <c r="C1977" s="272"/>
      <c r="D1977" s="162"/>
      <c r="E1977" s="163"/>
      <c r="F1977" s="273"/>
      <c r="G1977" s="273"/>
      <c r="H1977" s="274"/>
      <c r="I1977" s="274"/>
      <c r="J1977" s="274"/>
      <c r="K1977" s="274"/>
      <c r="L1977" s="167"/>
    </row>
    <row r="1978" spans="1:12" ht="24.95" hidden="1" customHeight="1">
      <c r="A1978" s="162"/>
      <c r="B1978" s="159"/>
      <c r="C1978" s="272"/>
      <c r="D1978" s="162"/>
      <c r="E1978" s="163"/>
      <c r="F1978" s="273"/>
      <c r="G1978" s="273"/>
      <c r="H1978" s="274"/>
      <c r="I1978" s="274"/>
      <c r="J1978" s="274"/>
      <c r="K1978" s="274"/>
      <c r="L1978" s="167"/>
    </row>
    <row r="1979" spans="1:12" ht="24.95" hidden="1" customHeight="1">
      <c r="A1979" s="162"/>
      <c r="B1979" s="159"/>
      <c r="C1979" s="272"/>
      <c r="D1979" s="162"/>
      <c r="E1979" s="163"/>
      <c r="F1979" s="273"/>
      <c r="G1979" s="273"/>
      <c r="H1979" s="274"/>
      <c r="I1979" s="274"/>
      <c r="J1979" s="274"/>
      <c r="K1979" s="274"/>
      <c r="L1979" s="167"/>
    </row>
    <row r="1980" spans="1:12" ht="24.95" hidden="1" customHeight="1">
      <c r="A1980" s="162"/>
      <c r="B1980" s="159"/>
      <c r="C1980" s="272"/>
      <c r="D1980" s="162"/>
      <c r="E1980" s="163"/>
      <c r="F1980" s="273"/>
      <c r="G1980" s="273"/>
      <c r="H1980" s="274"/>
      <c r="I1980" s="274"/>
      <c r="J1980" s="274"/>
      <c r="K1980" s="274"/>
      <c r="L1980" s="167"/>
    </row>
    <row r="1981" spans="1:12" ht="24.95" hidden="1" customHeight="1">
      <c r="A1981" s="162"/>
      <c r="B1981" s="159"/>
      <c r="C1981" s="272"/>
      <c r="D1981" s="162"/>
      <c r="E1981" s="163"/>
      <c r="F1981" s="273"/>
      <c r="G1981" s="273"/>
      <c r="H1981" s="274"/>
      <c r="I1981" s="274"/>
      <c r="J1981" s="274"/>
      <c r="K1981" s="274"/>
      <c r="L1981" s="167"/>
    </row>
    <row r="1982" spans="1:12" ht="24.95" hidden="1" customHeight="1">
      <c r="A1982" s="162"/>
      <c r="B1982" s="159"/>
      <c r="C1982" s="272"/>
      <c r="D1982" s="162"/>
      <c r="E1982" s="163"/>
      <c r="F1982" s="273"/>
      <c r="G1982" s="273"/>
      <c r="H1982" s="274"/>
      <c r="I1982" s="274"/>
      <c r="J1982" s="274"/>
      <c r="K1982" s="274"/>
      <c r="L1982" s="167"/>
    </row>
    <row r="1983" spans="1:12" ht="24.95" hidden="1" customHeight="1">
      <c r="A1983" s="162"/>
      <c r="B1983" s="159"/>
      <c r="C1983" s="272"/>
      <c r="D1983" s="162"/>
      <c r="E1983" s="163"/>
      <c r="F1983" s="273"/>
      <c r="G1983" s="273"/>
      <c r="H1983" s="274"/>
      <c r="I1983" s="274"/>
      <c r="J1983" s="274"/>
      <c r="K1983" s="274"/>
      <c r="L1983" s="167"/>
    </row>
    <row r="1984" spans="1:12" ht="24.95" hidden="1" customHeight="1">
      <c r="A1984" s="162"/>
      <c r="B1984" s="159"/>
      <c r="C1984" s="272"/>
      <c r="D1984" s="162"/>
      <c r="E1984" s="163"/>
      <c r="F1984" s="273"/>
      <c r="G1984" s="273"/>
      <c r="H1984" s="274"/>
      <c r="I1984" s="274"/>
      <c r="J1984" s="274"/>
      <c r="K1984" s="274"/>
      <c r="L1984" s="167"/>
    </row>
    <row r="1985" spans="1:12" ht="24.95" hidden="1" customHeight="1">
      <c r="A1985" s="162"/>
      <c r="B1985" s="159"/>
      <c r="C1985" s="272"/>
      <c r="D1985" s="162"/>
      <c r="E1985" s="163"/>
      <c r="F1985" s="273"/>
      <c r="G1985" s="273"/>
      <c r="H1985" s="274"/>
      <c r="I1985" s="274"/>
      <c r="J1985" s="274"/>
      <c r="K1985" s="274"/>
      <c r="L1985" s="167"/>
    </row>
    <row r="1986" spans="1:12" ht="24.95" hidden="1" customHeight="1">
      <c r="A1986" s="162"/>
      <c r="B1986" s="159"/>
      <c r="C1986" s="272"/>
      <c r="D1986" s="162"/>
      <c r="E1986" s="163"/>
      <c r="F1986" s="273"/>
      <c r="G1986" s="273"/>
      <c r="H1986" s="274"/>
      <c r="I1986" s="274"/>
      <c r="J1986" s="274"/>
      <c r="K1986" s="274"/>
      <c r="L1986" s="167"/>
    </row>
    <row r="1987" spans="1:12" ht="24.95" hidden="1" customHeight="1">
      <c r="A1987" s="162"/>
      <c r="B1987" s="159"/>
      <c r="C1987" s="272"/>
      <c r="D1987" s="162"/>
      <c r="E1987" s="163"/>
      <c r="F1987" s="273"/>
      <c r="G1987" s="273"/>
      <c r="H1987" s="274"/>
      <c r="I1987" s="274"/>
      <c r="J1987" s="274"/>
      <c r="K1987" s="274"/>
      <c r="L1987" s="167"/>
    </row>
    <row r="1988" spans="1:12" ht="24.95" hidden="1" customHeight="1">
      <c r="A1988" s="162"/>
      <c r="B1988" s="159"/>
      <c r="C1988" s="272"/>
      <c r="D1988" s="162"/>
      <c r="E1988" s="163"/>
      <c r="F1988" s="273"/>
      <c r="G1988" s="273"/>
      <c r="H1988" s="274"/>
      <c r="I1988" s="274"/>
      <c r="J1988" s="274"/>
      <c r="K1988" s="274"/>
      <c r="L1988" s="167"/>
    </row>
    <row r="1989" spans="1:12" ht="24.95" hidden="1" customHeight="1">
      <c r="A1989" s="162"/>
      <c r="B1989" s="159"/>
      <c r="C1989" s="272"/>
      <c r="D1989" s="162"/>
      <c r="E1989" s="163"/>
      <c r="F1989" s="273"/>
      <c r="G1989" s="273"/>
      <c r="H1989" s="274"/>
      <c r="I1989" s="274"/>
      <c r="J1989" s="274"/>
      <c r="K1989" s="274"/>
      <c r="L1989" s="167"/>
    </row>
    <row r="1990" spans="1:12" ht="24.95" hidden="1" customHeight="1">
      <c r="A1990" s="162"/>
      <c r="B1990" s="159"/>
      <c r="C1990" s="272"/>
      <c r="D1990" s="162"/>
      <c r="E1990" s="163"/>
      <c r="F1990" s="273"/>
      <c r="G1990" s="273"/>
      <c r="H1990" s="274"/>
      <c r="I1990" s="274"/>
      <c r="J1990" s="274"/>
      <c r="K1990" s="274"/>
      <c r="L1990" s="167"/>
    </row>
    <row r="1991" spans="1:12" ht="24.95" hidden="1" customHeight="1">
      <c r="A1991" s="162"/>
      <c r="B1991" s="159"/>
      <c r="C1991" s="272"/>
      <c r="D1991" s="162"/>
      <c r="E1991" s="163"/>
      <c r="F1991" s="273"/>
      <c r="G1991" s="273"/>
      <c r="H1991" s="274"/>
      <c r="I1991" s="274"/>
      <c r="J1991" s="274"/>
      <c r="K1991" s="274"/>
      <c r="L1991" s="167"/>
    </row>
    <row r="1992" spans="1:12" ht="24.95" hidden="1" customHeight="1">
      <c r="A1992" s="162"/>
      <c r="B1992" s="159"/>
      <c r="C1992" s="272"/>
      <c r="D1992" s="162"/>
      <c r="E1992" s="163"/>
      <c r="F1992" s="273"/>
      <c r="G1992" s="273"/>
      <c r="H1992" s="274"/>
      <c r="I1992" s="274"/>
      <c r="J1992" s="274"/>
      <c r="K1992" s="274"/>
      <c r="L1992" s="167"/>
    </row>
    <row r="1993" spans="1:12" ht="24.95" hidden="1" customHeight="1">
      <c r="A1993" s="162"/>
      <c r="B1993" s="159"/>
      <c r="C1993" s="272"/>
      <c r="D1993" s="162"/>
      <c r="E1993" s="163"/>
      <c r="F1993" s="273"/>
      <c r="G1993" s="273"/>
      <c r="H1993" s="274"/>
      <c r="I1993" s="274"/>
      <c r="J1993" s="274"/>
      <c r="K1993" s="274"/>
      <c r="L1993" s="167"/>
    </row>
    <row r="1994" spans="1:12" ht="24.95" hidden="1" customHeight="1">
      <c r="A1994" s="162"/>
      <c r="B1994" s="159"/>
      <c r="C1994" s="272"/>
      <c r="D1994" s="162"/>
      <c r="E1994" s="163"/>
      <c r="F1994" s="273"/>
      <c r="G1994" s="273"/>
      <c r="H1994" s="274"/>
      <c r="I1994" s="274"/>
      <c r="J1994" s="274"/>
      <c r="K1994" s="274"/>
      <c r="L1994" s="167"/>
    </row>
    <row r="1995" spans="1:12" ht="24.95" hidden="1" customHeight="1">
      <c r="A1995" s="162"/>
      <c r="B1995" s="159"/>
      <c r="C1995" s="272"/>
      <c r="D1995" s="162"/>
      <c r="E1995" s="163"/>
      <c r="F1995" s="273"/>
      <c r="G1995" s="273"/>
      <c r="H1995" s="274"/>
      <c r="I1995" s="274"/>
      <c r="J1995" s="274"/>
      <c r="K1995" s="274"/>
      <c r="L1995" s="167"/>
    </row>
    <row r="1996" spans="1:12" ht="24.95" hidden="1" customHeight="1">
      <c r="A1996" s="162"/>
      <c r="B1996" s="159"/>
      <c r="C1996" s="272"/>
      <c r="D1996" s="162"/>
      <c r="E1996" s="163"/>
      <c r="F1996" s="273"/>
      <c r="G1996" s="273"/>
      <c r="H1996" s="274"/>
      <c r="I1996" s="274"/>
      <c r="J1996" s="274"/>
      <c r="K1996" s="274"/>
      <c r="L1996" s="167"/>
    </row>
    <row r="1997" spans="1:12" ht="24.95" hidden="1" customHeight="1">
      <c r="A1997" s="162"/>
      <c r="B1997" s="159"/>
      <c r="C1997" s="272"/>
      <c r="D1997" s="162"/>
      <c r="E1997" s="163"/>
      <c r="F1997" s="273"/>
      <c r="G1997" s="273"/>
      <c r="H1997" s="274"/>
      <c r="I1997" s="274"/>
      <c r="J1997" s="274"/>
      <c r="K1997" s="274"/>
      <c r="L1997" s="167"/>
    </row>
    <row r="1998" spans="1:12" ht="24.95" hidden="1" customHeight="1">
      <c r="A1998" s="162"/>
      <c r="B1998" s="159"/>
      <c r="C1998" s="272"/>
      <c r="D1998" s="162"/>
      <c r="E1998" s="163"/>
      <c r="F1998" s="273"/>
      <c r="G1998" s="273"/>
      <c r="H1998" s="274"/>
      <c r="I1998" s="274"/>
      <c r="J1998" s="274"/>
      <c r="K1998" s="274"/>
      <c r="L1998" s="167"/>
    </row>
    <row r="1999" spans="1:12" ht="24.95" hidden="1" customHeight="1">
      <c r="A1999" s="275"/>
      <c r="B1999" s="276"/>
      <c r="C1999" s="277"/>
      <c r="D1999" s="275"/>
      <c r="E1999" s="278"/>
      <c r="F1999" s="279"/>
      <c r="G1999" s="279"/>
      <c r="H1999" s="280"/>
      <c r="I1999" s="280"/>
      <c r="J1999" s="280"/>
      <c r="K1999" s="280"/>
      <c r="L1999" s="286"/>
    </row>
    <row r="2000" spans="1:12" ht="24.95" hidden="1" customHeight="1">
      <c r="A2000" s="275"/>
      <c r="B2000" s="276"/>
      <c r="C2000" s="277"/>
      <c r="D2000" s="275"/>
      <c r="E2000" s="278"/>
      <c r="F2000" s="279"/>
      <c r="G2000" s="279"/>
      <c r="H2000" s="280"/>
      <c r="I2000" s="280"/>
      <c r="J2000" s="280"/>
      <c r="K2000" s="280"/>
      <c r="L2000" s="286"/>
    </row>
    <row r="2001" spans="1:14" ht="24.95" customHeight="1">
      <c r="A2001" s="362" t="s">
        <v>253</v>
      </c>
      <c r="B2001" s="363"/>
      <c r="C2001" s="363"/>
      <c r="D2001" s="364"/>
      <c r="E2001" s="281">
        <v>0</v>
      </c>
      <c r="F2001" s="362" t="s">
        <v>244</v>
      </c>
      <c r="G2001" s="363"/>
      <c r="H2001" s="363"/>
      <c r="I2001" s="364"/>
      <c r="J2001" s="282">
        <f>SUM(J7:J2000)</f>
        <v>0</v>
      </c>
      <c r="K2001" s="283">
        <f>SUM(K7:K2000)</f>
        <v>0</v>
      </c>
      <c r="L2001" s="287">
        <f>SUM(L7:L2000)</f>
        <v>0</v>
      </c>
      <c r="N2001" s="267"/>
    </row>
    <row r="2002" spans="1:14" ht="24.95" customHeight="1">
      <c r="B2002" s="271"/>
    </row>
    <row r="2003" spans="1:14" ht="24.95" customHeight="1">
      <c r="B2003" s="271"/>
    </row>
    <row r="2004" spans="1:14" ht="24.95" customHeight="1">
      <c r="B2004" s="271"/>
    </row>
    <row r="2005" spans="1:14" ht="24.95" customHeight="1">
      <c r="B2005" s="271"/>
    </row>
    <row r="2006" spans="1:14" ht="24.95" customHeight="1">
      <c r="B2006" s="271"/>
    </row>
    <row r="2007" spans="1:14" ht="24.95" customHeight="1">
      <c r="B2007" s="271"/>
    </row>
    <row r="2008" spans="1:14" ht="24.95" customHeight="1">
      <c r="B2008" s="271"/>
    </row>
    <row r="2009" spans="1:14" ht="24.95" customHeight="1">
      <c r="B2009" s="271"/>
    </row>
    <row r="2010" spans="1:14" ht="24.95" customHeight="1">
      <c r="B2010" s="271"/>
    </row>
    <row r="2011" spans="1:14" ht="24.95" customHeight="1">
      <c r="B2011" s="271"/>
    </row>
    <row r="2012" spans="1:14" ht="24.95" customHeight="1">
      <c r="B2012" s="271"/>
    </row>
    <row r="2013" spans="1:14" ht="24.95" customHeight="1">
      <c r="B2013" s="271"/>
    </row>
    <row r="2014" spans="1:14" ht="24.95" customHeight="1">
      <c r="B2014" s="271"/>
    </row>
    <row r="2015" spans="1:14" ht="24.95" customHeight="1">
      <c r="B2015" s="271"/>
    </row>
    <row r="2016" spans="1:14" ht="24.95" customHeight="1">
      <c r="B2016" s="271"/>
    </row>
    <row r="2017" spans="2:2" ht="24.95" customHeight="1">
      <c r="B2017" s="271"/>
    </row>
    <row r="2018" spans="2:2" ht="24.95" customHeight="1">
      <c r="B2018" s="271"/>
    </row>
    <row r="2019" spans="2:2" ht="24.95" customHeight="1">
      <c r="B2019" s="271"/>
    </row>
    <row r="2020" spans="2:2" ht="24.95" customHeight="1">
      <c r="B2020" s="271"/>
    </row>
    <row r="2021" spans="2:2" ht="24.95" customHeight="1">
      <c r="B2021" s="271"/>
    </row>
    <row r="2022" spans="2:2" ht="24.95" customHeight="1">
      <c r="B2022" s="271"/>
    </row>
    <row r="2023" spans="2:2" ht="24.95" customHeight="1">
      <c r="B2023" s="271"/>
    </row>
    <row r="2024" spans="2:2" ht="24.95" customHeight="1">
      <c r="B2024" s="271"/>
    </row>
    <row r="2025" spans="2:2" ht="24.95" customHeight="1">
      <c r="B2025" s="271"/>
    </row>
    <row r="2026" spans="2:2" ht="24.95" customHeight="1">
      <c r="B2026" s="271"/>
    </row>
    <row r="2027" spans="2:2" ht="24.95" customHeight="1">
      <c r="B2027" s="271"/>
    </row>
    <row r="2028" spans="2:2" ht="24.95" customHeight="1">
      <c r="B2028" s="271"/>
    </row>
    <row r="2029" spans="2:2" ht="24.95" customHeight="1">
      <c r="B2029" s="271"/>
    </row>
    <row r="2030" spans="2:2" ht="24.95" customHeight="1">
      <c r="B2030" s="271"/>
    </row>
    <row r="2031" spans="2:2" ht="24.95" customHeight="1">
      <c r="B2031" s="271"/>
    </row>
    <row r="2032" spans="2:2" ht="24.95" customHeight="1">
      <c r="B2032" s="271"/>
    </row>
    <row r="2033" spans="2:2" ht="24.95" customHeight="1">
      <c r="B2033" s="271"/>
    </row>
    <row r="2034" spans="2:2" ht="24.95" customHeight="1">
      <c r="B2034" s="271"/>
    </row>
    <row r="2035" spans="2:2" ht="24.95" customHeight="1">
      <c r="B2035" s="271"/>
    </row>
    <row r="2036" spans="2:2" ht="24.95" customHeight="1">
      <c r="B2036" s="271"/>
    </row>
    <row r="2037" spans="2:2" ht="24.95" customHeight="1">
      <c r="B2037" s="271"/>
    </row>
    <row r="2038" spans="2:2" ht="24.95" customHeight="1">
      <c r="B2038" s="271"/>
    </row>
    <row r="2039" spans="2:2" ht="24.95" customHeight="1">
      <c r="B2039" s="271"/>
    </row>
    <row r="2040" spans="2:2" ht="24.95" customHeight="1">
      <c r="B2040" s="271"/>
    </row>
    <row r="2041" spans="2:2" ht="24.95" customHeight="1">
      <c r="B2041" s="271"/>
    </row>
    <row r="2042" spans="2:2" ht="24.95" customHeight="1">
      <c r="B2042" s="271"/>
    </row>
    <row r="2043" spans="2:2" ht="24.95" customHeight="1">
      <c r="B2043" s="271"/>
    </row>
    <row r="2044" spans="2:2" ht="24.95" customHeight="1">
      <c r="B2044" s="271"/>
    </row>
    <row r="2045" spans="2:2" ht="24.95" customHeight="1">
      <c r="B2045" s="271"/>
    </row>
    <row r="2046" spans="2:2" ht="24.95" customHeight="1">
      <c r="B2046" s="271"/>
    </row>
    <row r="2047" spans="2:2" ht="24.95" customHeight="1">
      <c r="B2047" s="271"/>
    </row>
    <row r="2048" spans="2:2" ht="24.95" customHeight="1">
      <c r="B2048" s="271"/>
    </row>
    <row r="2049" spans="2:2" ht="24.95" customHeight="1">
      <c r="B2049" s="271"/>
    </row>
    <row r="2050" spans="2:2" ht="24.95" customHeight="1">
      <c r="B2050" s="271"/>
    </row>
    <row r="2051" spans="2:2" ht="24.95" customHeight="1">
      <c r="B2051" s="271"/>
    </row>
    <row r="2052" spans="2:2" ht="24.95" customHeight="1">
      <c r="B2052" s="271"/>
    </row>
    <row r="2053" spans="2:2" ht="24.95" customHeight="1">
      <c r="B2053" s="271"/>
    </row>
    <row r="2054" spans="2:2" ht="24.95" customHeight="1">
      <c r="B2054" s="271"/>
    </row>
    <row r="2055" spans="2:2" ht="24.95" customHeight="1">
      <c r="B2055" s="271"/>
    </row>
    <row r="2056" spans="2:2" ht="24.95" customHeight="1">
      <c r="B2056" s="271"/>
    </row>
    <row r="2057" spans="2:2" ht="24.95" customHeight="1">
      <c r="B2057" s="271"/>
    </row>
    <row r="2058" spans="2:2" ht="24.95" customHeight="1">
      <c r="B2058" s="271"/>
    </row>
    <row r="2059" spans="2:2" ht="24.95" customHeight="1">
      <c r="B2059" s="271"/>
    </row>
    <row r="2060" spans="2:2" ht="24.95" customHeight="1">
      <c r="B2060" s="271"/>
    </row>
    <row r="2061" spans="2:2" ht="24.95" customHeight="1">
      <c r="B2061" s="271"/>
    </row>
    <row r="2062" spans="2:2" ht="24.95" customHeight="1">
      <c r="B2062" s="271"/>
    </row>
    <row r="2063" spans="2:2" ht="24.95" customHeight="1">
      <c r="B2063" s="271"/>
    </row>
    <row r="2064" spans="2:2" ht="24.95" customHeight="1">
      <c r="B2064" s="271"/>
    </row>
    <row r="2065" spans="2:2" ht="24.95" customHeight="1">
      <c r="B2065" s="271"/>
    </row>
    <row r="2066" spans="2:2" ht="24.95" customHeight="1">
      <c r="B2066" s="271"/>
    </row>
    <row r="2067" spans="2:2" ht="24.95" customHeight="1">
      <c r="B2067" s="271"/>
    </row>
    <row r="2068" spans="2:2" ht="24.95" customHeight="1">
      <c r="B2068" s="271"/>
    </row>
    <row r="2069" spans="2:2" ht="24.95" customHeight="1">
      <c r="B2069" s="271"/>
    </row>
    <row r="2070" spans="2:2" ht="24.95" customHeight="1">
      <c r="B2070" s="271"/>
    </row>
    <row r="2071" spans="2:2" ht="24.95" customHeight="1">
      <c r="B2071" s="271"/>
    </row>
    <row r="2072" spans="2:2" ht="24.95" customHeight="1">
      <c r="B2072" s="271"/>
    </row>
    <row r="2073" spans="2:2" ht="24.95" customHeight="1">
      <c r="B2073" s="271"/>
    </row>
    <row r="2074" spans="2:2" ht="24.95" customHeight="1">
      <c r="B2074" s="271"/>
    </row>
    <row r="2075" spans="2:2" ht="24.95" customHeight="1">
      <c r="B2075" s="271"/>
    </row>
    <row r="2076" spans="2:2" ht="24.95" customHeight="1">
      <c r="B2076" s="271"/>
    </row>
    <row r="2077" spans="2:2" ht="24.95" customHeight="1">
      <c r="B2077" s="271"/>
    </row>
    <row r="2078" spans="2:2" ht="24.95" customHeight="1">
      <c r="B2078" s="271"/>
    </row>
    <row r="2079" spans="2:2" ht="24.95" customHeight="1">
      <c r="B2079" s="271"/>
    </row>
    <row r="2080" spans="2:2" ht="24.95" customHeight="1">
      <c r="B2080" s="271"/>
    </row>
    <row r="2081" spans="2:2" ht="24.95" customHeight="1">
      <c r="B2081" s="271"/>
    </row>
    <row r="2082" spans="2:2" ht="24.95" customHeight="1">
      <c r="B2082" s="271"/>
    </row>
    <row r="2083" spans="2:2" ht="24.95" customHeight="1">
      <c r="B2083" s="271"/>
    </row>
    <row r="2084" spans="2:2" ht="24.95" customHeight="1">
      <c r="B2084" s="271"/>
    </row>
    <row r="2085" spans="2:2" ht="24.95" customHeight="1">
      <c r="B2085" s="271"/>
    </row>
    <row r="2086" spans="2:2" ht="24.95" customHeight="1">
      <c r="B2086" s="271"/>
    </row>
    <row r="2087" spans="2:2" ht="24.95" customHeight="1">
      <c r="B2087" s="271"/>
    </row>
    <row r="2088" spans="2:2" ht="24.95" customHeight="1">
      <c r="B2088" s="271"/>
    </row>
    <row r="2089" spans="2:2" ht="24.95" customHeight="1">
      <c r="B2089" s="271"/>
    </row>
    <row r="2090" spans="2:2" ht="24.95" customHeight="1">
      <c r="B2090" s="271"/>
    </row>
    <row r="2091" spans="2:2" ht="24.95" customHeight="1">
      <c r="B2091" s="271"/>
    </row>
    <row r="2092" spans="2:2" ht="24.95" customHeight="1">
      <c r="B2092" s="271"/>
    </row>
    <row r="2093" spans="2:2" ht="24.95" customHeight="1">
      <c r="B2093" s="271"/>
    </row>
    <row r="2094" spans="2:2" ht="24.95" customHeight="1">
      <c r="B2094" s="271"/>
    </row>
    <row r="2095" spans="2:2" ht="24.95" customHeight="1">
      <c r="B2095" s="271"/>
    </row>
    <row r="2096" spans="2:2" ht="24.95" customHeight="1">
      <c r="B2096" s="271"/>
    </row>
    <row r="2097" spans="2:2" ht="24.95" customHeight="1">
      <c r="B2097" s="271"/>
    </row>
    <row r="2098" spans="2:2" ht="24.95" customHeight="1">
      <c r="B2098" s="271"/>
    </row>
    <row r="2099" spans="2:2" ht="24.95" customHeight="1">
      <c r="B2099" s="271"/>
    </row>
    <row r="2100" spans="2:2" ht="24.95" customHeight="1">
      <c r="B2100" s="271"/>
    </row>
    <row r="2101" spans="2:2" ht="24.95" customHeight="1">
      <c r="B2101" s="271"/>
    </row>
    <row r="2102" spans="2:2" ht="24.95" customHeight="1">
      <c r="B2102" s="271"/>
    </row>
    <row r="2103" spans="2:2" ht="24.95" customHeight="1">
      <c r="B2103" s="271"/>
    </row>
    <row r="2104" spans="2:2" ht="24.95" customHeight="1">
      <c r="B2104" s="271"/>
    </row>
    <row r="2105" spans="2:2" ht="24.95" customHeight="1">
      <c r="B2105" s="271"/>
    </row>
    <row r="2106" spans="2:2" ht="24.95" customHeight="1">
      <c r="B2106" s="271"/>
    </row>
    <row r="2107" spans="2:2" ht="24.95" customHeight="1">
      <c r="B2107" s="271"/>
    </row>
    <row r="2108" spans="2:2" ht="24.95" customHeight="1">
      <c r="B2108" s="271"/>
    </row>
    <row r="2109" spans="2:2" ht="24.95" customHeight="1">
      <c r="B2109" s="271"/>
    </row>
    <row r="2110" spans="2:2" ht="24.95" customHeight="1">
      <c r="B2110" s="271"/>
    </row>
    <row r="2111" spans="2:2" ht="24.95" customHeight="1">
      <c r="B2111" s="271"/>
    </row>
    <row r="2112" spans="2:2" ht="24.95" customHeight="1">
      <c r="B2112" s="271"/>
    </row>
    <row r="2113" spans="2:2" ht="24.95" customHeight="1">
      <c r="B2113" s="271"/>
    </row>
    <row r="2114" spans="2:2" ht="24.95" customHeight="1">
      <c r="B2114" s="271"/>
    </row>
    <row r="2115" spans="2:2" ht="24.95" customHeight="1">
      <c r="B2115" s="271"/>
    </row>
    <row r="2116" spans="2:2" ht="24.95" customHeight="1">
      <c r="B2116" s="271"/>
    </row>
    <row r="2117" spans="2:2" ht="24.95" customHeight="1">
      <c r="B2117" s="271"/>
    </row>
    <row r="2118" spans="2:2" ht="24.95" customHeight="1">
      <c r="B2118" s="271"/>
    </row>
    <row r="2119" spans="2:2" ht="24.95" customHeight="1">
      <c r="B2119" s="271"/>
    </row>
    <row r="2120" spans="2:2" ht="24.95" customHeight="1">
      <c r="B2120" s="271"/>
    </row>
    <row r="2121" spans="2:2" ht="24.95" customHeight="1">
      <c r="B2121" s="271"/>
    </row>
    <row r="2122" spans="2:2" ht="24.95" customHeight="1">
      <c r="B2122" s="271"/>
    </row>
    <row r="2123" spans="2:2" ht="24.95" customHeight="1">
      <c r="B2123" s="271"/>
    </row>
    <row r="2124" spans="2:2" ht="24.95" customHeight="1">
      <c r="B2124" s="271"/>
    </row>
    <row r="2125" spans="2:2" ht="24.95" customHeight="1">
      <c r="B2125" s="271"/>
    </row>
    <row r="2126" spans="2:2" ht="24.95" customHeight="1">
      <c r="B2126" s="271"/>
    </row>
    <row r="2127" spans="2:2" ht="24.95" customHeight="1">
      <c r="B2127" s="271"/>
    </row>
    <row r="2128" spans="2:2" ht="24.95" customHeight="1">
      <c r="B2128" s="271"/>
    </row>
    <row r="2129" spans="2:2" ht="24.95" customHeight="1">
      <c r="B2129" s="271"/>
    </row>
    <row r="2130" spans="2:2" ht="24.95" customHeight="1">
      <c r="B2130" s="271"/>
    </row>
    <row r="2131" spans="2:2" ht="24.95" customHeight="1">
      <c r="B2131" s="271"/>
    </row>
    <row r="2132" spans="2:2" ht="24.95" customHeight="1">
      <c r="B2132" s="271"/>
    </row>
    <row r="2133" spans="2:2" ht="24.95" customHeight="1">
      <c r="B2133" s="271"/>
    </row>
    <row r="2134" spans="2:2" ht="24.95" customHeight="1">
      <c r="B2134" s="271"/>
    </row>
    <row r="2135" spans="2:2" ht="24.95" customHeight="1">
      <c r="B2135" s="271"/>
    </row>
    <row r="2136" spans="2:2" ht="24.95" customHeight="1">
      <c r="B2136" s="271"/>
    </row>
    <row r="2137" spans="2:2" ht="24.95" customHeight="1">
      <c r="B2137" s="271"/>
    </row>
    <row r="2138" spans="2:2" ht="24.95" customHeight="1">
      <c r="B2138" s="271"/>
    </row>
    <row r="2139" spans="2:2" ht="24.95" customHeight="1">
      <c r="B2139" s="271"/>
    </row>
    <row r="2140" spans="2:2" ht="24.95" customHeight="1">
      <c r="B2140" s="271"/>
    </row>
    <row r="2141" spans="2:2" ht="24.95" customHeight="1">
      <c r="B2141" s="271"/>
    </row>
    <row r="2142" spans="2:2" ht="24.95" customHeight="1">
      <c r="B2142" s="271"/>
    </row>
    <row r="2143" spans="2:2" ht="24.95" customHeight="1">
      <c r="B2143" s="271"/>
    </row>
    <row r="2144" spans="2:2" ht="24.95" customHeight="1">
      <c r="B2144" s="271"/>
    </row>
    <row r="2145" spans="2:2" ht="24.95" customHeight="1">
      <c r="B2145" s="271"/>
    </row>
    <row r="2146" spans="2:2" ht="24.95" customHeight="1">
      <c r="B2146" s="271"/>
    </row>
    <row r="2147" spans="2:2" ht="24.95" customHeight="1">
      <c r="B2147" s="271"/>
    </row>
    <row r="2148" spans="2:2" ht="24.95" customHeight="1">
      <c r="B2148" s="271"/>
    </row>
    <row r="2149" spans="2:2" ht="24.95" customHeight="1">
      <c r="B2149" s="271"/>
    </row>
    <row r="2150" spans="2:2" ht="24.95" customHeight="1">
      <c r="B2150" s="271"/>
    </row>
    <row r="2151" spans="2:2" ht="24.95" customHeight="1">
      <c r="B2151" s="271"/>
    </row>
    <row r="2152" spans="2:2" ht="24.95" customHeight="1">
      <c r="B2152" s="271"/>
    </row>
    <row r="2153" spans="2:2" ht="24.95" customHeight="1">
      <c r="B2153" s="271"/>
    </row>
    <row r="2154" spans="2:2" ht="24.95" customHeight="1">
      <c r="B2154" s="271"/>
    </row>
    <row r="2155" spans="2:2" ht="24.95" customHeight="1">
      <c r="B2155" s="271"/>
    </row>
    <row r="2156" spans="2:2" ht="24.95" customHeight="1">
      <c r="B2156" s="271"/>
    </row>
    <row r="2157" spans="2:2" ht="24.95" customHeight="1">
      <c r="B2157" s="271"/>
    </row>
    <row r="2158" spans="2:2" ht="24.95" customHeight="1">
      <c r="B2158" s="271"/>
    </row>
    <row r="2159" spans="2:2" ht="24.95" customHeight="1">
      <c r="B2159" s="271"/>
    </row>
    <row r="2160" spans="2:2" ht="24.95" customHeight="1">
      <c r="B2160" s="271"/>
    </row>
    <row r="2161" spans="2:2" ht="24.95" customHeight="1">
      <c r="B2161" s="271"/>
    </row>
    <row r="2162" spans="2:2" ht="24.95" customHeight="1">
      <c r="B2162" s="271"/>
    </row>
    <row r="2163" spans="2:2" ht="24.95" customHeight="1">
      <c r="B2163" s="271"/>
    </row>
    <row r="2164" spans="2:2" ht="24.95" customHeight="1">
      <c r="B2164" s="271"/>
    </row>
    <row r="2165" spans="2:2" ht="24.95" customHeight="1">
      <c r="B2165" s="271"/>
    </row>
    <row r="2166" spans="2:2" ht="24.95" customHeight="1">
      <c r="B2166" s="271"/>
    </row>
    <row r="2167" spans="2:2" ht="24.95" customHeight="1">
      <c r="B2167" s="271"/>
    </row>
    <row r="2168" spans="2:2" ht="24.95" customHeight="1">
      <c r="B2168" s="271"/>
    </row>
    <row r="2169" spans="2:2" ht="24.95" customHeight="1">
      <c r="B2169" s="271"/>
    </row>
    <row r="2170" spans="2:2" ht="24.95" customHeight="1">
      <c r="B2170" s="271"/>
    </row>
    <row r="2171" spans="2:2" ht="24.95" customHeight="1">
      <c r="B2171" s="271"/>
    </row>
    <row r="2172" spans="2:2" ht="24.95" customHeight="1">
      <c r="B2172" s="271"/>
    </row>
    <row r="2173" spans="2:2" ht="24.95" customHeight="1">
      <c r="B2173" s="271"/>
    </row>
    <row r="2174" spans="2:2" ht="24.95" customHeight="1">
      <c r="B2174" s="271"/>
    </row>
    <row r="2175" spans="2:2" ht="24.95" customHeight="1">
      <c r="B2175" s="271"/>
    </row>
    <row r="2176" spans="2:2" ht="24.95" customHeight="1">
      <c r="B2176" s="271"/>
    </row>
    <row r="2177" spans="2:2" ht="24.95" customHeight="1">
      <c r="B2177" s="271"/>
    </row>
    <row r="2178" spans="2:2" ht="24.95" customHeight="1">
      <c r="B2178" s="271"/>
    </row>
    <row r="2179" spans="2:2" ht="24.95" customHeight="1">
      <c r="B2179" s="271"/>
    </row>
    <row r="2180" spans="2:2" ht="24.95" customHeight="1">
      <c r="B2180" s="271"/>
    </row>
    <row r="2181" spans="2:2" ht="24.95" customHeight="1">
      <c r="B2181" s="271"/>
    </row>
    <row r="2182" spans="2:2" ht="24.95" customHeight="1">
      <c r="B2182" s="271"/>
    </row>
    <row r="2183" spans="2:2" ht="24.95" customHeight="1">
      <c r="B2183" s="271"/>
    </row>
    <row r="2184" spans="2:2" ht="24.95" customHeight="1">
      <c r="B2184" s="271"/>
    </row>
    <row r="2185" spans="2:2" ht="24.95" customHeight="1">
      <c r="B2185" s="271"/>
    </row>
    <row r="2186" spans="2:2" ht="24.95" customHeight="1">
      <c r="B2186" s="271"/>
    </row>
    <row r="2187" spans="2:2" ht="24.95" customHeight="1">
      <c r="B2187" s="271"/>
    </row>
    <row r="2188" spans="2:2" ht="24.95" customHeight="1">
      <c r="B2188" s="271"/>
    </row>
    <row r="2189" spans="2:2" ht="24.95" customHeight="1">
      <c r="B2189" s="271"/>
    </row>
    <row r="2190" spans="2:2" ht="24.95" customHeight="1">
      <c r="B2190" s="271"/>
    </row>
    <row r="2191" spans="2:2" ht="24.95" customHeight="1">
      <c r="B2191" s="271"/>
    </row>
    <row r="2192" spans="2:2" ht="24.95" customHeight="1">
      <c r="B2192" s="271"/>
    </row>
    <row r="2193" spans="2:2" ht="24.95" customHeight="1">
      <c r="B2193" s="271"/>
    </row>
    <row r="2194" spans="2:2" ht="24.95" customHeight="1">
      <c r="B2194" s="271"/>
    </row>
    <row r="2195" spans="2:2" ht="24.95" customHeight="1">
      <c r="B2195" s="271"/>
    </row>
    <row r="2196" spans="2:2" ht="24.95" customHeight="1">
      <c r="B2196" s="271"/>
    </row>
    <row r="2197" spans="2:2" ht="24.95" customHeight="1">
      <c r="B2197" s="271"/>
    </row>
    <row r="2198" spans="2:2" ht="24.95" customHeight="1">
      <c r="B2198" s="271"/>
    </row>
    <row r="2199" spans="2:2" ht="24.95" customHeight="1">
      <c r="B2199" s="271"/>
    </row>
    <row r="2200" spans="2:2" ht="24.95" customHeight="1">
      <c r="B2200" s="271"/>
    </row>
    <row r="2201" spans="2:2" ht="24.95" customHeight="1">
      <c r="B2201" s="271"/>
    </row>
    <row r="2202" spans="2:2" ht="24.95" customHeight="1">
      <c r="B2202" s="271"/>
    </row>
    <row r="2203" spans="2:2" ht="24.95" customHeight="1">
      <c r="B2203" s="271"/>
    </row>
    <row r="2204" spans="2:2" ht="24.95" customHeight="1">
      <c r="B2204" s="271"/>
    </row>
    <row r="2205" spans="2:2" ht="24.95" customHeight="1">
      <c r="B2205" s="271"/>
    </row>
    <row r="2206" spans="2:2" ht="24.95" customHeight="1">
      <c r="B2206" s="271"/>
    </row>
    <row r="2207" spans="2:2" ht="24.95" customHeight="1">
      <c r="B2207" s="271"/>
    </row>
    <row r="2208" spans="2:2" ht="24.95" customHeight="1">
      <c r="B2208" s="271"/>
    </row>
    <row r="2209" spans="2:2" ht="24.95" customHeight="1">
      <c r="B2209" s="271"/>
    </row>
    <row r="2210" spans="2:2" ht="24.95" customHeight="1">
      <c r="B2210" s="271"/>
    </row>
    <row r="2211" spans="2:2" ht="24.95" customHeight="1">
      <c r="B2211" s="271"/>
    </row>
    <row r="2212" spans="2:2" ht="24.95" customHeight="1">
      <c r="B2212" s="271"/>
    </row>
    <row r="2213" spans="2:2" ht="24.95" customHeight="1">
      <c r="B2213" s="271"/>
    </row>
    <row r="2214" spans="2:2" ht="24.95" customHeight="1">
      <c r="B2214" s="271"/>
    </row>
    <row r="2215" spans="2:2" ht="24.95" customHeight="1">
      <c r="B2215" s="271"/>
    </row>
    <row r="2216" spans="2:2" ht="24.95" customHeight="1">
      <c r="B2216" s="271"/>
    </row>
    <row r="2217" spans="2:2" ht="24.95" customHeight="1">
      <c r="B2217" s="271"/>
    </row>
    <row r="2218" spans="2:2" ht="24.95" customHeight="1">
      <c r="B2218" s="271"/>
    </row>
    <row r="2219" spans="2:2" ht="24.95" customHeight="1">
      <c r="B2219" s="271"/>
    </row>
    <row r="2220" spans="2:2" ht="24.95" customHeight="1">
      <c r="B2220" s="271"/>
    </row>
    <row r="2221" spans="2:2" ht="24.95" customHeight="1">
      <c r="B2221" s="271"/>
    </row>
    <row r="2222" spans="2:2" ht="24.95" customHeight="1">
      <c r="B2222" s="271"/>
    </row>
    <row r="2223" spans="2:2" ht="24.95" customHeight="1">
      <c r="B2223" s="271"/>
    </row>
    <row r="2224" spans="2:2" ht="24.95" customHeight="1">
      <c r="B2224" s="271"/>
    </row>
    <row r="2225" spans="2:2" ht="24.95" customHeight="1">
      <c r="B2225" s="271"/>
    </row>
    <row r="2226" spans="2:2" ht="24.95" customHeight="1">
      <c r="B2226" s="271"/>
    </row>
    <row r="2227" spans="2:2" ht="24.95" customHeight="1">
      <c r="B2227" s="271"/>
    </row>
    <row r="2228" spans="2:2" ht="24.95" customHeight="1">
      <c r="B2228" s="271"/>
    </row>
    <row r="2229" spans="2:2" ht="24.95" customHeight="1">
      <c r="B2229" s="271"/>
    </row>
    <row r="2230" spans="2:2" ht="24.95" customHeight="1">
      <c r="B2230" s="271"/>
    </row>
    <row r="2231" spans="2:2" ht="24.95" customHeight="1">
      <c r="B2231" s="271"/>
    </row>
    <row r="2232" spans="2:2" ht="24.95" customHeight="1">
      <c r="B2232" s="271"/>
    </row>
    <row r="2233" spans="2:2" ht="24.95" customHeight="1">
      <c r="B2233" s="271"/>
    </row>
    <row r="2234" spans="2:2" ht="24.95" customHeight="1">
      <c r="B2234" s="271"/>
    </row>
    <row r="2235" spans="2:2" ht="24.95" customHeight="1">
      <c r="B2235" s="271"/>
    </row>
    <row r="2236" spans="2:2" ht="24.95" customHeight="1">
      <c r="B2236" s="271"/>
    </row>
    <row r="2237" spans="2:2" ht="24.95" customHeight="1">
      <c r="B2237" s="271"/>
    </row>
    <row r="2238" spans="2:2" ht="24.95" customHeight="1">
      <c r="B2238" s="271"/>
    </row>
    <row r="2239" spans="2:2" ht="24.95" customHeight="1">
      <c r="B2239" s="271"/>
    </row>
    <row r="2240" spans="2:2" ht="24.95" customHeight="1">
      <c r="B2240" s="271"/>
    </row>
    <row r="2241" spans="2:2" ht="24.95" customHeight="1">
      <c r="B2241" s="271"/>
    </row>
    <row r="2242" spans="2:2" ht="24.95" customHeight="1">
      <c r="B2242" s="271"/>
    </row>
    <row r="2243" spans="2:2" ht="24.95" customHeight="1">
      <c r="B2243" s="271"/>
    </row>
    <row r="2244" spans="2:2" ht="24.95" customHeight="1">
      <c r="B2244" s="271"/>
    </row>
    <row r="2245" spans="2:2" ht="24.95" customHeight="1">
      <c r="B2245" s="271"/>
    </row>
    <row r="2246" spans="2:2" ht="24.95" customHeight="1">
      <c r="B2246" s="271"/>
    </row>
    <row r="2247" spans="2:2" ht="24.95" customHeight="1">
      <c r="B2247" s="271"/>
    </row>
    <row r="2248" spans="2:2" ht="24.95" customHeight="1">
      <c r="B2248" s="271"/>
    </row>
    <row r="2249" spans="2:2" ht="24.95" customHeight="1">
      <c r="B2249" s="271"/>
    </row>
    <row r="2250" spans="2:2" ht="24.95" customHeight="1">
      <c r="B2250" s="271"/>
    </row>
    <row r="2251" spans="2:2" ht="24.95" customHeight="1">
      <c r="B2251" s="271"/>
    </row>
    <row r="2252" spans="2:2" ht="24.95" customHeight="1">
      <c r="B2252" s="271"/>
    </row>
    <row r="2253" spans="2:2" ht="24.95" customHeight="1">
      <c r="B2253" s="271"/>
    </row>
    <row r="2254" spans="2:2" ht="24.95" customHeight="1">
      <c r="B2254" s="271"/>
    </row>
    <row r="2255" spans="2:2" ht="24.95" customHeight="1">
      <c r="B2255" s="271"/>
    </row>
    <row r="2256" spans="2:2" ht="24.95" customHeight="1">
      <c r="B2256" s="271"/>
    </row>
    <row r="2257" spans="2:2" ht="24.95" customHeight="1">
      <c r="B2257" s="271"/>
    </row>
    <row r="2258" spans="2:2" ht="24.95" customHeight="1">
      <c r="B2258" s="271"/>
    </row>
    <row r="2259" spans="2:2" ht="24.95" customHeight="1">
      <c r="B2259" s="271"/>
    </row>
    <row r="2260" spans="2:2" ht="24.95" customHeight="1">
      <c r="B2260" s="271"/>
    </row>
    <row r="2261" spans="2:2" ht="24.95" customHeight="1">
      <c r="B2261" s="271"/>
    </row>
    <row r="2262" spans="2:2" ht="24.95" customHeight="1">
      <c r="B2262" s="271"/>
    </row>
    <row r="2263" spans="2:2" ht="24.95" customHeight="1">
      <c r="B2263" s="271"/>
    </row>
    <row r="2264" spans="2:2" ht="24.95" customHeight="1">
      <c r="B2264" s="271"/>
    </row>
    <row r="2265" spans="2:2" ht="24.95" customHeight="1">
      <c r="B2265" s="271"/>
    </row>
    <row r="2266" spans="2:2" ht="24.95" customHeight="1">
      <c r="B2266" s="271"/>
    </row>
    <row r="2267" spans="2:2" ht="24.95" customHeight="1">
      <c r="B2267" s="271"/>
    </row>
    <row r="2268" spans="2:2" ht="24.95" customHeight="1">
      <c r="B2268" s="271"/>
    </row>
    <row r="2269" spans="2:2" ht="24.95" customHeight="1">
      <c r="B2269" s="271"/>
    </row>
    <row r="2270" spans="2:2" ht="24.95" customHeight="1">
      <c r="B2270" s="271"/>
    </row>
    <row r="2271" spans="2:2" ht="24.95" customHeight="1">
      <c r="B2271" s="271"/>
    </row>
    <row r="2272" spans="2:2" ht="24.95" customHeight="1">
      <c r="B2272" s="271"/>
    </row>
    <row r="2273" spans="2:2" ht="24.95" customHeight="1">
      <c r="B2273" s="271"/>
    </row>
    <row r="2274" spans="2:2" ht="24.95" customHeight="1">
      <c r="B2274" s="271"/>
    </row>
    <row r="2275" spans="2:2" ht="24.95" customHeight="1">
      <c r="B2275" s="271"/>
    </row>
    <row r="2276" spans="2:2" ht="24.95" customHeight="1">
      <c r="B2276" s="271"/>
    </row>
    <row r="2277" spans="2:2" ht="24.95" customHeight="1">
      <c r="B2277" s="271"/>
    </row>
    <row r="2278" spans="2:2" ht="24.95" customHeight="1">
      <c r="B2278" s="271"/>
    </row>
    <row r="2279" spans="2:2" ht="24.95" customHeight="1">
      <c r="B2279" s="271"/>
    </row>
    <row r="2280" spans="2:2" ht="24.95" customHeight="1">
      <c r="B2280" s="271"/>
    </row>
    <row r="2281" spans="2:2" ht="24.95" customHeight="1">
      <c r="B2281" s="271"/>
    </row>
    <row r="2282" spans="2:2" ht="24.95" customHeight="1">
      <c r="B2282" s="271"/>
    </row>
    <row r="2283" spans="2:2" ht="24.95" customHeight="1">
      <c r="B2283" s="271"/>
    </row>
    <row r="2284" spans="2:2" ht="24.95" customHeight="1">
      <c r="B2284" s="271"/>
    </row>
    <row r="2285" spans="2:2" ht="24.95" customHeight="1">
      <c r="B2285" s="271"/>
    </row>
    <row r="2286" spans="2:2" ht="24.95" customHeight="1">
      <c r="B2286" s="271"/>
    </row>
    <row r="2287" spans="2:2" ht="24.95" customHeight="1">
      <c r="B2287" s="271"/>
    </row>
    <row r="2288" spans="2:2" ht="24.95" customHeight="1">
      <c r="B2288" s="271"/>
    </row>
    <row r="2289" spans="2:2" ht="24.95" customHeight="1">
      <c r="B2289" s="271"/>
    </row>
    <row r="2290" spans="2:2" ht="24.95" customHeight="1">
      <c r="B2290" s="271"/>
    </row>
    <row r="2291" spans="2:2" ht="24.95" customHeight="1">
      <c r="B2291" s="271"/>
    </row>
    <row r="2292" spans="2:2" ht="24.95" customHeight="1">
      <c r="B2292" s="271"/>
    </row>
    <row r="2293" spans="2:2" ht="24.95" customHeight="1">
      <c r="B2293" s="271"/>
    </row>
    <row r="2294" spans="2:2" ht="24.95" customHeight="1">
      <c r="B2294" s="271"/>
    </row>
    <row r="2295" spans="2:2" ht="24.95" customHeight="1">
      <c r="B2295" s="271"/>
    </row>
    <row r="2296" spans="2:2" ht="24.95" customHeight="1">
      <c r="B2296" s="271"/>
    </row>
    <row r="2297" spans="2:2" ht="24.95" customHeight="1">
      <c r="B2297" s="271"/>
    </row>
    <row r="2298" spans="2:2" ht="24.95" customHeight="1">
      <c r="B2298" s="271"/>
    </row>
    <row r="2299" spans="2:2" ht="24.95" customHeight="1">
      <c r="B2299" s="271"/>
    </row>
    <row r="2300" spans="2:2" ht="24.95" customHeight="1">
      <c r="B2300" s="271"/>
    </row>
    <row r="2301" spans="2:2" ht="24.95" customHeight="1">
      <c r="B2301" s="271"/>
    </row>
    <row r="2302" spans="2:2" ht="24.95" customHeight="1">
      <c r="B2302" s="271"/>
    </row>
    <row r="2303" spans="2:2" ht="24.95" customHeight="1">
      <c r="B2303" s="271"/>
    </row>
    <row r="2304" spans="2:2" ht="24.95" customHeight="1">
      <c r="B2304" s="271"/>
    </row>
    <row r="2305" spans="2:2" ht="24.95" customHeight="1">
      <c r="B2305" s="271"/>
    </row>
    <row r="2306" spans="2:2" ht="24.95" customHeight="1">
      <c r="B2306" s="271"/>
    </row>
    <row r="2307" spans="2:2" ht="24.95" customHeight="1">
      <c r="B2307" s="271"/>
    </row>
    <row r="2308" spans="2:2" ht="24.95" customHeight="1">
      <c r="B2308" s="271"/>
    </row>
    <row r="2309" spans="2:2" ht="24.95" customHeight="1">
      <c r="B2309" s="271"/>
    </row>
    <row r="2310" spans="2:2" ht="24.95" customHeight="1">
      <c r="B2310" s="271"/>
    </row>
    <row r="2311" spans="2:2" ht="24.95" customHeight="1">
      <c r="B2311" s="271"/>
    </row>
    <row r="2312" spans="2:2" ht="24.95" customHeight="1">
      <c r="B2312" s="271"/>
    </row>
    <row r="2313" spans="2:2" ht="24.95" customHeight="1">
      <c r="B2313" s="271"/>
    </row>
    <row r="2314" spans="2:2" ht="24.95" customHeight="1">
      <c r="B2314" s="271"/>
    </row>
    <row r="2315" spans="2:2" ht="24.95" customHeight="1">
      <c r="B2315" s="271"/>
    </row>
    <row r="2316" spans="2:2" ht="24.95" customHeight="1">
      <c r="B2316" s="271"/>
    </row>
    <row r="2317" spans="2:2" ht="24.95" customHeight="1">
      <c r="B2317" s="271"/>
    </row>
    <row r="2318" spans="2:2" ht="24.95" customHeight="1">
      <c r="B2318" s="271"/>
    </row>
    <row r="2319" spans="2:2" ht="24.95" customHeight="1">
      <c r="B2319" s="271"/>
    </row>
    <row r="2320" spans="2:2" ht="24.95" customHeight="1">
      <c r="B2320" s="271"/>
    </row>
    <row r="2321" spans="2:2" ht="24.95" customHeight="1">
      <c r="B2321" s="271"/>
    </row>
    <row r="2322" spans="2:2" ht="24.95" customHeight="1">
      <c r="B2322" s="271"/>
    </row>
    <row r="2323" spans="2:2" ht="24.95" customHeight="1">
      <c r="B2323" s="271"/>
    </row>
    <row r="2324" spans="2:2" ht="24.95" customHeight="1">
      <c r="B2324" s="271"/>
    </row>
    <row r="2325" spans="2:2" ht="24.95" customHeight="1">
      <c r="B2325" s="271"/>
    </row>
    <row r="2326" spans="2:2" ht="24.95" customHeight="1">
      <c r="B2326" s="271"/>
    </row>
    <row r="2327" spans="2:2" ht="24.95" customHeight="1">
      <c r="B2327" s="271"/>
    </row>
    <row r="2328" spans="2:2" ht="24.95" customHeight="1">
      <c r="B2328" s="271"/>
    </row>
    <row r="2329" spans="2:2" ht="24.95" customHeight="1">
      <c r="B2329" s="271"/>
    </row>
    <row r="2330" spans="2:2" ht="24.95" customHeight="1">
      <c r="B2330" s="271"/>
    </row>
    <row r="2331" spans="2:2" ht="24.95" customHeight="1">
      <c r="B2331" s="271"/>
    </row>
    <row r="2332" spans="2:2" ht="24.95" customHeight="1">
      <c r="B2332" s="271"/>
    </row>
    <row r="2333" spans="2:2" ht="24.95" customHeight="1">
      <c r="B2333" s="271"/>
    </row>
    <row r="2334" spans="2:2" ht="24.95" customHeight="1">
      <c r="B2334" s="271"/>
    </row>
    <row r="2335" spans="2:2" ht="24.95" customHeight="1">
      <c r="B2335" s="271"/>
    </row>
    <row r="2336" spans="2:2" ht="24.95" customHeight="1">
      <c r="B2336" s="271"/>
    </row>
    <row r="2337" spans="2:2" ht="24.95" customHeight="1">
      <c r="B2337" s="271"/>
    </row>
    <row r="2338" spans="2:2" ht="24.95" customHeight="1">
      <c r="B2338" s="271"/>
    </row>
    <row r="2339" spans="2:2" ht="24.95" customHeight="1">
      <c r="B2339" s="271"/>
    </row>
    <row r="2340" spans="2:2" ht="24.95" customHeight="1">
      <c r="B2340" s="271"/>
    </row>
    <row r="2341" spans="2:2" ht="24.95" customHeight="1">
      <c r="B2341" s="271"/>
    </row>
    <row r="2342" spans="2:2" ht="24.95" customHeight="1">
      <c r="B2342" s="271"/>
    </row>
    <row r="2343" spans="2:2" ht="24.95" customHeight="1">
      <c r="B2343" s="271"/>
    </row>
    <row r="2344" spans="2:2" ht="24.95" customHeight="1">
      <c r="B2344" s="271"/>
    </row>
    <row r="2345" spans="2:2" ht="24.95" customHeight="1">
      <c r="B2345" s="271"/>
    </row>
    <row r="2346" spans="2:2" ht="24.95" customHeight="1">
      <c r="B2346" s="271"/>
    </row>
    <row r="2347" spans="2:2" ht="24.95" customHeight="1">
      <c r="B2347" s="271"/>
    </row>
    <row r="2348" spans="2:2" ht="24.95" customHeight="1">
      <c r="B2348" s="271"/>
    </row>
    <row r="2349" spans="2:2" ht="24.95" customHeight="1">
      <c r="B2349" s="271"/>
    </row>
    <row r="2350" spans="2:2" ht="24.95" customHeight="1">
      <c r="B2350" s="271"/>
    </row>
    <row r="2351" spans="2:2" ht="24.95" customHeight="1">
      <c r="B2351" s="271"/>
    </row>
    <row r="2352" spans="2:2" ht="24.95" customHeight="1">
      <c r="B2352" s="271"/>
    </row>
    <row r="2353" spans="2:2" ht="24.95" customHeight="1">
      <c r="B2353" s="271"/>
    </row>
    <row r="2354" spans="2:2" ht="24.95" customHeight="1">
      <c r="B2354" s="271"/>
    </row>
    <row r="2355" spans="2:2" ht="24.95" customHeight="1">
      <c r="B2355" s="271"/>
    </row>
    <row r="2356" spans="2:2" ht="24.95" customHeight="1">
      <c r="B2356" s="271"/>
    </row>
    <row r="2357" spans="2:2" ht="24.95" customHeight="1">
      <c r="B2357" s="271"/>
    </row>
    <row r="2358" spans="2:2" ht="24.95" customHeight="1">
      <c r="B2358" s="271"/>
    </row>
    <row r="2359" spans="2:2" ht="24.95" customHeight="1">
      <c r="B2359" s="271"/>
    </row>
    <row r="2360" spans="2:2" ht="24.95" customHeight="1">
      <c r="B2360" s="271"/>
    </row>
    <row r="2361" spans="2:2" ht="24.95" customHeight="1">
      <c r="B2361" s="271"/>
    </row>
    <row r="2362" spans="2:2" ht="24.95" customHeight="1">
      <c r="B2362" s="271"/>
    </row>
    <row r="2363" spans="2:2" ht="24.95" customHeight="1">
      <c r="B2363" s="271"/>
    </row>
    <row r="2364" spans="2:2" ht="24.95" customHeight="1">
      <c r="B2364" s="271"/>
    </row>
    <row r="2365" spans="2:2" ht="24.95" customHeight="1">
      <c r="B2365" s="271"/>
    </row>
    <row r="2366" spans="2:2" ht="24.95" customHeight="1">
      <c r="B2366" s="271"/>
    </row>
    <row r="2367" spans="2:2" ht="24.95" customHeight="1">
      <c r="B2367" s="271"/>
    </row>
    <row r="2368" spans="2:2" ht="24.95" customHeight="1">
      <c r="B2368" s="271"/>
    </row>
    <row r="2369" spans="2:2" ht="24.95" customHeight="1">
      <c r="B2369" s="271"/>
    </row>
    <row r="2370" spans="2:2" ht="24.95" customHeight="1">
      <c r="B2370" s="271"/>
    </row>
    <row r="2371" spans="2:2" ht="24.95" customHeight="1">
      <c r="B2371" s="271"/>
    </row>
    <row r="2372" spans="2:2" ht="24.95" customHeight="1">
      <c r="B2372" s="271"/>
    </row>
    <row r="2373" spans="2:2" ht="24.95" customHeight="1">
      <c r="B2373" s="271"/>
    </row>
    <row r="2374" spans="2:2" ht="24.95" customHeight="1">
      <c r="B2374" s="271"/>
    </row>
    <row r="2375" spans="2:2" ht="24.95" customHeight="1">
      <c r="B2375" s="271"/>
    </row>
    <row r="2376" spans="2:2" ht="24.95" customHeight="1">
      <c r="B2376" s="271"/>
    </row>
    <row r="2377" spans="2:2" ht="24.95" customHeight="1">
      <c r="B2377" s="271"/>
    </row>
    <row r="2378" spans="2:2" ht="24.95" customHeight="1">
      <c r="B2378" s="271"/>
    </row>
    <row r="2379" spans="2:2" ht="24.95" customHeight="1">
      <c r="B2379" s="271"/>
    </row>
    <row r="2380" spans="2:2" ht="24.95" customHeight="1">
      <c r="B2380" s="271"/>
    </row>
    <row r="2381" spans="2:2" ht="24.95" customHeight="1">
      <c r="B2381" s="271"/>
    </row>
    <row r="2382" spans="2:2" ht="24.95" customHeight="1">
      <c r="B2382" s="271"/>
    </row>
    <row r="2383" spans="2:2" ht="24.95" customHeight="1">
      <c r="B2383" s="271"/>
    </row>
    <row r="2384" spans="2:2" ht="24.95" customHeight="1">
      <c r="B2384" s="271"/>
    </row>
    <row r="2385" spans="2:2" ht="24.95" customHeight="1">
      <c r="B2385" s="271"/>
    </row>
    <row r="2386" spans="2:2" ht="24.95" customHeight="1">
      <c r="B2386" s="271"/>
    </row>
    <row r="2387" spans="2:2" ht="24.95" customHeight="1">
      <c r="B2387" s="271"/>
    </row>
    <row r="2388" spans="2:2" ht="24.95" customHeight="1">
      <c r="B2388" s="271"/>
    </row>
    <row r="2389" spans="2:2" ht="24.95" customHeight="1">
      <c r="B2389" s="271"/>
    </row>
    <row r="2390" spans="2:2" ht="24.95" customHeight="1">
      <c r="B2390" s="271"/>
    </row>
    <row r="2391" spans="2:2" ht="24.95" customHeight="1">
      <c r="B2391" s="271"/>
    </row>
    <row r="2392" spans="2:2" ht="24.95" customHeight="1">
      <c r="B2392" s="271"/>
    </row>
    <row r="2393" spans="2:2" ht="24.95" customHeight="1">
      <c r="B2393" s="271"/>
    </row>
    <row r="2394" spans="2:2" ht="24.95" customHeight="1">
      <c r="B2394" s="271"/>
    </row>
    <row r="2395" spans="2:2" ht="24.95" customHeight="1">
      <c r="B2395" s="271"/>
    </row>
    <row r="2396" spans="2:2" ht="24.95" customHeight="1">
      <c r="B2396" s="271"/>
    </row>
    <row r="2397" spans="2:2" ht="24.95" customHeight="1">
      <c r="B2397" s="271"/>
    </row>
    <row r="2398" spans="2:2" ht="24.95" customHeight="1">
      <c r="B2398" s="271"/>
    </row>
    <row r="2399" spans="2:2" ht="24.95" customHeight="1">
      <c r="B2399" s="271"/>
    </row>
    <row r="2400" spans="2:2" ht="24.95" customHeight="1">
      <c r="B2400" s="271"/>
    </row>
    <row r="2401" spans="2:2" ht="24.95" customHeight="1">
      <c r="B2401" s="271"/>
    </row>
    <row r="2402" spans="2:2" ht="24.95" customHeight="1">
      <c r="B2402" s="271"/>
    </row>
    <row r="2403" spans="2:2" ht="24.95" customHeight="1">
      <c r="B2403" s="271"/>
    </row>
    <row r="2404" spans="2:2" ht="24.95" customHeight="1">
      <c r="B2404" s="271"/>
    </row>
    <row r="2405" spans="2:2" ht="24.95" customHeight="1">
      <c r="B2405" s="271"/>
    </row>
    <row r="2406" spans="2:2" ht="24.95" customHeight="1">
      <c r="B2406" s="271"/>
    </row>
    <row r="2407" spans="2:2" ht="24.95" customHeight="1">
      <c r="B2407" s="271"/>
    </row>
    <row r="2408" spans="2:2" ht="24.95" customHeight="1">
      <c r="B2408" s="271"/>
    </row>
    <row r="2409" spans="2:2" ht="24.95" customHeight="1">
      <c r="B2409" s="271"/>
    </row>
    <row r="2410" spans="2:2" ht="24.95" customHeight="1">
      <c r="B2410" s="271"/>
    </row>
    <row r="2411" spans="2:2" ht="24.95" customHeight="1">
      <c r="B2411" s="271"/>
    </row>
    <row r="2412" spans="2:2" ht="24.95" customHeight="1">
      <c r="B2412" s="271"/>
    </row>
    <row r="2413" spans="2:2" ht="24.95" customHeight="1">
      <c r="B2413" s="271"/>
    </row>
    <row r="2414" spans="2:2" ht="24.95" customHeight="1">
      <c r="B2414" s="271"/>
    </row>
    <row r="2415" spans="2:2" ht="24.95" customHeight="1">
      <c r="B2415" s="271"/>
    </row>
    <row r="2416" spans="2:2" ht="24.95" customHeight="1">
      <c r="B2416" s="271"/>
    </row>
    <row r="2417" spans="2:2" ht="24.95" customHeight="1">
      <c r="B2417" s="271"/>
    </row>
    <row r="2418" spans="2:2" ht="24.95" customHeight="1">
      <c r="B2418" s="271"/>
    </row>
    <row r="2419" spans="2:2" ht="24.95" customHeight="1">
      <c r="B2419" s="271"/>
    </row>
    <row r="2420" spans="2:2" ht="24.95" customHeight="1">
      <c r="B2420" s="271"/>
    </row>
    <row r="2421" spans="2:2" ht="24.95" customHeight="1">
      <c r="B2421" s="271"/>
    </row>
    <row r="2422" spans="2:2" ht="24.95" customHeight="1">
      <c r="B2422" s="271"/>
    </row>
    <row r="2423" spans="2:2" ht="24.95" customHeight="1">
      <c r="B2423" s="271"/>
    </row>
    <row r="2424" spans="2:2" ht="24.95" customHeight="1">
      <c r="B2424" s="271"/>
    </row>
    <row r="2425" spans="2:2" ht="24.95" customHeight="1">
      <c r="B2425" s="271"/>
    </row>
    <row r="2426" spans="2:2" ht="24.95" customHeight="1">
      <c r="B2426" s="271"/>
    </row>
    <row r="2427" spans="2:2" ht="24.95" customHeight="1">
      <c r="B2427" s="271"/>
    </row>
    <row r="2428" spans="2:2" ht="24.95" customHeight="1">
      <c r="B2428" s="271"/>
    </row>
    <row r="2429" spans="2:2" ht="24.95" customHeight="1">
      <c r="B2429" s="271"/>
    </row>
    <row r="2430" spans="2:2" ht="24.95" customHeight="1">
      <c r="B2430" s="271"/>
    </row>
    <row r="2431" spans="2:2" ht="24.95" customHeight="1">
      <c r="B2431" s="271"/>
    </row>
    <row r="2432" spans="2:2" ht="24.95" customHeight="1">
      <c r="B2432" s="271"/>
    </row>
    <row r="2433" spans="2:2" ht="24.95" customHeight="1">
      <c r="B2433" s="271"/>
    </row>
    <row r="2434" spans="2:2" ht="24.95" customHeight="1">
      <c r="B2434" s="271"/>
    </row>
    <row r="2435" spans="2:2" ht="24.95" customHeight="1">
      <c r="B2435" s="271"/>
    </row>
    <row r="2436" spans="2:2" ht="24.95" customHeight="1">
      <c r="B2436" s="271"/>
    </row>
    <row r="2437" spans="2:2" ht="24.95" customHeight="1">
      <c r="B2437" s="271"/>
    </row>
    <row r="2438" spans="2:2" ht="24.95" customHeight="1">
      <c r="B2438" s="271"/>
    </row>
    <row r="2439" spans="2:2" ht="24.95" customHeight="1">
      <c r="B2439" s="271"/>
    </row>
    <row r="2440" spans="2:2" ht="24.95" customHeight="1">
      <c r="B2440" s="271"/>
    </row>
    <row r="2441" spans="2:2" ht="24.95" customHeight="1">
      <c r="B2441" s="271"/>
    </row>
    <row r="2442" spans="2:2" ht="24.95" customHeight="1">
      <c r="B2442" s="271"/>
    </row>
    <row r="2443" spans="2:2" ht="24.95" customHeight="1">
      <c r="B2443" s="271"/>
    </row>
    <row r="2444" spans="2:2" ht="24.95" customHeight="1">
      <c r="B2444" s="271"/>
    </row>
    <row r="2445" spans="2:2" ht="24.95" customHeight="1">
      <c r="B2445" s="271"/>
    </row>
    <row r="2446" spans="2:2" ht="24.95" customHeight="1">
      <c r="B2446" s="271"/>
    </row>
    <row r="2447" spans="2:2" ht="24.95" customHeight="1">
      <c r="B2447" s="271"/>
    </row>
    <row r="2448" spans="2:2" ht="24.95" customHeight="1">
      <c r="B2448" s="271"/>
    </row>
    <row r="2449" spans="2:2" ht="24.95" customHeight="1">
      <c r="B2449" s="271"/>
    </row>
    <row r="2450" spans="2:2" ht="24.95" customHeight="1">
      <c r="B2450" s="271"/>
    </row>
    <row r="2451" spans="2:2" ht="24.95" customHeight="1">
      <c r="B2451" s="271"/>
    </row>
    <row r="2452" spans="2:2" ht="24.95" customHeight="1">
      <c r="B2452" s="271"/>
    </row>
    <row r="2453" spans="2:2" ht="24.95" customHeight="1">
      <c r="B2453" s="271"/>
    </row>
    <row r="2454" spans="2:2" ht="24.95" customHeight="1">
      <c r="B2454" s="271"/>
    </row>
    <row r="2455" spans="2:2" ht="24.95" customHeight="1">
      <c r="B2455" s="271"/>
    </row>
    <row r="2456" spans="2:2" ht="24.95" customHeight="1">
      <c r="B2456" s="271"/>
    </row>
    <row r="2457" spans="2:2" ht="24.95" customHeight="1">
      <c r="B2457" s="271"/>
    </row>
    <row r="2458" spans="2:2" ht="24.95" customHeight="1">
      <c r="B2458" s="271"/>
    </row>
    <row r="2459" spans="2:2" ht="24.95" customHeight="1">
      <c r="B2459" s="271"/>
    </row>
    <row r="2460" spans="2:2" ht="24.95" customHeight="1">
      <c r="B2460" s="271"/>
    </row>
    <row r="2461" spans="2:2" ht="24.95" customHeight="1">
      <c r="B2461" s="271"/>
    </row>
    <row r="2462" spans="2:2" ht="24.95" customHeight="1">
      <c r="B2462" s="271"/>
    </row>
    <row r="2463" spans="2:2" ht="24.95" customHeight="1">
      <c r="B2463" s="271"/>
    </row>
    <row r="2464" spans="2:2" ht="24.95" customHeight="1">
      <c r="B2464" s="271"/>
    </row>
    <row r="2465" spans="2:2" ht="24.95" customHeight="1">
      <c r="B2465" s="271"/>
    </row>
    <row r="2466" spans="2:2" ht="24.95" customHeight="1">
      <c r="B2466" s="271"/>
    </row>
    <row r="2467" spans="2:2" ht="24.95" customHeight="1">
      <c r="B2467" s="271"/>
    </row>
    <row r="2468" spans="2:2" ht="24.95" customHeight="1">
      <c r="B2468" s="271"/>
    </row>
    <row r="2469" spans="2:2" ht="24.95" customHeight="1">
      <c r="B2469" s="271"/>
    </row>
    <row r="2470" spans="2:2" ht="24.95" customHeight="1">
      <c r="B2470" s="271"/>
    </row>
    <row r="2471" spans="2:2" ht="24.95" customHeight="1">
      <c r="B2471" s="271"/>
    </row>
    <row r="2472" spans="2:2" ht="24.95" customHeight="1">
      <c r="B2472" s="271"/>
    </row>
    <row r="2473" spans="2:2" ht="24.95" customHeight="1">
      <c r="B2473" s="271"/>
    </row>
    <row r="2474" spans="2:2" ht="24.95" customHeight="1">
      <c r="B2474" s="271"/>
    </row>
    <row r="2475" spans="2:2" ht="24.95" customHeight="1">
      <c r="B2475" s="271"/>
    </row>
    <row r="2476" spans="2:2" ht="24.95" customHeight="1">
      <c r="B2476" s="271"/>
    </row>
    <row r="2477" spans="2:2" ht="24.95" customHeight="1">
      <c r="B2477" s="271"/>
    </row>
    <row r="2478" spans="2:2" ht="24.95" customHeight="1">
      <c r="B2478" s="271"/>
    </row>
    <row r="2479" spans="2:2" ht="24.95" customHeight="1">
      <c r="B2479" s="271"/>
    </row>
    <row r="2480" spans="2:2" ht="24.95" customHeight="1">
      <c r="B2480" s="271"/>
    </row>
    <row r="2481" spans="2:2" ht="24.95" customHeight="1">
      <c r="B2481" s="271"/>
    </row>
    <row r="2482" spans="2:2" ht="24.95" customHeight="1">
      <c r="B2482" s="271"/>
    </row>
    <row r="2483" spans="2:2" ht="24.95" customHeight="1">
      <c r="B2483" s="271"/>
    </row>
    <row r="2484" spans="2:2" ht="24.95" customHeight="1">
      <c r="B2484" s="271"/>
    </row>
    <row r="2485" spans="2:2" ht="24.95" customHeight="1">
      <c r="B2485" s="271"/>
    </row>
    <row r="2486" spans="2:2" ht="24.95" customHeight="1">
      <c r="B2486" s="271"/>
    </row>
    <row r="2487" spans="2:2" ht="24.95" customHeight="1">
      <c r="B2487" s="271"/>
    </row>
    <row r="2488" spans="2:2" ht="24.95" customHeight="1">
      <c r="B2488" s="271"/>
    </row>
    <row r="2489" spans="2:2" ht="24.95" customHeight="1">
      <c r="B2489" s="271"/>
    </row>
    <row r="2490" spans="2:2" ht="24.95" customHeight="1">
      <c r="B2490" s="271"/>
    </row>
    <row r="2491" spans="2:2" ht="24.95" customHeight="1">
      <c r="B2491" s="271"/>
    </row>
    <row r="2492" spans="2:2" ht="24.95" customHeight="1">
      <c r="B2492" s="271"/>
    </row>
    <row r="2493" spans="2:2" ht="24.95" customHeight="1">
      <c r="B2493" s="271"/>
    </row>
    <row r="2494" spans="2:2" ht="24.95" customHeight="1">
      <c r="B2494" s="271"/>
    </row>
    <row r="2495" spans="2:2" ht="24.95" customHeight="1">
      <c r="B2495" s="271"/>
    </row>
    <row r="2496" spans="2:2" ht="24.95" customHeight="1">
      <c r="B2496" s="271"/>
    </row>
    <row r="2497" spans="2:2" ht="24.95" customHeight="1">
      <c r="B2497" s="271"/>
    </row>
    <row r="2498" spans="2:2" ht="24.95" customHeight="1">
      <c r="B2498" s="271"/>
    </row>
    <row r="2499" spans="2:2" ht="24.95" customHeight="1">
      <c r="B2499" s="271"/>
    </row>
    <row r="2500" spans="2:2" ht="24.95" customHeight="1">
      <c r="B2500" s="271"/>
    </row>
    <row r="2501" spans="2:2" ht="24.95" customHeight="1">
      <c r="B2501" s="271"/>
    </row>
    <row r="2502" spans="2:2" ht="24.95" customHeight="1">
      <c r="B2502" s="271"/>
    </row>
    <row r="2503" spans="2:2" ht="24.95" customHeight="1">
      <c r="B2503" s="271"/>
    </row>
    <row r="2504" spans="2:2" ht="24.95" customHeight="1">
      <c r="B2504" s="271"/>
    </row>
    <row r="2505" spans="2:2" ht="24.95" customHeight="1">
      <c r="B2505" s="271"/>
    </row>
    <row r="2506" spans="2:2" ht="24.95" customHeight="1">
      <c r="B2506" s="271"/>
    </row>
    <row r="2507" spans="2:2" ht="24.95" customHeight="1">
      <c r="B2507" s="271"/>
    </row>
    <row r="2508" spans="2:2" ht="24.95" customHeight="1">
      <c r="B2508" s="271"/>
    </row>
    <row r="2509" spans="2:2" ht="24.95" customHeight="1">
      <c r="B2509" s="271"/>
    </row>
    <row r="2510" spans="2:2" ht="24.95" customHeight="1">
      <c r="B2510" s="271"/>
    </row>
    <row r="2511" spans="2:2" ht="24.95" customHeight="1">
      <c r="B2511" s="271"/>
    </row>
    <row r="2512" spans="2:2" ht="24.95" customHeight="1">
      <c r="B2512" s="271"/>
    </row>
    <row r="2513" spans="2:2" ht="24.95" customHeight="1">
      <c r="B2513" s="271"/>
    </row>
    <row r="2514" spans="2:2" ht="24.95" customHeight="1">
      <c r="B2514" s="271"/>
    </row>
    <row r="2515" spans="2:2" ht="24.95" customHeight="1">
      <c r="B2515" s="271"/>
    </row>
    <row r="2516" spans="2:2" ht="24.95" customHeight="1">
      <c r="B2516" s="271"/>
    </row>
    <row r="2517" spans="2:2" ht="24.95" customHeight="1">
      <c r="B2517" s="271"/>
    </row>
    <row r="2518" spans="2:2" ht="24.95" customHeight="1">
      <c r="B2518" s="271"/>
    </row>
    <row r="2519" spans="2:2" ht="24.95" customHeight="1">
      <c r="B2519" s="271"/>
    </row>
    <row r="2520" spans="2:2" ht="24.95" customHeight="1">
      <c r="B2520" s="271"/>
    </row>
    <row r="2521" spans="2:2" ht="24.95" customHeight="1">
      <c r="B2521" s="271"/>
    </row>
    <row r="2522" spans="2:2" ht="24.95" customHeight="1">
      <c r="B2522" s="271"/>
    </row>
    <row r="2523" spans="2:2" ht="24.95" customHeight="1">
      <c r="B2523" s="271"/>
    </row>
    <row r="2524" spans="2:2" ht="24.95" customHeight="1">
      <c r="B2524" s="271"/>
    </row>
    <row r="2525" spans="2:2" ht="24.95" customHeight="1">
      <c r="B2525" s="271"/>
    </row>
    <row r="2526" spans="2:2" ht="24.95" customHeight="1">
      <c r="B2526" s="271"/>
    </row>
    <row r="2527" spans="2:2" ht="24.95" customHeight="1">
      <c r="B2527" s="271"/>
    </row>
    <row r="2528" spans="2:2" ht="24.95" customHeight="1">
      <c r="B2528" s="271"/>
    </row>
    <row r="2529" spans="2:2" ht="24.95" customHeight="1">
      <c r="B2529" s="271"/>
    </row>
    <row r="2530" spans="2:2" ht="24.95" customHeight="1">
      <c r="B2530" s="271"/>
    </row>
    <row r="2531" spans="2:2" ht="24.95" customHeight="1">
      <c r="B2531" s="271"/>
    </row>
    <row r="2532" spans="2:2" ht="24.95" customHeight="1">
      <c r="B2532" s="271"/>
    </row>
    <row r="2533" spans="2:2" ht="24.95" customHeight="1">
      <c r="B2533" s="271"/>
    </row>
    <row r="2534" spans="2:2" ht="24.95" customHeight="1">
      <c r="B2534" s="271"/>
    </row>
    <row r="2535" spans="2:2" ht="24.95" customHeight="1">
      <c r="B2535" s="271"/>
    </row>
    <row r="2536" spans="2:2" ht="24.95" customHeight="1">
      <c r="B2536" s="271"/>
    </row>
    <row r="2537" spans="2:2" ht="24.95" customHeight="1">
      <c r="B2537" s="271"/>
    </row>
    <row r="2538" spans="2:2" ht="24.95" customHeight="1">
      <c r="B2538" s="271"/>
    </row>
    <row r="2539" spans="2:2" ht="24.95" customHeight="1">
      <c r="B2539" s="271"/>
    </row>
    <row r="2540" spans="2:2" ht="24.95" customHeight="1">
      <c r="B2540" s="271"/>
    </row>
    <row r="2541" spans="2:2" ht="24.95" customHeight="1">
      <c r="B2541" s="271"/>
    </row>
    <row r="2542" spans="2:2" ht="24.95" customHeight="1">
      <c r="B2542" s="271"/>
    </row>
    <row r="2543" spans="2:2" ht="24.95" customHeight="1">
      <c r="B2543" s="271"/>
    </row>
    <row r="2544" spans="2:2" ht="24.95" customHeight="1">
      <c r="B2544" s="271"/>
    </row>
    <row r="2545" spans="2:2" ht="24.95" customHeight="1">
      <c r="B2545" s="271"/>
    </row>
    <row r="2546" spans="2:2" ht="24.95" customHeight="1">
      <c r="B2546" s="271"/>
    </row>
    <row r="2547" spans="2:2" ht="24.95" customHeight="1">
      <c r="B2547" s="271"/>
    </row>
    <row r="2548" spans="2:2" ht="24.95" customHeight="1">
      <c r="B2548" s="271"/>
    </row>
    <row r="2549" spans="2:2" ht="24.95" customHeight="1">
      <c r="B2549" s="271"/>
    </row>
    <row r="2550" spans="2:2" ht="24.95" customHeight="1">
      <c r="B2550" s="271"/>
    </row>
    <row r="2551" spans="2:2" ht="24.95" customHeight="1">
      <c r="B2551" s="271"/>
    </row>
    <row r="2552" spans="2:2" ht="24.95" customHeight="1">
      <c r="B2552" s="271"/>
    </row>
    <row r="2553" spans="2:2" ht="24.95" customHeight="1">
      <c r="B2553" s="271"/>
    </row>
    <row r="2554" spans="2:2" ht="24.95" customHeight="1">
      <c r="B2554" s="271"/>
    </row>
    <row r="2555" spans="2:2" ht="24.95" customHeight="1">
      <c r="B2555" s="271"/>
    </row>
    <row r="2556" spans="2:2" ht="24.95" customHeight="1">
      <c r="B2556" s="271"/>
    </row>
    <row r="2557" spans="2:2" ht="24.95" customHeight="1">
      <c r="B2557" s="271"/>
    </row>
    <row r="2558" spans="2:2" ht="24.95" customHeight="1">
      <c r="B2558" s="271"/>
    </row>
    <row r="2559" spans="2:2" ht="24.95" customHeight="1">
      <c r="B2559" s="271"/>
    </row>
    <row r="2560" spans="2:2" ht="24.95" customHeight="1">
      <c r="B2560" s="271"/>
    </row>
    <row r="2561" spans="2:2" ht="24.95" customHeight="1">
      <c r="B2561" s="271"/>
    </row>
    <row r="2562" spans="2:2" ht="24.95" customHeight="1">
      <c r="B2562" s="271"/>
    </row>
    <row r="2563" spans="2:2" ht="24.95" customHeight="1">
      <c r="B2563" s="271"/>
    </row>
    <row r="2564" spans="2:2" ht="24.95" customHeight="1">
      <c r="B2564" s="271"/>
    </row>
    <row r="2565" spans="2:2" ht="24.95" customHeight="1">
      <c r="B2565" s="271"/>
    </row>
    <row r="2566" spans="2:2" ht="24.95" customHeight="1">
      <c r="B2566" s="271"/>
    </row>
    <row r="2567" spans="2:2" ht="24.95" customHeight="1">
      <c r="B2567" s="271"/>
    </row>
    <row r="2568" spans="2:2" ht="24.95" customHeight="1">
      <c r="B2568" s="271"/>
    </row>
    <row r="2569" spans="2:2" ht="24.95" customHeight="1">
      <c r="B2569" s="271"/>
    </row>
    <row r="2570" spans="2:2" ht="24.95" customHeight="1">
      <c r="B2570" s="271"/>
    </row>
    <row r="2571" spans="2:2" ht="24.95" customHeight="1">
      <c r="B2571" s="271"/>
    </row>
    <row r="2572" spans="2:2" ht="24.95" customHeight="1">
      <c r="B2572" s="271"/>
    </row>
    <row r="2573" spans="2:2" ht="24.95" customHeight="1">
      <c r="B2573" s="271"/>
    </row>
    <row r="2574" spans="2:2" ht="24.95" customHeight="1">
      <c r="B2574" s="271"/>
    </row>
    <row r="2575" spans="2:2" ht="24.95" customHeight="1">
      <c r="B2575" s="271"/>
    </row>
    <row r="2576" spans="2:2" ht="24.95" customHeight="1">
      <c r="B2576" s="271"/>
    </row>
    <row r="2577" spans="2:2" ht="24.95" customHeight="1">
      <c r="B2577" s="271"/>
    </row>
    <row r="2578" spans="2:2" ht="24.95" customHeight="1">
      <c r="B2578" s="271"/>
    </row>
    <row r="2579" spans="2:2" ht="24.95" customHeight="1">
      <c r="B2579" s="271"/>
    </row>
    <row r="2580" spans="2:2" ht="24.95" customHeight="1">
      <c r="B2580" s="271"/>
    </row>
    <row r="2581" spans="2:2" ht="24.95" customHeight="1">
      <c r="B2581" s="271"/>
    </row>
    <row r="2582" spans="2:2" ht="24.95" customHeight="1">
      <c r="B2582" s="271"/>
    </row>
    <row r="2583" spans="2:2" ht="24.95" customHeight="1">
      <c r="B2583" s="271"/>
    </row>
    <row r="2584" spans="2:2" ht="24.95" customHeight="1">
      <c r="B2584" s="271"/>
    </row>
    <row r="2585" spans="2:2" ht="24.95" customHeight="1">
      <c r="B2585" s="271"/>
    </row>
    <row r="2586" spans="2:2" ht="24.95" customHeight="1">
      <c r="B2586" s="271"/>
    </row>
    <row r="2587" spans="2:2" ht="24.95" customHeight="1">
      <c r="B2587" s="271"/>
    </row>
    <row r="2588" spans="2:2" ht="24.95" customHeight="1">
      <c r="B2588" s="271"/>
    </row>
    <row r="2589" spans="2:2" ht="24.95" customHeight="1">
      <c r="B2589" s="271"/>
    </row>
    <row r="2590" spans="2:2" ht="24.95" customHeight="1">
      <c r="B2590" s="271"/>
    </row>
    <row r="2591" spans="2:2" ht="24.95" customHeight="1">
      <c r="B2591" s="271"/>
    </row>
    <row r="2592" spans="2:2" ht="24.95" customHeight="1">
      <c r="B2592" s="271"/>
    </row>
    <row r="2593" spans="2:2" ht="24.95" customHeight="1">
      <c r="B2593" s="271"/>
    </row>
    <row r="2594" spans="2:2" ht="24.95" customHeight="1">
      <c r="B2594" s="271"/>
    </row>
    <row r="2595" spans="2:2" ht="24.95" customHeight="1">
      <c r="B2595" s="271"/>
    </row>
    <row r="2596" spans="2:2" ht="24.95" customHeight="1">
      <c r="B2596" s="271"/>
    </row>
    <row r="2597" spans="2:2" ht="24.95" customHeight="1">
      <c r="B2597" s="271"/>
    </row>
    <row r="2598" spans="2:2" ht="24.95" customHeight="1">
      <c r="B2598" s="271"/>
    </row>
    <row r="2599" spans="2:2" ht="24.95" customHeight="1">
      <c r="B2599" s="271"/>
    </row>
    <row r="2600" spans="2:2" ht="24.95" customHeight="1">
      <c r="B2600" s="271"/>
    </row>
    <row r="2601" spans="2:2" ht="24.95" customHeight="1">
      <c r="B2601" s="271"/>
    </row>
    <row r="2602" spans="2:2" ht="24.95" customHeight="1">
      <c r="B2602" s="271"/>
    </row>
    <row r="2603" spans="2:2" ht="24.95" customHeight="1">
      <c r="B2603" s="271"/>
    </row>
    <row r="2604" spans="2:2" ht="24.95" customHeight="1">
      <c r="B2604" s="271"/>
    </row>
    <row r="2605" spans="2:2" ht="24.95" customHeight="1">
      <c r="B2605" s="271"/>
    </row>
    <row r="2606" spans="2:2" ht="24.95" customHeight="1">
      <c r="B2606" s="271"/>
    </row>
    <row r="2607" spans="2:2" ht="24.95" customHeight="1">
      <c r="B2607" s="271"/>
    </row>
    <row r="2608" spans="2:2" ht="24.95" customHeight="1">
      <c r="B2608" s="271"/>
    </row>
    <row r="2609" spans="2:2" ht="24.95" customHeight="1">
      <c r="B2609" s="271"/>
    </row>
    <row r="2610" spans="2:2" ht="24.95" customHeight="1">
      <c r="B2610" s="271"/>
    </row>
    <row r="2611" spans="2:2" ht="24.95" customHeight="1">
      <c r="B2611" s="271"/>
    </row>
    <row r="2612" spans="2:2" ht="24.95" customHeight="1">
      <c r="B2612" s="271"/>
    </row>
    <row r="2613" spans="2:2" ht="24.95" customHeight="1">
      <c r="B2613" s="271"/>
    </row>
    <row r="2614" spans="2:2" ht="24.95" customHeight="1">
      <c r="B2614" s="271"/>
    </row>
    <row r="2615" spans="2:2" ht="24.95" customHeight="1">
      <c r="B2615" s="271"/>
    </row>
    <row r="2616" spans="2:2" ht="24.95" customHeight="1">
      <c r="B2616" s="271"/>
    </row>
    <row r="2617" spans="2:2" ht="24.95" customHeight="1">
      <c r="B2617" s="271"/>
    </row>
    <row r="2618" spans="2:2" ht="24.95" customHeight="1">
      <c r="B2618" s="271"/>
    </row>
    <row r="2619" spans="2:2" ht="24.95" customHeight="1">
      <c r="B2619" s="271"/>
    </row>
    <row r="2620" spans="2:2" ht="24.95" customHeight="1">
      <c r="B2620" s="271"/>
    </row>
    <row r="2621" spans="2:2" ht="24.95" customHeight="1">
      <c r="B2621" s="271"/>
    </row>
    <row r="2622" spans="2:2" ht="24.95" customHeight="1">
      <c r="B2622" s="271"/>
    </row>
    <row r="2623" spans="2:2" ht="24.95" customHeight="1">
      <c r="B2623" s="271"/>
    </row>
    <row r="2624" spans="2:2" ht="24.95" customHeight="1">
      <c r="B2624" s="271"/>
    </row>
    <row r="2625" spans="2:2" ht="24.95" customHeight="1">
      <c r="B2625" s="271"/>
    </row>
    <row r="2626" spans="2:2" ht="24.95" customHeight="1">
      <c r="B2626" s="271"/>
    </row>
    <row r="2627" spans="2:2" ht="24.95" customHeight="1">
      <c r="B2627" s="271"/>
    </row>
    <row r="2628" spans="2:2" ht="24.95" customHeight="1">
      <c r="B2628" s="271"/>
    </row>
    <row r="2629" spans="2:2" ht="24.95" customHeight="1">
      <c r="B2629" s="271"/>
    </row>
    <row r="2630" spans="2:2" ht="24.95" customHeight="1">
      <c r="B2630" s="271"/>
    </row>
    <row r="2631" spans="2:2" ht="24.95" customHeight="1">
      <c r="B2631" s="271"/>
    </row>
    <row r="2632" spans="2:2" ht="24.95" customHeight="1">
      <c r="B2632" s="271"/>
    </row>
    <row r="2633" spans="2:2" ht="24.95" customHeight="1">
      <c r="B2633" s="271"/>
    </row>
    <row r="2634" spans="2:2" ht="24.95" customHeight="1">
      <c r="B2634" s="271"/>
    </row>
    <row r="2635" spans="2:2" ht="24.95" customHeight="1">
      <c r="B2635" s="271"/>
    </row>
    <row r="2636" spans="2:2" ht="24.95" customHeight="1">
      <c r="B2636" s="271"/>
    </row>
    <row r="2637" spans="2:2" ht="24.95" customHeight="1">
      <c r="B2637" s="271"/>
    </row>
    <row r="2638" spans="2:2" ht="24.95" customHeight="1">
      <c r="B2638" s="271"/>
    </row>
    <row r="2639" spans="2:2" ht="24.95" customHeight="1">
      <c r="B2639" s="271"/>
    </row>
    <row r="2640" spans="2:2" ht="24.95" customHeight="1">
      <c r="B2640" s="271"/>
    </row>
    <row r="2641" spans="2:2" ht="24.95" customHeight="1">
      <c r="B2641" s="271"/>
    </row>
    <row r="2642" spans="2:2" ht="24.95" customHeight="1">
      <c r="B2642" s="271"/>
    </row>
    <row r="2643" spans="2:2" ht="24.95" customHeight="1">
      <c r="B2643" s="271"/>
    </row>
    <row r="2644" spans="2:2" ht="24.95" customHeight="1">
      <c r="B2644" s="271"/>
    </row>
    <row r="2645" spans="2:2" ht="24.95" customHeight="1">
      <c r="B2645" s="271"/>
    </row>
    <row r="2646" spans="2:2" ht="24.95" customHeight="1">
      <c r="B2646" s="271"/>
    </row>
    <row r="2647" spans="2:2" ht="24.95" customHeight="1">
      <c r="B2647" s="271"/>
    </row>
    <row r="2648" spans="2:2" ht="24.95" customHeight="1">
      <c r="B2648" s="271"/>
    </row>
    <row r="2649" spans="2:2" ht="24.95" customHeight="1">
      <c r="B2649" s="271"/>
    </row>
    <row r="2650" spans="2:2" ht="24.95" customHeight="1">
      <c r="B2650" s="271"/>
    </row>
    <row r="2651" spans="2:2" ht="24.95" customHeight="1">
      <c r="B2651" s="271"/>
    </row>
    <row r="2652" spans="2:2" ht="24.95" customHeight="1">
      <c r="B2652" s="271"/>
    </row>
    <row r="2653" spans="2:2" ht="24.95" customHeight="1">
      <c r="B2653" s="271"/>
    </row>
    <row r="2654" spans="2:2" ht="24.95" customHeight="1">
      <c r="B2654" s="271"/>
    </row>
    <row r="2655" spans="2:2" ht="24.95" customHeight="1">
      <c r="B2655" s="271"/>
    </row>
    <row r="2656" spans="2:2" ht="24.95" customHeight="1">
      <c r="B2656" s="271"/>
    </row>
    <row r="2657" spans="2:2" ht="24.95" customHeight="1">
      <c r="B2657" s="271"/>
    </row>
    <row r="2658" spans="2:2" ht="24.95" customHeight="1">
      <c r="B2658" s="271"/>
    </row>
    <row r="2659" spans="2:2" ht="24.95" customHeight="1">
      <c r="B2659" s="271"/>
    </row>
    <row r="2660" spans="2:2" ht="24.95" customHeight="1">
      <c r="B2660" s="271"/>
    </row>
    <row r="2661" spans="2:2" ht="24.95" customHeight="1">
      <c r="B2661" s="271"/>
    </row>
    <row r="2662" spans="2:2" ht="24.95" customHeight="1">
      <c r="B2662" s="271"/>
    </row>
    <row r="2663" spans="2:2" ht="24.95" customHeight="1">
      <c r="B2663" s="271"/>
    </row>
    <row r="2664" spans="2:2" ht="24.95" customHeight="1">
      <c r="B2664" s="271"/>
    </row>
    <row r="2665" spans="2:2" ht="24.95" customHeight="1">
      <c r="B2665" s="271"/>
    </row>
    <row r="2666" spans="2:2" ht="24.95" customHeight="1">
      <c r="B2666" s="271"/>
    </row>
    <row r="2667" spans="2:2" ht="24.95" customHeight="1">
      <c r="B2667" s="271"/>
    </row>
    <row r="2668" spans="2:2" ht="24.95" customHeight="1">
      <c r="B2668" s="271"/>
    </row>
    <row r="2669" spans="2:2" ht="24.95" customHeight="1">
      <c r="B2669" s="271"/>
    </row>
    <row r="2670" spans="2:2" ht="24.95" customHeight="1">
      <c r="B2670" s="271"/>
    </row>
    <row r="2671" spans="2:2" ht="24.95" customHeight="1">
      <c r="B2671" s="271"/>
    </row>
    <row r="2672" spans="2:2" ht="24.95" customHeight="1">
      <c r="B2672" s="271"/>
    </row>
    <row r="2673" spans="2:2" ht="24.95" customHeight="1">
      <c r="B2673" s="271"/>
    </row>
    <row r="2674" spans="2:2" ht="24.95" customHeight="1">
      <c r="B2674" s="271"/>
    </row>
    <row r="2675" spans="2:2" ht="24.95" customHeight="1">
      <c r="B2675" s="271"/>
    </row>
    <row r="2676" spans="2:2" ht="24.95" customHeight="1">
      <c r="B2676" s="271"/>
    </row>
    <row r="2677" spans="2:2" ht="24.95" customHeight="1">
      <c r="B2677" s="271"/>
    </row>
    <row r="2678" spans="2:2" ht="24.95" customHeight="1">
      <c r="B2678" s="271"/>
    </row>
    <row r="2679" spans="2:2" ht="24.95" customHeight="1">
      <c r="B2679" s="271"/>
    </row>
    <row r="2680" spans="2:2" ht="24.95" customHeight="1">
      <c r="B2680" s="271"/>
    </row>
    <row r="2681" spans="2:2" ht="24.95" customHeight="1">
      <c r="B2681" s="271"/>
    </row>
    <row r="2682" spans="2:2" ht="24.95" customHeight="1">
      <c r="B2682" s="271"/>
    </row>
    <row r="2683" spans="2:2" ht="24.95" customHeight="1">
      <c r="B2683" s="271"/>
    </row>
    <row r="2684" spans="2:2" ht="24.95" customHeight="1">
      <c r="B2684" s="271"/>
    </row>
    <row r="2685" spans="2:2" ht="24.95" customHeight="1">
      <c r="B2685" s="271"/>
    </row>
    <row r="2686" spans="2:2" ht="24.95" customHeight="1">
      <c r="B2686" s="271"/>
    </row>
    <row r="2687" spans="2:2" ht="24.95" customHeight="1">
      <c r="B2687" s="271"/>
    </row>
    <row r="2688" spans="2:2" ht="24.95" customHeight="1">
      <c r="B2688" s="271"/>
    </row>
    <row r="2689" spans="2:2" ht="24.95" customHeight="1">
      <c r="B2689" s="271"/>
    </row>
    <row r="2690" spans="2:2" ht="24.95" customHeight="1">
      <c r="B2690" s="271"/>
    </row>
    <row r="2691" spans="2:2" ht="24.95" customHeight="1">
      <c r="B2691" s="271"/>
    </row>
    <row r="2692" spans="2:2" ht="24.95" customHeight="1">
      <c r="B2692" s="271"/>
    </row>
    <row r="2693" spans="2:2" ht="24.95" customHeight="1">
      <c r="B2693" s="271"/>
    </row>
    <row r="2694" spans="2:2" ht="24.95" customHeight="1">
      <c r="B2694" s="271"/>
    </row>
    <row r="2695" spans="2:2" ht="24.95" customHeight="1">
      <c r="B2695" s="271"/>
    </row>
    <row r="2696" spans="2:2" ht="24.95" customHeight="1">
      <c r="B2696" s="271"/>
    </row>
    <row r="2697" spans="2:2" ht="24.95" customHeight="1">
      <c r="B2697" s="271"/>
    </row>
    <row r="2698" spans="2:2" ht="24.95" customHeight="1">
      <c r="B2698" s="271"/>
    </row>
    <row r="2699" spans="2:2" ht="24.95" customHeight="1">
      <c r="B2699" s="271"/>
    </row>
    <row r="2700" spans="2:2" ht="24.95" customHeight="1">
      <c r="B2700" s="271"/>
    </row>
    <row r="2701" spans="2:2" ht="24.95" customHeight="1">
      <c r="B2701" s="271"/>
    </row>
    <row r="2702" spans="2:2" ht="24.95" customHeight="1">
      <c r="B2702" s="271"/>
    </row>
    <row r="2703" spans="2:2" ht="24.95" customHeight="1">
      <c r="B2703" s="271"/>
    </row>
    <row r="2704" spans="2:2" ht="24.95" customHeight="1">
      <c r="B2704" s="271"/>
    </row>
    <row r="2705" spans="2:2" ht="24.95" customHeight="1">
      <c r="B2705" s="271"/>
    </row>
    <row r="2706" spans="2:2" ht="24.95" customHeight="1">
      <c r="B2706" s="271"/>
    </row>
    <row r="2707" spans="2:2" ht="24.95" customHeight="1">
      <c r="B2707" s="271"/>
    </row>
    <row r="2708" spans="2:2" ht="24.95" customHeight="1">
      <c r="B2708" s="271"/>
    </row>
    <row r="2709" spans="2:2" ht="24.95" customHeight="1">
      <c r="B2709" s="271"/>
    </row>
    <row r="2710" spans="2:2" ht="24.95" customHeight="1">
      <c r="B2710" s="271"/>
    </row>
    <row r="2711" spans="2:2" ht="24.95" customHeight="1">
      <c r="B2711" s="271"/>
    </row>
    <row r="2712" spans="2:2" ht="24.95" customHeight="1">
      <c r="B2712" s="271"/>
    </row>
    <row r="2713" spans="2:2" ht="24.95" customHeight="1">
      <c r="B2713" s="271"/>
    </row>
    <row r="2714" spans="2:2" ht="24.95" customHeight="1">
      <c r="B2714" s="271"/>
    </row>
    <row r="2715" spans="2:2" ht="24.95" customHeight="1">
      <c r="B2715" s="271"/>
    </row>
    <row r="2716" spans="2:2" ht="24.95" customHeight="1">
      <c r="B2716" s="271"/>
    </row>
    <row r="2717" spans="2:2" ht="24.95" customHeight="1">
      <c r="B2717" s="271"/>
    </row>
    <row r="2718" spans="2:2" ht="24.95" customHeight="1">
      <c r="B2718" s="271"/>
    </row>
    <row r="2719" spans="2:2" ht="24.95" customHeight="1">
      <c r="B2719" s="271"/>
    </row>
    <row r="2720" spans="2:2" ht="24.95" customHeight="1">
      <c r="B2720" s="271"/>
    </row>
    <row r="2721" spans="2:2" ht="24.95" customHeight="1">
      <c r="B2721" s="271"/>
    </row>
    <row r="2722" spans="2:2" ht="24.95" customHeight="1">
      <c r="B2722" s="271"/>
    </row>
    <row r="2723" spans="2:2" ht="24.95" customHeight="1">
      <c r="B2723" s="271"/>
    </row>
    <row r="2724" spans="2:2" ht="24.95" customHeight="1">
      <c r="B2724" s="271"/>
    </row>
    <row r="2725" spans="2:2" ht="24.95" customHeight="1">
      <c r="B2725" s="271"/>
    </row>
    <row r="2726" spans="2:2" ht="24.95" customHeight="1">
      <c r="B2726" s="271"/>
    </row>
    <row r="2727" spans="2:2" ht="24.95" customHeight="1">
      <c r="B2727" s="271"/>
    </row>
    <row r="2728" spans="2:2" ht="24.95" customHeight="1">
      <c r="B2728" s="271"/>
    </row>
    <row r="2729" spans="2:2" ht="24.95" customHeight="1">
      <c r="B2729" s="271"/>
    </row>
    <row r="2730" spans="2:2" ht="24.95" customHeight="1">
      <c r="B2730" s="271"/>
    </row>
    <row r="2731" spans="2:2" ht="24.95" customHeight="1">
      <c r="B2731" s="271"/>
    </row>
    <row r="2732" spans="2:2" ht="24.95" customHeight="1">
      <c r="B2732" s="271"/>
    </row>
    <row r="2733" spans="2:2" ht="24.95" customHeight="1">
      <c r="B2733" s="271"/>
    </row>
    <row r="2734" spans="2:2" ht="24.95" customHeight="1">
      <c r="B2734" s="271"/>
    </row>
    <row r="2735" spans="2:2" ht="24.95" customHeight="1">
      <c r="B2735" s="271"/>
    </row>
    <row r="2736" spans="2:2" ht="24.95" customHeight="1">
      <c r="B2736" s="271"/>
    </row>
    <row r="2737" spans="2:2" ht="24.95" customHeight="1">
      <c r="B2737" s="271"/>
    </row>
    <row r="2738" spans="2:2" ht="24.95" customHeight="1">
      <c r="B2738" s="271"/>
    </row>
    <row r="2739" spans="2:2" ht="24.95" customHeight="1">
      <c r="B2739" s="271"/>
    </row>
    <row r="2740" spans="2:2" ht="24.95" customHeight="1">
      <c r="B2740" s="271"/>
    </row>
    <row r="2741" spans="2:2" ht="24.95" customHeight="1">
      <c r="B2741" s="271"/>
    </row>
    <row r="2742" spans="2:2" ht="24.95" customHeight="1">
      <c r="B2742" s="271"/>
    </row>
    <row r="2743" spans="2:2" ht="24.95" customHeight="1">
      <c r="B2743" s="271"/>
    </row>
    <row r="2744" spans="2:2" ht="24.95" customHeight="1">
      <c r="B2744" s="271"/>
    </row>
    <row r="2745" spans="2:2" ht="24.95" customHeight="1">
      <c r="B2745" s="271"/>
    </row>
    <row r="2746" spans="2:2" ht="24.95" customHeight="1">
      <c r="B2746" s="271"/>
    </row>
    <row r="2747" spans="2:2" ht="24.95" customHeight="1">
      <c r="B2747" s="271"/>
    </row>
    <row r="2748" spans="2:2" ht="24.95" customHeight="1">
      <c r="B2748" s="271"/>
    </row>
    <row r="2749" spans="2:2" ht="24.95" customHeight="1">
      <c r="B2749" s="271"/>
    </row>
    <row r="2750" spans="2:2" ht="24.95" customHeight="1">
      <c r="B2750" s="271"/>
    </row>
    <row r="2751" spans="2:2" ht="24.95" customHeight="1">
      <c r="B2751" s="271"/>
    </row>
    <row r="2752" spans="2:2" ht="24.95" customHeight="1">
      <c r="B2752" s="271"/>
    </row>
    <row r="2753" spans="2:2" ht="24.95" customHeight="1">
      <c r="B2753" s="271"/>
    </row>
    <row r="2754" spans="2:2" ht="24.95" customHeight="1">
      <c r="B2754" s="271"/>
    </row>
    <row r="2755" spans="2:2" ht="24.95" customHeight="1">
      <c r="B2755" s="271"/>
    </row>
    <row r="2756" spans="2:2" ht="24.95" customHeight="1">
      <c r="B2756" s="271"/>
    </row>
    <row r="2757" spans="2:2" ht="24.95" customHeight="1">
      <c r="B2757" s="271"/>
    </row>
    <row r="2758" spans="2:2" ht="24.95" customHeight="1">
      <c r="B2758" s="271"/>
    </row>
    <row r="2759" spans="2:2" ht="24.95" customHeight="1">
      <c r="B2759" s="271"/>
    </row>
    <row r="2760" spans="2:2" ht="24.95" customHeight="1">
      <c r="B2760" s="271"/>
    </row>
    <row r="2761" spans="2:2" ht="24.95" customHeight="1">
      <c r="B2761" s="271"/>
    </row>
    <row r="2762" spans="2:2" ht="24.95" customHeight="1">
      <c r="B2762" s="271"/>
    </row>
    <row r="2763" spans="2:2" ht="24.95" customHeight="1">
      <c r="B2763" s="271"/>
    </row>
    <row r="2764" spans="2:2" ht="24.95" customHeight="1">
      <c r="B2764" s="271"/>
    </row>
    <row r="2765" spans="2:2" ht="24.95" customHeight="1">
      <c r="B2765" s="271"/>
    </row>
    <row r="2766" spans="2:2" ht="24.95" customHeight="1">
      <c r="B2766" s="271"/>
    </row>
    <row r="2767" spans="2:2" ht="24.95" customHeight="1">
      <c r="B2767" s="271"/>
    </row>
    <row r="2768" spans="2:2" ht="24.95" customHeight="1">
      <c r="B2768" s="271"/>
    </row>
    <row r="2769" spans="2:2" ht="24.95" customHeight="1">
      <c r="B2769" s="271"/>
    </row>
    <row r="2770" spans="2:2" ht="24.95" customHeight="1">
      <c r="B2770" s="271"/>
    </row>
    <row r="2771" spans="2:2" ht="24.95" customHeight="1">
      <c r="B2771" s="271"/>
    </row>
    <row r="2772" spans="2:2" ht="24.95" customHeight="1">
      <c r="B2772" s="271"/>
    </row>
    <row r="2773" spans="2:2" ht="24.95" customHeight="1">
      <c r="B2773" s="271"/>
    </row>
    <row r="2774" spans="2:2" ht="24.95" customHeight="1">
      <c r="B2774" s="271"/>
    </row>
    <row r="2775" spans="2:2" ht="24.95" customHeight="1">
      <c r="B2775" s="271"/>
    </row>
    <row r="2776" spans="2:2" ht="24.95" customHeight="1">
      <c r="B2776" s="271"/>
    </row>
    <row r="2777" spans="2:2" ht="24.95" customHeight="1">
      <c r="B2777" s="271"/>
    </row>
    <row r="2778" spans="2:2" ht="24.95" customHeight="1">
      <c r="B2778" s="271"/>
    </row>
    <row r="2779" spans="2:2" ht="24.95" customHeight="1">
      <c r="B2779" s="271"/>
    </row>
    <row r="2780" spans="2:2" ht="24.95" customHeight="1">
      <c r="B2780" s="271"/>
    </row>
    <row r="2781" spans="2:2" ht="24.95" customHeight="1">
      <c r="B2781" s="271"/>
    </row>
    <row r="2782" spans="2:2" ht="24.95" customHeight="1">
      <c r="B2782" s="271"/>
    </row>
    <row r="2783" spans="2:2" ht="24.95" customHeight="1">
      <c r="B2783" s="271"/>
    </row>
    <row r="2784" spans="2:2" ht="24.95" customHeight="1">
      <c r="B2784" s="271"/>
    </row>
    <row r="2785" spans="2:2" ht="24.95" customHeight="1">
      <c r="B2785" s="271"/>
    </row>
    <row r="2786" spans="2:2" ht="24.95" customHeight="1">
      <c r="B2786" s="271"/>
    </row>
    <row r="2787" spans="2:2" ht="24.95" customHeight="1">
      <c r="B2787" s="271"/>
    </row>
    <row r="2788" spans="2:2" ht="24.95" customHeight="1">
      <c r="B2788" s="271"/>
    </row>
    <row r="2789" spans="2:2" ht="24.95" customHeight="1">
      <c r="B2789" s="271"/>
    </row>
    <row r="2790" spans="2:2" ht="24.95" customHeight="1">
      <c r="B2790" s="271"/>
    </row>
    <row r="2791" spans="2:2" ht="24.95" customHeight="1">
      <c r="B2791" s="271"/>
    </row>
    <row r="2792" spans="2:2" ht="24.95" customHeight="1">
      <c r="B2792" s="271"/>
    </row>
    <row r="2793" spans="2:2" ht="24.95" customHeight="1">
      <c r="B2793" s="271"/>
    </row>
    <row r="2794" spans="2:2" ht="24.95" customHeight="1">
      <c r="B2794" s="271"/>
    </row>
    <row r="2795" spans="2:2" ht="24.95" customHeight="1">
      <c r="B2795" s="271"/>
    </row>
    <row r="2796" spans="2:2" ht="24.95" customHeight="1">
      <c r="B2796" s="271"/>
    </row>
    <row r="2797" spans="2:2" ht="24.95" customHeight="1">
      <c r="B2797" s="271"/>
    </row>
    <row r="2798" spans="2:2" ht="24.95" customHeight="1">
      <c r="B2798" s="271"/>
    </row>
    <row r="2799" spans="2:2" ht="24.95" customHeight="1">
      <c r="B2799" s="271"/>
    </row>
    <row r="2800" spans="2:2" ht="24.95" customHeight="1">
      <c r="B2800" s="271"/>
    </row>
    <row r="2801" spans="2:2" ht="24.95" customHeight="1">
      <c r="B2801" s="271"/>
    </row>
    <row r="2802" spans="2:2" ht="24.95" customHeight="1">
      <c r="B2802" s="271"/>
    </row>
    <row r="2803" spans="2:2" ht="24.95" customHeight="1">
      <c r="B2803" s="271"/>
    </row>
    <row r="2804" spans="2:2" ht="24.95" customHeight="1">
      <c r="B2804" s="271"/>
    </row>
    <row r="2805" spans="2:2" ht="24.95" customHeight="1">
      <c r="B2805" s="271"/>
    </row>
    <row r="2806" spans="2:2" ht="24.95" customHeight="1">
      <c r="B2806" s="271"/>
    </row>
    <row r="2807" spans="2:2" ht="24.95" customHeight="1">
      <c r="B2807" s="271"/>
    </row>
    <row r="2808" spans="2:2" ht="24.95" customHeight="1">
      <c r="B2808" s="271"/>
    </row>
    <row r="2809" spans="2:2" ht="24.95" customHeight="1">
      <c r="B2809" s="271"/>
    </row>
    <row r="2810" spans="2:2" ht="24.95" customHeight="1">
      <c r="B2810" s="271"/>
    </row>
    <row r="2811" spans="2:2" ht="24.95" customHeight="1">
      <c r="B2811" s="271"/>
    </row>
    <row r="2812" spans="2:2" ht="24.95" customHeight="1">
      <c r="B2812" s="271"/>
    </row>
    <row r="2813" spans="2:2" ht="24.95" customHeight="1">
      <c r="B2813" s="271"/>
    </row>
    <row r="2814" spans="2:2" ht="24.95" customHeight="1">
      <c r="B2814" s="271"/>
    </row>
    <row r="2815" spans="2:2" ht="24.95" customHeight="1">
      <c r="B2815" s="271"/>
    </row>
    <row r="2816" spans="2:2" ht="24.95" customHeight="1">
      <c r="B2816" s="271"/>
    </row>
    <row r="2817" spans="2:2" ht="24.95" customHeight="1">
      <c r="B2817" s="271"/>
    </row>
    <row r="2818" spans="2:2" ht="24.95" customHeight="1">
      <c r="B2818" s="271"/>
    </row>
    <row r="2819" spans="2:2" ht="24.95" customHeight="1">
      <c r="B2819" s="271"/>
    </row>
    <row r="2820" spans="2:2" ht="24.95" customHeight="1">
      <c r="B2820" s="271"/>
    </row>
    <row r="2821" spans="2:2" ht="24.95" customHeight="1">
      <c r="B2821" s="271"/>
    </row>
    <row r="2822" spans="2:2" ht="24.95" customHeight="1">
      <c r="B2822" s="271"/>
    </row>
    <row r="2823" spans="2:2" ht="24.95" customHeight="1">
      <c r="B2823" s="271"/>
    </row>
    <row r="2824" spans="2:2" ht="24.95" customHeight="1">
      <c r="B2824" s="271"/>
    </row>
    <row r="2825" spans="2:2" ht="24.95" customHeight="1">
      <c r="B2825" s="271"/>
    </row>
    <row r="2826" spans="2:2" ht="24.95" customHeight="1">
      <c r="B2826" s="271"/>
    </row>
    <row r="2827" spans="2:2" ht="24.95" customHeight="1">
      <c r="B2827" s="271"/>
    </row>
    <row r="2828" spans="2:2" ht="24.95" customHeight="1">
      <c r="B2828" s="271"/>
    </row>
    <row r="2829" spans="2:2" ht="24.95" customHeight="1">
      <c r="B2829" s="271"/>
    </row>
    <row r="2830" spans="2:2" ht="24.95" customHeight="1">
      <c r="B2830" s="271"/>
    </row>
    <row r="2831" spans="2:2" ht="24.95" customHeight="1">
      <c r="B2831" s="271"/>
    </row>
    <row r="2832" spans="2:2" ht="24.95" customHeight="1">
      <c r="B2832" s="271"/>
    </row>
    <row r="2833" spans="2:2" ht="24.95" customHeight="1">
      <c r="B2833" s="271"/>
    </row>
    <row r="2834" spans="2:2" ht="24.95" customHeight="1">
      <c r="B2834" s="271"/>
    </row>
    <row r="2835" spans="2:2" ht="24.95" customHeight="1">
      <c r="B2835" s="271"/>
    </row>
    <row r="2836" spans="2:2" ht="24.95" customHeight="1">
      <c r="B2836" s="271"/>
    </row>
    <row r="2837" spans="2:2" ht="24.95" customHeight="1">
      <c r="B2837" s="271"/>
    </row>
    <row r="2838" spans="2:2" ht="24.95" customHeight="1">
      <c r="B2838" s="271"/>
    </row>
    <row r="2839" spans="2:2" ht="24.95" customHeight="1">
      <c r="B2839" s="271"/>
    </row>
    <row r="2840" spans="2:2" ht="24.95" customHeight="1">
      <c r="B2840" s="271"/>
    </row>
    <row r="2841" spans="2:2" ht="24.95" customHeight="1">
      <c r="B2841" s="271"/>
    </row>
    <row r="2842" spans="2:2" ht="24.95" customHeight="1">
      <c r="B2842" s="271"/>
    </row>
    <row r="2843" spans="2:2" ht="24.95" customHeight="1">
      <c r="B2843" s="271"/>
    </row>
    <row r="2844" spans="2:2" ht="24.95" customHeight="1">
      <c r="B2844" s="271"/>
    </row>
    <row r="2845" spans="2:2" ht="24.95" customHeight="1">
      <c r="B2845" s="271"/>
    </row>
    <row r="2846" spans="2:2" ht="24.95" customHeight="1">
      <c r="B2846" s="271"/>
    </row>
    <row r="2847" spans="2:2" ht="24.95" customHeight="1">
      <c r="B2847" s="271"/>
    </row>
    <row r="2848" spans="2:2" ht="24.95" customHeight="1">
      <c r="B2848" s="271"/>
    </row>
    <row r="2849" spans="2:2" ht="24.95" customHeight="1">
      <c r="B2849" s="271"/>
    </row>
    <row r="2850" spans="2:2" ht="24.95" customHeight="1">
      <c r="B2850" s="271"/>
    </row>
    <row r="2851" spans="2:2" ht="24.95" customHeight="1">
      <c r="B2851" s="271"/>
    </row>
    <row r="2852" spans="2:2" ht="24.95" customHeight="1">
      <c r="B2852" s="271"/>
    </row>
    <row r="2853" spans="2:2" ht="24.95" customHeight="1">
      <c r="B2853" s="271"/>
    </row>
    <row r="2854" spans="2:2" ht="24.95" customHeight="1">
      <c r="B2854" s="271"/>
    </row>
    <row r="2855" spans="2:2" ht="24.95" customHeight="1">
      <c r="B2855" s="271"/>
    </row>
    <row r="2856" spans="2:2" ht="24.95" customHeight="1">
      <c r="B2856" s="271"/>
    </row>
    <row r="2857" spans="2:2" ht="24.95" customHeight="1">
      <c r="B2857" s="271"/>
    </row>
    <row r="2858" spans="2:2" ht="24.95" customHeight="1">
      <c r="B2858" s="271"/>
    </row>
    <row r="2859" spans="2:2" ht="24.95" customHeight="1">
      <c r="B2859" s="271"/>
    </row>
    <row r="2860" spans="2:2" ht="24.95" customHeight="1">
      <c r="B2860" s="271"/>
    </row>
    <row r="2861" spans="2:2" ht="24.95" customHeight="1">
      <c r="B2861" s="271"/>
    </row>
    <row r="2862" spans="2:2" ht="24.95" customHeight="1">
      <c r="B2862" s="271"/>
    </row>
    <row r="2863" spans="2:2" ht="24.95" customHeight="1">
      <c r="B2863" s="271"/>
    </row>
    <row r="2864" spans="2:2" ht="24.95" customHeight="1">
      <c r="B2864" s="271"/>
    </row>
    <row r="2865" spans="2:2" ht="24.95" customHeight="1">
      <c r="B2865" s="271"/>
    </row>
    <row r="2866" spans="2:2" ht="24.95" customHeight="1">
      <c r="B2866" s="271"/>
    </row>
    <row r="2867" spans="2:2" ht="24.95" customHeight="1">
      <c r="B2867" s="271"/>
    </row>
    <row r="2868" spans="2:2" ht="24.95" customHeight="1">
      <c r="B2868" s="271"/>
    </row>
    <row r="2869" spans="2:2" ht="24.95" customHeight="1">
      <c r="B2869" s="271"/>
    </row>
    <row r="2870" spans="2:2" ht="24.95" customHeight="1">
      <c r="B2870" s="271"/>
    </row>
    <row r="2871" spans="2:2" ht="24.95" customHeight="1">
      <c r="B2871" s="271"/>
    </row>
    <row r="2872" spans="2:2" ht="24.95" customHeight="1">
      <c r="B2872" s="271"/>
    </row>
    <row r="2873" spans="2:2" ht="24.95" customHeight="1">
      <c r="B2873" s="271"/>
    </row>
    <row r="2874" spans="2:2" ht="24.95" customHeight="1">
      <c r="B2874" s="271"/>
    </row>
    <row r="2875" spans="2:2" ht="24.95" customHeight="1">
      <c r="B2875" s="271"/>
    </row>
    <row r="2876" spans="2:2" ht="24.95" customHeight="1">
      <c r="B2876" s="271"/>
    </row>
    <row r="2877" spans="2:2" ht="24.95" customHeight="1">
      <c r="B2877" s="271"/>
    </row>
    <row r="2878" spans="2:2" ht="24.95" customHeight="1">
      <c r="B2878" s="271"/>
    </row>
    <row r="2879" spans="2:2" ht="24.95" customHeight="1">
      <c r="B2879" s="271"/>
    </row>
    <row r="2880" spans="2:2" ht="24.95" customHeight="1">
      <c r="B2880" s="271"/>
    </row>
    <row r="2881" spans="2:2" ht="24.95" customHeight="1">
      <c r="B2881" s="271"/>
    </row>
    <row r="2882" spans="2:2" ht="24.95" customHeight="1">
      <c r="B2882" s="271"/>
    </row>
    <row r="2883" spans="2:2" ht="24.95" customHeight="1">
      <c r="B2883" s="271"/>
    </row>
    <row r="2884" spans="2:2" ht="24.95" customHeight="1">
      <c r="B2884" s="271"/>
    </row>
    <row r="2885" spans="2:2" ht="24.95" customHeight="1">
      <c r="B2885" s="271"/>
    </row>
    <row r="2886" spans="2:2" ht="24.95" customHeight="1">
      <c r="B2886" s="271"/>
    </row>
    <row r="2887" spans="2:2" ht="24.95" customHeight="1">
      <c r="B2887" s="271"/>
    </row>
    <row r="2888" spans="2:2" ht="24.95" customHeight="1">
      <c r="B2888" s="271"/>
    </row>
    <row r="2889" spans="2:2" ht="24.95" customHeight="1">
      <c r="B2889" s="271"/>
    </row>
    <row r="2890" spans="2:2" ht="24.95" customHeight="1">
      <c r="B2890" s="271"/>
    </row>
    <row r="2891" spans="2:2" ht="24.95" customHeight="1">
      <c r="B2891" s="271"/>
    </row>
    <row r="2892" spans="2:2" ht="24.95" customHeight="1">
      <c r="B2892" s="271"/>
    </row>
    <row r="2893" spans="2:2" ht="24.95" customHeight="1">
      <c r="B2893" s="271"/>
    </row>
    <row r="2894" spans="2:2" ht="24.95" customHeight="1">
      <c r="B2894" s="271"/>
    </row>
    <row r="2895" spans="2:2" ht="24.95" customHeight="1">
      <c r="B2895" s="271"/>
    </row>
    <row r="2896" spans="2:2" ht="24.95" customHeight="1">
      <c r="B2896" s="271"/>
    </row>
    <row r="2897" spans="2:2" ht="24.95" customHeight="1">
      <c r="B2897" s="271"/>
    </row>
    <row r="2898" spans="2:2" ht="24.95" customHeight="1">
      <c r="B2898" s="271"/>
    </row>
    <row r="2899" spans="2:2" ht="24.95" customHeight="1">
      <c r="B2899" s="271"/>
    </row>
    <row r="2900" spans="2:2" ht="24.95" customHeight="1">
      <c r="B2900" s="271"/>
    </row>
    <row r="2901" spans="2:2" ht="24.95" customHeight="1">
      <c r="B2901" s="271"/>
    </row>
    <row r="2902" spans="2:2" ht="24.95" customHeight="1">
      <c r="B2902" s="271"/>
    </row>
    <row r="2903" spans="2:2" ht="24.95" customHeight="1">
      <c r="B2903" s="271"/>
    </row>
    <row r="2904" spans="2:2" ht="24.95" customHeight="1">
      <c r="B2904" s="271"/>
    </row>
    <row r="2905" spans="2:2" ht="24.95" customHeight="1">
      <c r="B2905" s="271"/>
    </row>
    <row r="2906" spans="2:2" ht="24.95" customHeight="1">
      <c r="B2906" s="271"/>
    </row>
    <row r="2907" spans="2:2" ht="24.95" customHeight="1">
      <c r="B2907" s="271"/>
    </row>
    <row r="2908" spans="2:2" ht="24.95" customHeight="1">
      <c r="B2908" s="271"/>
    </row>
    <row r="2909" spans="2:2" ht="24.95" customHeight="1">
      <c r="B2909" s="271"/>
    </row>
    <row r="2910" spans="2:2" ht="24.95" customHeight="1">
      <c r="B2910" s="271"/>
    </row>
    <row r="2911" spans="2:2" ht="24.95" customHeight="1">
      <c r="B2911" s="271"/>
    </row>
    <row r="2912" spans="2:2" ht="24.95" customHeight="1">
      <c r="B2912" s="271"/>
    </row>
    <row r="2913" spans="2:2" ht="24.95" customHeight="1">
      <c r="B2913" s="271"/>
    </row>
    <row r="2914" spans="2:2" ht="24.95" customHeight="1">
      <c r="B2914" s="271"/>
    </row>
    <row r="2915" spans="2:2" ht="24.95" customHeight="1">
      <c r="B2915" s="271"/>
    </row>
    <row r="2916" spans="2:2" ht="24.95" customHeight="1">
      <c r="B2916" s="271"/>
    </row>
    <row r="2917" spans="2:2" ht="24.95" customHeight="1">
      <c r="B2917" s="271"/>
    </row>
    <row r="2918" spans="2:2" ht="24.95" customHeight="1">
      <c r="B2918" s="271"/>
    </row>
    <row r="2919" spans="2:2" ht="24.95" customHeight="1">
      <c r="B2919" s="271"/>
    </row>
    <row r="2920" spans="2:2" ht="24.95" customHeight="1">
      <c r="B2920" s="271"/>
    </row>
    <row r="2921" spans="2:2" ht="24.95" customHeight="1">
      <c r="B2921" s="271"/>
    </row>
    <row r="2922" spans="2:2" ht="24.95" customHeight="1">
      <c r="B2922" s="271"/>
    </row>
    <row r="2923" spans="2:2" ht="24.95" customHeight="1">
      <c r="B2923" s="271"/>
    </row>
    <row r="2924" spans="2:2" ht="24.95" customHeight="1">
      <c r="B2924" s="271"/>
    </row>
    <row r="2925" spans="2:2" ht="24.95" customHeight="1">
      <c r="B2925" s="271"/>
    </row>
    <row r="2926" spans="2:2" ht="24.95" customHeight="1">
      <c r="B2926" s="271"/>
    </row>
    <row r="2927" spans="2:2" ht="24.95" customHeight="1">
      <c r="B2927" s="271"/>
    </row>
    <row r="2928" spans="2:2" ht="24.95" customHeight="1">
      <c r="B2928" s="271"/>
    </row>
    <row r="2929" spans="2:2" ht="24.95" customHeight="1">
      <c r="B2929" s="271"/>
    </row>
    <row r="2930" spans="2:2" ht="24.95" customHeight="1">
      <c r="B2930" s="271"/>
    </row>
    <row r="2931" spans="2:2" ht="24.95" customHeight="1">
      <c r="B2931" s="271"/>
    </row>
    <row r="2932" spans="2:2" ht="24.95" customHeight="1">
      <c r="B2932" s="271"/>
    </row>
    <row r="2933" spans="2:2" ht="24.95" customHeight="1">
      <c r="B2933" s="271"/>
    </row>
    <row r="2934" spans="2:2" ht="24.95" customHeight="1">
      <c r="B2934" s="271"/>
    </row>
    <row r="2935" spans="2:2" ht="24.95" customHeight="1">
      <c r="B2935" s="271"/>
    </row>
    <row r="2936" spans="2:2" ht="24.95" customHeight="1">
      <c r="B2936" s="271"/>
    </row>
    <row r="2937" spans="2:2" ht="24.95" customHeight="1">
      <c r="B2937" s="271"/>
    </row>
    <row r="2938" spans="2:2" ht="24.95" customHeight="1">
      <c r="B2938" s="271"/>
    </row>
    <row r="2939" spans="2:2" ht="24.95" customHeight="1">
      <c r="B2939" s="271"/>
    </row>
    <row r="2940" spans="2:2" ht="24.95" customHeight="1">
      <c r="B2940" s="271"/>
    </row>
    <row r="2941" spans="2:2" ht="24.95" customHeight="1">
      <c r="B2941" s="271"/>
    </row>
    <row r="2942" spans="2:2" ht="24.95" customHeight="1">
      <c r="B2942" s="271"/>
    </row>
    <row r="2943" spans="2:2" ht="24.95" customHeight="1">
      <c r="B2943" s="271"/>
    </row>
    <row r="2944" spans="2:2" ht="24.95" customHeight="1">
      <c r="B2944" s="271"/>
    </row>
    <row r="2945" spans="2:2" ht="24.95" customHeight="1">
      <c r="B2945" s="271"/>
    </row>
    <row r="2946" spans="2:2" ht="24.95" customHeight="1">
      <c r="B2946" s="271"/>
    </row>
    <row r="2947" spans="2:2" ht="24.95" customHeight="1">
      <c r="B2947" s="271"/>
    </row>
    <row r="2948" spans="2:2" ht="24.95" customHeight="1">
      <c r="B2948" s="271"/>
    </row>
    <row r="2949" spans="2:2" ht="24.95" customHeight="1">
      <c r="B2949" s="271"/>
    </row>
    <row r="2950" spans="2:2" ht="24.95" customHeight="1">
      <c r="B2950" s="271"/>
    </row>
    <row r="2951" spans="2:2" ht="24.95" customHeight="1">
      <c r="B2951" s="271"/>
    </row>
    <row r="2952" spans="2:2" ht="24.95" customHeight="1">
      <c r="B2952" s="271"/>
    </row>
    <row r="2953" spans="2:2" ht="24.95" customHeight="1">
      <c r="B2953" s="271"/>
    </row>
    <row r="2954" spans="2:2" ht="24.95" customHeight="1">
      <c r="B2954" s="271"/>
    </row>
    <row r="2955" spans="2:2" ht="24.95" customHeight="1">
      <c r="B2955" s="271"/>
    </row>
    <row r="2956" spans="2:2" ht="24.95" customHeight="1">
      <c r="B2956" s="271"/>
    </row>
    <row r="2957" spans="2:2" ht="24.95" customHeight="1">
      <c r="B2957" s="271"/>
    </row>
    <row r="2958" spans="2:2" ht="24.95" customHeight="1">
      <c r="B2958" s="271"/>
    </row>
    <row r="2959" spans="2:2" ht="24.95" customHeight="1">
      <c r="B2959" s="271"/>
    </row>
    <row r="2960" spans="2:2" ht="24.95" customHeight="1">
      <c r="B2960" s="271"/>
    </row>
    <row r="2961" spans="2:2" ht="24.95" customHeight="1">
      <c r="B2961" s="271"/>
    </row>
    <row r="2962" spans="2:2" ht="24.95" customHeight="1">
      <c r="B2962" s="271"/>
    </row>
    <row r="2963" spans="2:2" ht="24.95" customHeight="1">
      <c r="B2963" s="271"/>
    </row>
    <row r="2964" spans="2:2" ht="24.95" customHeight="1">
      <c r="B2964" s="271"/>
    </row>
    <row r="2965" spans="2:2" ht="24.95" customHeight="1">
      <c r="B2965" s="271"/>
    </row>
    <row r="2966" spans="2:2" ht="24.95" customHeight="1">
      <c r="B2966" s="271"/>
    </row>
    <row r="2967" spans="2:2" ht="24.95" customHeight="1">
      <c r="B2967" s="271"/>
    </row>
    <row r="2968" spans="2:2" ht="24.95" customHeight="1">
      <c r="B2968" s="271"/>
    </row>
    <row r="2969" spans="2:2" ht="24.95" customHeight="1">
      <c r="B2969" s="271"/>
    </row>
    <row r="2970" spans="2:2" ht="24.95" customHeight="1">
      <c r="B2970" s="271"/>
    </row>
    <row r="2971" spans="2:2" ht="24.95" customHeight="1">
      <c r="B2971" s="271"/>
    </row>
    <row r="2972" spans="2:2" ht="24.95" customHeight="1">
      <c r="B2972" s="271"/>
    </row>
    <row r="2973" spans="2:2" ht="24.95" customHeight="1">
      <c r="B2973" s="271"/>
    </row>
    <row r="2974" spans="2:2" ht="24.95" customHeight="1">
      <c r="B2974" s="271"/>
    </row>
    <row r="2975" spans="2:2" ht="24.95" customHeight="1">
      <c r="B2975" s="271"/>
    </row>
    <row r="2976" spans="2:2" ht="24.95" customHeight="1">
      <c r="B2976" s="271"/>
    </row>
    <row r="2977" spans="2:2" ht="24.95" customHeight="1">
      <c r="B2977" s="271"/>
    </row>
    <row r="2978" spans="2:2" ht="24.95" customHeight="1">
      <c r="B2978" s="271"/>
    </row>
    <row r="2979" spans="2:2" ht="24.95" customHeight="1">
      <c r="B2979" s="271"/>
    </row>
    <row r="2980" spans="2:2" ht="24.95" customHeight="1">
      <c r="B2980" s="271"/>
    </row>
    <row r="2981" spans="2:2" ht="24.95" customHeight="1">
      <c r="B2981" s="271"/>
    </row>
    <row r="2982" spans="2:2" ht="24.95" customHeight="1">
      <c r="B2982" s="271"/>
    </row>
    <row r="2983" spans="2:2" ht="24.95" customHeight="1">
      <c r="B2983" s="271"/>
    </row>
    <row r="2984" spans="2:2" ht="24.95" customHeight="1">
      <c r="B2984" s="271"/>
    </row>
    <row r="2985" spans="2:2" ht="24.95" customHeight="1">
      <c r="B2985" s="271"/>
    </row>
    <row r="2986" spans="2:2" ht="24.95" customHeight="1">
      <c r="B2986" s="271"/>
    </row>
    <row r="2987" spans="2:2" ht="24.95" customHeight="1">
      <c r="B2987" s="271"/>
    </row>
    <row r="2988" spans="2:2" ht="24.95" customHeight="1">
      <c r="B2988" s="271"/>
    </row>
    <row r="2989" spans="2:2" ht="24.95" customHeight="1">
      <c r="B2989" s="271"/>
    </row>
    <row r="2990" spans="2:2" ht="24.95" customHeight="1">
      <c r="B2990" s="271"/>
    </row>
    <row r="2991" spans="2:2" ht="24.95" customHeight="1">
      <c r="B2991" s="271"/>
    </row>
    <row r="2992" spans="2:2" ht="24.95" customHeight="1">
      <c r="B2992" s="271"/>
    </row>
    <row r="2993" spans="2:2" ht="24.95" customHeight="1">
      <c r="B2993" s="271"/>
    </row>
    <row r="2994" spans="2:2" ht="24.95" customHeight="1">
      <c r="B2994" s="271"/>
    </row>
    <row r="2995" spans="2:2" ht="24.95" customHeight="1">
      <c r="B2995" s="271"/>
    </row>
    <row r="2996" spans="2:2" ht="24.95" customHeight="1">
      <c r="B2996" s="271"/>
    </row>
    <row r="2997" spans="2:2" ht="24.95" customHeight="1">
      <c r="B2997" s="271"/>
    </row>
    <row r="2998" spans="2:2" ht="24.95" customHeight="1">
      <c r="B2998" s="271"/>
    </row>
    <row r="2999" spans="2:2" ht="24.95" customHeight="1">
      <c r="B2999" s="271"/>
    </row>
    <row r="3000" spans="2:2" ht="24.95" customHeight="1">
      <c r="B3000" s="271"/>
    </row>
    <row r="3001" spans="2:2" ht="24.95" customHeight="1">
      <c r="B3001" s="271"/>
    </row>
    <row r="3002" spans="2:2" ht="24.95" customHeight="1">
      <c r="B3002" s="271"/>
    </row>
    <row r="3003" spans="2:2" ht="24.95" customHeight="1">
      <c r="B3003" s="271"/>
    </row>
    <row r="3004" spans="2:2" ht="24.95" customHeight="1">
      <c r="B3004" s="271"/>
    </row>
    <row r="3005" spans="2:2" ht="24.95" customHeight="1">
      <c r="B3005" s="271"/>
    </row>
    <row r="3006" spans="2:2" ht="24.95" customHeight="1">
      <c r="B3006" s="271"/>
    </row>
    <row r="3007" spans="2:2" ht="24.95" customHeight="1">
      <c r="B3007" s="271"/>
    </row>
    <row r="3008" spans="2:2" ht="24.95" customHeight="1">
      <c r="B3008" s="271"/>
    </row>
    <row r="3009" spans="2:2" ht="24.95" customHeight="1">
      <c r="B3009" s="271"/>
    </row>
    <row r="3010" spans="2:2" ht="24.95" customHeight="1">
      <c r="B3010" s="271"/>
    </row>
    <row r="3011" spans="2:2" ht="24.95" customHeight="1">
      <c r="B3011" s="271"/>
    </row>
    <row r="3012" spans="2:2" ht="24.95" customHeight="1">
      <c r="B3012" s="271"/>
    </row>
    <row r="3013" spans="2:2" ht="24.95" customHeight="1">
      <c r="B3013" s="271"/>
    </row>
    <row r="3014" spans="2:2" ht="24.95" customHeight="1">
      <c r="B3014" s="271"/>
    </row>
    <row r="3015" spans="2:2" ht="24.95" customHeight="1">
      <c r="B3015" s="271"/>
    </row>
    <row r="3016" spans="2:2" ht="24.95" customHeight="1">
      <c r="B3016" s="271"/>
    </row>
    <row r="3017" spans="2:2" ht="24.95" customHeight="1">
      <c r="B3017" s="271"/>
    </row>
    <row r="3018" spans="2:2" ht="24.95" customHeight="1">
      <c r="B3018" s="271"/>
    </row>
    <row r="3019" spans="2:2" ht="24.95" customHeight="1">
      <c r="B3019" s="271"/>
    </row>
    <row r="3020" spans="2:2" ht="24.95" customHeight="1">
      <c r="B3020" s="271"/>
    </row>
    <row r="3021" spans="2:2" ht="24.95" customHeight="1">
      <c r="B3021" s="271"/>
    </row>
    <row r="3022" spans="2:2" ht="24.95" customHeight="1">
      <c r="B3022" s="271"/>
    </row>
    <row r="3023" spans="2:2" ht="24.95" customHeight="1">
      <c r="B3023" s="271"/>
    </row>
    <row r="3024" spans="2:2" ht="24.95" customHeight="1">
      <c r="B3024" s="271"/>
    </row>
    <row r="3025" spans="2:2" ht="24.95" customHeight="1">
      <c r="B3025" s="271"/>
    </row>
    <row r="3026" spans="2:2" ht="24.95" customHeight="1">
      <c r="B3026" s="271"/>
    </row>
    <row r="3027" spans="2:2" ht="24.95" customHeight="1">
      <c r="B3027" s="271"/>
    </row>
    <row r="3028" spans="2:2" ht="24.95" customHeight="1">
      <c r="B3028" s="271"/>
    </row>
    <row r="3029" spans="2:2" ht="24.95" customHeight="1">
      <c r="B3029" s="271"/>
    </row>
    <row r="3030" spans="2:2" ht="24.95" customHeight="1">
      <c r="B3030" s="271"/>
    </row>
    <row r="3031" spans="2:2" ht="24.95" customHeight="1">
      <c r="B3031" s="271"/>
    </row>
    <row r="3032" spans="2:2" ht="24.95" customHeight="1">
      <c r="B3032" s="271"/>
    </row>
    <row r="3033" spans="2:2" ht="24.95" customHeight="1">
      <c r="B3033" s="271"/>
    </row>
    <row r="3034" spans="2:2" ht="24.95" customHeight="1">
      <c r="B3034" s="271"/>
    </row>
    <row r="3035" spans="2:2" ht="24.95" customHeight="1">
      <c r="B3035" s="271"/>
    </row>
    <row r="3036" spans="2:2" ht="24.95" customHeight="1">
      <c r="B3036" s="271"/>
    </row>
    <row r="3037" spans="2:2" ht="24.95" customHeight="1">
      <c r="B3037" s="271"/>
    </row>
    <row r="3038" spans="2:2" ht="24.95" customHeight="1">
      <c r="B3038" s="271"/>
    </row>
    <row r="3039" spans="2:2" ht="24.95" customHeight="1">
      <c r="B3039" s="271"/>
    </row>
    <row r="3040" spans="2:2" ht="24.95" customHeight="1">
      <c r="B3040" s="271"/>
    </row>
    <row r="3041" spans="2:2" ht="24.95" customHeight="1">
      <c r="B3041" s="271"/>
    </row>
    <row r="3042" spans="2:2" ht="24.95" customHeight="1">
      <c r="B3042" s="271"/>
    </row>
    <row r="3043" spans="2:2" ht="24.95" customHeight="1">
      <c r="B3043" s="271"/>
    </row>
    <row r="3044" spans="2:2" ht="24.95" customHeight="1">
      <c r="B3044" s="271"/>
    </row>
    <row r="3045" spans="2:2" ht="24.95" customHeight="1">
      <c r="B3045" s="271"/>
    </row>
    <row r="3046" spans="2:2" ht="24.95" customHeight="1">
      <c r="B3046" s="271"/>
    </row>
    <row r="3047" spans="2:2" ht="24.95" customHeight="1">
      <c r="B3047" s="271"/>
    </row>
    <row r="3048" spans="2:2" ht="24.95" customHeight="1">
      <c r="B3048" s="271"/>
    </row>
    <row r="3049" spans="2:2" ht="24.95" customHeight="1">
      <c r="B3049" s="271"/>
    </row>
    <row r="3050" spans="2:2" ht="24.95" customHeight="1">
      <c r="B3050" s="271"/>
    </row>
    <row r="3051" spans="2:2" ht="24.95" customHeight="1">
      <c r="B3051" s="271"/>
    </row>
    <row r="3052" spans="2:2" ht="24.95" customHeight="1">
      <c r="B3052" s="271"/>
    </row>
    <row r="3053" spans="2:2" ht="24.95" customHeight="1">
      <c r="B3053" s="271"/>
    </row>
    <row r="3054" spans="2:2" ht="24.95" customHeight="1">
      <c r="B3054" s="271"/>
    </row>
    <row r="3055" spans="2:2" ht="24.95" customHeight="1">
      <c r="B3055" s="271"/>
    </row>
    <row r="3056" spans="2:2" ht="24.95" customHeight="1">
      <c r="B3056" s="271"/>
    </row>
    <row r="3057" spans="2:2" ht="24.95" customHeight="1">
      <c r="B3057" s="271"/>
    </row>
    <row r="3058" spans="2:2" ht="24.95" customHeight="1">
      <c r="B3058" s="271"/>
    </row>
    <row r="3059" spans="2:2" ht="24.95" customHeight="1">
      <c r="B3059" s="271"/>
    </row>
    <row r="3060" spans="2:2" ht="24.95" customHeight="1">
      <c r="B3060" s="271"/>
    </row>
    <row r="3061" spans="2:2" ht="24.95" customHeight="1">
      <c r="B3061" s="271"/>
    </row>
    <row r="3062" spans="2:2" ht="24.95" customHeight="1">
      <c r="B3062" s="271"/>
    </row>
    <row r="3063" spans="2:2" ht="24.95" customHeight="1">
      <c r="B3063" s="271"/>
    </row>
    <row r="3064" spans="2:2" ht="24.95" customHeight="1">
      <c r="B3064" s="271"/>
    </row>
    <row r="3065" spans="2:2" ht="24.95" customHeight="1">
      <c r="B3065" s="271"/>
    </row>
    <row r="3066" spans="2:2" ht="24.95" customHeight="1">
      <c r="B3066" s="271"/>
    </row>
    <row r="3067" spans="2:2" ht="24.95" customHeight="1">
      <c r="B3067" s="271"/>
    </row>
    <row r="3068" spans="2:2" ht="24.95" customHeight="1">
      <c r="B3068" s="271"/>
    </row>
    <row r="3069" spans="2:2" ht="24.95" customHeight="1">
      <c r="B3069" s="271"/>
    </row>
    <row r="3070" spans="2:2" ht="24.95" customHeight="1">
      <c r="B3070" s="271"/>
    </row>
    <row r="3071" spans="2:2" ht="24.95" customHeight="1">
      <c r="B3071" s="271"/>
    </row>
    <row r="3072" spans="2:2" ht="24.95" customHeight="1">
      <c r="B3072" s="271"/>
    </row>
    <row r="3073" spans="2:2" ht="24.95" customHeight="1">
      <c r="B3073" s="271"/>
    </row>
    <row r="3074" spans="2:2" ht="24.95" customHeight="1">
      <c r="B3074" s="271"/>
    </row>
    <row r="3075" spans="2:2" ht="24.95" customHeight="1">
      <c r="B3075" s="271"/>
    </row>
    <row r="3076" spans="2:2" ht="24.95" customHeight="1">
      <c r="B3076" s="271"/>
    </row>
    <row r="3077" spans="2:2" ht="24.95" customHeight="1">
      <c r="B3077" s="271"/>
    </row>
    <row r="3078" spans="2:2" ht="24.95" customHeight="1">
      <c r="B3078" s="271"/>
    </row>
    <row r="3079" spans="2:2" ht="24.95" customHeight="1">
      <c r="B3079" s="271"/>
    </row>
    <row r="3080" spans="2:2" ht="24.95" customHeight="1">
      <c r="B3080" s="271"/>
    </row>
    <row r="3081" spans="2:2" ht="24.95" customHeight="1">
      <c r="B3081" s="271"/>
    </row>
    <row r="3082" spans="2:2" ht="24.95" customHeight="1">
      <c r="B3082" s="271"/>
    </row>
    <row r="3083" spans="2:2" ht="24.95" customHeight="1">
      <c r="B3083" s="271"/>
    </row>
    <row r="3084" spans="2:2" ht="24.95" customHeight="1">
      <c r="B3084" s="271"/>
    </row>
    <row r="3085" spans="2:2" ht="24.95" customHeight="1">
      <c r="B3085" s="271"/>
    </row>
    <row r="3086" spans="2:2" ht="24.95" customHeight="1">
      <c r="B3086" s="271"/>
    </row>
    <row r="3087" spans="2:2" ht="24.95" customHeight="1">
      <c r="B3087" s="271"/>
    </row>
    <row r="3088" spans="2:2" ht="24.95" customHeight="1">
      <c r="B3088" s="271"/>
    </row>
    <row r="3089" spans="2:2" ht="24.95" customHeight="1">
      <c r="B3089" s="271"/>
    </row>
    <row r="3090" spans="2:2" ht="24.95" customHeight="1">
      <c r="B3090" s="271"/>
    </row>
    <row r="3091" spans="2:2" ht="24.95" customHeight="1">
      <c r="B3091" s="271"/>
    </row>
    <row r="3092" spans="2:2" ht="24.95" customHeight="1">
      <c r="B3092" s="271"/>
    </row>
    <row r="3093" spans="2:2" ht="24.95" customHeight="1">
      <c r="B3093" s="271"/>
    </row>
    <row r="3094" spans="2:2" ht="24.95" customHeight="1">
      <c r="B3094" s="271"/>
    </row>
    <row r="3095" spans="2:2" ht="24.95" customHeight="1">
      <c r="B3095" s="271"/>
    </row>
    <row r="3096" spans="2:2" ht="24.95" customHeight="1">
      <c r="B3096" s="271"/>
    </row>
    <row r="3097" spans="2:2" ht="24.95" customHeight="1">
      <c r="B3097" s="271"/>
    </row>
    <row r="3098" spans="2:2" ht="24.95" customHeight="1">
      <c r="B3098" s="271"/>
    </row>
    <row r="3099" spans="2:2" ht="24.95" customHeight="1">
      <c r="B3099" s="271"/>
    </row>
    <row r="3100" spans="2:2" ht="24.95" customHeight="1">
      <c r="B3100" s="271"/>
    </row>
    <row r="3101" spans="2:2" ht="24.95" customHeight="1">
      <c r="B3101" s="271"/>
    </row>
    <row r="3102" spans="2:2" ht="24.95" customHeight="1">
      <c r="B3102" s="271"/>
    </row>
    <row r="3103" spans="2:2" ht="24.95" customHeight="1">
      <c r="B3103" s="271"/>
    </row>
    <row r="3104" spans="2:2" ht="24.95" customHeight="1">
      <c r="B3104" s="271"/>
    </row>
    <row r="3105" spans="2:2" ht="24.95" customHeight="1">
      <c r="B3105" s="271"/>
    </row>
    <row r="3106" spans="2:2" ht="24.95" customHeight="1">
      <c r="B3106" s="271"/>
    </row>
    <row r="3107" spans="2:2" ht="24.95" customHeight="1">
      <c r="B3107" s="271"/>
    </row>
    <row r="3108" spans="2:2" ht="24.95" customHeight="1">
      <c r="B3108" s="271"/>
    </row>
    <row r="3109" spans="2:2" ht="24.95" customHeight="1">
      <c r="B3109" s="271"/>
    </row>
    <row r="3110" spans="2:2" ht="24.95" customHeight="1">
      <c r="B3110" s="271"/>
    </row>
    <row r="3111" spans="2:2" ht="24.95" customHeight="1">
      <c r="B3111" s="271"/>
    </row>
    <row r="3112" spans="2:2" ht="24.95" customHeight="1">
      <c r="B3112" s="271"/>
    </row>
    <row r="3113" spans="2:2" ht="24.95" customHeight="1">
      <c r="B3113" s="271"/>
    </row>
    <row r="3114" spans="2:2" ht="24.95" customHeight="1">
      <c r="B3114" s="271"/>
    </row>
    <row r="3115" spans="2:2" ht="24.95" customHeight="1">
      <c r="B3115" s="271"/>
    </row>
    <row r="3116" spans="2:2" ht="24.95" customHeight="1">
      <c r="B3116" s="271"/>
    </row>
    <row r="3117" spans="2:2" ht="24.95" customHeight="1">
      <c r="B3117" s="271"/>
    </row>
    <row r="3118" spans="2:2" ht="24.95" customHeight="1">
      <c r="B3118" s="271"/>
    </row>
    <row r="3119" spans="2:2" ht="24.95" customHeight="1">
      <c r="B3119" s="271"/>
    </row>
    <row r="3120" spans="2:2" ht="24.95" customHeight="1">
      <c r="B3120" s="271"/>
    </row>
    <row r="3121" spans="2:2" ht="24.95" customHeight="1">
      <c r="B3121" s="271"/>
    </row>
    <row r="3122" spans="2:2" ht="24.95" customHeight="1">
      <c r="B3122" s="271"/>
    </row>
    <row r="3123" spans="2:2" ht="24.95" customHeight="1">
      <c r="B3123" s="271"/>
    </row>
    <row r="3124" spans="2:2" ht="24.95" customHeight="1">
      <c r="B3124" s="271"/>
    </row>
    <row r="3125" spans="2:2" ht="24.95" customHeight="1">
      <c r="B3125" s="271"/>
    </row>
    <row r="3126" spans="2:2" ht="24.95" customHeight="1">
      <c r="B3126" s="271"/>
    </row>
    <row r="3127" spans="2:2" ht="24.95" customHeight="1">
      <c r="B3127" s="271"/>
    </row>
    <row r="3128" spans="2:2" ht="24.95" customHeight="1">
      <c r="B3128" s="271"/>
    </row>
    <row r="3129" spans="2:2" ht="24.95" customHeight="1">
      <c r="B3129" s="271"/>
    </row>
    <row r="3130" spans="2:2" ht="24.95" customHeight="1">
      <c r="B3130" s="271"/>
    </row>
    <row r="3131" spans="2:2" ht="24.95" customHeight="1">
      <c r="B3131" s="271"/>
    </row>
    <row r="3132" spans="2:2" ht="24.95" customHeight="1">
      <c r="B3132" s="271"/>
    </row>
    <row r="3133" spans="2:2" ht="24.95" customHeight="1">
      <c r="B3133" s="271"/>
    </row>
    <row r="3134" spans="2:2" ht="24.95" customHeight="1">
      <c r="B3134" s="271"/>
    </row>
    <row r="3135" spans="2:2" ht="24.95" customHeight="1">
      <c r="B3135" s="271"/>
    </row>
    <row r="3136" spans="2:2" ht="24.95" customHeight="1">
      <c r="B3136" s="271"/>
    </row>
    <row r="3137" spans="2:2" ht="24.95" customHeight="1">
      <c r="B3137" s="271"/>
    </row>
    <row r="3138" spans="2:2" ht="24.95" customHeight="1">
      <c r="B3138" s="271"/>
    </row>
    <row r="3139" spans="2:2" ht="24.95" customHeight="1">
      <c r="B3139" s="271"/>
    </row>
    <row r="3140" spans="2:2" ht="24.95" customHeight="1">
      <c r="B3140" s="271"/>
    </row>
    <row r="3141" spans="2:2" ht="24.95" customHeight="1">
      <c r="B3141" s="271"/>
    </row>
    <row r="3142" spans="2:2" ht="24.95" customHeight="1">
      <c r="B3142" s="271"/>
    </row>
    <row r="3143" spans="2:2" ht="24.95" customHeight="1">
      <c r="B3143" s="271"/>
    </row>
    <row r="3144" spans="2:2" ht="24.95" customHeight="1">
      <c r="B3144" s="271"/>
    </row>
    <row r="3145" spans="2:2" ht="24.95" customHeight="1">
      <c r="B3145" s="271"/>
    </row>
    <row r="3146" spans="2:2" ht="24.95" customHeight="1">
      <c r="B3146" s="271"/>
    </row>
    <row r="3147" spans="2:2" ht="24.95" customHeight="1">
      <c r="B3147" s="271"/>
    </row>
    <row r="3148" spans="2:2" ht="24.95" customHeight="1">
      <c r="B3148" s="271"/>
    </row>
    <row r="3149" spans="2:2" ht="24.95" customHeight="1">
      <c r="B3149" s="271"/>
    </row>
    <row r="3150" spans="2:2" ht="24.95" customHeight="1">
      <c r="B3150" s="271"/>
    </row>
    <row r="3151" spans="2:2" ht="24.95" customHeight="1">
      <c r="B3151" s="271"/>
    </row>
    <row r="3152" spans="2:2" ht="24.95" customHeight="1">
      <c r="B3152" s="271"/>
    </row>
    <row r="3153" spans="2:2" ht="24.95" customHeight="1">
      <c r="B3153" s="271"/>
    </row>
    <row r="3154" spans="2:2" ht="24.95" customHeight="1">
      <c r="B3154" s="271"/>
    </row>
    <row r="3155" spans="2:2" ht="24.95" customHeight="1">
      <c r="B3155" s="271"/>
    </row>
    <row r="3156" spans="2:2" ht="24.95" customHeight="1">
      <c r="B3156" s="271"/>
    </row>
    <row r="3157" spans="2:2" ht="24.95" customHeight="1">
      <c r="B3157" s="271"/>
    </row>
    <row r="3158" spans="2:2" ht="24.95" customHeight="1">
      <c r="B3158" s="271"/>
    </row>
    <row r="3159" spans="2:2" ht="24.95" customHeight="1">
      <c r="B3159" s="271"/>
    </row>
    <row r="3160" spans="2:2" ht="24.95" customHeight="1">
      <c r="B3160" s="271"/>
    </row>
    <row r="3161" spans="2:2" ht="24.95" customHeight="1">
      <c r="B3161" s="271"/>
    </row>
    <row r="3162" spans="2:2" ht="24.95" customHeight="1">
      <c r="B3162" s="271"/>
    </row>
    <row r="3163" spans="2:2" ht="24.95" customHeight="1">
      <c r="B3163" s="271"/>
    </row>
    <row r="3164" spans="2:2" ht="24.95" customHeight="1">
      <c r="B3164" s="271"/>
    </row>
    <row r="3165" spans="2:2" ht="24.95" customHeight="1">
      <c r="B3165" s="271"/>
    </row>
    <row r="3166" spans="2:2" ht="24.95" customHeight="1">
      <c r="B3166" s="271"/>
    </row>
    <row r="3167" spans="2:2" ht="24.95" customHeight="1">
      <c r="B3167" s="271"/>
    </row>
    <row r="3168" spans="2:2" ht="24.95" customHeight="1">
      <c r="B3168" s="271"/>
    </row>
    <row r="3169" spans="2:2" ht="24.95" customHeight="1">
      <c r="B3169" s="271"/>
    </row>
    <row r="3170" spans="2:2" ht="24.95" customHeight="1">
      <c r="B3170" s="271"/>
    </row>
    <row r="3171" spans="2:2" ht="24.95" customHeight="1">
      <c r="B3171" s="271"/>
    </row>
    <row r="3172" spans="2:2" ht="24.95" customHeight="1">
      <c r="B3172" s="271"/>
    </row>
    <row r="3173" spans="2:2" ht="24.95" customHeight="1">
      <c r="B3173" s="271"/>
    </row>
    <row r="3174" spans="2:2" ht="24.95" customHeight="1">
      <c r="B3174" s="271"/>
    </row>
    <row r="3175" spans="2:2" ht="24.95" customHeight="1">
      <c r="B3175" s="271"/>
    </row>
    <row r="3176" spans="2:2" ht="24.95" customHeight="1">
      <c r="B3176" s="271"/>
    </row>
    <row r="3177" spans="2:2" ht="24.95" customHeight="1">
      <c r="B3177" s="271"/>
    </row>
    <row r="3178" spans="2:2" ht="24.95" customHeight="1">
      <c r="B3178" s="271"/>
    </row>
    <row r="3179" spans="2:2" ht="24.95" customHeight="1">
      <c r="B3179" s="271"/>
    </row>
    <row r="3180" spans="2:2" ht="24.95" customHeight="1">
      <c r="B3180" s="271"/>
    </row>
    <row r="3181" spans="2:2" ht="24.95" customHeight="1">
      <c r="B3181" s="271"/>
    </row>
    <row r="3182" spans="2:2" ht="24.95" customHeight="1">
      <c r="B3182" s="271"/>
    </row>
    <row r="3183" spans="2:2" ht="24.95" customHeight="1">
      <c r="B3183" s="271"/>
    </row>
    <row r="3184" spans="2:2" ht="24.95" customHeight="1">
      <c r="B3184" s="271"/>
    </row>
    <row r="3185" spans="2:2" ht="24.95" customHeight="1">
      <c r="B3185" s="271"/>
    </row>
    <row r="3186" spans="2:2" ht="24.95" customHeight="1">
      <c r="B3186" s="271"/>
    </row>
    <row r="3187" spans="2:2" ht="24.95" customHeight="1">
      <c r="B3187" s="271"/>
    </row>
    <row r="3188" spans="2:2" ht="24.95" customHeight="1">
      <c r="B3188" s="271"/>
    </row>
    <row r="3189" spans="2:2" ht="24.95" customHeight="1">
      <c r="B3189" s="271"/>
    </row>
    <row r="3190" spans="2:2" ht="24.95" customHeight="1">
      <c r="B3190" s="271"/>
    </row>
    <row r="3191" spans="2:2" ht="24.95" customHeight="1">
      <c r="B3191" s="271"/>
    </row>
    <row r="3192" spans="2:2" ht="24.95" customHeight="1">
      <c r="B3192" s="271"/>
    </row>
    <row r="3193" spans="2:2" ht="24.95" customHeight="1">
      <c r="B3193" s="271"/>
    </row>
    <row r="3194" spans="2:2" ht="24.95" customHeight="1">
      <c r="B3194" s="271"/>
    </row>
    <row r="3195" spans="2:2" ht="24.95" customHeight="1">
      <c r="B3195" s="271"/>
    </row>
    <row r="3196" spans="2:2" ht="24.95" customHeight="1">
      <c r="B3196" s="271"/>
    </row>
    <row r="3197" spans="2:2" ht="24.95" customHeight="1">
      <c r="B3197" s="271"/>
    </row>
    <row r="3198" spans="2:2" ht="24.95" customHeight="1">
      <c r="B3198" s="271"/>
    </row>
    <row r="3199" spans="2:2" ht="24.95" customHeight="1">
      <c r="B3199" s="271"/>
    </row>
    <row r="3200" spans="2:2" ht="24.95" customHeight="1">
      <c r="B3200" s="271"/>
    </row>
    <row r="3201" spans="2:2" ht="24.95" customHeight="1">
      <c r="B3201" s="271"/>
    </row>
    <row r="3202" spans="2:2" ht="24.95" customHeight="1">
      <c r="B3202" s="271"/>
    </row>
    <row r="3203" spans="2:2" ht="24.95" customHeight="1">
      <c r="B3203" s="271"/>
    </row>
    <row r="3204" spans="2:2" ht="24.95" customHeight="1">
      <c r="B3204" s="271"/>
    </row>
    <row r="3205" spans="2:2" ht="24.95" customHeight="1">
      <c r="B3205" s="271"/>
    </row>
    <row r="3206" spans="2:2" ht="24.95" customHeight="1">
      <c r="B3206" s="271"/>
    </row>
    <row r="3207" spans="2:2" ht="24.95" customHeight="1">
      <c r="B3207" s="271"/>
    </row>
    <row r="3208" spans="2:2" ht="24.95" customHeight="1">
      <c r="B3208" s="271"/>
    </row>
    <row r="3209" spans="2:2" ht="24.95" customHeight="1">
      <c r="B3209" s="271"/>
    </row>
    <row r="3210" spans="2:2" ht="24.95" customHeight="1">
      <c r="B3210" s="271"/>
    </row>
    <row r="3211" spans="2:2" ht="24.95" customHeight="1">
      <c r="B3211" s="271"/>
    </row>
    <row r="3212" spans="2:2" ht="24.95" customHeight="1">
      <c r="B3212" s="271"/>
    </row>
    <row r="3213" spans="2:2" ht="24.95" customHeight="1">
      <c r="B3213" s="271"/>
    </row>
    <row r="3214" spans="2:2" ht="24.95" customHeight="1">
      <c r="B3214" s="271"/>
    </row>
    <row r="3215" spans="2:2" ht="24.95" customHeight="1">
      <c r="B3215" s="271"/>
    </row>
    <row r="3216" spans="2:2" ht="24.95" customHeight="1">
      <c r="B3216" s="271"/>
    </row>
    <row r="3217" spans="2:2" ht="24.95" customHeight="1">
      <c r="B3217" s="271"/>
    </row>
    <row r="3218" spans="2:2" ht="24.95" customHeight="1">
      <c r="B3218" s="271"/>
    </row>
    <row r="3219" spans="2:2" ht="24.95" customHeight="1">
      <c r="B3219" s="271"/>
    </row>
    <row r="3220" spans="2:2" ht="24.95" customHeight="1">
      <c r="B3220" s="271"/>
    </row>
    <row r="3221" spans="2:2" ht="24.95" customHeight="1">
      <c r="B3221" s="271"/>
    </row>
    <row r="3222" spans="2:2" ht="24.95" customHeight="1">
      <c r="B3222" s="271"/>
    </row>
    <row r="3223" spans="2:2" ht="24.95" customHeight="1">
      <c r="B3223" s="271"/>
    </row>
    <row r="3224" spans="2:2" ht="24.95" customHeight="1">
      <c r="B3224" s="271"/>
    </row>
    <row r="3225" spans="2:2" ht="24.95" customHeight="1">
      <c r="B3225" s="271"/>
    </row>
    <row r="3226" spans="2:2" ht="24.95" customHeight="1">
      <c r="B3226" s="271"/>
    </row>
    <row r="3227" spans="2:2" ht="24.95" customHeight="1">
      <c r="B3227" s="271"/>
    </row>
    <row r="3228" spans="2:2" ht="24.95" customHeight="1">
      <c r="B3228" s="271"/>
    </row>
    <row r="3229" spans="2:2" ht="24.95" customHeight="1">
      <c r="B3229" s="271"/>
    </row>
    <row r="3230" spans="2:2" ht="24.95" customHeight="1">
      <c r="B3230" s="271"/>
    </row>
    <row r="3231" spans="2:2" ht="24.95" customHeight="1">
      <c r="B3231" s="271"/>
    </row>
    <row r="3232" spans="2:2" ht="24.95" customHeight="1">
      <c r="B3232" s="271"/>
    </row>
    <row r="3233" spans="2:2" ht="24.95" customHeight="1">
      <c r="B3233" s="271"/>
    </row>
    <row r="3234" spans="2:2" ht="24.95" customHeight="1">
      <c r="B3234" s="271"/>
    </row>
    <row r="3235" spans="2:2" ht="24.95" customHeight="1">
      <c r="B3235" s="271"/>
    </row>
    <row r="3236" spans="2:2" ht="24.95" customHeight="1">
      <c r="B3236" s="271"/>
    </row>
    <row r="3237" spans="2:2" ht="24.95" customHeight="1">
      <c r="B3237" s="271"/>
    </row>
    <row r="3238" spans="2:2" ht="24.95" customHeight="1">
      <c r="B3238" s="271"/>
    </row>
    <row r="3239" spans="2:2" ht="24.95" customHeight="1">
      <c r="B3239" s="271"/>
    </row>
    <row r="3240" spans="2:2" ht="24.95" customHeight="1">
      <c r="B3240" s="271"/>
    </row>
    <row r="3241" spans="2:2" ht="24.95" customHeight="1">
      <c r="B3241" s="271"/>
    </row>
    <row r="3242" spans="2:2" ht="24.95" customHeight="1">
      <c r="B3242" s="271"/>
    </row>
    <row r="3243" spans="2:2" ht="24.95" customHeight="1">
      <c r="B3243" s="271"/>
    </row>
    <row r="3244" spans="2:2" ht="24.95" customHeight="1">
      <c r="B3244" s="271"/>
    </row>
    <row r="3245" spans="2:2" ht="24.95" customHeight="1">
      <c r="B3245" s="271"/>
    </row>
    <row r="3246" spans="2:2" ht="24.95" customHeight="1">
      <c r="B3246" s="271"/>
    </row>
    <row r="3247" spans="2:2" ht="24.95" customHeight="1">
      <c r="B3247" s="271"/>
    </row>
    <row r="3248" spans="2:2" ht="24.95" customHeight="1">
      <c r="B3248" s="271"/>
    </row>
    <row r="3249" spans="2:2" ht="24.95" customHeight="1">
      <c r="B3249" s="271"/>
    </row>
    <row r="3250" spans="2:2" ht="24.95" customHeight="1">
      <c r="B3250" s="271"/>
    </row>
    <row r="3251" spans="2:2" ht="24.95" customHeight="1">
      <c r="B3251" s="271"/>
    </row>
    <row r="3252" spans="2:2" ht="24.95" customHeight="1">
      <c r="B3252" s="271"/>
    </row>
    <row r="3253" spans="2:2" ht="24.95" customHeight="1">
      <c r="B3253" s="271"/>
    </row>
    <row r="3254" spans="2:2" ht="24.95" customHeight="1">
      <c r="B3254" s="271"/>
    </row>
    <row r="3255" spans="2:2" ht="24.95" customHeight="1">
      <c r="B3255" s="271"/>
    </row>
    <row r="3256" spans="2:2" ht="24.95" customHeight="1">
      <c r="B3256" s="271"/>
    </row>
    <row r="3257" spans="2:2" ht="24.95" customHeight="1">
      <c r="B3257" s="271"/>
    </row>
    <row r="3258" spans="2:2" ht="24.95" customHeight="1">
      <c r="B3258" s="271"/>
    </row>
    <row r="3259" spans="2:2" ht="24.95" customHeight="1">
      <c r="B3259" s="271"/>
    </row>
    <row r="3260" spans="2:2" ht="24.95" customHeight="1">
      <c r="B3260" s="271"/>
    </row>
    <row r="3261" spans="2:2" ht="24.95" customHeight="1">
      <c r="B3261" s="271"/>
    </row>
    <row r="3262" spans="2:2" ht="24.95" customHeight="1">
      <c r="B3262" s="271"/>
    </row>
    <row r="3263" spans="2:2" ht="24.95" customHeight="1">
      <c r="B3263" s="271"/>
    </row>
    <row r="3264" spans="2:2" ht="24.95" customHeight="1">
      <c r="B3264" s="271"/>
    </row>
    <row r="3265" spans="2:2" ht="24.95" customHeight="1">
      <c r="B3265" s="271"/>
    </row>
    <row r="3266" spans="2:2" ht="24.95" customHeight="1">
      <c r="B3266" s="271"/>
    </row>
    <row r="3267" spans="2:2" ht="24.95" customHeight="1">
      <c r="B3267" s="271"/>
    </row>
    <row r="3268" spans="2:2" ht="24.95" customHeight="1">
      <c r="B3268" s="271"/>
    </row>
    <row r="3269" spans="2:2" ht="24.95" customHeight="1">
      <c r="B3269" s="271"/>
    </row>
    <row r="3270" spans="2:2" ht="24.95" customHeight="1">
      <c r="B3270" s="271"/>
    </row>
    <row r="3271" spans="2:2" ht="24.95" customHeight="1">
      <c r="B3271" s="271"/>
    </row>
    <row r="3272" spans="2:2" ht="24.95" customHeight="1">
      <c r="B3272" s="271"/>
    </row>
    <row r="3273" spans="2:2" ht="24.95" customHeight="1">
      <c r="B3273" s="271"/>
    </row>
    <row r="3274" spans="2:2" ht="24.95" customHeight="1">
      <c r="B3274" s="271"/>
    </row>
    <row r="3275" spans="2:2" ht="24.95" customHeight="1">
      <c r="B3275" s="271"/>
    </row>
    <row r="3276" spans="2:2" ht="24.95" customHeight="1">
      <c r="B3276" s="271"/>
    </row>
    <row r="3277" spans="2:2" ht="24.95" customHeight="1">
      <c r="B3277" s="271"/>
    </row>
    <row r="3278" spans="2:2" ht="24.95" customHeight="1">
      <c r="B3278" s="271"/>
    </row>
    <row r="3279" spans="2:2" ht="24.95" customHeight="1">
      <c r="B3279" s="271"/>
    </row>
    <row r="3280" spans="2:2" ht="24.95" customHeight="1">
      <c r="B3280" s="271"/>
    </row>
    <row r="3281" spans="2:2" ht="24.95" customHeight="1">
      <c r="B3281" s="271"/>
    </row>
    <row r="3282" spans="2:2" ht="24.95" customHeight="1">
      <c r="B3282" s="271"/>
    </row>
    <row r="3283" spans="2:2" ht="24.95" customHeight="1">
      <c r="B3283" s="271"/>
    </row>
    <row r="3284" spans="2:2" ht="24.95" customHeight="1">
      <c r="B3284" s="271"/>
    </row>
    <row r="3285" spans="2:2" ht="24.95" customHeight="1">
      <c r="B3285" s="271"/>
    </row>
    <row r="3286" spans="2:2" ht="24.95" customHeight="1">
      <c r="B3286" s="271"/>
    </row>
    <row r="3287" spans="2:2" ht="24.95" customHeight="1">
      <c r="B3287" s="271"/>
    </row>
    <row r="3288" spans="2:2" ht="24.95" customHeight="1">
      <c r="B3288" s="271"/>
    </row>
    <row r="3289" spans="2:2" ht="24.95" customHeight="1">
      <c r="B3289" s="271"/>
    </row>
    <row r="3290" spans="2:2" ht="24.95" customHeight="1">
      <c r="B3290" s="271"/>
    </row>
    <row r="3291" spans="2:2" ht="24.95" customHeight="1">
      <c r="B3291" s="271"/>
    </row>
    <row r="3292" spans="2:2" ht="24.95" customHeight="1">
      <c r="B3292" s="271"/>
    </row>
    <row r="3293" spans="2:2" ht="24.95" customHeight="1">
      <c r="B3293" s="271"/>
    </row>
    <row r="3294" spans="2:2" ht="24.95" customHeight="1">
      <c r="B3294" s="271"/>
    </row>
    <row r="3295" spans="2:2" ht="24.95" customHeight="1">
      <c r="B3295" s="271"/>
    </row>
    <row r="3296" spans="2:2" ht="24.95" customHeight="1">
      <c r="B3296" s="271"/>
    </row>
    <row r="3297" spans="2:2" ht="24.95" customHeight="1">
      <c r="B3297" s="271"/>
    </row>
    <row r="3298" spans="2:2" ht="24.95" customHeight="1">
      <c r="B3298" s="271"/>
    </row>
    <row r="3299" spans="2:2" ht="24.95" customHeight="1">
      <c r="B3299" s="271"/>
    </row>
    <row r="3300" spans="2:2" ht="24.95" customHeight="1">
      <c r="B3300" s="271"/>
    </row>
    <row r="3301" spans="2:2" ht="24.95" customHeight="1">
      <c r="B3301" s="271"/>
    </row>
    <row r="3302" spans="2:2" ht="24.95" customHeight="1">
      <c r="B3302" s="271"/>
    </row>
    <row r="3303" spans="2:2" ht="24.95" customHeight="1">
      <c r="B3303" s="271"/>
    </row>
    <row r="3304" spans="2:2" ht="24.95" customHeight="1">
      <c r="B3304" s="271"/>
    </row>
    <row r="3305" spans="2:2" ht="24.95" customHeight="1">
      <c r="B3305" s="271"/>
    </row>
    <row r="3306" spans="2:2" ht="24.95" customHeight="1">
      <c r="B3306" s="271"/>
    </row>
    <row r="3307" spans="2:2" ht="24.95" customHeight="1">
      <c r="B3307" s="271"/>
    </row>
    <row r="3308" spans="2:2" ht="24.95" customHeight="1">
      <c r="B3308" s="271"/>
    </row>
    <row r="3309" spans="2:2" ht="24.95" customHeight="1">
      <c r="B3309" s="271"/>
    </row>
    <row r="3310" spans="2:2" ht="24.95" customHeight="1">
      <c r="B3310" s="271"/>
    </row>
    <row r="3311" spans="2:2" ht="24.95" customHeight="1">
      <c r="B3311" s="271"/>
    </row>
    <row r="3312" spans="2:2" ht="24.95" customHeight="1">
      <c r="B3312" s="271"/>
    </row>
    <row r="3313" spans="2:2" ht="24.95" customHeight="1">
      <c r="B3313" s="271"/>
    </row>
    <row r="3314" spans="2:2" ht="24.95" customHeight="1">
      <c r="B3314" s="271"/>
    </row>
    <row r="3315" spans="2:2" ht="24.95" customHeight="1">
      <c r="B3315" s="271"/>
    </row>
    <row r="3316" spans="2:2" ht="24.95" customHeight="1">
      <c r="B3316" s="271"/>
    </row>
    <row r="3317" spans="2:2" ht="24.95" customHeight="1">
      <c r="B3317" s="271"/>
    </row>
    <row r="3318" spans="2:2" ht="24.95" customHeight="1">
      <c r="B3318" s="271"/>
    </row>
    <row r="3319" spans="2:2" ht="24.95" customHeight="1">
      <c r="B3319" s="271"/>
    </row>
    <row r="3320" spans="2:2" ht="24.95" customHeight="1">
      <c r="B3320" s="271"/>
    </row>
    <row r="3321" spans="2:2" ht="24.95" customHeight="1">
      <c r="B3321" s="271"/>
    </row>
    <row r="3322" spans="2:2" ht="24.95" customHeight="1">
      <c r="B3322" s="271"/>
    </row>
    <row r="3323" spans="2:2" ht="24.95" customHeight="1">
      <c r="B3323" s="271"/>
    </row>
    <row r="3324" spans="2:2" ht="24.95" customHeight="1">
      <c r="B3324" s="271"/>
    </row>
    <row r="3325" spans="2:2" ht="24.95" customHeight="1">
      <c r="B3325" s="271"/>
    </row>
    <row r="3326" spans="2:2" ht="24.95" customHeight="1">
      <c r="B3326" s="271"/>
    </row>
    <row r="3327" spans="2:2" ht="24.95" customHeight="1">
      <c r="B3327" s="271"/>
    </row>
    <row r="3328" spans="2:2" ht="24.95" customHeight="1">
      <c r="B3328" s="271"/>
    </row>
    <row r="3329" spans="2:2" ht="24.95" customHeight="1">
      <c r="B3329" s="271"/>
    </row>
    <row r="3330" spans="2:2" ht="24.95" customHeight="1">
      <c r="B3330" s="271"/>
    </row>
    <row r="3331" spans="2:2" ht="24.95" customHeight="1">
      <c r="B3331" s="271"/>
    </row>
    <row r="3332" spans="2:2" ht="24.95" customHeight="1">
      <c r="B3332" s="271"/>
    </row>
    <row r="3333" spans="2:2" ht="24.95" customHeight="1">
      <c r="B3333" s="271"/>
    </row>
    <row r="3334" spans="2:2" ht="24.95" customHeight="1">
      <c r="B3334" s="271"/>
    </row>
    <row r="3335" spans="2:2" ht="24.95" customHeight="1">
      <c r="B3335" s="271"/>
    </row>
    <row r="3336" spans="2:2" ht="24.95" customHeight="1">
      <c r="B3336" s="271"/>
    </row>
    <row r="3337" spans="2:2" ht="24.95" customHeight="1">
      <c r="B3337" s="271"/>
    </row>
    <row r="3338" spans="2:2" ht="24.95" customHeight="1">
      <c r="B3338" s="271"/>
    </row>
    <row r="3339" spans="2:2" ht="24.95" customHeight="1">
      <c r="B3339" s="271"/>
    </row>
    <row r="3340" spans="2:2" ht="24.95" customHeight="1">
      <c r="B3340" s="271"/>
    </row>
    <row r="3341" spans="2:2" ht="24.95" customHeight="1">
      <c r="B3341" s="271"/>
    </row>
    <row r="3342" spans="2:2" ht="24.95" customHeight="1">
      <c r="B3342" s="271"/>
    </row>
    <row r="3343" spans="2:2" ht="24.95" customHeight="1">
      <c r="B3343" s="271"/>
    </row>
    <row r="3344" spans="2:2" ht="24.95" customHeight="1">
      <c r="B3344" s="271"/>
    </row>
    <row r="3345" spans="2:2" ht="24.95" customHeight="1">
      <c r="B3345" s="271"/>
    </row>
    <row r="3346" spans="2:2" ht="24.95" customHeight="1">
      <c r="B3346" s="271"/>
    </row>
    <row r="3347" spans="2:2" ht="24.95" customHeight="1">
      <c r="B3347" s="271"/>
    </row>
    <row r="3348" spans="2:2" ht="24.95" customHeight="1">
      <c r="B3348" s="271"/>
    </row>
    <row r="3349" spans="2:2" ht="24.95" customHeight="1">
      <c r="B3349" s="271"/>
    </row>
    <row r="3350" spans="2:2" ht="24.95" customHeight="1">
      <c r="B3350" s="271"/>
    </row>
    <row r="3351" spans="2:2" ht="24.95" customHeight="1">
      <c r="B3351" s="271"/>
    </row>
    <row r="3352" spans="2:2" ht="24.95" customHeight="1">
      <c r="B3352" s="271"/>
    </row>
    <row r="3353" spans="2:2" ht="24.95" customHeight="1">
      <c r="B3353" s="271"/>
    </row>
    <row r="3354" spans="2:2" ht="24.95" customHeight="1">
      <c r="B3354" s="271"/>
    </row>
    <row r="3355" spans="2:2" ht="24.95" customHeight="1">
      <c r="B3355" s="271"/>
    </row>
    <row r="3356" spans="2:2" ht="24.95" customHeight="1">
      <c r="B3356" s="271"/>
    </row>
    <row r="3357" spans="2:2" ht="24.95" customHeight="1">
      <c r="B3357" s="271"/>
    </row>
    <row r="3358" spans="2:2" ht="24.95" customHeight="1">
      <c r="B3358" s="271"/>
    </row>
    <row r="3359" spans="2:2" ht="24.95" customHeight="1">
      <c r="B3359" s="271"/>
    </row>
    <row r="3360" spans="2:2" ht="24.95" customHeight="1">
      <c r="B3360" s="271"/>
    </row>
    <row r="3361" spans="2:2" ht="24.95" customHeight="1">
      <c r="B3361" s="271"/>
    </row>
    <row r="3362" spans="2:2" ht="24.95" customHeight="1">
      <c r="B3362" s="271"/>
    </row>
    <row r="3363" spans="2:2" ht="24.95" customHeight="1">
      <c r="B3363" s="271"/>
    </row>
    <row r="3364" spans="2:2" ht="24.95" customHeight="1">
      <c r="B3364" s="271"/>
    </row>
    <row r="3365" spans="2:2" ht="24.95" customHeight="1">
      <c r="B3365" s="271"/>
    </row>
    <row r="3366" spans="2:2" ht="24.95" customHeight="1">
      <c r="B3366" s="271"/>
    </row>
    <row r="3367" spans="2:2" ht="24.95" customHeight="1">
      <c r="B3367" s="271"/>
    </row>
    <row r="3368" spans="2:2" ht="24.95" customHeight="1">
      <c r="B3368" s="271"/>
    </row>
    <row r="3369" spans="2:2" ht="24.95" customHeight="1">
      <c r="B3369" s="271"/>
    </row>
    <row r="3370" spans="2:2" ht="24.95" customHeight="1">
      <c r="B3370" s="271"/>
    </row>
    <row r="3371" spans="2:2" ht="24.95" customHeight="1">
      <c r="B3371" s="271"/>
    </row>
    <row r="3372" spans="2:2" ht="24.95" customHeight="1">
      <c r="B3372" s="271"/>
    </row>
    <row r="3373" spans="2:2" ht="24.95" customHeight="1">
      <c r="B3373" s="271"/>
    </row>
    <row r="3374" spans="2:2" ht="24.95" customHeight="1">
      <c r="B3374" s="271"/>
    </row>
    <row r="3375" spans="2:2" ht="24.95" customHeight="1">
      <c r="B3375" s="271"/>
    </row>
    <row r="3376" spans="2:2" ht="24.95" customHeight="1">
      <c r="B3376" s="271"/>
    </row>
    <row r="3377" spans="2:2" ht="24.95" customHeight="1">
      <c r="B3377" s="271"/>
    </row>
    <row r="3378" spans="2:2" ht="24.95" customHeight="1">
      <c r="B3378" s="271"/>
    </row>
    <row r="3379" spans="2:2" ht="24.95" customHeight="1">
      <c r="B3379" s="271"/>
    </row>
    <row r="3380" spans="2:2" ht="24.95" customHeight="1">
      <c r="B3380" s="271"/>
    </row>
    <row r="3381" spans="2:2" ht="24.95" customHeight="1">
      <c r="B3381" s="271"/>
    </row>
    <row r="3382" spans="2:2" ht="24.95" customHeight="1">
      <c r="B3382" s="271"/>
    </row>
    <row r="3383" spans="2:2" ht="24.95" customHeight="1">
      <c r="B3383" s="271"/>
    </row>
    <row r="3384" spans="2:2" ht="24.95" customHeight="1">
      <c r="B3384" s="271"/>
    </row>
    <row r="3385" spans="2:2" ht="24.95" customHeight="1">
      <c r="B3385" s="271"/>
    </row>
    <row r="3386" spans="2:2" ht="24.95" customHeight="1">
      <c r="B3386" s="271"/>
    </row>
    <row r="3387" spans="2:2" ht="24.95" customHeight="1">
      <c r="B3387" s="271"/>
    </row>
    <row r="3388" spans="2:2" ht="24.95" customHeight="1">
      <c r="B3388" s="271"/>
    </row>
    <row r="3389" spans="2:2" ht="24.95" customHeight="1">
      <c r="B3389" s="271"/>
    </row>
    <row r="3390" spans="2:2" ht="24.95" customHeight="1">
      <c r="B3390" s="271"/>
    </row>
    <row r="3391" spans="2:2" ht="24.95" customHeight="1">
      <c r="B3391" s="271"/>
    </row>
    <row r="3392" spans="2:2" ht="24.95" customHeight="1">
      <c r="B3392" s="271"/>
    </row>
    <row r="3393" spans="2:2" ht="24.95" customHeight="1">
      <c r="B3393" s="271"/>
    </row>
    <row r="3394" spans="2:2" ht="24.95" customHeight="1">
      <c r="B3394" s="271"/>
    </row>
    <row r="3395" spans="2:2" ht="24.95" customHeight="1">
      <c r="B3395" s="271"/>
    </row>
    <row r="3396" spans="2:2" ht="24.95" customHeight="1">
      <c r="B3396" s="271"/>
    </row>
    <row r="3397" spans="2:2" ht="24.95" customHeight="1">
      <c r="B3397" s="271"/>
    </row>
    <row r="3398" spans="2:2" ht="24.95" customHeight="1">
      <c r="B3398" s="271"/>
    </row>
    <row r="3399" spans="2:2" ht="24.95" customHeight="1">
      <c r="B3399" s="271"/>
    </row>
    <row r="3400" spans="2:2" ht="24.95" customHeight="1">
      <c r="B3400" s="271"/>
    </row>
    <row r="3401" spans="2:2" ht="24.95" customHeight="1">
      <c r="B3401" s="271"/>
    </row>
    <row r="3402" spans="2:2" ht="24.95" customHeight="1">
      <c r="B3402" s="271"/>
    </row>
    <row r="3403" spans="2:2" ht="24.95" customHeight="1">
      <c r="B3403" s="271"/>
    </row>
    <row r="3404" spans="2:2" ht="24.95" customHeight="1">
      <c r="B3404" s="271"/>
    </row>
    <row r="3405" spans="2:2" ht="24.95" customHeight="1">
      <c r="B3405" s="271"/>
    </row>
    <row r="3406" spans="2:2" ht="24.95" customHeight="1">
      <c r="B3406" s="271"/>
    </row>
    <row r="3407" spans="2:2" ht="24.95" customHeight="1">
      <c r="B3407" s="271"/>
    </row>
    <row r="3408" spans="2:2" ht="24.95" customHeight="1">
      <c r="B3408" s="271"/>
    </row>
    <row r="3409" spans="2:2" ht="24.95" customHeight="1">
      <c r="B3409" s="271"/>
    </row>
    <row r="3410" spans="2:2" ht="24.95" customHeight="1">
      <c r="B3410" s="271"/>
    </row>
    <row r="3411" spans="2:2" ht="24.95" customHeight="1">
      <c r="B3411" s="271"/>
    </row>
    <row r="3412" spans="2:2" ht="24.95" customHeight="1">
      <c r="B3412" s="271"/>
    </row>
    <row r="3413" spans="2:2" ht="24.95" customHeight="1">
      <c r="B3413" s="271"/>
    </row>
    <row r="3414" spans="2:2" ht="24.95" customHeight="1">
      <c r="B3414" s="271"/>
    </row>
    <row r="3415" spans="2:2" ht="24.95" customHeight="1">
      <c r="B3415" s="271"/>
    </row>
    <row r="3416" spans="2:2" ht="24.95" customHeight="1">
      <c r="B3416" s="271"/>
    </row>
    <row r="3417" spans="2:2" ht="24.95" customHeight="1">
      <c r="B3417" s="271"/>
    </row>
    <row r="3418" spans="2:2" ht="24.95" customHeight="1">
      <c r="B3418" s="271"/>
    </row>
    <row r="3419" spans="2:2" ht="24.95" customHeight="1">
      <c r="B3419" s="271"/>
    </row>
    <row r="3420" spans="2:2" ht="24.95" customHeight="1">
      <c r="B3420" s="271"/>
    </row>
    <row r="3421" spans="2:2" ht="24.95" customHeight="1">
      <c r="B3421" s="271"/>
    </row>
    <row r="3422" spans="2:2" ht="24.95" customHeight="1">
      <c r="B3422" s="271"/>
    </row>
    <row r="3423" spans="2:2" ht="24.95" customHeight="1">
      <c r="B3423" s="271"/>
    </row>
    <row r="3424" spans="2:2" ht="24.95" customHeight="1">
      <c r="B3424" s="271"/>
    </row>
    <row r="3425" spans="2:2" ht="24.95" customHeight="1">
      <c r="B3425" s="271"/>
    </row>
    <row r="3426" spans="2:2" ht="24.95" customHeight="1">
      <c r="B3426" s="271"/>
    </row>
    <row r="3427" spans="2:2" ht="24.95" customHeight="1">
      <c r="B3427" s="271"/>
    </row>
    <row r="3428" spans="2:2" ht="24.95" customHeight="1">
      <c r="B3428" s="271"/>
    </row>
    <row r="3429" spans="2:2" ht="24.95" customHeight="1">
      <c r="B3429" s="271"/>
    </row>
    <row r="3430" spans="2:2" ht="24.95" customHeight="1">
      <c r="B3430" s="271"/>
    </row>
    <row r="3431" spans="2:2" ht="24.95" customHeight="1">
      <c r="B3431" s="271"/>
    </row>
    <row r="3432" spans="2:2" ht="24.95" customHeight="1">
      <c r="B3432" s="271"/>
    </row>
    <row r="3433" spans="2:2" ht="24.95" customHeight="1">
      <c r="B3433" s="271"/>
    </row>
    <row r="3434" spans="2:2" ht="24.95" customHeight="1">
      <c r="B3434" s="271"/>
    </row>
    <row r="3435" spans="2:2" ht="24.95" customHeight="1">
      <c r="B3435" s="271"/>
    </row>
    <row r="3436" spans="2:2" ht="24.95" customHeight="1">
      <c r="B3436" s="271"/>
    </row>
    <row r="3437" spans="2:2" ht="24.95" customHeight="1">
      <c r="B3437" s="271"/>
    </row>
    <row r="3438" spans="2:2" ht="24.95" customHeight="1">
      <c r="B3438" s="271"/>
    </row>
    <row r="3439" spans="2:2" ht="24.95" customHeight="1">
      <c r="B3439" s="271"/>
    </row>
    <row r="3440" spans="2:2" ht="24.95" customHeight="1">
      <c r="B3440" s="271"/>
    </row>
    <row r="3441" spans="2:2" ht="24.95" customHeight="1">
      <c r="B3441" s="271"/>
    </row>
    <row r="3442" spans="2:2" ht="24.95" customHeight="1">
      <c r="B3442" s="271"/>
    </row>
    <row r="3443" spans="2:2" ht="24.95" customHeight="1">
      <c r="B3443" s="271"/>
    </row>
    <row r="3444" spans="2:2" ht="24.95" customHeight="1">
      <c r="B3444" s="271"/>
    </row>
    <row r="3445" spans="2:2" ht="24.95" customHeight="1">
      <c r="B3445" s="271"/>
    </row>
    <row r="3446" spans="2:2" ht="24.95" customHeight="1">
      <c r="B3446" s="271"/>
    </row>
    <row r="3447" spans="2:2" ht="24.95" customHeight="1">
      <c r="B3447" s="271"/>
    </row>
    <row r="3448" spans="2:2" ht="24.95" customHeight="1">
      <c r="B3448" s="271"/>
    </row>
    <row r="3449" spans="2:2" ht="24.95" customHeight="1">
      <c r="B3449" s="271"/>
    </row>
    <row r="3450" spans="2:2" ht="24.95" customHeight="1">
      <c r="B3450" s="271"/>
    </row>
    <row r="3451" spans="2:2" ht="24.95" customHeight="1">
      <c r="B3451" s="271"/>
    </row>
    <row r="3452" spans="2:2" ht="24.95" customHeight="1">
      <c r="B3452" s="271"/>
    </row>
    <row r="3453" spans="2:2" ht="24.95" customHeight="1">
      <c r="B3453" s="271"/>
    </row>
    <row r="3454" spans="2:2" ht="24.95" customHeight="1">
      <c r="B3454" s="271"/>
    </row>
    <row r="3455" spans="2:2" ht="24.95" customHeight="1">
      <c r="B3455" s="271"/>
    </row>
    <row r="3456" spans="2:2" ht="24.95" customHeight="1">
      <c r="B3456" s="271"/>
    </row>
    <row r="3457" spans="2:2" ht="24.95" customHeight="1">
      <c r="B3457" s="271"/>
    </row>
    <row r="3458" spans="2:2" ht="24.95" customHeight="1">
      <c r="B3458" s="271"/>
    </row>
    <row r="3459" spans="2:2" ht="24.95" customHeight="1">
      <c r="B3459" s="271"/>
    </row>
    <row r="3460" spans="2:2" ht="24.95" customHeight="1">
      <c r="B3460" s="271"/>
    </row>
    <row r="3461" spans="2:2" ht="24.95" customHeight="1">
      <c r="B3461" s="271"/>
    </row>
    <row r="3462" spans="2:2" ht="24.95" customHeight="1">
      <c r="B3462" s="271"/>
    </row>
    <row r="3463" spans="2:2" ht="24.95" customHeight="1">
      <c r="B3463" s="271"/>
    </row>
    <row r="3464" spans="2:2" ht="24.95" customHeight="1">
      <c r="B3464" s="271"/>
    </row>
    <row r="3465" spans="2:2" ht="24.95" customHeight="1">
      <c r="B3465" s="271"/>
    </row>
    <row r="3466" spans="2:2" ht="24.95" customHeight="1">
      <c r="B3466" s="271"/>
    </row>
    <row r="3467" spans="2:2" ht="24.95" customHeight="1">
      <c r="B3467" s="271"/>
    </row>
    <row r="3468" spans="2:2" ht="24.95" customHeight="1">
      <c r="B3468" s="271"/>
    </row>
    <row r="3469" spans="2:2" ht="24.95" customHeight="1">
      <c r="B3469" s="271"/>
    </row>
    <row r="3470" spans="2:2" ht="24.95" customHeight="1">
      <c r="B3470" s="271"/>
    </row>
    <row r="3471" spans="2:2" ht="24.95" customHeight="1">
      <c r="B3471" s="271"/>
    </row>
    <row r="3472" spans="2:2" ht="24.95" customHeight="1">
      <c r="B3472" s="271"/>
    </row>
    <row r="3473" spans="2:2" ht="24.95" customHeight="1">
      <c r="B3473" s="271"/>
    </row>
    <row r="3474" spans="2:2" ht="24.95" customHeight="1">
      <c r="B3474" s="271"/>
    </row>
    <row r="3475" spans="2:2" ht="24.95" customHeight="1">
      <c r="B3475" s="271"/>
    </row>
    <row r="3476" spans="2:2" ht="24.95" customHeight="1">
      <c r="B3476" s="271"/>
    </row>
    <row r="3477" spans="2:2" ht="24.95" customHeight="1">
      <c r="B3477" s="271"/>
    </row>
    <row r="3478" spans="2:2" ht="24.95" customHeight="1">
      <c r="B3478" s="271"/>
    </row>
    <row r="3479" spans="2:2" ht="24.95" customHeight="1">
      <c r="B3479" s="271"/>
    </row>
    <row r="3480" spans="2:2" ht="24.95" customHeight="1">
      <c r="B3480" s="271"/>
    </row>
    <row r="3481" spans="2:2" ht="24.95" customHeight="1">
      <c r="B3481" s="271"/>
    </row>
    <row r="3482" spans="2:2" ht="24.95" customHeight="1">
      <c r="B3482" s="271"/>
    </row>
    <row r="3483" spans="2:2" ht="24.95" customHeight="1">
      <c r="B3483" s="271"/>
    </row>
    <row r="3484" spans="2:2" ht="24.95" customHeight="1">
      <c r="B3484" s="271"/>
    </row>
    <row r="3485" spans="2:2" ht="24.95" customHeight="1">
      <c r="B3485" s="271"/>
    </row>
    <row r="3486" spans="2:2" ht="24.95" customHeight="1">
      <c r="B3486" s="271"/>
    </row>
    <row r="3487" spans="2:2" ht="24.95" customHeight="1">
      <c r="B3487" s="271"/>
    </row>
    <row r="3488" spans="2:2" ht="24.95" customHeight="1">
      <c r="B3488" s="271"/>
    </row>
    <row r="3489" spans="2:2" ht="24.95" customHeight="1">
      <c r="B3489" s="271"/>
    </row>
    <row r="3490" spans="2:2" ht="24.95" customHeight="1">
      <c r="B3490" s="271"/>
    </row>
    <row r="3491" spans="2:2" ht="24.95" customHeight="1">
      <c r="B3491" s="271"/>
    </row>
    <row r="3492" spans="2:2" ht="24.95" customHeight="1">
      <c r="B3492" s="271"/>
    </row>
    <row r="3493" spans="2:2" ht="24.95" customHeight="1">
      <c r="B3493" s="271"/>
    </row>
    <row r="3494" spans="2:2" ht="24.95" customHeight="1">
      <c r="B3494" s="271"/>
    </row>
    <row r="3495" spans="2:2" ht="24.95" customHeight="1">
      <c r="B3495" s="271"/>
    </row>
    <row r="3496" spans="2:2" ht="24.95" customHeight="1">
      <c r="B3496" s="271"/>
    </row>
    <row r="3497" spans="2:2" ht="24.95" customHeight="1">
      <c r="B3497" s="271"/>
    </row>
    <row r="3498" spans="2:2" ht="24.95" customHeight="1">
      <c r="B3498" s="271"/>
    </row>
    <row r="3499" spans="2:2" ht="24.95" customHeight="1">
      <c r="B3499" s="271"/>
    </row>
    <row r="3500" spans="2:2" ht="24.95" customHeight="1">
      <c r="B3500" s="271"/>
    </row>
    <row r="3501" spans="2:2" ht="24.95" customHeight="1">
      <c r="B3501" s="271"/>
    </row>
    <row r="3502" spans="2:2" ht="24.95" customHeight="1">
      <c r="B3502" s="271"/>
    </row>
    <row r="3503" spans="2:2" ht="24.95" customHeight="1">
      <c r="B3503" s="271"/>
    </row>
    <row r="3504" spans="2:2" ht="24.95" customHeight="1">
      <c r="B3504" s="271"/>
    </row>
    <row r="3505" spans="2:2" ht="24.95" customHeight="1">
      <c r="B3505" s="271"/>
    </row>
    <row r="3506" spans="2:2" ht="24.95" customHeight="1">
      <c r="B3506" s="271"/>
    </row>
    <row r="3507" spans="2:2" ht="24.95" customHeight="1">
      <c r="B3507" s="271"/>
    </row>
    <row r="3508" spans="2:2" ht="24.95" customHeight="1">
      <c r="B3508" s="271"/>
    </row>
    <row r="3509" spans="2:2" ht="24.95" customHeight="1">
      <c r="B3509" s="271"/>
    </row>
    <row r="3510" spans="2:2" ht="24.95" customHeight="1">
      <c r="B3510" s="271"/>
    </row>
    <row r="3511" spans="2:2" ht="24.95" customHeight="1">
      <c r="B3511" s="271"/>
    </row>
    <row r="3512" spans="2:2" ht="24.95" customHeight="1">
      <c r="B3512" s="271"/>
    </row>
    <row r="3513" spans="2:2" ht="24.95" customHeight="1">
      <c r="B3513" s="271"/>
    </row>
    <row r="3514" spans="2:2" ht="24.95" customHeight="1">
      <c r="B3514" s="271"/>
    </row>
    <row r="3515" spans="2:2" ht="24.95" customHeight="1">
      <c r="B3515" s="271"/>
    </row>
    <row r="3516" spans="2:2" ht="24.95" customHeight="1">
      <c r="B3516" s="271"/>
    </row>
    <row r="3517" spans="2:2" ht="24.95" customHeight="1">
      <c r="B3517" s="271"/>
    </row>
    <row r="3518" spans="2:2" ht="24.95" customHeight="1">
      <c r="B3518" s="271"/>
    </row>
    <row r="3519" spans="2:2" ht="24.95" customHeight="1">
      <c r="B3519" s="271"/>
    </row>
    <row r="3520" spans="2:2" ht="24.95" customHeight="1">
      <c r="B3520" s="271"/>
    </row>
    <row r="3521" spans="2:2" ht="24.95" customHeight="1">
      <c r="B3521" s="271"/>
    </row>
    <row r="3522" spans="2:2" ht="24.95" customHeight="1">
      <c r="B3522" s="271"/>
    </row>
    <row r="3523" spans="2:2" ht="24.95" customHeight="1">
      <c r="B3523" s="271"/>
    </row>
    <row r="3524" spans="2:2" ht="24.95" customHeight="1">
      <c r="B3524" s="271"/>
    </row>
    <row r="3525" spans="2:2" ht="24.95" customHeight="1">
      <c r="B3525" s="271"/>
    </row>
    <row r="3526" spans="2:2" ht="24.95" customHeight="1">
      <c r="B3526" s="271"/>
    </row>
    <row r="3527" spans="2:2" ht="24.95" customHeight="1">
      <c r="B3527" s="271"/>
    </row>
    <row r="3528" spans="2:2" ht="24.95" customHeight="1">
      <c r="B3528" s="271"/>
    </row>
    <row r="3529" spans="2:2" ht="24.95" customHeight="1">
      <c r="B3529" s="271"/>
    </row>
    <row r="3530" spans="2:2" ht="24.95" customHeight="1">
      <c r="B3530" s="271"/>
    </row>
    <row r="3531" spans="2:2" ht="24.95" customHeight="1">
      <c r="B3531" s="271"/>
    </row>
    <row r="3532" spans="2:2" ht="24.95" customHeight="1">
      <c r="B3532" s="271"/>
    </row>
    <row r="3533" spans="2:2" ht="24.95" customHeight="1">
      <c r="B3533" s="271"/>
    </row>
    <row r="3534" spans="2:2" ht="24.95" customHeight="1">
      <c r="B3534" s="271"/>
    </row>
    <row r="3535" spans="2:2" ht="24.95" customHeight="1">
      <c r="B3535" s="271"/>
    </row>
    <row r="3536" spans="2:2" ht="24.95" customHeight="1">
      <c r="B3536" s="271"/>
    </row>
    <row r="3537" spans="2:2" ht="24.95" customHeight="1">
      <c r="B3537" s="271"/>
    </row>
    <row r="3538" spans="2:2" ht="24.95" customHeight="1">
      <c r="B3538" s="271"/>
    </row>
    <row r="3539" spans="2:2" ht="24.95" customHeight="1">
      <c r="B3539" s="271"/>
    </row>
    <row r="3540" spans="2:2" ht="24.95" customHeight="1">
      <c r="B3540" s="271"/>
    </row>
    <row r="3541" spans="2:2" ht="24.95" customHeight="1">
      <c r="B3541" s="271"/>
    </row>
    <row r="3542" spans="2:2" ht="24.95" customHeight="1">
      <c r="B3542" s="271"/>
    </row>
    <row r="3543" spans="2:2" ht="24.95" customHeight="1">
      <c r="B3543" s="271"/>
    </row>
    <row r="3544" spans="2:2" ht="24.95" customHeight="1">
      <c r="B3544" s="271"/>
    </row>
    <row r="3545" spans="2:2" ht="24.95" customHeight="1">
      <c r="B3545" s="271"/>
    </row>
    <row r="3546" spans="2:2" ht="24.95" customHeight="1">
      <c r="B3546" s="271"/>
    </row>
    <row r="3547" spans="2:2" ht="24.95" customHeight="1">
      <c r="B3547" s="271"/>
    </row>
    <row r="3548" spans="2:2" ht="24.95" customHeight="1">
      <c r="B3548" s="271"/>
    </row>
    <row r="3549" spans="2:2" ht="24.95" customHeight="1">
      <c r="B3549" s="271"/>
    </row>
    <row r="3550" spans="2:2" ht="24.95" customHeight="1">
      <c r="B3550" s="271"/>
    </row>
    <row r="3551" spans="2:2" ht="24.95" customHeight="1">
      <c r="B3551" s="271"/>
    </row>
    <row r="3552" spans="2:2" ht="24.95" customHeight="1">
      <c r="B3552" s="271"/>
    </row>
    <row r="3553" spans="2:2" ht="24.95" customHeight="1">
      <c r="B3553" s="271"/>
    </row>
    <row r="3554" spans="2:2" ht="24.95" customHeight="1">
      <c r="B3554" s="271"/>
    </row>
    <row r="3555" spans="2:2" ht="24.95" customHeight="1">
      <c r="B3555" s="271"/>
    </row>
    <row r="3556" spans="2:2" ht="24.95" customHeight="1">
      <c r="B3556" s="271"/>
    </row>
    <row r="3557" spans="2:2" ht="24.95" customHeight="1">
      <c r="B3557" s="271"/>
    </row>
    <row r="3558" spans="2:2" ht="24.95" customHeight="1">
      <c r="B3558" s="271"/>
    </row>
    <row r="3559" spans="2:2" ht="24.95" customHeight="1">
      <c r="B3559" s="271"/>
    </row>
    <row r="3560" spans="2:2" ht="24.95" customHeight="1">
      <c r="B3560" s="271"/>
    </row>
    <row r="3561" spans="2:2" ht="24.95" customHeight="1">
      <c r="B3561" s="271"/>
    </row>
    <row r="3562" spans="2:2" ht="24.95" customHeight="1">
      <c r="B3562" s="271"/>
    </row>
    <row r="3563" spans="2:2" ht="24.95" customHeight="1">
      <c r="B3563" s="271"/>
    </row>
    <row r="3564" spans="2:2" ht="24.95" customHeight="1">
      <c r="B3564" s="271"/>
    </row>
    <row r="3565" spans="2:2" ht="24.95" customHeight="1">
      <c r="B3565" s="271"/>
    </row>
    <row r="3566" spans="2:2" ht="24.95" customHeight="1">
      <c r="B3566" s="271"/>
    </row>
    <row r="3567" spans="2:2" ht="24.95" customHeight="1">
      <c r="B3567" s="271"/>
    </row>
    <row r="3568" spans="2:2" ht="24.95" customHeight="1">
      <c r="B3568" s="271"/>
    </row>
    <row r="3569" spans="2:2" ht="24.95" customHeight="1">
      <c r="B3569" s="271"/>
    </row>
    <row r="3570" spans="2:2" ht="24.95" customHeight="1">
      <c r="B3570" s="271"/>
    </row>
    <row r="3571" spans="2:2" ht="24.95" customHeight="1">
      <c r="B3571" s="271"/>
    </row>
    <row r="3572" spans="2:2" ht="24.95" customHeight="1">
      <c r="B3572" s="271"/>
    </row>
    <row r="3573" spans="2:2" ht="24.95" customHeight="1">
      <c r="B3573" s="271"/>
    </row>
    <row r="3574" spans="2:2" ht="24.95" customHeight="1">
      <c r="B3574" s="271"/>
    </row>
    <row r="3575" spans="2:2" ht="24.95" customHeight="1">
      <c r="B3575" s="271"/>
    </row>
    <row r="3576" spans="2:2" ht="24.95" customHeight="1">
      <c r="B3576" s="271"/>
    </row>
    <row r="3577" spans="2:2" ht="24.95" customHeight="1">
      <c r="B3577" s="271"/>
    </row>
    <row r="3578" spans="2:2" ht="24.95" customHeight="1">
      <c r="B3578" s="271"/>
    </row>
    <row r="3579" spans="2:2" ht="24.95" customHeight="1">
      <c r="B3579" s="271"/>
    </row>
    <row r="3580" spans="2:2" ht="24.95" customHeight="1">
      <c r="B3580" s="271"/>
    </row>
    <row r="3581" spans="2:2" ht="24.95" customHeight="1">
      <c r="B3581" s="271"/>
    </row>
    <row r="3582" spans="2:2" ht="24.95" customHeight="1">
      <c r="B3582" s="271"/>
    </row>
    <row r="3583" spans="2:2" ht="24.95" customHeight="1">
      <c r="B3583" s="271"/>
    </row>
    <row r="3584" spans="2:2" ht="24.95" customHeight="1">
      <c r="B3584" s="271"/>
    </row>
    <row r="3585" spans="2:2" ht="24.95" customHeight="1">
      <c r="B3585" s="271"/>
    </row>
    <row r="3586" spans="2:2" ht="24.95" customHeight="1">
      <c r="B3586" s="271"/>
    </row>
    <row r="3587" spans="2:2" ht="24.95" customHeight="1">
      <c r="B3587" s="271"/>
    </row>
    <row r="3588" spans="2:2" ht="24.95" customHeight="1">
      <c r="B3588" s="271"/>
    </row>
    <row r="3589" spans="2:2" ht="24.95" customHeight="1">
      <c r="B3589" s="271"/>
    </row>
    <row r="3590" spans="2:2" ht="24.95" customHeight="1">
      <c r="B3590" s="271"/>
    </row>
    <row r="3591" spans="2:2" ht="24.95" customHeight="1">
      <c r="B3591" s="271"/>
    </row>
    <row r="3592" spans="2:2" ht="24.95" customHeight="1">
      <c r="B3592" s="271"/>
    </row>
    <row r="3593" spans="2:2" ht="24.95" customHeight="1">
      <c r="B3593" s="271"/>
    </row>
    <row r="3594" spans="2:2" ht="24.95" customHeight="1">
      <c r="B3594" s="271"/>
    </row>
    <row r="3595" spans="2:2" ht="24.95" customHeight="1">
      <c r="B3595" s="271"/>
    </row>
    <row r="3596" spans="2:2" ht="24.95" customHeight="1">
      <c r="B3596" s="271"/>
    </row>
    <row r="3597" spans="2:2" ht="24.95" customHeight="1">
      <c r="B3597" s="271"/>
    </row>
    <row r="3598" spans="2:2" ht="24.95" customHeight="1">
      <c r="B3598" s="271"/>
    </row>
    <row r="3599" spans="2:2" ht="24.95" customHeight="1">
      <c r="B3599" s="271"/>
    </row>
    <row r="3600" spans="2:2" ht="24.95" customHeight="1">
      <c r="B3600" s="271"/>
    </row>
    <row r="3601" spans="2:2" ht="24.95" customHeight="1">
      <c r="B3601" s="271"/>
    </row>
    <row r="3602" spans="2:2" ht="24.95" customHeight="1">
      <c r="B3602" s="271"/>
    </row>
    <row r="3603" spans="2:2" ht="24.95" customHeight="1">
      <c r="B3603" s="271"/>
    </row>
    <row r="3604" spans="2:2" ht="24.95" customHeight="1">
      <c r="B3604" s="271"/>
    </row>
    <row r="3605" spans="2:2" ht="24.95" customHeight="1">
      <c r="B3605" s="271"/>
    </row>
    <row r="3606" spans="2:2" ht="24.95" customHeight="1">
      <c r="B3606" s="271"/>
    </row>
    <row r="3607" spans="2:2" ht="24.95" customHeight="1">
      <c r="B3607" s="271"/>
    </row>
    <row r="3608" spans="2:2" ht="24.95" customHeight="1">
      <c r="B3608" s="271"/>
    </row>
    <row r="3609" spans="2:2" ht="24.95" customHeight="1">
      <c r="B3609" s="271"/>
    </row>
    <row r="3610" spans="2:2" ht="24.95" customHeight="1">
      <c r="B3610" s="271"/>
    </row>
    <row r="3611" spans="2:2" ht="24.95" customHeight="1">
      <c r="B3611" s="271"/>
    </row>
    <row r="3612" spans="2:2" ht="24.95" customHeight="1">
      <c r="B3612" s="271"/>
    </row>
    <row r="3613" spans="2:2" ht="24.95" customHeight="1">
      <c r="B3613" s="271"/>
    </row>
    <row r="3614" spans="2:2" ht="24.95" customHeight="1">
      <c r="B3614" s="271"/>
    </row>
    <row r="3615" spans="2:2" ht="24.95" customHeight="1">
      <c r="B3615" s="271"/>
    </row>
    <row r="3616" spans="2:2" ht="24.95" customHeight="1">
      <c r="B3616" s="271"/>
    </row>
    <row r="3617" spans="2:2" ht="24.95" customHeight="1">
      <c r="B3617" s="271"/>
    </row>
    <row r="3618" spans="2:2" ht="24.95" customHeight="1">
      <c r="B3618" s="271"/>
    </row>
    <row r="3619" spans="2:2" ht="24.95" customHeight="1">
      <c r="B3619" s="271"/>
    </row>
    <row r="3620" spans="2:2" ht="24.95" customHeight="1">
      <c r="B3620" s="271"/>
    </row>
    <row r="3621" spans="2:2" ht="24.95" customHeight="1">
      <c r="B3621" s="271"/>
    </row>
    <row r="3622" spans="2:2" ht="24.95" customHeight="1">
      <c r="B3622" s="271"/>
    </row>
    <row r="3623" spans="2:2" ht="24.95" customHeight="1">
      <c r="B3623" s="271"/>
    </row>
    <row r="3624" spans="2:2" ht="24.95" customHeight="1">
      <c r="B3624" s="271"/>
    </row>
    <row r="3625" spans="2:2" ht="24.95" customHeight="1">
      <c r="B3625" s="271"/>
    </row>
    <row r="3626" spans="2:2" ht="24.95" customHeight="1">
      <c r="B3626" s="271"/>
    </row>
    <row r="3627" spans="2:2" ht="24.95" customHeight="1">
      <c r="B3627" s="271"/>
    </row>
    <row r="3628" spans="2:2" ht="24.95" customHeight="1">
      <c r="B3628" s="271"/>
    </row>
    <row r="3629" spans="2:2" ht="24.95" customHeight="1">
      <c r="B3629" s="271"/>
    </row>
    <row r="3630" spans="2:2" ht="24.95" customHeight="1">
      <c r="B3630" s="271"/>
    </row>
    <row r="3631" spans="2:2" ht="24.95" customHeight="1">
      <c r="B3631" s="271"/>
    </row>
    <row r="3632" spans="2:2" ht="24.95" customHeight="1">
      <c r="B3632" s="271"/>
    </row>
    <row r="3633" spans="2:2" ht="24.95" customHeight="1">
      <c r="B3633" s="271"/>
    </row>
    <row r="3634" spans="2:2" ht="24.95" customHeight="1">
      <c r="B3634" s="271"/>
    </row>
    <row r="3635" spans="2:2" ht="24.95" customHeight="1">
      <c r="B3635" s="271"/>
    </row>
    <row r="3636" spans="2:2" ht="24.95" customHeight="1">
      <c r="B3636" s="271"/>
    </row>
    <row r="3637" spans="2:2" ht="24.95" customHeight="1">
      <c r="B3637" s="271"/>
    </row>
    <row r="3638" spans="2:2" ht="24.95" customHeight="1">
      <c r="B3638" s="271"/>
    </row>
    <row r="3639" spans="2:2" ht="24.95" customHeight="1">
      <c r="B3639" s="271"/>
    </row>
    <row r="3640" spans="2:2" ht="24.95" customHeight="1">
      <c r="B3640" s="271"/>
    </row>
    <row r="3641" spans="2:2" ht="24.95" customHeight="1">
      <c r="B3641" s="271"/>
    </row>
    <row r="3642" spans="2:2" ht="24.95" customHeight="1">
      <c r="B3642" s="271"/>
    </row>
    <row r="3643" spans="2:2" ht="24.95" customHeight="1">
      <c r="B3643" s="271"/>
    </row>
    <row r="3644" spans="2:2" ht="24.95" customHeight="1">
      <c r="B3644" s="271"/>
    </row>
    <row r="3645" spans="2:2" ht="24.95" customHeight="1">
      <c r="B3645" s="271"/>
    </row>
    <row r="3646" spans="2:2" ht="24.95" customHeight="1">
      <c r="B3646" s="271"/>
    </row>
    <row r="3647" spans="2:2" ht="24.95" customHeight="1">
      <c r="B3647" s="271"/>
    </row>
    <row r="3648" spans="2:2" ht="24.95" customHeight="1">
      <c r="B3648" s="271"/>
    </row>
    <row r="3649" spans="2:2" ht="24.95" customHeight="1">
      <c r="B3649" s="271"/>
    </row>
    <row r="3650" spans="2:2" ht="24.95" customHeight="1">
      <c r="B3650" s="271"/>
    </row>
    <row r="3651" spans="2:2" ht="24.95" customHeight="1">
      <c r="B3651" s="271"/>
    </row>
    <row r="3652" spans="2:2" ht="24.95" customHeight="1">
      <c r="B3652" s="271"/>
    </row>
    <row r="3653" spans="2:2" ht="24.95" customHeight="1">
      <c r="B3653" s="271"/>
    </row>
    <row r="3654" spans="2:2" ht="24.95" customHeight="1">
      <c r="B3654" s="271"/>
    </row>
    <row r="3655" spans="2:2" ht="24.95" customHeight="1">
      <c r="B3655" s="271"/>
    </row>
    <row r="3656" spans="2:2" ht="24.95" customHeight="1">
      <c r="B3656" s="271"/>
    </row>
    <row r="3657" spans="2:2" ht="24.95" customHeight="1">
      <c r="B3657" s="271"/>
    </row>
    <row r="3658" spans="2:2" ht="24.95" customHeight="1">
      <c r="B3658" s="271"/>
    </row>
    <row r="3659" spans="2:2" ht="24.95" customHeight="1">
      <c r="B3659" s="271"/>
    </row>
    <row r="3660" spans="2:2" ht="24.95" customHeight="1">
      <c r="B3660" s="271"/>
    </row>
    <row r="3661" spans="2:2" ht="24.95" customHeight="1">
      <c r="B3661" s="271"/>
    </row>
    <row r="3662" spans="2:2" ht="24.95" customHeight="1">
      <c r="B3662" s="271"/>
    </row>
    <row r="3663" spans="2:2" ht="24.95" customHeight="1">
      <c r="B3663" s="271"/>
    </row>
    <row r="3664" spans="2:2" ht="24.95" customHeight="1">
      <c r="B3664" s="271"/>
    </row>
    <row r="3665" spans="2:2" ht="24.95" customHeight="1">
      <c r="B3665" s="271"/>
    </row>
    <row r="3666" spans="2:2" ht="24.95" customHeight="1">
      <c r="B3666" s="271"/>
    </row>
    <row r="3667" spans="2:2" ht="24.95" customHeight="1">
      <c r="B3667" s="271"/>
    </row>
    <row r="3668" spans="2:2" ht="24.95" customHeight="1">
      <c r="B3668" s="271"/>
    </row>
    <row r="3669" spans="2:2" ht="24.95" customHeight="1">
      <c r="B3669" s="271"/>
    </row>
    <row r="3670" spans="2:2" ht="24.95" customHeight="1">
      <c r="B3670" s="271"/>
    </row>
    <row r="3671" spans="2:2" ht="24.95" customHeight="1">
      <c r="B3671" s="271"/>
    </row>
    <row r="3672" spans="2:2" ht="24.95" customHeight="1">
      <c r="B3672" s="271"/>
    </row>
    <row r="3673" spans="2:2" ht="24.95" customHeight="1">
      <c r="B3673" s="271"/>
    </row>
    <row r="3674" spans="2:2" ht="24.95" customHeight="1">
      <c r="B3674" s="271"/>
    </row>
    <row r="3675" spans="2:2" ht="24.95" customHeight="1">
      <c r="B3675" s="271"/>
    </row>
    <row r="3676" spans="2:2" ht="24.95" customHeight="1">
      <c r="B3676" s="271"/>
    </row>
    <row r="3677" spans="2:2" ht="24.95" customHeight="1">
      <c r="B3677" s="271"/>
    </row>
    <row r="3678" spans="2:2" ht="24.95" customHeight="1">
      <c r="B3678" s="271"/>
    </row>
    <row r="3679" spans="2:2" ht="24.95" customHeight="1">
      <c r="B3679" s="271"/>
    </row>
    <row r="3680" spans="2:2" ht="24.95" customHeight="1">
      <c r="B3680" s="271"/>
    </row>
    <row r="3681" spans="2:2" ht="24.95" customHeight="1">
      <c r="B3681" s="271"/>
    </row>
    <row r="3682" spans="2:2" ht="24.95" customHeight="1">
      <c r="B3682" s="271"/>
    </row>
    <row r="3683" spans="2:2" ht="24.95" customHeight="1">
      <c r="B3683" s="271"/>
    </row>
    <row r="3684" spans="2:2" ht="24.95" customHeight="1">
      <c r="B3684" s="271"/>
    </row>
    <row r="3685" spans="2:2" ht="24.95" customHeight="1">
      <c r="B3685" s="271"/>
    </row>
    <row r="3686" spans="2:2" ht="24.95" customHeight="1">
      <c r="B3686" s="271"/>
    </row>
    <row r="3687" spans="2:2" ht="24.95" customHeight="1">
      <c r="B3687" s="271"/>
    </row>
    <row r="3688" spans="2:2" ht="24.95" customHeight="1">
      <c r="B3688" s="271"/>
    </row>
    <row r="3689" spans="2:2" ht="24.95" customHeight="1">
      <c r="B3689" s="271"/>
    </row>
    <row r="3690" spans="2:2" ht="24.95" customHeight="1">
      <c r="B3690" s="271"/>
    </row>
    <row r="3691" spans="2:2" ht="24.95" customHeight="1">
      <c r="B3691" s="271"/>
    </row>
    <row r="3692" spans="2:2" ht="24.95" customHeight="1">
      <c r="B3692" s="271"/>
    </row>
    <row r="3693" spans="2:2" ht="24.95" customHeight="1">
      <c r="B3693" s="271"/>
    </row>
    <row r="3694" spans="2:2" ht="24.95" customHeight="1">
      <c r="B3694" s="271"/>
    </row>
    <row r="3695" spans="2:2" ht="24.95" customHeight="1">
      <c r="B3695" s="271"/>
    </row>
    <row r="3696" spans="2:2" ht="24.95" customHeight="1">
      <c r="B3696" s="271"/>
    </row>
    <row r="3697" spans="2:2" ht="24.95" customHeight="1">
      <c r="B3697" s="271"/>
    </row>
    <row r="3698" spans="2:2" ht="24.95" customHeight="1">
      <c r="B3698" s="271"/>
    </row>
    <row r="3699" spans="2:2" ht="24.95" customHeight="1">
      <c r="B3699" s="271"/>
    </row>
    <row r="3700" spans="2:2" ht="24.95" customHeight="1">
      <c r="B3700" s="271"/>
    </row>
    <row r="3701" spans="2:2" ht="24.95" customHeight="1">
      <c r="B3701" s="271"/>
    </row>
    <row r="3702" spans="2:2" ht="24.95" customHeight="1">
      <c r="B3702" s="271"/>
    </row>
    <row r="3703" spans="2:2" ht="24.95" customHeight="1">
      <c r="B3703" s="271"/>
    </row>
    <row r="3704" spans="2:2" ht="24.95" customHeight="1">
      <c r="B3704" s="271"/>
    </row>
    <row r="3705" spans="2:2" ht="24.95" customHeight="1">
      <c r="B3705" s="271"/>
    </row>
    <row r="3706" spans="2:2" ht="24.95" customHeight="1">
      <c r="B3706" s="271"/>
    </row>
    <row r="3707" spans="2:2" ht="24.95" customHeight="1">
      <c r="B3707" s="271"/>
    </row>
    <row r="3708" spans="2:2" ht="24.95" customHeight="1">
      <c r="B3708" s="271"/>
    </row>
    <row r="3709" spans="2:2" ht="24.95" customHeight="1">
      <c r="B3709" s="271"/>
    </row>
    <row r="3710" spans="2:2" ht="24.95" customHeight="1">
      <c r="B3710" s="271"/>
    </row>
    <row r="3711" spans="2:2" ht="24.95" customHeight="1">
      <c r="B3711" s="271"/>
    </row>
    <row r="3712" spans="2:2" ht="24.95" customHeight="1">
      <c r="B3712" s="271"/>
    </row>
    <row r="3713" spans="2:2" ht="24.95" customHeight="1">
      <c r="B3713" s="271"/>
    </row>
    <row r="3714" spans="2:2" ht="24.95" customHeight="1">
      <c r="B3714" s="271"/>
    </row>
    <row r="3715" spans="2:2" ht="24.95" customHeight="1">
      <c r="B3715" s="271"/>
    </row>
    <row r="3716" spans="2:2" ht="24.95" customHeight="1">
      <c r="B3716" s="271"/>
    </row>
    <row r="3717" spans="2:2" ht="24.95" customHeight="1">
      <c r="B3717" s="271"/>
    </row>
    <row r="3718" spans="2:2" ht="24.95" customHeight="1">
      <c r="B3718" s="271"/>
    </row>
    <row r="3719" spans="2:2" ht="24.95" customHeight="1">
      <c r="B3719" s="271"/>
    </row>
    <row r="3720" spans="2:2" ht="24.95" customHeight="1">
      <c r="B3720" s="271"/>
    </row>
    <row r="3721" spans="2:2" ht="24.95" customHeight="1">
      <c r="B3721" s="271"/>
    </row>
    <row r="3722" spans="2:2" ht="24.95" customHeight="1">
      <c r="B3722" s="271"/>
    </row>
    <row r="3723" spans="2:2" ht="24.95" customHeight="1">
      <c r="B3723" s="271"/>
    </row>
    <row r="3724" spans="2:2" ht="24.95" customHeight="1">
      <c r="B3724" s="271"/>
    </row>
    <row r="3725" spans="2:2" ht="24.95" customHeight="1">
      <c r="B3725" s="271"/>
    </row>
    <row r="3726" spans="2:2" ht="24.95" customHeight="1">
      <c r="B3726" s="271"/>
    </row>
    <row r="3727" spans="2:2" ht="24.95" customHeight="1">
      <c r="B3727" s="271"/>
    </row>
    <row r="3728" spans="2:2" ht="24.95" customHeight="1">
      <c r="B3728" s="271"/>
    </row>
    <row r="3729" spans="2:2" ht="24.95" customHeight="1">
      <c r="B3729" s="271"/>
    </row>
    <row r="3730" spans="2:2" ht="24.95" customHeight="1">
      <c r="B3730" s="271"/>
    </row>
    <row r="3731" spans="2:2" ht="24.95" customHeight="1">
      <c r="B3731" s="271"/>
    </row>
    <row r="3732" spans="2:2" ht="24.95" customHeight="1">
      <c r="B3732" s="271"/>
    </row>
    <row r="3733" spans="2:2" ht="24.95" customHeight="1">
      <c r="B3733" s="271"/>
    </row>
    <row r="3734" spans="2:2" ht="24.95" customHeight="1">
      <c r="B3734" s="271"/>
    </row>
    <row r="3735" spans="2:2" ht="24.95" customHeight="1">
      <c r="B3735" s="271"/>
    </row>
    <row r="3736" spans="2:2" ht="24.95" customHeight="1">
      <c r="B3736" s="271"/>
    </row>
    <row r="3737" spans="2:2" ht="24.95" customHeight="1">
      <c r="B3737" s="271"/>
    </row>
    <row r="3738" spans="2:2" ht="24.95" customHeight="1">
      <c r="B3738" s="271"/>
    </row>
    <row r="3739" spans="2:2" ht="24.95" customHeight="1">
      <c r="B3739" s="271"/>
    </row>
    <row r="3740" spans="2:2" ht="24.95" customHeight="1">
      <c r="B3740" s="271"/>
    </row>
    <row r="3741" spans="2:2" ht="24.95" customHeight="1">
      <c r="B3741" s="271"/>
    </row>
    <row r="3742" spans="2:2" ht="24.95" customHeight="1">
      <c r="B3742" s="271"/>
    </row>
    <row r="3743" spans="2:2" ht="24.95" customHeight="1">
      <c r="B3743" s="271"/>
    </row>
    <row r="3744" spans="2:2" ht="24.95" customHeight="1">
      <c r="B3744" s="271"/>
    </row>
    <row r="3745" spans="2:2" ht="24.95" customHeight="1">
      <c r="B3745" s="271"/>
    </row>
    <row r="3746" spans="2:2" ht="24.95" customHeight="1">
      <c r="B3746" s="271"/>
    </row>
    <row r="3747" spans="2:2" ht="24.95" customHeight="1">
      <c r="B3747" s="271"/>
    </row>
    <row r="3748" spans="2:2" ht="24.95" customHeight="1">
      <c r="B3748" s="271"/>
    </row>
    <row r="3749" spans="2:2" ht="24.95" customHeight="1">
      <c r="B3749" s="271"/>
    </row>
    <row r="3750" spans="2:2" ht="24.95" customHeight="1">
      <c r="B3750" s="271"/>
    </row>
    <row r="3751" spans="2:2" ht="24.95" customHeight="1">
      <c r="B3751" s="271"/>
    </row>
    <row r="3752" spans="2:2" ht="24.95" customHeight="1">
      <c r="B3752" s="271"/>
    </row>
    <row r="3753" spans="2:2" ht="24.95" customHeight="1">
      <c r="B3753" s="271"/>
    </row>
    <row r="3754" spans="2:2" ht="24.95" customHeight="1">
      <c r="B3754" s="271"/>
    </row>
    <row r="3755" spans="2:2" ht="24.95" customHeight="1">
      <c r="B3755" s="271"/>
    </row>
    <row r="3756" spans="2:2" ht="24.95" customHeight="1">
      <c r="B3756" s="271"/>
    </row>
    <row r="3757" spans="2:2" ht="24.95" customHeight="1">
      <c r="B3757" s="271"/>
    </row>
    <row r="3758" spans="2:2" ht="24.95" customHeight="1">
      <c r="B3758" s="271"/>
    </row>
    <row r="3759" spans="2:2" ht="24.95" customHeight="1">
      <c r="B3759" s="271"/>
    </row>
    <row r="3760" spans="2:2" ht="24.95" customHeight="1">
      <c r="B3760" s="271"/>
    </row>
    <row r="3761" spans="2:2" ht="24.95" customHeight="1">
      <c r="B3761" s="271"/>
    </row>
    <row r="3762" spans="2:2" ht="24.95" customHeight="1">
      <c r="B3762" s="271"/>
    </row>
    <row r="3763" spans="2:2" ht="24.95" customHeight="1">
      <c r="B3763" s="271"/>
    </row>
    <row r="3764" spans="2:2" ht="24.95" customHeight="1">
      <c r="B3764" s="271"/>
    </row>
    <row r="3765" spans="2:2" ht="24.95" customHeight="1">
      <c r="B3765" s="271"/>
    </row>
    <row r="3766" spans="2:2" ht="24.95" customHeight="1">
      <c r="B3766" s="271"/>
    </row>
    <row r="3767" spans="2:2" ht="24.95" customHeight="1">
      <c r="B3767" s="271"/>
    </row>
    <row r="3768" spans="2:2" ht="24.95" customHeight="1">
      <c r="B3768" s="271"/>
    </row>
    <row r="3769" spans="2:2" ht="24.95" customHeight="1">
      <c r="B3769" s="271"/>
    </row>
    <row r="3770" spans="2:2" ht="24.95" customHeight="1">
      <c r="B3770" s="271"/>
    </row>
    <row r="3771" spans="2:2" ht="24.95" customHeight="1">
      <c r="B3771" s="271"/>
    </row>
    <row r="3772" spans="2:2" ht="24.95" customHeight="1">
      <c r="B3772" s="271"/>
    </row>
    <row r="3773" spans="2:2" ht="24.95" customHeight="1">
      <c r="B3773" s="271"/>
    </row>
    <row r="3774" spans="2:2" ht="24.95" customHeight="1">
      <c r="B3774" s="271"/>
    </row>
    <row r="3775" spans="2:2" ht="24.95" customHeight="1">
      <c r="B3775" s="271"/>
    </row>
    <row r="3776" spans="2:2" ht="24.95" customHeight="1">
      <c r="B3776" s="271"/>
    </row>
    <row r="3777" spans="2:2" ht="24.95" customHeight="1">
      <c r="B3777" s="271"/>
    </row>
    <row r="3778" spans="2:2" ht="24.95" customHeight="1">
      <c r="B3778" s="271"/>
    </row>
    <row r="3779" spans="2:2" ht="24.95" customHeight="1">
      <c r="B3779" s="271"/>
    </row>
    <row r="3780" spans="2:2" ht="24.95" customHeight="1">
      <c r="B3780" s="271"/>
    </row>
    <row r="3781" spans="2:2" ht="24.95" customHeight="1">
      <c r="B3781" s="271"/>
    </row>
    <row r="3782" spans="2:2" ht="24.95" customHeight="1">
      <c r="B3782" s="271"/>
    </row>
    <row r="3783" spans="2:2" ht="24.95" customHeight="1">
      <c r="B3783" s="271"/>
    </row>
    <row r="3784" spans="2:2" ht="24.95" customHeight="1">
      <c r="B3784" s="271"/>
    </row>
    <row r="3785" spans="2:2" ht="24.95" customHeight="1">
      <c r="B3785" s="271"/>
    </row>
    <row r="3786" spans="2:2" ht="24.95" customHeight="1">
      <c r="B3786" s="271"/>
    </row>
    <row r="3787" spans="2:2" ht="24.95" customHeight="1">
      <c r="B3787" s="271"/>
    </row>
    <row r="3788" spans="2:2" ht="24.95" customHeight="1">
      <c r="B3788" s="271"/>
    </row>
    <row r="3789" spans="2:2" ht="24.95" customHeight="1">
      <c r="B3789" s="271"/>
    </row>
    <row r="3790" spans="2:2" ht="24.95" customHeight="1">
      <c r="B3790" s="271"/>
    </row>
    <row r="3791" spans="2:2" ht="24.95" customHeight="1">
      <c r="B3791" s="271"/>
    </row>
    <row r="3792" spans="2:2" ht="24.95" customHeight="1">
      <c r="B3792" s="271"/>
    </row>
    <row r="3793" spans="2:2" ht="24.95" customHeight="1">
      <c r="B3793" s="271"/>
    </row>
    <row r="3794" spans="2:2" ht="24.95" customHeight="1">
      <c r="B3794" s="271"/>
    </row>
    <row r="3795" spans="2:2" ht="24.95" customHeight="1">
      <c r="B3795" s="271"/>
    </row>
    <row r="3796" spans="2:2" ht="24.95" customHeight="1">
      <c r="B3796" s="271"/>
    </row>
    <row r="3797" spans="2:2" ht="24.95" customHeight="1">
      <c r="B3797" s="271"/>
    </row>
    <row r="3798" spans="2:2" ht="24.95" customHeight="1">
      <c r="B3798" s="271"/>
    </row>
    <row r="3799" spans="2:2" ht="24.95" customHeight="1">
      <c r="B3799" s="271"/>
    </row>
    <row r="3800" spans="2:2" ht="24.95" customHeight="1">
      <c r="B3800" s="271"/>
    </row>
    <row r="3801" spans="2:2" ht="24.95" customHeight="1">
      <c r="B3801" s="271"/>
    </row>
    <row r="3802" spans="2:2" ht="24.95" customHeight="1">
      <c r="B3802" s="271"/>
    </row>
    <row r="3803" spans="2:2" ht="24.95" customHeight="1">
      <c r="B3803" s="271"/>
    </row>
    <row r="3804" spans="2:2" ht="24.95" customHeight="1">
      <c r="B3804" s="271"/>
    </row>
    <row r="3805" spans="2:2" ht="24.95" customHeight="1">
      <c r="B3805" s="271"/>
    </row>
    <row r="3806" spans="2:2" ht="24.95" customHeight="1">
      <c r="B3806" s="271"/>
    </row>
    <row r="3807" spans="2:2" ht="24.95" customHeight="1">
      <c r="B3807" s="271"/>
    </row>
    <row r="3808" spans="2:2" ht="24.95" customHeight="1">
      <c r="B3808" s="271"/>
    </row>
    <row r="3809" spans="2:2" ht="24.95" customHeight="1">
      <c r="B3809" s="271"/>
    </row>
    <row r="3810" spans="2:2" ht="24.95" customHeight="1">
      <c r="B3810" s="271"/>
    </row>
    <row r="3811" spans="2:2" ht="24.95" customHeight="1">
      <c r="B3811" s="271"/>
    </row>
    <row r="3812" spans="2:2" ht="24.95" customHeight="1">
      <c r="B3812" s="271"/>
    </row>
    <row r="3813" spans="2:2" ht="24.95" customHeight="1">
      <c r="B3813" s="271"/>
    </row>
    <row r="3814" spans="2:2" ht="24.95" customHeight="1">
      <c r="B3814" s="271"/>
    </row>
    <row r="3815" spans="2:2" ht="24.95" customHeight="1">
      <c r="B3815" s="271"/>
    </row>
    <row r="3816" spans="2:2" ht="24.95" customHeight="1">
      <c r="B3816" s="271"/>
    </row>
    <row r="3817" spans="2:2" ht="24.95" customHeight="1">
      <c r="B3817" s="271"/>
    </row>
    <row r="3818" spans="2:2" ht="24.95" customHeight="1">
      <c r="B3818" s="271"/>
    </row>
    <row r="3819" spans="2:2" ht="24.95" customHeight="1">
      <c r="B3819" s="271"/>
    </row>
    <row r="3820" spans="2:2" ht="24.95" customHeight="1">
      <c r="B3820" s="271"/>
    </row>
    <row r="3821" spans="2:2" ht="24.95" customHeight="1">
      <c r="B3821" s="271"/>
    </row>
    <row r="3822" spans="2:2" ht="24.95" customHeight="1">
      <c r="B3822" s="271"/>
    </row>
    <row r="3823" spans="2:2" ht="24.95" customHeight="1">
      <c r="B3823" s="271"/>
    </row>
    <row r="3824" spans="2:2" ht="24.95" customHeight="1">
      <c r="B3824" s="271"/>
    </row>
    <row r="3825" spans="2:2" ht="24.95" customHeight="1">
      <c r="B3825" s="271"/>
    </row>
    <row r="3826" spans="2:2" ht="24.95" customHeight="1">
      <c r="B3826" s="271"/>
    </row>
    <row r="3827" spans="2:2" ht="24.95" customHeight="1">
      <c r="B3827" s="271"/>
    </row>
    <row r="3828" spans="2:2" ht="24.95" customHeight="1">
      <c r="B3828" s="271"/>
    </row>
    <row r="3829" spans="2:2" ht="24.95" customHeight="1">
      <c r="B3829" s="271"/>
    </row>
    <row r="3830" spans="2:2" ht="24.95" customHeight="1">
      <c r="B3830" s="271"/>
    </row>
    <row r="3831" spans="2:2" ht="24.95" customHeight="1">
      <c r="B3831" s="271"/>
    </row>
    <row r="3832" spans="2:2" ht="24.95" customHeight="1">
      <c r="B3832" s="271"/>
    </row>
    <row r="3833" spans="2:2" ht="24.95" customHeight="1">
      <c r="B3833" s="271"/>
    </row>
    <row r="3834" spans="2:2" ht="24.95" customHeight="1">
      <c r="B3834" s="271"/>
    </row>
    <row r="3835" spans="2:2" ht="24.95" customHeight="1">
      <c r="B3835" s="271"/>
    </row>
    <row r="3836" spans="2:2" ht="24.95" customHeight="1">
      <c r="B3836" s="271"/>
    </row>
    <row r="3837" spans="2:2" ht="24.95" customHeight="1">
      <c r="B3837" s="271"/>
    </row>
    <row r="3838" spans="2:2" ht="24.95" customHeight="1">
      <c r="B3838" s="271"/>
    </row>
    <row r="3839" spans="2:2" ht="24.95" customHeight="1">
      <c r="B3839" s="271"/>
    </row>
    <row r="3840" spans="2:2" ht="24.95" customHeight="1">
      <c r="B3840" s="271"/>
    </row>
    <row r="3841" spans="2:2" ht="24.95" customHeight="1">
      <c r="B3841" s="271"/>
    </row>
    <row r="3842" spans="2:2" ht="24.95" customHeight="1">
      <c r="B3842" s="271"/>
    </row>
    <row r="3843" spans="2:2" ht="24.95" customHeight="1">
      <c r="B3843" s="271"/>
    </row>
    <row r="3844" spans="2:2" ht="24.95" customHeight="1">
      <c r="B3844" s="271"/>
    </row>
    <row r="3845" spans="2:2" ht="24.95" customHeight="1">
      <c r="B3845" s="271"/>
    </row>
    <row r="3846" spans="2:2" ht="24.95" customHeight="1">
      <c r="B3846" s="271"/>
    </row>
    <row r="3847" spans="2:2" ht="24.95" customHeight="1">
      <c r="B3847" s="271"/>
    </row>
    <row r="3848" spans="2:2" ht="24.95" customHeight="1">
      <c r="B3848" s="271"/>
    </row>
    <row r="3849" spans="2:2" ht="24.95" customHeight="1">
      <c r="B3849" s="271"/>
    </row>
    <row r="3850" spans="2:2" ht="24.95" customHeight="1">
      <c r="B3850" s="271"/>
    </row>
    <row r="3851" spans="2:2" ht="24.95" customHeight="1">
      <c r="B3851" s="271"/>
    </row>
    <row r="3852" spans="2:2" ht="24.95" customHeight="1">
      <c r="B3852" s="271"/>
    </row>
    <row r="3853" spans="2:2" ht="24.95" customHeight="1">
      <c r="B3853" s="271"/>
    </row>
    <row r="3854" spans="2:2" ht="24.95" customHeight="1">
      <c r="B3854" s="271"/>
    </row>
    <row r="3855" spans="2:2" ht="24.95" customHeight="1">
      <c r="B3855" s="271"/>
    </row>
    <row r="3856" spans="2:2" ht="24.95" customHeight="1">
      <c r="B3856" s="271"/>
    </row>
    <row r="3857" spans="2:2" ht="24.95" customHeight="1">
      <c r="B3857" s="271"/>
    </row>
    <row r="3858" spans="2:2" ht="24.95" customHeight="1">
      <c r="B3858" s="271"/>
    </row>
    <row r="3859" spans="2:2" ht="24.95" customHeight="1">
      <c r="B3859" s="271"/>
    </row>
    <row r="3860" spans="2:2" ht="24.95" customHeight="1">
      <c r="B3860" s="271"/>
    </row>
    <row r="3861" spans="2:2" ht="24.95" customHeight="1">
      <c r="B3861" s="271"/>
    </row>
    <row r="3862" spans="2:2" ht="24.95" customHeight="1">
      <c r="B3862" s="271"/>
    </row>
    <row r="3863" spans="2:2" ht="24.95" customHeight="1">
      <c r="B3863" s="271"/>
    </row>
    <row r="3864" spans="2:2" ht="24.95" customHeight="1">
      <c r="B3864" s="271"/>
    </row>
    <row r="3865" spans="2:2" ht="24.95" customHeight="1">
      <c r="B3865" s="271"/>
    </row>
    <row r="3866" spans="2:2" ht="24.95" customHeight="1">
      <c r="B3866" s="271"/>
    </row>
    <row r="3867" spans="2:2" ht="24.95" customHeight="1">
      <c r="B3867" s="271"/>
    </row>
    <row r="3868" spans="2:2" ht="24.95" customHeight="1">
      <c r="B3868" s="271"/>
    </row>
    <row r="3869" spans="2:2" ht="24.95" customHeight="1">
      <c r="B3869" s="271"/>
    </row>
    <row r="3870" spans="2:2" ht="24.95" customHeight="1">
      <c r="B3870" s="271"/>
    </row>
    <row r="3871" spans="2:2" ht="24.95" customHeight="1">
      <c r="B3871" s="271"/>
    </row>
    <row r="3872" spans="2:2" ht="24.95" customHeight="1">
      <c r="B3872" s="271"/>
    </row>
    <row r="3873" spans="2:2" ht="24.95" customHeight="1">
      <c r="B3873" s="271"/>
    </row>
    <row r="3874" spans="2:2" ht="24.95" customHeight="1">
      <c r="B3874" s="271"/>
    </row>
    <row r="3875" spans="2:2" ht="24.95" customHeight="1">
      <c r="B3875" s="271"/>
    </row>
    <row r="3876" spans="2:2" ht="24.95" customHeight="1">
      <c r="B3876" s="271"/>
    </row>
    <row r="3877" spans="2:2" ht="24.95" customHeight="1">
      <c r="B3877" s="271"/>
    </row>
    <row r="3878" spans="2:2" ht="24.95" customHeight="1">
      <c r="B3878" s="271"/>
    </row>
    <row r="3879" spans="2:2" ht="24.95" customHeight="1">
      <c r="B3879" s="271"/>
    </row>
    <row r="3880" spans="2:2" ht="24.95" customHeight="1">
      <c r="B3880" s="271"/>
    </row>
    <row r="3881" spans="2:2" ht="24.95" customHeight="1">
      <c r="B3881" s="271"/>
    </row>
    <row r="3882" spans="2:2" ht="24.95" customHeight="1">
      <c r="B3882" s="271"/>
    </row>
    <row r="3883" spans="2:2" ht="24.95" customHeight="1">
      <c r="B3883" s="271"/>
    </row>
    <row r="3884" spans="2:2" ht="24.95" customHeight="1">
      <c r="B3884" s="271"/>
    </row>
    <row r="3885" spans="2:2" ht="24.95" customHeight="1">
      <c r="B3885" s="271"/>
    </row>
    <row r="3886" spans="2:2" ht="24.95" customHeight="1">
      <c r="B3886" s="271"/>
    </row>
    <row r="3887" spans="2:2" ht="24.95" customHeight="1">
      <c r="B3887" s="271"/>
    </row>
    <row r="3888" spans="2:2" ht="24.95" customHeight="1">
      <c r="B3888" s="271"/>
    </row>
    <row r="3889" spans="2:2" ht="24.95" customHeight="1">
      <c r="B3889" s="271"/>
    </row>
    <row r="3890" spans="2:2" ht="24.95" customHeight="1">
      <c r="B3890" s="271"/>
    </row>
    <row r="3891" spans="2:2" ht="24.95" customHeight="1">
      <c r="B3891" s="271"/>
    </row>
    <row r="3892" spans="2:2" ht="24.95" customHeight="1">
      <c r="B3892" s="271"/>
    </row>
    <row r="3893" spans="2:2" ht="24.95" customHeight="1">
      <c r="B3893" s="271"/>
    </row>
    <row r="3894" spans="2:2" ht="24.95" customHeight="1">
      <c r="B3894" s="271"/>
    </row>
    <row r="3895" spans="2:2" ht="24.95" customHeight="1">
      <c r="B3895" s="271"/>
    </row>
    <row r="3896" spans="2:2" ht="24.95" customHeight="1">
      <c r="B3896" s="271"/>
    </row>
    <row r="3897" spans="2:2" ht="24.95" customHeight="1">
      <c r="B3897" s="271"/>
    </row>
    <row r="3898" spans="2:2" ht="24.95" customHeight="1">
      <c r="B3898" s="271"/>
    </row>
    <row r="3899" spans="2:2" ht="24.95" customHeight="1">
      <c r="B3899" s="271"/>
    </row>
    <row r="3900" spans="2:2" ht="24.95" customHeight="1">
      <c r="B3900" s="271"/>
    </row>
    <row r="3901" spans="2:2" ht="24.95" customHeight="1">
      <c r="B3901" s="271"/>
    </row>
    <row r="3902" spans="2:2" ht="24.95" customHeight="1">
      <c r="B3902" s="271"/>
    </row>
    <row r="3903" spans="2:2" ht="24.95" customHeight="1">
      <c r="B3903" s="271"/>
    </row>
    <row r="3904" spans="2:2" ht="24.95" customHeight="1">
      <c r="B3904" s="271"/>
    </row>
    <row r="3905" spans="2:2" ht="24.95" customHeight="1">
      <c r="B3905" s="271"/>
    </row>
    <row r="3906" spans="2:2" ht="24.95" customHeight="1">
      <c r="B3906" s="271"/>
    </row>
    <row r="3907" spans="2:2" ht="24.95" customHeight="1">
      <c r="B3907" s="271"/>
    </row>
    <row r="3908" spans="2:2" ht="24.95" customHeight="1">
      <c r="B3908" s="271"/>
    </row>
    <row r="3909" spans="2:2" ht="24.95" customHeight="1">
      <c r="B3909" s="271"/>
    </row>
    <row r="3910" spans="2:2" ht="24.95" customHeight="1">
      <c r="B3910" s="271"/>
    </row>
    <row r="3911" spans="2:2" ht="24.95" customHeight="1">
      <c r="B3911" s="271"/>
    </row>
    <row r="3912" spans="2:2" ht="24.95" customHeight="1">
      <c r="B3912" s="271"/>
    </row>
    <row r="3913" spans="2:2" ht="24.95" customHeight="1">
      <c r="B3913" s="271"/>
    </row>
    <row r="3914" spans="2:2" ht="24.95" customHeight="1">
      <c r="B3914" s="271"/>
    </row>
    <row r="3915" spans="2:2" ht="24.95" customHeight="1">
      <c r="B3915" s="271"/>
    </row>
    <row r="3916" spans="2:2" ht="24.95" customHeight="1">
      <c r="B3916" s="271"/>
    </row>
    <row r="3917" spans="2:2" ht="24.95" customHeight="1">
      <c r="B3917" s="271"/>
    </row>
    <row r="3918" spans="2:2" ht="24.95" customHeight="1">
      <c r="B3918" s="271"/>
    </row>
    <row r="3919" spans="2:2" ht="24.95" customHeight="1">
      <c r="B3919" s="271"/>
    </row>
    <row r="3920" spans="2:2" ht="24.95" customHeight="1">
      <c r="B3920" s="271"/>
    </row>
    <row r="3921" spans="2:2" ht="24.95" customHeight="1">
      <c r="B3921" s="271"/>
    </row>
    <row r="3922" spans="2:2" ht="24.95" customHeight="1">
      <c r="B3922" s="271"/>
    </row>
    <row r="3923" spans="2:2" ht="24.95" customHeight="1">
      <c r="B3923" s="271"/>
    </row>
    <row r="3924" spans="2:2" ht="24.95" customHeight="1">
      <c r="B3924" s="271"/>
    </row>
    <row r="3925" spans="2:2" ht="24.95" customHeight="1">
      <c r="B3925" s="271"/>
    </row>
    <row r="3926" spans="2:2" ht="24.95" customHeight="1">
      <c r="B3926" s="271"/>
    </row>
    <row r="3927" spans="2:2" ht="24.95" customHeight="1">
      <c r="B3927" s="271"/>
    </row>
    <row r="3928" spans="2:2" ht="24.95" customHeight="1">
      <c r="B3928" s="271"/>
    </row>
    <row r="3929" spans="2:2" ht="24.95" customHeight="1">
      <c r="B3929" s="271"/>
    </row>
    <row r="3930" spans="2:2" ht="24.95" customHeight="1">
      <c r="B3930" s="271"/>
    </row>
    <row r="3931" spans="2:2" ht="24.95" customHeight="1">
      <c r="B3931" s="271"/>
    </row>
    <row r="3932" spans="2:2" ht="24.95" customHeight="1">
      <c r="B3932" s="271"/>
    </row>
    <row r="3933" spans="2:2" ht="24.95" customHeight="1">
      <c r="B3933" s="271"/>
    </row>
    <row r="3934" spans="2:2" ht="24.95" customHeight="1">
      <c r="B3934" s="271"/>
    </row>
    <row r="3935" spans="2:2" ht="24.95" customHeight="1">
      <c r="B3935" s="271"/>
    </row>
    <row r="3936" spans="2:2" ht="24.95" customHeight="1">
      <c r="B3936" s="271"/>
    </row>
    <row r="3937" spans="2:2" ht="24.95" customHeight="1">
      <c r="B3937" s="271"/>
    </row>
    <row r="3938" spans="2:2" ht="24.95" customHeight="1">
      <c r="B3938" s="271"/>
    </row>
    <row r="3939" spans="2:2" ht="24.95" customHeight="1">
      <c r="B3939" s="271"/>
    </row>
    <row r="3940" spans="2:2" ht="24.95" customHeight="1">
      <c r="B3940" s="271"/>
    </row>
    <row r="3941" spans="2:2" ht="24.95" customHeight="1">
      <c r="B3941" s="271"/>
    </row>
    <row r="3942" spans="2:2" ht="24.95" customHeight="1">
      <c r="B3942" s="271"/>
    </row>
    <row r="3943" spans="2:2" ht="24.95" customHeight="1">
      <c r="B3943" s="271"/>
    </row>
    <row r="3944" spans="2:2" ht="24.95" customHeight="1">
      <c r="B3944" s="271"/>
    </row>
    <row r="3945" spans="2:2" ht="24.95" customHeight="1">
      <c r="B3945" s="271"/>
    </row>
    <row r="3946" spans="2:2" ht="24.95" customHeight="1">
      <c r="B3946" s="271"/>
    </row>
    <row r="3947" spans="2:2" ht="24.95" customHeight="1">
      <c r="B3947" s="271"/>
    </row>
    <row r="3948" spans="2:2" ht="24.95" customHeight="1">
      <c r="B3948" s="271"/>
    </row>
    <row r="3949" spans="2:2" ht="24.95" customHeight="1">
      <c r="B3949" s="271"/>
    </row>
    <row r="3950" spans="2:2" ht="24.95" customHeight="1">
      <c r="B3950" s="271"/>
    </row>
    <row r="3951" spans="2:2" ht="24.95" customHeight="1">
      <c r="B3951" s="271"/>
    </row>
    <row r="3952" spans="2:2" ht="24.95" customHeight="1">
      <c r="B3952" s="271"/>
    </row>
    <row r="3953" spans="2:2" ht="24.95" customHeight="1">
      <c r="B3953" s="271"/>
    </row>
    <row r="3954" spans="2:2" ht="24.95" customHeight="1">
      <c r="B3954" s="271"/>
    </row>
    <row r="3955" spans="2:2" ht="24.95" customHeight="1">
      <c r="B3955" s="271"/>
    </row>
    <row r="3956" spans="2:2" ht="24.95" customHeight="1">
      <c r="B3956" s="271"/>
    </row>
    <row r="3957" spans="2:2" ht="24.95" customHeight="1">
      <c r="B3957" s="271"/>
    </row>
    <row r="3958" spans="2:2" ht="24.95" customHeight="1">
      <c r="B3958" s="271"/>
    </row>
    <row r="3959" spans="2:2" ht="24.95" customHeight="1">
      <c r="B3959" s="271"/>
    </row>
    <row r="3960" spans="2:2" ht="24.95" customHeight="1">
      <c r="B3960" s="271"/>
    </row>
    <row r="3961" spans="2:2" ht="24.95" customHeight="1">
      <c r="B3961" s="271"/>
    </row>
    <row r="3962" spans="2:2" ht="24.95" customHeight="1">
      <c r="B3962" s="271"/>
    </row>
    <row r="3963" spans="2:2" ht="24.95" customHeight="1">
      <c r="B3963" s="271"/>
    </row>
    <row r="3964" spans="2:2" ht="24.95" customHeight="1">
      <c r="B3964" s="271"/>
    </row>
    <row r="3965" spans="2:2" ht="24.95" customHeight="1">
      <c r="B3965" s="271"/>
    </row>
    <row r="3966" spans="2:2" ht="24.95" customHeight="1">
      <c r="B3966" s="271"/>
    </row>
    <row r="3967" spans="2:2" ht="24.95" customHeight="1">
      <c r="B3967" s="271"/>
    </row>
    <row r="3968" spans="2:2" ht="24.95" customHeight="1">
      <c r="B3968" s="271"/>
    </row>
    <row r="3969" spans="2:2" ht="24.95" customHeight="1">
      <c r="B3969" s="271"/>
    </row>
    <row r="3970" spans="2:2" ht="24.95" customHeight="1">
      <c r="B3970" s="271"/>
    </row>
    <row r="3971" spans="2:2" ht="24.95" customHeight="1">
      <c r="B3971" s="271"/>
    </row>
    <row r="3972" spans="2:2" ht="24.95" customHeight="1">
      <c r="B3972" s="271"/>
    </row>
    <row r="3973" spans="2:2" ht="24.95" customHeight="1">
      <c r="B3973" s="271"/>
    </row>
    <row r="3974" spans="2:2" ht="24.95" customHeight="1">
      <c r="B3974" s="271"/>
    </row>
    <row r="3975" spans="2:2" ht="24.95" customHeight="1">
      <c r="B3975" s="271"/>
    </row>
    <row r="3976" spans="2:2" ht="24.95" customHeight="1">
      <c r="B3976" s="271"/>
    </row>
    <row r="3977" spans="2:2" ht="24.95" customHeight="1">
      <c r="B3977" s="271"/>
    </row>
    <row r="3978" spans="2:2" ht="24.95" customHeight="1">
      <c r="B3978" s="271"/>
    </row>
    <row r="3979" spans="2:2" ht="24.95" customHeight="1">
      <c r="B3979" s="271"/>
    </row>
    <row r="3980" spans="2:2" ht="24.95" customHeight="1">
      <c r="B3980" s="271"/>
    </row>
    <row r="3981" spans="2:2" ht="24.95" customHeight="1">
      <c r="B3981" s="271"/>
    </row>
    <row r="3982" spans="2:2" ht="24.95" customHeight="1">
      <c r="B3982" s="271"/>
    </row>
    <row r="3983" spans="2:2" ht="24.95" customHeight="1">
      <c r="B3983" s="271"/>
    </row>
    <row r="3984" spans="2:2" ht="24.95" customHeight="1">
      <c r="B3984" s="271"/>
    </row>
    <row r="3985" spans="2:2" ht="24.95" customHeight="1">
      <c r="B3985" s="271"/>
    </row>
    <row r="3986" spans="2:2" ht="24.95" customHeight="1">
      <c r="B3986" s="271"/>
    </row>
    <row r="3987" spans="2:2" ht="24.95" customHeight="1">
      <c r="B3987" s="271"/>
    </row>
    <row r="3988" spans="2:2" ht="24.95" customHeight="1">
      <c r="B3988" s="271"/>
    </row>
    <row r="3989" spans="2:2" ht="24.95" customHeight="1">
      <c r="B3989" s="271"/>
    </row>
    <row r="3990" spans="2:2" ht="24.95" customHeight="1">
      <c r="B3990" s="271"/>
    </row>
    <row r="3991" spans="2:2" ht="24.95" customHeight="1">
      <c r="B3991" s="271"/>
    </row>
    <row r="3992" spans="2:2" ht="24.95" customHeight="1">
      <c r="B3992" s="271"/>
    </row>
    <row r="3993" spans="2:2" ht="24.95" customHeight="1">
      <c r="B3993" s="271"/>
    </row>
    <row r="3994" spans="2:2" ht="24.95" customHeight="1">
      <c r="B3994" s="271"/>
    </row>
    <row r="3995" spans="2:2" ht="24.95" customHeight="1">
      <c r="B3995" s="271"/>
    </row>
    <row r="3996" spans="2:2" ht="24.95" customHeight="1">
      <c r="B3996" s="271"/>
    </row>
    <row r="3997" spans="2:2" ht="24.95" customHeight="1">
      <c r="B3997" s="271"/>
    </row>
    <row r="3998" spans="2:2" ht="24.95" customHeight="1">
      <c r="B3998" s="271"/>
    </row>
    <row r="3999" spans="2:2" ht="24.95" customHeight="1">
      <c r="B3999" s="271"/>
    </row>
    <row r="4000" spans="2:2" ht="24.95" customHeight="1">
      <c r="B4000" s="271"/>
    </row>
    <row r="4001" spans="2:2" ht="24.95" customHeight="1">
      <c r="B4001" s="271"/>
    </row>
    <row r="4002" spans="2:2" ht="24.95" customHeight="1">
      <c r="B4002" s="271"/>
    </row>
    <row r="4003" spans="2:2" ht="24.95" customHeight="1">
      <c r="B4003" s="271"/>
    </row>
    <row r="4004" spans="2:2" ht="24.95" customHeight="1">
      <c r="B4004" s="271"/>
    </row>
    <row r="4005" spans="2:2" ht="24.95" customHeight="1">
      <c r="B4005" s="271"/>
    </row>
    <row r="4006" spans="2:2" ht="24.95" customHeight="1">
      <c r="B4006" s="271"/>
    </row>
    <row r="4007" spans="2:2" ht="24.95" customHeight="1">
      <c r="B4007" s="271"/>
    </row>
    <row r="4008" spans="2:2" ht="24.95" customHeight="1">
      <c r="B4008" s="271"/>
    </row>
    <row r="4009" spans="2:2" ht="24.95" customHeight="1">
      <c r="B4009" s="271"/>
    </row>
    <row r="4010" spans="2:2" ht="24.95" customHeight="1">
      <c r="B4010" s="271"/>
    </row>
    <row r="4011" spans="2:2" ht="24.95" customHeight="1">
      <c r="B4011" s="271"/>
    </row>
    <row r="4012" spans="2:2" ht="24.95" customHeight="1">
      <c r="B4012" s="271"/>
    </row>
    <row r="4013" spans="2:2" ht="24.95" customHeight="1">
      <c r="B4013" s="271"/>
    </row>
    <row r="4014" spans="2:2" ht="24.95" customHeight="1">
      <c r="B4014" s="271"/>
    </row>
    <row r="4015" spans="2:2" ht="24.95" customHeight="1">
      <c r="B4015" s="271"/>
    </row>
    <row r="4016" spans="2:2" ht="24.95" customHeight="1">
      <c r="B4016" s="271"/>
    </row>
    <row r="4017" spans="2:2" ht="24.95" customHeight="1">
      <c r="B4017" s="271"/>
    </row>
    <row r="4018" spans="2:2" ht="24.95" customHeight="1">
      <c r="B4018" s="271"/>
    </row>
    <row r="4019" spans="2:2" ht="24.95" customHeight="1">
      <c r="B4019" s="271"/>
    </row>
    <row r="4020" spans="2:2" ht="24.95" customHeight="1">
      <c r="B4020" s="271"/>
    </row>
    <row r="4021" spans="2:2" ht="24.95" customHeight="1">
      <c r="B4021" s="271"/>
    </row>
    <row r="4022" spans="2:2" ht="24.95" customHeight="1">
      <c r="B4022" s="271"/>
    </row>
    <row r="4023" spans="2:2" ht="24.95" customHeight="1">
      <c r="B4023" s="271"/>
    </row>
    <row r="4024" spans="2:2" ht="24.95" customHeight="1">
      <c r="B4024" s="271"/>
    </row>
    <row r="4025" spans="2:2" ht="24.95" customHeight="1">
      <c r="B4025" s="271"/>
    </row>
    <row r="4026" spans="2:2" ht="24.95" customHeight="1">
      <c r="B4026" s="271"/>
    </row>
    <row r="4027" spans="2:2" ht="24.95" customHeight="1">
      <c r="B4027" s="271"/>
    </row>
    <row r="4028" spans="2:2" ht="24.95" customHeight="1">
      <c r="B4028" s="271"/>
    </row>
    <row r="4029" spans="2:2" ht="24.95" customHeight="1">
      <c r="B4029" s="271"/>
    </row>
    <row r="4030" spans="2:2" ht="24.95" customHeight="1">
      <c r="B4030" s="271"/>
    </row>
    <row r="4031" spans="2:2" ht="24.95" customHeight="1">
      <c r="B4031" s="271"/>
    </row>
    <row r="4032" spans="2:2" ht="24.95" customHeight="1">
      <c r="B4032" s="271"/>
    </row>
    <row r="4033" spans="2:2" ht="24.95" customHeight="1">
      <c r="B4033" s="271"/>
    </row>
    <row r="4034" spans="2:2" ht="24.95" customHeight="1">
      <c r="B4034" s="271"/>
    </row>
    <row r="4035" spans="2:2" ht="24.95" customHeight="1">
      <c r="B4035" s="271"/>
    </row>
    <row r="4036" spans="2:2" ht="24.95" customHeight="1">
      <c r="B4036" s="271"/>
    </row>
    <row r="4037" spans="2:2" ht="24.95" customHeight="1">
      <c r="B4037" s="271"/>
    </row>
    <row r="4038" spans="2:2" ht="24.95" customHeight="1">
      <c r="B4038" s="271"/>
    </row>
    <row r="4039" spans="2:2" ht="24.95" customHeight="1">
      <c r="B4039" s="271"/>
    </row>
    <row r="4040" spans="2:2" ht="24.95" customHeight="1">
      <c r="B4040" s="271"/>
    </row>
    <row r="4041" spans="2:2" ht="24.95" customHeight="1">
      <c r="B4041" s="271"/>
    </row>
    <row r="4042" spans="2:2" ht="24.95" customHeight="1">
      <c r="B4042" s="271"/>
    </row>
    <row r="4043" spans="2:2" ht="24.95" customHeight="1">
      <c r="B4043" s="271"/>
    </row>
    <row r="4044" spans="2:2" ht="24.95" customHeight="1">
      <c r="B4044" s="271"/>
    </row>
    <row r="4045" spans="2:2" ht="24.95" customHeight="1">
      <c r="B4045" s="271"/>
    </row>
    <row r="4046" spans="2:2" ht="24.95" customHeight="1">
      <c r="B4046" s="271"/>
    </row>
    <row r="4047" spans="2:2" ht="24.95" customHeight="1">
      <c r="B4047" s="271"/>
    </row>
    <row r="4048" spans="2:2" ht="24.95" customHeight="1">
      <c r="B4048" s="271"/>
    </row>
    <row r="4049" spans="2:2" ht="24.95" customHeight="1">
      <c r="B4049" s="271"/>
    </row>
    <row r="4050" spans="2:2" ht="24.95" customHeight="1">
      <c r="B4050" s="271"/>
    </row>
    <row r="4051" spans="2:2" ht="24.95" customHeight="1">
      <c r="B4051" s="271"/>
    </row>
    <row r="4052" spans="2:2" ht="24.95" customHeight="1">
      <c r="B4052" s="271"/>
    </row>
    <row r="4053" spans="2:2" ht="24.95" customHeight="1">
      <c r="B4053" s="271"/>
    </row>
    <row r="4054" spans="2:2" ht="24.95" customHeight="1">
      <c r="B4054" s="271"/>
    </row>
    <row r="4055" spans="2:2" ht="24.95" customHeight="1">
      <c r="B4055" s="271"/>
    </row>
    <row r="4056" spans="2:2" ht="24.95" customHeight="1">
      <c r="B4056" s="271"/>
    </row>
    <row r="4057" spans="2:2" ht="24.95" customHeight="1">
      <c r="B4057" s="271"/>
    </row>
    <row r="4058" spans="2:2" ht="24.95" customHeight="1">
      <c r="B4058" s="271"/>
    </row>
    <row r="4059" spans="2:2" ht="24.95" customHeight="1">
      <c r="B4059" s="271"/>
    </row>
    <row r="4060" spans="2:2" ht="24.95" customHeight="1">
      <c r="B4060" s="271"/>
    </row>
    <row r="4061" spans="2:2" ht="24.95" customHeight="1">
      <c r="B4061" s="271"/>
    </row>
    <row r="4062" spans="2:2" ht="24.95" customHeight="1">
      <c r="B4062" s="271"/>
    </row>
    <row r="4063" spans="2:2" ht="24.95" customHeight="1">
      <c r="B4063" s="271"/>
    </row>
    <row r="4064" spans="2:2" ht="24.95" customHeight="1">
      <c r="B4064" s="271"/>
    </row>
    <row r="4065" spans="2:2" ht="24.95" customHeight="1">
      <c r="B4065" s="271"/>
    </row>
    <row r="4066" spans="2:2" ht="24.95" customHeight="1">
      <c r="B4066" s="271"/>
    </row>
    <row r="4067" spans="2:2" ht="24.95" customHeight="1">
      <c r="B4067" s="271"/>
    </row>
    <row r="4068" spans="2:2" ht="24.95" customHeight="1">
      <c r="B4068" s="271"/>
    </row>
    <row r="4069" spans="2:2" ht="24.95" customHeight="1">
      <c r="B4069" s="271"/>
    </row>
    <row r="4070" spans="2:2" ht="24.95" customHeight="1">
      <c r="B4070" s="271"/>
    </row>
    <row r="4071" spans="2:2" ht="24.95" customHeight="1">
      <c r="B4071" s="271"/>
    </row>
    <row r="4072" spans="2:2" ht="24.95" customHeight="1">
      <c r="B4072" s="271"/>
    </row>
    <row r="4073" spans="2:2" ht="24.95" customHeight="1">
      <c r="B4073" s="271"/>
    </row>
    <row r="4074" spans="2:2" ht="24.95" customHeight="1">
      <c r="B4074" s="271"/>
    </row>
    <row r="4075" spans="2:2" ht="24.95" customHeight="1">
      <c r="B4075" s="271"/>
    </row>
    <row r="4076" spans="2:2" ht="24.95" customHeight="1">
      <c r="B4076" s="271"/>
    </row>
    <row r="4077" spans="2:2" ht="24.95" customHeight="1">
      <c r="B4077" s="271"/>
    </row>
    <row r="4078" spans="2:2" ht="24.95" customHeight="1">
      <c r="B4078" s="271"/>
    </row>
    <row r="4079" spans="2:2" ht="24.95" customHeight="1">
      <c r="B4079" s="271"/>
    </row>
    <row r="4080" spans="2:2" ht="24.95" customHeight="1">
      <c r="B4080" s="271"/>
    </row>
    <row r="4081" spans="2:2" ht="24.95" customHeight="1">
      <c r="B4081" s="271"/>
    </row>
    <row r="4082" spans="2:2" ht="24.95" customHeight="1">
      <c r="B4082" s="271"/>
    </row>
    <row r="4083" spans="2:2" ht="24.95" customHeight="1">
      <c r="B4083" s="271"/>
    </row>
    <row r="4084" spans="2:2" ht="24.95" customHeight="1">
      <c r="B4084" s="271"/>
    </row>
    <row r="4085" spans="2:2" ht="24.95" customHeight="1">
      <c r="B4085" s="271"/>
    </row>
    <row r="4086" spans="2:2" ht="24.95" customHeight="1">
      <c r="B4086" s="271"/>
    </row>
    <row r="4087" spans="2:2" ht="24.95" customHeight="1">
      <c r="B4087" s="271"/>
    </row>
    <row r="4088" spans="2:2" ht="24.95" customHeight="1">
      <c r="B4088" s="271"/>
    </row>
    <row r="4089" spans="2:2" ht="24.95" customHeight="1">
      <c r="B4089" s="271"/>
    </row>
    <row r="4090" spans="2:2" ht="24.95" customHeight="1">
      <c r="B4090" s="271"/>
    </row>
    <row r="4091" spans="2:2" ht="24.95" customHeight="1">
      <c r="B4091" s="271"/>
    </row>
    <row r="4092" spans="2:2" ht="24.95" customHeight="1">
      <c r="B4092" s="271"/>
    </row>
    <row r="4093" spans="2:2" ht="24.95" customHeight="1">
      <c r="B4093" s="271"/>
    </row>
    <row r="4094" spans="2:2" ht="24.95" customHeight="1">
      <c r="B4094" s="271"/>
    </row>
    <row r="4095" spans="2:2" ht="24.95" customHeight="1">
      <c r="B4095" s="271"/>
    </row>
    <row r="4096" spans="2:2" ht="24.95" customHeight="1">
      <c r="B4096" s="271"/>
    </row>
    <row r="4097" spans="2:2" ht="24.95" customHeight="1">
      <c r="B4097" s="271"/>
    </row>
    <row r="4098" spans="2:2" ht="24.95" customHeight="1">
      <c r="B4098" s="271"/>
    </row>
    <row r="4099" spans="2:2" ht="24.95" customHeight="1">
      <c r="B4099" s="271"/>
    </row>
    <row r="4100" spans="2:2" ht="24.95" customHeight="1">
      <c r="B4100" s="271"/>
    </row>
    <row r="4101" spans="2:2" ht="24.95" customHeight="1">
      <c r="B4101" s="271"/>
    </row>
    <row r="4102" spans="2:2" ht="24.95" customHeight="1">
      <c r="B4102" s="271"/>
    </row>
    <row r="4103" spans="2:2" ht="24.95" customHeight="1">
      <c r="B4103" s="271"/>
    </row>
    <row r="4104" spans="2:2" ht="24.95" customHeight="1">
      <c r="B4104" s="271"/>
    </row>
    <row r="4105" spans="2:2" ht="24.95" customHeight="1">
      <c r="B4105" s="271"/>
    </row>
    <row r="4106" spans="2:2" ht="24.95" customHeight="1">
      <c r="B4106" s="271"/>
    </row>
    <row r="4107" spans="2:2" ht="24.95" customHeight="1">
      <c r="B4107" s="271"/>
    </row>
    <row r="4108" spans="2:2" ht="24.95" customHeight="1">
      <c r="B4108" s="271"/>
    </row>
    <row r="4109" spans="2:2" ht="24.95" customHeight="1">
      <c r="B4109" s="271"/>
    </row>
    <row r="4110" spans="2:2" ht="24.95" customHeight="1">
      <c r="B4110" s="271"/>
    </row>
    <row r="4111" spans="2:2" ht="24.95" customHeight="1">
      <c r="B4111" s="271"/>
    </row>
    <row r="4112" spans="2:2" ht="24.95" customHeight="1">
      <c r="B4112" s="271"/>
    </row>
    <row r="4113" spans="2:2" ht="24.95" customHeight="1">
      <c r="B4113" s="271"/>
    </row>
    <row r="4114" spans="2:2" ht="24.95" customHeight="1">
      <c r="B4114" s="271"/>
    </row>
    <row r="4115" spans="2:2" ht="24.95" customHeight="1">
      <c r="B4115" s="271"/>
    </row>
    <row r="4116" spans="2:2" ht="24.95" customHeight="1">
      <c r="B4116" s="271"/>
    </row>
    <row r="4117" spans="2:2" ht="24.95" customHeight="1">
      <c r="B4117" s="271"/>
    </row>
    <row r="4118" spans="2:2" ht="24.95" customHeight="1">
      <c r="B4118" s="271"/>
    </row>
    <row r="4119" spans="2:2" ht="24.95" customHeight="1">
      <c r="B4119" s="271"/>
    </row>
    <row r="4120" spans="2:2" ht="24.95" customHeight="1">
      <c r="B4120" s="271"/>
    </row>
    <row r="4121" spans="2:2" ht="24.95" customHeight="1">
      <c r="B4121" s="271"/>
    </row>
    <row r="4122" spans="2:2" ht="24.95" customHeight="1">
      <c r="B4122" s="271"/>
    </row>
    <row r="4123" spans="2:2" ht="24.95" customHeight="1">
      <c r="B4123" s="271"/>
    </row>
    <row r="4124" spans="2:2" ht="24.95" customHeight="1">
      <c r="B4124" s="271"/>
    </row>
    <row r="4125" spans="2:2" ht="24.95" customHeight="1">
      <c r="B4125" s="271"/>
    </row>
    <row r="4126" spans="2:2" ht="24.95" customHeight="1">
      <c r="B4126" s="271"/>
    </row>
    <row r="4127" spans="2:2" ht="24.95" customHeight="1">
      <c r="B4127" s="271"/>
    </row>
    <row r="4128" spans="2:2" ht="24.95" customHeight="1">
      <c r="B4128" s="271"/>
    </row>
    <row r="4129" spans="2:2" ht="24.95" customHeight="1">
      <c r="B4129" s="271"/>
    </row>
    <row r="4130" spans="2:2" ht="24.95" customHeight="1">
      <c r="B4130" s="271"/>
    </row>
    <row r="4131" spans="2:2" ht="24.95" customHeight="1">
      <c r="B4131" s="271"/>
    </row>
    <row r="4132" spans="2:2" ht="24.95" customHeight="1">
      <c r="B4132" s="271"/>
    </row>
    <row r="4133" spans="2:2" ht="24.95" customHeight="1">
      <c r="B4133" s="271"/>
    </row>
    <row r="4134" spans="2:2" ht="24.95" customHeight="1">
      <c r="B4134" s="271"/>
    </row>
    <row r="4135" spans="2:2" ht="24.95" customHeight="1">
      <c r="B4135" s="271"/>
    </row>
    <row r="4136" spans="2:2" ht="24.95" customHeight="1">
      <c r="B4136" s="271"/>
    </row>
    <row r="4137" spans="2:2" ht="24.95" customHeight="1">
      <c r="B4137" s="271"/>
    </row>
    <row r="4138" spans="2:2" ht="24.95" customHeight="1">
      <c r="B4138" s="271"/>
    </row>
    <row r="4139" spans="2:2" ht="24.95" customHeight="1">
      <c r="B4139" s="271"/>
    </row>
    <row r="4140" spans="2:2" ht="24.95" customHeight="1">
      <c r="B4140" s="271"/>
    </row>
    <row r="4141" spans="2:2" ht="24.95" customHeight="1">
      <c r="B4141" s="271"/>
    </row>
    <row r="4142" spans="2:2" ht="24.95" customHeight="1">
      <c r="B4142" s="271"/>
    </row>
    <row r="4143" spans="2:2" ht="24.95" customHeight="1">
      <c r="B4143" s="271"/>
    </row>
    <row r="4144" spans="2:2" ht="24.95" customHeight="1">
      <c r="B4144" s="271"/>
    </row>
    <row r="4145" spans="2:2" ht="24.95" customHeight="1">
      <c r="B4145" s="271"/>
    </row>
    <row r="4146" spans="2:2" ht="24.95" customHeight="1">
      <c r="B4146" s="271"/>
    </row>
    <row r="4147" spans="2:2" ht="24.95" customHeight="1">
      <c r="B4147" s="271"/>
    </row>
    <row r="4148" spans="2:2" ht="24.95" customHeight="1">
      <c r="B4148" s="271"/>
    </row>
    <row r="4149" spans="2:2" ht="24.95" customHeight="1">
      <c r="B4149" s="271"/>
    </row>
    <row r="4150" spans="2:2" ht="24.95" customHeight="1">
      <c r="B4150" s="271"/>
    </row>
    <row r="4151" spans="2:2" ht="24.95" customHeight="1">
      <c r="B4151" s="271"/>
    </row>
    <row r="4152" spans="2:2" ht="24.95" customHeight="1">
      <c r="B4152" s="271"/>
    </row>
    <row r="4153" spans="2:2" ht="24.95" customHeight="1">
      <c r="B4153" s="271"/>
    </row>
    <row r="4154" spans="2:2" ht="24.95" customHeight="1">
      <c r="B4154" s="271"/>
    </row>
    <row r="4155" spans="2:2" ht="24.95" customHeight="1">
      <c r="B4155" s="271"/>
    </row>
    <row r="4156" spans="2:2" ht="24.95" customHeight="1">
      <c r="B4156" s="271"/>
    </row>
    <row r="4157" spans="2:2" ht="24.95" customHeight="1">
      <c r="B4157" s="271"/>
    </row>
    <row r="4158" spans="2:2" ht="24.95" customHeight="1">
      <c r="B4158" s="271"/>
    </row>
    <row r="4159" spans="2:2" ht="24.95" customHeight="1">
      <c r="B4159" s="271"/>
    </row>
    <row r="4160" spans="2:2" ht="24.95" customHeight="1">
      <c r="B4160" s="271"/>
    </row>
    <row r="4161" spans="2:2" ht="24.95" customHeight="1">
      <c r="B4161" s="271"/>
    </row>
    <row r="4162" spans="2:2" ht="24.95" customHeight="1">
      <c r="B4162" s="271"/>
    </row>
    <row r="4163" spans="2:2" ht="24.95" customHeight="1">
      <c r="B4163" s="271"/>
    </row>
    <row r="4164" spans="2:2" ht="24.95" customHeight="1">
      <c r="B4164" s="271"/>
    </row>
    <row r="4165" spans="2:2" ht="24.95" customHeight="1">
      <c r="B4165" s="271"/>
    </row>
    <row r="4166" spans="2:2" ht="24.95" customHeight="1">
      <c r="B4166" s="271"/>
    </row>
    <row r="4167" spans="2:2" ht="24.95" customHeight="1">
      <c r="B4167" s="271"/>
    </row>
    <row r="4168" spans="2:2" ht="24.95" customHeight="1">
      <c r="B4168" s="271"/>
    </row>
    <row r="4169" spans="2:2" ht="24.95" customHeight="1">
      <c r="B4169" s="271"/>
    </row>
    <row r="4170" spans="2:2" ht="24.95" customHeight="1">
      <c r="B4170" s="271"/>
    </row>
    <row r="4171" spans="2:2" ht="24.95" customHeight="1">
      <c r="B4171" s="271"/>
    </row>
    <row r="4172" spans="2:2" ht="24.95" customHeight="1">
      <c r="B4172" s="271"/>
    </row>
    <row r="4173" spans="2:2" ht="24.95" customHeight="1">
      <c r="B4173" s="271"/>
    </row>
    <row r="4174" spans="2:2" ht="24.95" customHeight="1">
      <c r="B4174" s="271"/>
    </row>
    <row r="4175" spans="2:2" ht="24.95" customHeight="1">
      <c r="B4175" s="271"/>
    </row>
    <row r="4176" spans="2:2" ht="24.95" customHeight="1">
      <c r="B4176" s="271"/>
    </row>
    <row r="4177" spans="2:2" ht="24.95" customHeight="1">
      <c r="B4177" s="271"/>
    </row>
    <row r="4178" spans="2:2" ht="24.95" customHeight="1">
      <c r="B4178" s="271"/>
    </row>
    <row r="4179" spans="2:2" ht="24.95" customHeight="1">
      <c r="B4179" s="271"/>
    </row>
    <row r="4180" spans="2:2" ht="24.95" customHeight="1">
      <c r="B4180" s="271"/>
    </row>
    <row r="4181" spans="2:2" ht="24.95" customHeight="1">
      <c r="B4181" s="271"/>
    </row>
    <row r="4182" spans="2:2" ht="24.95" customHeight="1">
      <c r="B4182" s="271"/>
    </row>
    <row r="4183" spans="2:2" ht="24.95" customHeight="1">
      <c r="B4183" s="271"/>
    </row>
    <row r="4184" spans="2:2" ht="24.95" customHeight="1">
      <c r="B4184" s="271"/>
    </row>
    <row r="4185" spans="2:2" ht="24.95" customHeight="1">
      <c r="B4185" s="271"/>
    </row>
    <row r="4186" spans="2:2" ht="24.95" customHeight="1">
      <c r="B4186" s="271"/>
    </row>
    <row r="4187" spans="2:2" ht="24.95" customHeight="1">
      <c r="B4187" s="271"/>
    </row>
    <row r="4188" spans="2:2" ht="24.95" customHeight="1">
      <c r="B4188" s="271"/>
    </row>
    <row r="4189" spans="2:2" ht="24.95" customHeight="1">
      <c r="B4189" s="271"/>
    </row>
    <row r="4190" spans="2:2" ht="24.95" customHeight="1">
      <c r="B4190" s="271"/>
    </row>
    <row r="4191" spans="2:2" ht="24.95" customHeight="1">
      <c r="B4191" s="271"/>
    </row>
    <row r="4192" spans="2:2" ht="24.95" customHeight="1">
      <c r="B4192" s="271"/>
    </row>
    <row r="4193" spans="2:2" ht="24.95" customHeight="1">
      <c r="B4193" s="271"/>
    </row>
    <row r="4194" spans="2:2" ht="24.95" customHeight="1">
      <c r="B4194" s="271"/>
    </row>
    <row r="4195" spans="2:2" ht="24.95" customHeight="1">
      <c r="B4195" s="271"/>
    </row>
    <row r="4196" spans="2:2" ht="24.95" customHeight="1">
      <c r="B4196" s="271"/>
    </row>
    <row r="4197" spans="2:2" ht="24.95" customHeight="1">
      <c r="B4197" s="271"/>
    </row>
    <row r="4198" spans="2:2" ht="24.95" customHeight="1">
      <c r="B4198" s="271"/>
    </row>
    <row r="4199" spans="2:2" ht="24.95" customHeight="1">
      <c r="B4199" s="271"/>
    </row>
    <row r="4200" spans="2:2" ht="24.95" customHeight="1">
      <c r="B4200" s="271"/>
    </row>
    <row r="4201" spans="2:2" ht="24.95" customHeight="1">
      <c r="B4201" s="271"/>
    </row>
    <row r="4202" spans="2:2" ht="24.95" customHeight="1">
      <c r="B4202" s="271"/>
    </row>
    <row r="4203" spans="2:2" ht="24.95" customHeight="1">
      <c r="B4203" s="271"/>
    </row>
    <row r="4204" spans="2:2" ht="24.95" customHeight="1">
      <c r="B4204" s="271"/>
    </row>
    <row r="4205" spans="2:2" ht="24.95" customHeight="1">
      <c r="B4205" s="271"/>
    </row>
    <row r="4206" spans="2:2" ht="24.95" customHeight="1">
      <c r="B4206" s="271"/>
    </row>
    <row r="4207" spans="2:2" ht="24.95" customHeight="1">
      <c r="B4207" s="271"/>
    </row>
    <row r="4208" spans="2:2" ht="24.95" customHeight="1">
      <c r="B4208" s="271"/>
    </row>
    <row r="4209" spans="2:2" ht="24.95" customHeight="1">
      <c r="B4209" s="271"/>
    </row>
    <row r="4210" spans="2:2" ht="24.95" customHeight="1">
      <c r="B4210" s="271"/>
    </row>
    <row r="4211" spans="2:2" ht="24.95" customHeight="1">
      <c r="B4211" s="271"/>
    </row>
    <row r="4212" spans="2:2" ht="24.95" customHeight="1">
      <c r="B4212" s="271"/>
    </row>
    <row r="4213" spans="2:2" ht="24.95" customHeight="1">
      <c r="B4213" s="271"/>
    </row>
    <row r="4214" spans="2:2" ht="24.95" customHeight="1">
      <c r="B4214" s="271"/>
    </row>
    <row r="4215" spans="2:2" ht="24.95" customHeight="1">
      <c r="B4215" s="271"/>
    </row>
    <row r="4216" spans="2:2" ht="24.95" customHeight="1">
      <c r="B4216" s="271"/>
    </row>
    <row r="4217" spans="2:2" ht="24.95" customHeight="1">
      <c r="B4217" s="271"/>
    </row>
    <row r="4218" spans="2:2" ht="24.95" customHeight="1">
      <c r="B4218" s="271"/>
    </row>
    <row r="4219" spans="2:2" ht="24.95" customHeight="1">
      <c r="B4219" s="271"/>
    </row>
    <row r="4220" spans="2:2" ht="24.95" customHeight="1">
      <c r="B4220" s="271"/>
    </row>
    <row r="4221" spans="2:2" ht="24.95" customHeight="1">
      <c r="B4221" s="271"/>
    </row>
    <row r="4222" spans="2:2" ht="24.95" customHeight="1">
      <c r="B4222" s="271"/>
    </row>
    <row r="4223" spans="2:2" ht="24.95" customHeight="1">
      <c r="B4223" s="271"/>
    </row>
    <row r="4224" spans="2:2" ht="24.95" customHeight="1">
      <c r="B4224" s="271"/>
    </row>
    <row r="4225" spans="2:2" ht="24.95" customHeight="1">
      <c r="B4225" s="271"/>
    </row>
    <row r="4226" spans="2:2" ht="24.95" customHeight="1">
      <c r="B4226" s="271"/>
    </row>
    <row r="4227" spans="2:2" ht="24.95" customHeight="1">
      <c r="B4227" s="271"/>
    </row>
    <row r="4228" spans="2:2" ht="24.95" customHeight="1">
      <c r="B4228" s="271"/>
    </row>
    <row r="4229" spans="2:2" ht="24.95" customHeight="1">
      <c r="B4229" s="271"/>
    </row>
    <row r="4230" spans="2:2" ht="24.95" customHeight="1">
      <c r="B4230" s="271"/>
    </row>
    <row r="4231" spans="2:2" ht="24.95" customHeight="1">
      <c r="B4231" s="271"/>
    </row>
    <row r="4232" spans="2:2" ht="24.95" customHeight="1">
      <c r="B4232" s="271"/>
    </row>
    <row r="4233" spans="2:2" ht="24.95" customHeight="1">
      <c r="B4233" s="271"/>
    </row>
    <row r="4234" spans="2:2" ht="24.95" customHeight="1">
      <c r="B4234" s="271"/>
    </row>
    <row r="4235" spans="2:2" ht="24.95" customHeight="1">
      <c r="B4235" s="271"/>
    </row>
    <row r="4236" spans="2:2" ht="24.95" customHeight="1">
      <c r="B4236" s="271"/>
    </row>
    <row r="4237" spans="2:2" ht="24.95" customHeight="1">
      <c r="B4237" s="271"/>
    </row>
    <row r="4238" spans="2:2" ht="24.95" customHeight="1">
      <c r="B4238" s="271"/>
    </row>
    <row r="4239" spans="2:2" ht="24.95" customHeight="1">
      <c r="B4239" s="271"/>
    </row>
    <row r="4240" spans="2:2" ht="24.95" customHeight="1">
      <c r="B4240" s="271"/>
    </row>
    <row r="4241" spans="2:2" ht="24.95" customHeight="1">
      <c r="B4241" s="271"/>
    </row>
    <row r="4242" spans="2:2" ht="24.95" customHeight="1">
      <c r="B4242" s="271"/>
    </row>
    <row r="4243" spans="2:2" ht="24.95" customHeight="1">
      <c r="B4243" s="271"/>
    </row>
    <row r="4244" spans="2:2" ht="24.95" customHeight="1">
      <c r="B4244" s="271"/>
    </row>
    <row r="4245" spans="2:2" ht="24.95" customHeight="1">
      <c r="B4245" s="271"/>
    </row>
    <row r="4246" spans="2:2" ht="24.95" customHeight="1">
      <c r="B4246" s="271"/>
    </row>
    <row r="4247" spans="2:2" ht="24.95" customHeight="1">
      <c r="B4247" s="271"/>
    </row>
    <row r="4248" spans="2:2" ht="24.95" customHeight="1">
      <c r="B4248" s="271"/>
    </row>
    <row r="4249" spans="2:2" ht="24.95" customHeight="1">
      <c r="B4249" s="271"/>
    </row>
    <row r="4250" spans="2:2" ht="24.95" customHeight="1">
      <c r="B4250" s="271"/>
    </row>
    <row r="4251" spans="2:2" ht="24.95" customHeight="1">
      <c r="B4251" s="271"/>
    </row>
    <row r="4252" spans="2:2" ht="24.95" customHeight="1">
      <c r="B4252" s="271"/>
    </row>
    <row r="4253" spans="2:2" ht="24.95" customHeight="1">
      <c r="B4253" s="271"/>
    </row>
    <row r="4254" spans="2:2" ht="24.95" customHeight="1">
      <c r="B4254" s="271"/>
    </row>
    <row r="4255" spans="2:2" ht="24.95" customHeight="1">
      <c r="B4255" s="271"/>
    </row>
    <row r="4256" spans="2:2" ht="24.95" customHeight="1">
      <c r="B4256" s="271"/>
    </row>
    <row r="4257" spans="2:2" ht="24.95" customHeight="1">
      <c r="B4257" s="271"/>
    </row>
    <row r="4258" spans="2:2" ht="24.95" customHeight="1">
      <c r="B4258" s="271"/>
    </row>
    <row r="4259" spans="2:2" ht="24.95" customHeight="1">
      <c r="B4259" s="271"/>
    </row>
    <row r="4260" spans="2:2" ht="24.95" customHeight="1">
      <c r="B4260" s="271"/>
    </row>
    <row r="4261" spans="2:2" ht="24.95" customHeight="1">
      <c r="B4261" s="271"/>
    </row>
    <row r="4262" spans="2:2" ht="24.95" customHeight="1">
      <c r="B4262" s="271"/>
    </row>
    <row r="4263" spans="2:2" ht="24.95" customHeight="1">
      <c r="B4263" s="271"/>
    </row>
    <row r="4264" spans="2:2" ht="24.95" customHeight="1">
      <c r="B4264" s="271"/>
    </row>
    <row r="4265" spans="2:2" ht="24.95" customHeight="1">
      <c r="B4265" s="271"/>
    </row>
    <row r="4266" spans="2:2" ht="24.95" customHeight="1">
      <c r="B4266" s="271"/>
    </row>
    <row r="4267" spans="2:2" ht="24.95" customHeight="1">
      <c r="B4267" s="271"/>
    </row>
    <row r="4268" spans="2:2" ht="24.95" customHeight="1">
      <c r="B4268" s="271"/>
    </row>
    <row r="4269" spans="2:2" ht="24.95" customHeight="1">
      <c r="B4269" s="271"/>
    </row>
    <row r="4270" spans="2:2" ht="24.95" customHeight="1">
      <c r="B4270" s="271"/>
    </row>
    <row r="4271" spans="2:2" ht="24.95" customHeight="1">
      <c r="B4271" s="271"/>
    </row>
    <row r="4272" spans="2:2" ht="24.95" customHeight="1">
      <c r="B4272" s="271"/>
    </row>
    <row r="4273" spans="2:2" ht="24.95" customHeight="1">
      <c r="B4273" s="271"/>
    </row>
    <row r="4274" spans="2:2" ht="24.95" customHeight="1">
      <c r="B4274" s="271"/>
    </row>
    <row r="4275" spans="2:2" ht="24.95" customHeight="1">
      <c r="B4275" s="271"/>
    </row>
    <row r="4276" spans="2:2" ht="24.95" customHeight="1">
      <c r="B4276" s="271"/>
    </row>
    <row r="4277" spans="2:2" ht="24.95" customHeight="1">
      <c r="B4277" s="271"/>
    </row>
    <row r="4278" spans="2:2" ht="24.95" customHeight="1">
      <c r="B4278" s="271"/>
    </row>
    <row r="4279" spans="2:2" ht="24.95" customHeight="1">
      <c r="B4279" s="271"/>
    </row>
    <row r="4280" spans="2:2" ht="24.95" customHeight="1">
      <c r="B4280" s="271"/>
    </row>
    <row r="4281" spans="2:2" ht="24.95" customHeight="1">
      <c r="B4281" s="271"/>
    </row>
    <row r="4282" spans="2:2" ht="24.95" customHeight="1">
      <c r="B4282" s="271"/>
    </row>
    <row r="4283" spans="2:2" ht="24.95" customHeight="1">
      <c r="B4283" s="271"/>
    </row>
    <row r="4284" spans="2:2" ht="24.95" customHeight="1">
      <c r="B4284" s="271"/>
    </row>
    <row r="4285" spans="2:2" ht="24.95" customHeight="1">
      <c r="B4285" s="271"/>
    </row>
    <row r="4286" spans="2:2" ht="24.95" customHeight="1">
      <c r="B4286" s="271"/>
    </row>
    <row r="4287" spans="2:2" ht="24.95" customHeight="1">
      <c r="B4287" s="271"/>
    </row>
    <row r="4288" spans="2:2" ht="24.95" customHeight="1">
      <c r="B4288" s="271"/>
    </row>
    <row r="4289" spans="2:2" ht="24.95" customHeight="1">
      <c r="B4289" s="271"/>
    </row>
    <row r="4290" spans="2:2" ht="24.95" customHeight="1">
      <c r="B4290" s="271"/>
    </row>
    <row r="4291" spans="2:2" ht="24.95" customHeight="1">
      <c r="B4291" s="271"/>
    </row>
    <row r="4292" spans="2:2" ht="24.95" customHeight="1">
      <c r="B4292" s="271"/>
    </row>
    <row r="4293" spans="2:2" ht="24.95" customHeight="1">
      <c r="B4293" s="271"/>
    </row>
    <row r="4294" spans="2:2" ht="24.95" customHeight="1">
      <c r="B4294" s="271"/>
    </row>
    <row r="4295" spans="2:2" ht="24.95" customHeight="1">
      <c r="B4295" s="271"/>
    </row>
    <row r="4296" spans="2:2" ht="24.95" customHeight="1">
      <c r="B4296" s="271"/>
    </row>
    <row r="4297" spans="2:2" ht="24.95" customHeight="1">
      <c r="B4297" s="271"/>
    </row>
    <row r="4298" spans="2:2" ht="24.95" customHeight="1">
      <c r="B4298" s="271"/>
    </row>
    <row r="4299" spans="2:2" ht="24.95" customHeight="1">
      <c r="B4299" s="271"/>
    </row>
    <row r="4300" spans="2:2" ht="24.95" customHeight="1">
      <c r="B4300" s="271"/>
    </row>
    <row r="4301" spans="2:2" ht="24.95" customHeight="1">
      <c r="B4301" s="271"/>
    </row>
    <row r="4302" spans="2:2" ht="24.95" customHeight="1">
      <c r="B4302" s="271"/>
    </row>
    <row r="4303" spans="2:2" ht="24.95" customHeight="1">
      <c r="B4303" s="271"/>
    </row>
    <row r="4304" spans="2:2" ht="24.95" customHeight="1">
      <c r="B4304" s="271"/>
    </row>
    <row r="4305" spans="2:2" ht="24.95" customHeight="1">
      <c r="B4305" s="271"/>
    </row>
    <row r="4306" spans="2:2" ht="24.95" customHeight="1">
      <c r="B4306" s="271"/>
    </row>
    <row r="4307" spans="2:2" ht="24.95" customHeight="1">
      <c r="B4307" s="271"/>
    </row>
    <row r="4308" spans="2:2" ht="24.95" customHeight="1">
      <c r="B4308" s="271"/>
    </row>
    <row r="4309" spans="2:2" ht="24.95" customHeight="1">
      <c r="B4309" s="271"/>
    </row>
    <row r="4310" spans="2:2" ht="24.95" customHeight="1">
      <c r="B4310" s="271"/>
    </row>
    <row r="4311" spans="2:2" ht="24.95" customHeight="1">
      <c r="B4311" s="271"/>
    </row>
    <row r="4312" spans="2:2" ht="24.95" customHeight="1">
      <c r="B4312" s="271"/>
    </row>
    <row r="4313" spans="2:2" ht="24.95" customHeight="1">
      <c r="B4313" s="271"/>
    </row>
    <row r="4314" spans="2:2" ht="24.95" customHeight="1">
      <c r="B4314" s="271"/>
    </row>
    <row r="4315" spans="2:2" ht="24.95" customHeight="1">
      <c r="B4315" s="271"/>
    </row>
    <row r="4316" spans="2:2" ht="24.95" customHeight="1">
      <c r="B4316" s="271"/>
    </row>
    <row r="4317" spans="2:2" ht="24.95" customHeight="1">
      <c r="B4317" s="271"/>
    </row>
    <row r="4318" spans="2:2" ht="24.95" customHeight="1">
      <c r="B4318" s="271"/>
    </row>
    <row r="4319" spans="2:2" ht="24.95" customHeight="1">
      <c r="B4319" s="271"/>
    </row>
    <row r="4320" spans="2:2" ht="24.95" customHeight="1">
      <c r="B4320" s="271"/>
    </row>
    <row r="4321" spans="2:2" ht="24.95" customHeight="1">
      <c r="B4321" s="271"/>
    </row>
    <row r="4322" spans="2:2" ht="24.95" customHeight="1">
      <c r="B4322" s="271"/>
    </row>
    <row r="4323" spans="2:2" ht="24.95" customHeight="1">
      <c r="B4323" s="271"/>
    </row>
    <row r="4324" spans="2:2" ht="24.95" customHeight="1">
      <c r="B4324" s="271"/>
    </row>
    <row r="4325" spans="2:2" ht="24.95" customHeight="1">
      <c r="B4325" s="271"/>
    </row>
    <row r="4326" spans="2:2" ht="24.95" customHeight="1">
      <c r="B4326" s="271"/>
    </row>
    <row r="4327" spans="2:2" ht="24.95" customHeight="1">
      <c r="B4327" s="271"/>
    </row>
    <row r="4328" spans="2:2" ht="24.95" customHeight="1">
      <c r="B4328" s="271"/>
    </row>
    <row r="4329" spans="2:2" ht="24.95" customHeight="1">
      <c r="B4329" s="271"/>
    </row>
    <row r="4330" spans="2:2" ht="24.95" customHeight="1">
      <c r="B4330" s="271"/>
    </row>
    <row r="4331" spans="2:2" ht="24.95" customHeight="1">
      <c r="B4331" s="271"/>
    </row>
    <row r="4332" spans="2:2" ht="24.95" customHeight="1">
      <c r="B4332" s="271"/>
    </row>
    <row r="4333" spans="2:2" ht="24.95" customHeight="1">
      <c r="B4333" s="271"/>
    </row>
    <row r="4334" spans="2:2" ht="24.95" customHeight="1">
      <c r="B4334" s="271"/>
    </row>
    <row r="4335" spans="2:2" ht="24.95" customHeight="1">
      <c r="B4335" s="271"/>
    </row>
    <row r="4336" spans="2:2" ht="24.95" customHeight="1">
      <c r="B4336" s="271"/>
    </row>
    <row r="4337" spans="2:2" ht="24.95" customHeight="1">
      <c r="B4337" s="271"/>
    </row>
    <row r="4338" spans="2:2" ht="24.95" customHeight="1">
      <c r="B4338" s="271"/>
    </row>
    <row r="4339" spans="2:2" ht="24.95" customHeight="1">
      <c r="B4339" s="271"/>
    </row>
    <row r="4340" spans="2:2" ht="24.95" customHeight="1">
      <c r="B4340" s="271"/>
    </row>
    <row r="4341" spans="2:2" ht="24.95" customHeight="1">
      <c r="B4341" s="271"/>
    </row>
    <row r="4342" spans="2:2" ht="24.95" customHeight="1">
      <c r="B4342" s="271"/>
    </row>
    <row r="4343" spans="2:2" ht="24.95" customHeight="1">
      <c r="B4343" s="271"/>
    </row>
    <row r="4344" spans="2:2" ht="24.95" customHeight="1">
      <c r="B4344" s="271"/>
    </row>
    <row r="4345" spans="2:2" ht="24.95" customHeight="1">
      <c r="B4345" s="271"/>
    </row>
    <row r="4346" spans="2:2" ht="24.95" customHeight="1">
      <c r="B4346" s="271"/>
    </row>
    <row r="4347" spans="2:2" ht="24.95" customHeight="1">
      <c r="B4347" s="271"/>
    </row>
    <row r="4348" spans="2:2" ht="24.95" customHeight="1">
      <c r="B4348" s="271"/>
    </row>
    <row r="4349" spans="2:2" ht="24.95" customHeight="1">
      <c r="B4349" s="271"/>
    </row>
    <row r="4350" spans="2:2" ht="24.95" customHeight="1">
      <c r="B4350" s="271"/>
    </row>
    <row r="4351" spans="2:2" ht="24.95" customHeight="1">
      <c r="B4351" s="271"/>
    </row>
    <row r="4352" spans="2:2" ht="24.95" customHeight="1">
      <c r="B4352" s="271"/>
    </row>
    <row r="4353" spans="2:2" ht="24.95" customHeight="1">
      <c r="B4353" s="271"/>
    </row>
    <row r="4354" spans="2:2" ht="24.95" customHeight="1">
      <c r="B4354" s="271"/>
    </row>
    <row r="4355" spans="2:2" ht="24.95" customHeight="1">
      <c r="B4355" s="271"/>
    </row>
    <row r="4356" spans="2:2" ht="24.95" customHeight="1">
      <c r="B4356" s="271"/>
    </row>
    <row r="4357" spans="2:2" ht="24.95" customHeight="1">
      <c r="B4357" s="271"/>
    </row>
    <row r="4358" spans="2:2" ht="24.95" customHeight="1">
      <c r="B4358" s="271"/>
    </row>
    <row r="4359" spans="2:2" ht="24.95" customHeight="1">
      <c r="B4359" s="271"/>
    </row>
    <row r="4360" spans="2:2" ht="24.95" customHeight="1">
      <c r="B4360" s="271"/>
    </row>
    <row r="4361" spans="2:2" ht="24.95" customHeight="1">
      <c r="B4361" s="271"/>
    </row>
    <row r="4362" spans="2:2" ht="24.95" customHeight="1">
      <c r="B4362" s="271"/>
    </row>
    <row r="4363" spans="2:2" ht="24.95" customHeight="1">
      <c r="B4363" s="271"/>
    </row>
    <row r="4364" spans="2:2" ht="24.95" customHeight="1">
      <c r="B4364" s="271"/>
    </row>
    <row r="4365" spans="2:2" ht="24.95" customHeight="1">
      <c r="B4365" s="271"/>
    </row>
    <row r="4366" spans="2:2" ht="24.95" customHeight="1">
      <c r="B4366" s="271"/>
    </row>
    <row r="4367" spans="2:2" ht="24.95" customHeight="1">
      <c r="B4367" s="271"/>
    </row>
    <row r="4368" spans="2:2" ht="24.95" customHeight="1">
      <c r="B4368" s="271"/>
    </row>
    <row r="4369" spans="2:2" ht="24.95" customHeight="1">
      <c r="B4369" s="271"/>
    </row>
    <row r="4370" spans="2:2" ht="24.95" customHeight="1">
      <c r="B4370" s="271"/>
    </row>
    <row r="4371" spans="2:2" ht="24.95" customHeight="1">
      <c r="B4371" s="271"/>
    </row>
    <row r="4372" spans="2:2" ht="24.95" customHeight="1">
      <c r="B4372" s="271"/>
    </row>
    <row r="4373" spans="2:2" ht="24.95" customHeight="1">
      <c r="B4373" s="271"/>
    </row>
    <row r="4374" spans="2:2" ht="24.95" customHeight="1">
      <c r="B4374" s="271"/>
    </row>
    <row r="4375" spans="2:2" ht="24.95" customHeight="1">
      <c r="B4375" s="271"/>
    </row>
    <row r="4376" spans="2:2" ht="24.95" customHeight="1">
      <c r="B4376" s="271"/>
    </row>
    <row r="4377" spans="2:2" ht="24.95" customHeight="1">
      <c r="B4377" s="271"/>
    </row>
    <row r="4378" spans="2:2" ht="24.95" customHeight="1">
      <c r="B4378" s="271"/>
    </row>
    <row r="4379" spans="2:2" ht="24.95" customHeight="1">
      <c r="B4379" s="271"/>
    </row>
    <row r="4380" spans="2:2" ht="24.95" customHeight="1">
      <c r="B4380" s="271"/>
    </row>
    <row r="4381" spans="2:2" ht="24.95" customHeight="1">
      <c r="B4381" s="271"/>
    </row>
    <row r="4382" spans="2:2" ht="24.95" customHeight="1">
      <c r="B4382" s="271"/>
    </row>
    <row r="4383" spans="2:2" ht="24.95" customHeight="1">
      <c r="B4383" s="271"/>
    </row>
    <row r="4384" spans="2:2" ht="24.95" customHeight="1">
      <c r="B4384" s="271"/>
    </row>
    <row r="4385" spans="2:2" ht="24.95" customHeight="1">
      <c r="B4385" s="271"/>
    </row>
    <row r="4386" spans="2:2" ht="24.95" customHeight="1">
      <c r="B4386" s="271"/>
    </row>
    <row r="4387" spans="2:2" ht="24.95" customHeight="1">
      <c r="B4387" s="271"/>
    </row>
    <row r="4388" spans="2:2" ht="24.95" customHeight="1">
      <c r="B4388" s="271"/>
    </row>
    <row r="4389" spans="2:2" ht="24.95" customHeight="1">
      <c r="B4389" s="271"/>
    </row>
    <row r="4390" spans="2:2" ht="24.95" customHeight="1">
      <c r="B4390" s="271"/>
    </row>
    <row r="4391" spans="2:2" ht="24.95" customHeight="1">
      <c r="B4391" s="271"/>
    </row>
    <row r="4392" spans="2:2" ht="24.95" customHeight="1">
      <c r="B4392" s="271"/>
    </row>
    <row r="4393" spans="2:2" ht="24.95" customHeight="1">
      <c r="B4393" s="271"/>
    </row>
    <row r="4394" spans="2:2" ht="24.95" customHeight="1">
      <c r="B4394" s="271"/>
    </row>
    <row r="4395" spans="2:2" ht="24.95" customHeight="1">
      <c r="B4395" s="271"/>
    </row>
    <row r="4396" spans="2:2" ht="24.95" customHeight="1">
      <c r="B4396" s="271"/>
    </row>
    <row r="4397" spans="2:2" ht="24.95" customHeight="1">
      <c r="B4397" s="271"/>
    </row>
    <row r="4398" spans="2:2" ht="24.95" customHeight="1">
      <c r="B4398" s="271"/>
    </row>
    <row r="4399" spans="2:2" ht="24.95" customHeight="1">
      <c r="B4399" s="271"/>
    </row>
    <row r="4400" spans="2:2" ht="24.95" customHeight="1">
      <c r="B4400" s="271"/>
    </row>
    <row r="4401" spans="2:2" ht="24.95" customHeight="1">
      <c r="B4401" s="271"/>
    </row>
    <row r="4402" spans="2:2" ht="24.95" customHeight="1">
      <c r="B4402" s="271"/>
    </row>
    <row r="4403" spans="2:2" ht="24.95" customHeight="1">
      <c r="B4403" s="271"/>
    </row>
    <row r="4404" spans="2:2" ht="24.95" customHeight="1">
      <c r="B4404" s="271"/>
    </row>
    <row r="4405" spans="2:2" ht="24.95" customHeight="1">
      <c r="B4405" s="271"/>
    </row>
    <row r="4406" spans="2:2" ht="24.95" customHeight="1">
      <c r="B4406" s="271"/>
    </row>
    <row r="4407" spans="2:2" ht="24.95" customHeight="1">
      <c r="B4407" s="271"/>
    </row>
    <row r="4408" spans="2:2" ht="24.95" customHeight="1">
      <c r="B4408" s="271"/>
    </row>
    <row r="4409" spans="2:2" ht="24.95" customHeight="1">
      <c r="B4409" s="271"/>
    </row>
    <row r="4410" spans="2:2" ht="24.95" customHeight="1">
      <c r="B4410" s="271"/>
    </row>
    <row r="4411" spans="2:2" ht="24.95" customHeight="1">
      <c r="B4411" s="271"/>
    </row>
    <row r="4412" spans="2:2" ht="24.95" customHeight="1">
      <c r="B4412" s="271"/>
    </row>
    <row r="4413" spans="2:2" ht="24.95" customHeight="1">
      <c r="B4413" s="271"/>
    </row>
    <row r="4414" spans="2:2" ht="24.95" customHeight="1">
      <c r="B4414" s="271"/>
    </row>
    <row r="4415" spans="2:2" ht="24.95" customHeight="1">
      <c r="B4415" s="271"/>
    </row>
    <row r="4416" spans="2:2" ht="24.95" customHeight="1">
      <c r="B4416" s="271"/>
    </row>
    <row r="4417" spans="2:2" ht="24.95" customHeight="1">
      <c r="B4417" s="271"/>
    </row>
    <row r="4418" spans="2:2" ht="24.95" customHeight="1">
      <c r="B4418" s="271"/>
    </row>
    <row r="4419" spans="2:2" ht="24.95" customHeight="1">
      <c r="B4419" s="271"/>
    </row>
    <row r="4420" spans="2:2" ht="24.95" customHeight="1">
      <c r="B4420" s="271"/>
    </row>
    <row r="4421" spans="2:2" ht="24.95" customHeight="1">
      <c r="B4421" s="271"/>
    </row>
    <row r="4422" spans="2:2" ht="24.95" customHeight="1">
      <c r="B4422" s="271"/>
    </row>
    <row r="4423" spans="2:2" ht="24.95" customHeight="1">
      <c r="B4423" s="271"/>
    </row>
    <row r="4424" spans="2:2" ht="24.95" customHeight="1">
      <c r="B4424" s="271"/>
    </row>
    <row r="4425" spans="2:2" ht="24.95" customHeight="1">
      <c r="B4425" s="271"/>
    </row>
    <row r="4426" spans="2:2" ht="24.95" customHeight="1">
      <c r="B4426" s="271"/>
    </row>
    <row r="4427" spans="2:2" ht="24.95" customHeight="1">
      <c r="B4427" s="271"/>
    </row>
    <row r="4428" spans="2:2" ht="24.95" customHeight="1">
      <c r="B4428" s="271"/>
    </row>
    <row r="4429" spans="2:2" ht="24.95" customHeight="1">
      <c r="B4429" s="271"/>
    </row>
    <row r="4430" spans="2:2" ht="24.95" customHeight="1">
      <c r="B4430" s="271"/>
    </row>
    <row r="4431" spans="2:2" ht="24.95" customHeight="1">
      <c r="B4431" s="271"/>
    </row>
    <row r="4432" spans="2:2" ht="24.95" customHeight="1">
      <c r="B4432" s="271"/>
    </row>
    <row r="4433" spans="2:2" ht="24.95" customHeight="1">
      <c r="B4433" s="271"/>
    </row>
    <row r="4434" spans="2:2" ht="24.95" customHeight="1">
      <c r="B4434" s="271"/>
    </row>
    <row r="4435" spans="2:2" ht="24.95" customHeight="1">
      <c r="B4435" s="271"/>
    </row>
    <row r="4436" spans="2:2" ht="24.95" customHeight="1">
      <c r="B4436" s="271"/>
    </row>
    <row r="4437" spans="2:2" ht="24.95" customHeight="1">
      <c r="B4437" s="271"/>
    </row>
    <row r="4438" spans="2:2" ht="24.95" customHeight="1">
      <c r="B4438" s="271"/>
    </row>
    <row r="4439" spans="2:2" ht="24.95" customHeight="1">
      <c r="B4439" s="271"/>
    </row>
    <row r="4440" spans="2:2" ht="24.95" customHeight="1">
      <c r="B4440" s="271"/>
    </row>
    <row r="4441" spans="2:2" ht="24.95" customHeight="1">
      <c r="B4441" s="271"/>
    </row>
    <row r="4442" spans="2:2" ht="24.95" customHeight="1">
      <c r="B4442" s="271"/>
    </row>
    <row r="4443" spans="2:2" ht="24.95" customHeight="1">
      <c r="B4443" s="271"/>
    </row>
    <row r="4444" spans="2:2" ht="24.95" customHeight="1">
      <c r="B4444" s="271"/>
    </row>
    <row r="4445" spans="2:2" ht="24.95" customHeight="1">
      <c r="B4445" s="271"/>
    </row>
    <row r="4446" spans="2:2" ht="24.95" customHeight="1">
      <c r="B4446" s="271"/>
    </row>
    <row r="4447" spans="2:2" ht="24.95" customHeight="1">
      <c r="B4447" s="271"/>
    </row>
    <row r="4448" spans="2:2" ht="24.95" customHeight="1">
      <c r="B4448" s="271"/>
    </row>
    <row r="4449" spans="2:2" ht="24.95" customHeight="1">
      <c r="B4449" s="271"/>
    </row>
    <row r="4450" spans="2:2" ht="24.95" customHeight="1">
      <c r="B4450" s="271"/>
    </row>
    <row r="4451" spans="2:2" ht="24.95" customHeight="1">
      <c r="B4451" s="271"/>
    </row>
    <row r="4452" spans="2:2" ht="24.95" customHeight="1">
      <c r="B4452" s="271"/>
    </row>
    <row r="4453" spans="2:2" ht="24.95" customHeight="1">
      <c r="B4453" s="271"/>
    </row>
    <row r="4454" spans="2:2" ht="24.95" customHeight="1">
      <c r="B4454" s="271"/>
    </row>
    <row r="4455" spans="2:2" ht="24.95" customHeight="1">
      <c r="B4455" s="271"/>
    </row>
    <row r="4456" spans="2:2" ht="24.95" customHeight="1">
      <c r="B4456" s="271"/>
    </row>
    <row r="4457" spans="2:2" ht="24.95" customHeight="1">
      <c r="B4457" s="271"/>
    </row>
    <row r="4458" spans="2:2" ht="24.95" customHeight="1">
      <c r="B4458" s="271"/>
    </row>
    <row r="4459" spans="2:2" ht="24.95" customHeight="1">
      <c r="B4459" s="271"/>
    </row>
    <row r="4460" spans="2:2" ht="24.95" customHeight="1">
      <c r="B4460" s="271"/>
    </row>
    <row r="4461" spans="2:2" ht="24.95" customHeight="1">
      <c r="B4461" s="271"/>
    </row>
    <row r="4462" spans="2:2" ht="24.95" customHeight="1">
      <c r="B4462" s="271"/>
    </row>
    <row r="4463" spans="2:2" ht="24.95" customHeight="1">
      <c r="B4463" s="271"/>
    </row>
    <row r="4464" spans="2:2" ht="24.95" customHeight="1">
      <c r="B4464" s="271"/>
    </row>
    <row r="4465" spans="2:2" ht="24.95" customHeight="1">
      <c r="B4465" s="271"/>
    </row>
    <row r="4466" spans="2:2" ht="24.95" customHeight="1">
      <c r="B4466" s="271"/>
    </row>
    <row r="4467" spans="2:2" ht="24.95" customHeight="1">
      <c r="B4467" s="271"/>
    </row>
    <row r="4468" spans="2:2" ht="24.95" customHeight="1">
      <c r="B4468" s="271"/>
    </row>
    <row r="4469" spans="2:2" ht="24.95" customHeight="1">
      <c r="B4469" s="271"/>
    </row>
    <row r="4470" spans="2:2" ht="24.95" customHeight="1">
      <c r="B4470" s="271"/>
    </row>
    <row r="4471" spans="2:2" ht="24.95" customHeight="1">
      <c r="B4471" s="271"/>
    </row>
    <row r="4472" spans="2:2" ht="24.95" customHeight="1">
      <c r="B4472" s="271"/>
    </row>
    <row r="4473" spans="2:2" ht="24.95" customHeight="1">
      <c r="B4473" s="271"/>
    </row>
    <row r="4474" spans="2:2" ht="24.95" customHeight="1">
      <c r="B4474" s="271"/>
    </row>
    <row r="4475" spans="2:2" ht="24.95" customHeight="1">
      <c r="B4475" s="271"/>
    </row>
    <row r="4476" spans="2:2" ht="24.95" customHeight="1">
      <c r="B4476" s="271"/>
    </row>
    <row r="4477" spans="2:2" ht="24.95" customHeight="1">
      <c r="B4477" s="271"/>
    </row>
    <row r="4478" spans="2:2" ht="24.95" customHeight="1">
      <c r="B4478" s="271"/>
    </row>
    <row r="4479" spans="2:2" ht="24.95" customHeight="1">
      <c r="B4479" s="271"/>
    </row>
    <row r="4480" spans="2:2" ht="24.95" customHeight="1">
      <c r="B4480" s="271"/>
    </row>
    <row r="4481" spans="2:2" ht="24.95" customHeight="1">
      <c r="B4481" s="271"/>
    </row>
    <row r="4482" spans="2:2" ht="24.95" customHeight="1">
      <c r="B4482" s="271"/>
    </row>
    <row r="4483" spans="2:2" ht="24.95" customHeight="1">
      <c r="B4483" s="271"/>
    </row>
    <row r="4484" spans="2:2" ht="24.95" customHeight="1">
      <c r="B4484" s="271"/>
    </row>
    <row r="4485" spans="2:2" ht="24.95" customHeight="1">
      <c r="B4485" s="271"/>
    </row>
    <row r="4486" spans="2:2" ht="24.95" customHeight="1">
      <c r="B4486" s="271"/>
    </row>
    <row r="4487" spans="2:2" ht="24.95" customHeight="1">
      <c r="B4487" s="271"/>
    </row>
    <row r="4488" spans="2:2" ht="24.95" customHeight="1">
      <c r="B4488" s="271"/>
    </row>
    <row r="4489" spans="2:2" ht="24.95" customHeight="1">
      <c r="B4489" s="271"/>
    </row>
    <row r="4490" spans="2:2" ht="24.95" customHeight="1">
      <c r="B4490" s="271"/>
    </row>
    <row r="4491" spans="2:2" ht="24.95" customHeight="1">
      <c r="B4491" s="271"/>
    </row>
    <row r="4492" spans="2:2" ht="24.95" customHeight="1">
      <c r="B4492" s="271"/>
    </row>
    <row r="4493" spans="2:2" ht="24.95" customHeight="1">
      <c r="B4493" s="271"/>
    </row>
    <row r="4494" spans="2:2" ht="24.95" customHeight="1">
      <c r="B4494" s="271"/>
    </row>
    <row r="4495" spans="2:2" ht="24.95" customHeight="1">
      <c r="B4495" s="271"/>
    </row>
    <row r="4496" spans="2:2" ht="24.95" customHeight="1">
      <c r="B4496" s="271"/>
    </row>
    <row r="4497" spans="2:2" ht="24.95" customHeight="1">
      <c r="B4497" s="271"/>
    </row>
    <row r="4498" spans="2:2" ht="24.95" customHeight="1">
      <c r="B4498" s="271"/>
    </row>
    <row r="4499" spans="2:2" ht="24.95" customHeight="1">
      <c r="B4499" s="271"/>
    </row>
    <row r="4500" spans="2:2" ht="24.95" customHeight="1">
      <c r="B4500" s="271"/>
    </row>
    <row r="4501" spans="2:2" ht="24.95" customHeight="1">
      <c r="B4501" s="271"/>
    </row>
    <row r="4502" spans="2:2" ht="24.95" customHeight="1">
      <c r="B4502" s="271"/>
    </row>
    <row r="4503" spans="2:2" ht="24.95" customHeight="1">
      <c r="B4503" s="271"/>
    </row>
    <row r="4504" spans="2:2" ht="24.95" customHeight="1">
      <c r="B4504" s="271"/>
    </row>
    <row r="4505" spans="2:2" ht="24.95" customHeight="1">
      <c r="B4505" s="271"/>
    </row>
    <row r="4506" spans="2:2" ht="24.95" customHeight="1">
      <c r="B4506" s="271"/>
    </row>
    <row r="4507" spans="2:2" ht="24.95" customHeight="1">
      <c r="B4507" s="271"/>
    </row>
    <row r="4508" spans="2:2" ht="24.95" customHeight="1">
      <c r="B4508" s="271"/>
    </row>
    <row r="4509" spans="2:2" ht="24.95" customHeight="1">
      <c r="B4509" s="271"/>
    </row>
    <row r="4510" spans="2:2" ht="24.95" customHeight="1">
      <c r="B4510" s="271"/>
    </row>
    <row r="4511" spans="2:2" ht="24.95" customHeight="1">
      <c r="B4511" s="271"/>
    </row>
    <row r="4512" spans="2:2" ht="24.95" customHeight="1">
      <c r="B4512" s="271"/>
    </row>
    <row r="4513" spans="2:2" ht="24.95" customHeight="1">
      <c r="B4513" s="271"/>
    </row>
    <row r="4514" spans="2:2" ht="24.95" customHeight="1">
      <c r="B4514" s="271"/>
    </row>
    <row r="4515" spans="2:2" ht="24.95" customHeight="1">
      <c r="B4515" s="271"/>
    </row>
    <row r="4516" spans="2:2" ht="24.95" customHeight="1">
      <c r="B4516" s="271"/>
    </row>
    <row r="4517" spans="2:2" ht="24.95" customHeight="1">
      <c r="B4517" s="271"/>
    </row>
    <row r="4518" spans="2:2" ht="24.95" customHeight="1">
      <c r="B4518" s="271"/>
    </row>
    <row r="4519" spans="2:2" ht="24.95" customHeight="1">
      <c r="B4519" s="271"/>
    </row>
    <row r="4520" spans="2:2" ht="24.95" customHeight="1">
      <c r="B4520" s="271"/>
    </row>
    <row r="4521" spans="2:2" ht="24.95" customHeight="1">
      <c r="B4521" s="271"/>
    </row>
    <row r="4522" spans="2:2" ht="24.95" customHeight="1">
      <c r="B4522" s="271"/>
    </row>
    <row r="4523" spans="2:2" ht="24.95" customHeight="1">
      <c r="B4523" s="271"/>
    </row>
    <row r="4524" spans="2:2" ht="24.95" customHeight="1">
      <c r="B4524" s="271"/>
    </row>
    <row r="4525" spans="2:2" ht="24.95" customHeight="1">
      <c r="B4525" s="271"/>
    </row>
    <row r="4526" spans="2:2" ht="24.95" customHeight="1">
      <c r="B4526" s="271"/>
    </row>
    <row r="4527" spans="2:2" ht="24.95" customHeight="1">
      <c r="B4527" s="271"/>
    </row>
    <row r="4528" spans="2:2" ht="24.95" customHeight="1">
      <c r="B4528" s="271"/>
    </row>
    <row r="4529" spans="2:2" ht="24.95" customHeight="1">
      <c r="B4529" s="271"/>
    </row>
    <row r="4530" spans="2:2" ht="24.95" customHeight="1">
      <c r="B4530" s="271"/>
    </row>
    <row r="4531" spans="2:2" ht="24.95" customHeight="1">
      <c r="B4531" s="271"/>
    </row>
    <row r="4532" spans="2:2" ht="24.95" customHeight="1">
      <c r="B4532" s="271"/>
    </row>
    <row r="4533" spans="2:2" ht="24.95" customHeight="1">
      <c r="B4533" s="271"/>
    </row>
    <row r="4534" spans="2:2" ht="24.95" customHeight="1">
      <c r="B4534" s="271"/>
    </row>
    <row r="4535" spans="2:2" ht="24.95" customHeight="1">
      <c r="B4535" s="271"/>
    </row>
    <row r="4536" spans="2:2" ht="24.95" customHeight="1">
      <c r="B4536" s="271"/>
    </row>
    <row r="4537" spans="2:2" ht="24.95" customHeight="1">
      <c r="B4537" s="271"/>
    </row>
    <row r="4538" spans="2:2" ht="24.95" customHeight="1">
      <c r="B4538" s="271"/>
    </row>
    <row r="4539" spans="2:2" ht="24.95" customHeight="1">
      <c r="B4539" s="271"/>
    </row>
    <row r="4540" spans="2:2" ht="24.95" customHeight="1">
      <c r="B4540" s="271"/>
    </row>
    <row r="4541" spans="2:2" ht="24.95" customHeight="1">
      <c r="B4541" s="271"/>
    </row>
    <row r="4542" spans="2:2" ht="24.95" customHeight="1">
      <c r="B4542" s="271"/>
    </row>
    <row r="4543" spans="2:2" ht="24.95" customHeight="1">
      <c r="B4543" s="271"/>
    </row>
    <row r="4544" spans="2:2" ht="24.95" customHeight="1">
      <c r="B4544" s="271"/>
    </row>
    <row r="4545" spans="2:2" ht="24.95" customHeight="1">
      <c r="B4545" s="271"/>
    </row>
    <row r="4546" spans="2:2" ht="24.95" customHeight="1">
      <c r="B4546" s="271"/>
    </row>
    <row r="4547" spans="2:2" ht="24.95" customHeight="1">
      <c r="B4547" s="271"/>
    </row>
    <row r="4548" spans="2:2" ht="24.95" customHeight="1">
      <c r="B4548" s="271"/>
    </row>
    <row r="4549" spans="2:2" ht="24.95" customHeight="1">
      <c r="B4549" s="271"/>
    </row>
    <row r="4550" spans="2:2" ht="24.95" customHeight="1">
      <c r="B4550" s="271"/>
    </row>
    <row r="4551" spans="2:2" ht="24.95" customHeight="1">
      <c r="B4551" s="271"/>
    </row>
    <row r="4552" spans="2:2" ht="24.95" customHeight="1">
      <c r="B4552" s="271"/>
    </row>
    <row r="4553" spans="2:2" ht="24.95" customHeight="1">
      <c r="B4553" s="271"/>
    </row>
    <row r="4554" spans="2:2" ht="24.95" customHeight="1">
      <c r="B4554" s="271"/>
    </row>
    <row r="4555" spans="2:2" ht="24.95" customHeight="1">
      <c r="B4555" s="271"/>
    </row>
    <row r="4556" spans="2:2" ht="24.95" customHeight="1">
      <c r="B4556" s="271"/>
    </row>
    <row r="4557" spans="2:2" ht="24.95" customHeight="1">
      <c r="B4557" s="271"/>
    </row>
    <row r="4558" spans="2:2" ht="24.95" customHeight="1">
      <c r="B4558" s="271"/>
    </row>
    <row r="4559" spans="2:2" ht="24.95" customHeight="1">
      <c r="B4559" s="271"/>
    </row>
    <row r="4560" spans="2:2" ht="24.95" customHeight="1">
      <c r="B4560" s="271"/>
    </row>
    <row r="4561" spans="2:2" ht="24.95" customHeight="1">
      <c r="B4561" s="271"/>
    </row>
    <row r="4562" spans="2:2" ht="24.95" customHeight="1">
      <c r="B4562" s="271"/>
    </row>
    <row r="4563" spans="2:2" ht="24.95" customHeight="1">
      <c r="B4563" s="271"/>
    </row>
    <row r="4564" spans="2:2" ht="24.95" customHeight="1">
      <c r="B4564" s="271"/>
    </row>
    <row r="4565" spans="2:2" ht="24.95" customHeight="1">
      <c r="B4565" s="271"/>
    </row>
    <row r="4566" spans="2:2" ht="24.95" customHeight="1">
      <c r="B4566" s="271"/>
    </row>
    <row r="4567" spans="2:2" ht="24.95" customHeight="1">
      <c r="B4567" s="271"/>
    </row>
    <row r="4568" spans="2:2" ht="24.95" customHeight="1">
      <c r="B4568" s="271"/>
    </row>
    <row r="4569" spans="2:2" ht="24.95" customHeight="1">
      <c r="B4569" s="271"/>
    </row>
    <row r="4570" spans="2:2" ht="24.95" customHeight="1">
      <c r="B4570" s="271"/>
    </row>
    <row r="4571" spans="2:2" ht="24.95" customHeight="1">
      <c r="B4571" s="271"/>
    </row>
    <row r="4572" spans="2:2" ht="24.95" customHeight="1">
      <c r="B4572" s="271"/>
    </row>
    <row r="4573" spans="2:2" ht="24.95" customHeight="1">
      <c r="B4573" s="271"/>
    </row>
    <row r="4574" spans="2:2" ht="24.95" customHeight="1">
      <c r="B4574" s="271"/>
    </row>
    <row r="4575" spans="2:2" ht="24.95" customHeight="1">
      <c r="B4575" s="271"/>
    </row>
    <row r="4576" spans="2:2" ht="24.95" customHeight="1">
      <c r="B4576" s="271"/>
    </row>
    <row r="4577" spans="2:2" ht="24.95" customHeight="1">
      <c r="B4577" s="271"/>
    </row>
    <row r="4578" spans="2:2" ht="24.95" customHeight="1">
      <c r="B4578" s="271"/>
    </row>
    <row r="4579" spans="2:2" ht="24.95" customHeight="1">
      <c r="B4579" s="271"/>
    </row>
    <row r="4580" spans="2:2" ht="24.95" customHeight="1">
      <c r="B4580" s="271"/>
    </row>
    <row r="4581" spans="2:2" ht="24.95" customHeight="1">
      <c r="B4581" s="271"/>
    </row>
    <row r="4582" spans="2:2" ht="24.95" customHeight="1">
      <c r="B4582" s="271"/>
    </row>
    <row r="4583" spans="2:2" ht="24.95" customHeight="1">
      <c r="B4583" s="271"/>
    </row>
    <row r="4584" spans="2:2" ht="24.95" customHeight="1">
      <c r="B4584" s="271"/>
    </row>
    <row r="4585" spans="2:2" ht="24.95" customHeight="1">
      <c r="B4585" s="271"/>
    </row>
    <row r="4586" spans="2:2" ht="24.95" customHeight="1">
      <c r="B4586" s="271"/>
    </row>
    <row r="4587" spans="2:2" ht="24.95" customHeight="1">
      <c r="B4587" s="271"/>
    </row>
    <row r="4588" spans="2:2" ht="24.95" customHeight="1">
      <c r="B4588" s="271"/>
    </row>
    <row r="4589" spans="2:2" ht="24.95" customHeight="1">
      <c r="B4589" s="271"/>
    </row>
    <row r="4590" spans="2:2" ht="24.95" customHeight="1">
      <c r="B4590" s="271"/>
    </row>
    <row r="4591" spans="2:2" ht="24.95" customHeight="1">
      <c r="B4591" s="271"/>
    </row>
    <row r="4592" spans="2:2" ht="24.95" customHeight="1">
      <c r="B4592" s="271"/>
    </row>
    <row r="4593" spans="2:2" ht="24.95" customHeight="1">
      <c r="B4593" s="271"/>
    </row>
    <row r="4594" spans="2:2" ht="24.95" customHeight="1">
      <c r="B4594" s="271"/>
    </row>
    <row r="4595" spans="2:2" ht="24.95" customHeight="1">
      <c r="B4595" s="271"/>
    </row>
    <row r="4596" spans="2:2" ht="24.95" customHeight="1">
      <c r="B4596" s="271"/>
    </row>
    <row r="4597" spans="2:2" ht="24.95" customHeight="1">
      <c r="B4597" s="271"/>
    </row>
    <row r="4598" spans="2:2" ht="24.95" customHeight="1">
      <c r="B4598" s="271"/>
    </row>
    <row r="4599" spans="2:2" ht="24.95" customHeight="1">
      <c r="B4599" s="271"/>
    </row>
    <row r="4600" spans="2:2" ht="24.95" customHeight="1">
      <c r="B4600" s="271"/>
    </row>
    <row r="4601" spans="2:2" ht="24.95" customHeight="1">
      <c r="B4601" s="271"/>
    </row>
    <row r="4602" spans="2:2" ht="24.95" customHeight="1">
      <c r="B4602" s="271"/>
    </row>
    <row r="4603" spans="2:2" ht="24.95" customHeight="1">
      <c r="B4603" s="271"/>
    </row>
    <row r="4604" spans="2:2" ht="24.95" customHeight="1">
      <c r="B4604" s="271"/>
    </row>
    <row r="4605" spans="2:2" ht="24.95" customHeight="1">
      <c r="B4605" s="271"/>
    </row>
    <row r="4606" spans="2:2" ht="24.95" customHeight="1">
      <c r="B4606" s="271"/>
    </row>
    <row r="4607" spans="2:2" ht="24.95" customHeight="1">
      <c r="B4607" s="271"/>
    </row>
    <row r="4608" spans="2:2" ht="24.95" customHeight="1">
      <c r="B4608" s="271"/>
    </row>
    <row r="4609" spans="2:2" ht="24.95" customHeight="1">
      <c r="B4609" s="271"/>
    </row>
    <row r="4610" spans="2:2" ht="24.95" customHeight="1">
      <c r="B4610" s="271"/>
    </row>
    <row r="4611" spans="2:2" ht="24.95" customHeight="1">
      <c r="B4611" s="271"/>
    </row>
    <row r="4612" spans="2:2" ht="24.95" customHeight="1">
      <c r="B4612" s="271"/>
    </row>
    <row r="4613" spans="2:2" ht="24.95" customHeight="1">
      <c r="B4613" s="271"/>
    </row>
    <row r="4614" spans="2:2" ht="24.95" customHeight="1">
      <c r="B4614" s="271"/>
    </row>
    <row r="4615" spans="2:2" ht="24.95" customHeight="1">
      <c r="B4615" s="271"/>
    </row>
    <row r="4616" spans="2:2" ht="24.95" customHeight="1">
      <c r="B4616" s="271"/>
    </row>
    <row r="4617" spans="2:2" ht="24.95" customHeight="1">
      <c r="B4617" s="271"/>
    </row>
    <row r="4618" spans="2:2" ht="24.95" customHeight="1">
      <c r="B4618" s="271"/>
    </row>
    <row r="4619" spans="2:2" ht="24.95" customHeight="1">
      <c r="B4619" s="271"/>
    </row>
    <row r="4620" spans="2:2" ht="24.95" customHeight="1">
      <c r="B4620" s="271"/>
    </row>
    <row r="4621" spans="2:2" ht="24.95" customHeight="1">
      <c r="B4621" s="271"/>
    </row>
    <row r="4622" spans="2:2" ht="24.95" customHeight="1">
      <c r="B4622" s="271"/>
    </row>
    <row r="4623" spans="2:2" ht="24.95" customHeight="1">
      <c r="B4623" s="271"/>
    </row>
    <row r="4624" spans="2:2" ht="24.95" customHeight="1">
      <c r="B4624" s="271"/>
    </row>
    <row r="4625" spans="2:2" ht="24.95" customHeight="1">
      <c r="B4625" s="271"/>
    </row>
    <row r="4626" spans="2:2" ht="24.95" customHeight="1">
      <c r="B4626" s="271"/>
    </row>
    <row r="4627" spans="2:2" ht="24.95" customHeight="1">
      <c r="B4627" s="271"/>
    </row>
    <row r="4628" spans="2:2" ht="24.95" customHeight="1">
      <c r="B4628" s="271"/>
    </row>
    <row r="4629" spans="2:2" ht="24.95" customHeight="1">
      <c r="B4629" s="271"/>
    </row>
    <row r="4630" spans="2:2" ht="24.95" customHeight="1">
      <c r="B4630" s="271"/>
    </row>
    <row r="4631" spans="2:2" ht="24.95" customHeight="1">
      <c r="B4631" s="271"/>
    </row>
    <row r="4632" spans="2:2" ht="24.95" customHeight="1">
      <c r="B4632" s="271"/>
    </row>
    <row r="4633" spans="2:2" ht="24.95" customHeight="1">
      <c r="B4633" s="271"/>
    </row>
    <row r="4634" spans="2:2" ht="24.95" customHeight="1">
      <c r="B4634" s="271"/>
    </row>
    <row r="4635" spans="2:2" ht="24.95" customHeight="1">
      <c r="B4635" s="271"/>
    </row>
    <row r="4636" spans="2:2" ht="24.95" customHeight="1">
      <c r="B4636" s="271"/>
    </row>
    <row r="4637" spans="2:2" ht="24.95" customHeight="1">
      <c r="B4637" s="271"/>
    </row>
    <row r="4638" spans="2:2" ht="24.95" customHeight="1">
      <c r="B4638" s="271"/>
    </row>
    <row r="4639" spans="2:2" ht="24.95" customHeight="1">
      <c r="B4639" s="271"/>
    </row>
    <row r="4640" spans="2:2" ht="24.95" customHeight="1">
      <c r="B4640" s="271"/>
    </row>
    <row r="4641" spans="2:2" ht="24.95" customHeight="1">
      <c r="B4641" s="271"/>
    </row>
    <row r="4642" spans="2:2" ht="24.95" customHeight="1">
      <c r="B4642" s="271"/>
    </row>
    <row r="4643" spans="2:2" ht="24.95" customHeight="1">
      <c r="B4643" s="271"/>
    </row>
    <row r="4644" spans="2:2" ht="24.95" customHeight="1">
      <c r="B4644" s="271"/>
    </row>
    <row r="4645" spans="2:2" ht="24.95" customHeight="1">
      <c r="B4645" s="271"/>
    </row>
    <row r="4646" spans="2:2" ht="24.95" customHeight="1">
      <c r="B4646" s="271"/>
    </row>
    <row r="4647" spans="2:2" ht="24.95" customHeight="1">
      <c r="B4647" s="271"/>
    </row>
    <row r="4648" spans="2:2" ht="24.95" customHeight="1">
      <c r="B4648" s="271"/>
    </row>
    <row r="4649" spans="2:2" ht="24.95" customHeight="1">
      <c r="B4649" s="271"/>
    </row>
    <row r="4650" spans="2:2" ht="24.95" customHeight="1">
      <c r="B4650" s="271"/>
    </row>
    <row r="4651" spans="2:2" ht="24.95" customHeight="1">
      <c r="B4651" s="271"/>
    </row>
    <row r="4652" spans="2:2" ht="24.95" customHeight="1">
      <c r="B4652" s="271"/>
    </row>
    <row r="4653" spans="2:2" ht="24.95" customHeight="1">
      <c r="B4653" s="271"/>
    </row>
    <row r="4654" spans="2:2" ht="24.95" customHeight="1">
      <c r="B4654" s="271"/>
    </row>
    <row r="4655" spans="2:2" ht="24.95" customHeight="1">
      <c r="B4655" s="271"/>
    </row>
    <row r="4656" spans="2:2" ht="24.95" customHeight="1">
      <c r="B4656" s="271"/>
    </row>
    <row r="4657" spans="2:2" ht="24.95" customHeight="1">
      <c r="B4657" s="271"/>
    </row>
    <row r="4658" spans="2:2" ht="24.95" customHeight="1">
      <c r="B4658" s="271"/>
    </row>
    <row r="4659" spans="2:2" ht="24.95" customHeight="1">
      <c r="B4659" s="271"/>
    </row>
    <row r="4660" spans="2:2" ht="24.95" customHeight="1">
      <c r="B4660" s="271"/>
    </row>
    <row r="4661" spans="2:2" ht="24.95" customHeight="1">
      <c r="B4661" s="271"/>
    </row>
    <row r="4662" spans="2:2" ht="24.95" customHeight="1">
      <c r="B4662" s="271"/>
    </row>
    <row r="4663" spans="2:2" ht="24.95" customHeight="1">
      <c r="B4663" s="271"/>
    </row>
    <row r="4664" spans="2:2" ht="24.95" customHeight="1">
      <c r="B4664" s="271"/>
    </row>
    <row r="4665" spans="2:2" ht="24.95" customHeight="1">
      <c r="B4665" s="271"/>
    </row>
    <row r="4666" spans="2:2" ht="24.95" customHeight="1">
      <c r="B4666" s="271"/>
    </row>
    <row r="4667" spans="2:2" ht="24.95" customHeight="1">
      <c r="B4667" s="271"/>
    </row>
    <row r="4668" spans="2:2" ht="24.95" customHeight="1">
      <c r="B4668" s="271"/>
    </row>
    <row r="4669" spans="2:2" ht="24.95" customHeight="1">
      <c r="B4669" s="271"/>
    </row>
    <row r="4670" spans="2:2" ht="24.95" customHeight="1">
      <c r="B4670" s="271"/>
    </row>
    <row r="4671" spans="2:2" ht="24.95" customHeight="1">
      <c r="B4671" s="271"/>
    </row>
    <row r="4672" spans="2:2" ht="24.95" customHeight="1">
      <c r="B4672" s="271"/>
    </row>
    <row r="4673" spans="2:2" ht="24.95" customHeight="1">
      <c r="B4673" s="271"/>
    </row>
    <row r="4674" spans="2:2" ht="24.95" customHeight="1">
      <c r="B4674" s="271"/>
    </row>
    <row r="4675" spans="2:2" ht="24.95" customHeight="1">
      <c r="B4675" s="271"/>
    </row>
    <row r="4676" spans="2:2" ht="24.95" customHeight="1">
      <c r="B4676" s="271"/>
    </row>
    <row r="4677" spans="2:2" ht="24.95" customHeight="1">
      <c r="B4677" s="271"/>
    </row>
    <row r="4678" spans="2:2" ht="24.95" customHeight="1">
      <c r="B4678" s="271"/>
    </row>
    <row r="4679" spans="2:2" ht="24.95" customHeight="1">
      <c r="B4679" s="271"/>
    </row>
    <row r="4680" spans="2:2" ht="24.95" customHeight="1">
      <c r="B4680" s="271"/>
    </row>
    <row r="4681" spans="2:2" ht="24.95" customHeight="1">
      <c r="B4681" s="271"/>
    </row>
    <row r="4682" spans="2:2" ht="24.95" customHeight="1">
      <c r="B4682" s="271"/>
    </row>
    <row r="4683" spans="2:2" ht="24.95" customHeight="1">
      <c r="B4683" s="271"/>
    </row>
    <row r="4684" spans="2:2" ht="24.95" customHeight="1">
      <c r="B4684" s="271"/>
    </row>
    <row r="4685" spans="2:2" ht="24.95" customHeight="1">
      <c r="B4685" s="271"/>
    </row>
    <row r="4686" spans="2:2" ht="24.95" customHeight="1">
      <c r="B4686" s="271"/>
    </row>
    <row r="4687" spans="2:2" ht="24.95" customHeight="1">
      <c r="B4687" s="271"/>
    </row>
    <row r="4688" spans="2:2" ht="24.95" customHeight="1">
      <c r="B4688" s="271"/>
    </row>
    <row r="4689" spans="2:2" ht="24.95" customHeight="1">
      <c r="B4689" s="271"/>
    </row>
    <row r="4690" spans="2:2" ht="24.95" customHeight="1">
      <c r="B4690" s="271"/>
    </row>
    <row r="4691" spans="2:2" ht="24.95" customHeight="1">
      <c r="B4691" s="271"/>
    </row>
    <row r="4692" spans="2:2" ht="24.95" customHeight="1">
      <c r="B4692" s="271"/>
    </row>
    <row r="4693" spans="2:2" ht="24.95" customHeight="1">
      <c r="B4693" s="271"/>
    </row>
    <row r="4694" spans="2:2" ht="24.95" customHeight="1">
      <c r="B4694" s="271"/>
    </row>
    <row r="4695" spans="2:2" ht="24.95" customHeight="1">
      <c r="B4695" s="271"/>
    </row>
    <row r="4696" spans="2:2" ht="24.95" customHeight="1">
      <c r="B4696" s="271"/>
    </row>
    <row r="4697" spans="2:2" ht="24.95" customHeight="1">
      <c r="B4697" s="271"/>
    </row>
    <row r="4698" spans="2:2" ht="24.95" customHeight="1">
      <c r="B4698" s="271"/>
    </row>
    <row r="4699" spans="2:2" ht="24.95" customHeight="1">
      <c r="B4699" s="271"/>
    </row>
    <row r="4700" spans="2:2" ht="24.95" customHeight="1">
      <c r="B4700" s="271"/>
    </row>
    <row r="4701" spans="2:2" ht="24.95" customHeight="1">
      <c r="B4701" s="271"/>
    </row>
    <row r="4702" spans="2:2" ht="24.95" customHeight="1">
      <c r="B4702" s="271"/>
    </row>
    <row r="4703" spans="2:2" ht="24.95" customHeight="1">
      <c r="B4703" s="271"/>
    </row>
    <row r="4704" spans="2:2" ht="24.95" customHeight="1">
      <c r="B4704" s="271"/>
    </row>
    <row r="4705" spans="2:2" ht="24.95" customHeight="1">
      <c r="B4705" s="271"/>
    </row>
    <row r="4706" spans="2:2" ht="24.95" customHeight="1">
      <c r="B4706" s="271"/>
    </row>
    <row r="4707" spans="2:2" ht="24.95" customHeight="1">
      <c r="B4707" s="271"/>
    </row>
    <row r="4708" spans="2:2" ht="24.95" customHeight="1">
      <c r="B4708" s="271"/>
    </row>
    <row r="4709" spans="2:2" ht="24.95" customHeight="1">
      <c r="B4709" s="271"/>
    </row>
    <row r="4710" spans="2:2" ht="24.95" customHeight="1">
      <c r="B4710" s="271"/>
    </row>
    <row r="4711" spans="2:2" ht="24.95" customHeight="1">
      <c r="B4711" s="271"/>
    </row>
    <row r="4712" spans="2:2" ht="24.95" customHeight="1">
      <c r="B4712" s="271"/>
    </row>
    <row r="4713" spans="2:2" ht="24.95" customHeight="1">
      <c r="B4713" s="271"/>
    </row>
    <row r="4714" spans="2:2" ht="24.95" customHeight="1">
      <c r="B4714" s="271"/>
    </row>
    <row r="4715" spans="2:2" ht="24.95" customHeight="1">
      <c r="B4715" s="271"/>
    </row>
    <row r="4716" spans="2:2" ht="24.95" customHeight="1">
      <c r="B4716" s="271"/>
    </row>
    <row r="4717" spans="2:2" ht="24.95" customHeight="1">
      <c r="B4717" s="271"/>
    </row>
    <row r="4718" spans="2:2" ht="24.95" customHeight="1">
      <c r="B4718" s="271"/>
    </row>
    <row r="4719" spans="2:2" ht="24.95" customHeight="1">
      <c r="B4719" s="271"/>
    </row>
    <row r="4720" spans="2:2" ht="24.95" customHeight="1">
      <c r="B4720" s="271"/>
    </row>
    <row r="4721" spans="2:2" ht="24.95" customHeight="1">
      <c r="B4721" s="271"/>
    </row>
    <row r="4722" spans="2:2" ht="24.95" customHeight="1">
      <c r="B4722" s="271"/>
    </row>
    <row r="4723" spans="2:2" ht="24.95" customHeight="1">
      <c r="B4723" s="271"/>
    </row>
    <row r="4724" spans="2:2" ht="24.95" customHeight="1">
      <c r="B4724" s="271"/>
    </row>
    <row r="4725" spans="2:2" ht="24.95" customHeight="1">
      <c r="B4725" s="271"/>
    </row>
    <row r="4726" spans="2:2" ht="24.95" customHeight="1">
      <c r="B4726" s="271"/>
    </row>
    <row r="4727" spans="2:2" ht="24.95" customHeight="1">
      <c r="B4727" s="271"/>
    </row>
    <row r="4728" spans="2:2" ht="24.95" customHeight="1">
      <c r="B4728" s="271"/>
    </row>
    <row r="4729" spans="2:2" ht="24.95" customHeight="1">
      <c r="B4729" s="271"/>
    </row>
    <row r="4730" spans="2:2" ht="24.95" customHeight="1">
      <c r="B4730" s="271"/>
    </row>
    <row r="4731" spans="2:2" ht="24.95" customHeight="1">
      <c r="B4731" s="271"/>
    </row>
    <row r="4732" spans="2:2" ht="24.95" customHeight="1">
      <c r="B4732" s="271"/>
    </row>
    <row r="4733" spans="2:2" ht="24.95" customHeight="1">
      <c r="B4733" s="271"/>
    </row>
    <row r="4734" spans="2:2" ht="24.95" customHeight="1">
      <c r="B4734" s="271"/>
    </row>
    <row r="4735" spans="2:2" ht="24.95" customHeight="1">
      <c r="B4735" s="271"/>
    </row>
    <row r="4736" spans="2:2" ht="24.95" customHeight="1">
      <c r="B4736" s="271"/>
    </row>
    <row r="4737" spans="2:2" ht="24.95" customHeight="1">
      <c r="B4737" s="271"/>
    </row>
    <row r="4738" spans="2:2" ht="24.95" customHeight="1">
      <c r="B4738" s="271"/>
    </row>
    <row r="4739" spans="2:2" ht="24.95" customHeight="1">
      <c r="B4739" s="271"/>
    </row>
    <row r="4740" spans="2:2" ht="24.95" customHeight="1">
      <c r="B4740" s="271"/>
    </row>
    <row r="4741" spans="2:2" ht="24.95" customHeight="1">
      <c r="B4741" s="271"/>
    </row>
    <row r="4742" spans="2:2" ht="24.95" customHeight="1">
      <c r="B4742" s="271"/>
    </row>
    <row r="4743" spans="2:2" ht="24.95" customHeight="1">
      <c r="B4743" s="271"/>
    </row>
    <row r="4744" spans="2:2" ht="24.95" customHeight="1">
      <c r="B4744" s="271"/>
    </row>
    <row r="4745" spans="2:2" ht="24.95" customHeight="1">
      <c r="B4745" s="271"/>
    </row>
    <row r="4746" spans="2:2" ht="24.95" customHeight="1">
      <c r="B4746" s="271"/>
    </row>
    <row r="4747" spans="2:2" ht="24.95" customHeight="1">
      <c r="B4747" s="271"/>
    </row>
    <row r="4748" spans="2:2" ht="24.95" customHeight="1">
      <c r="B4748" s="271"/>
    </row>
    <row r="4749" spans="2:2" ht="24.95" customHeight="1">
      <c r="B4749" s="271"/>
    </row>
    <row r="4750" spans="2:2" ht="24.95" customHeight="1">
      <c r="B4750" s="271"/>
    </row>
    <row r="4751" spans="2:2" ht="24.95" customHeight="1">
      <c r="B4751" s="271"/>
    </row>
    <row r="4752" spans="2:2" ht="24.95" customHeight="1">
      <c r="B4752" s="271"/>
    </row>
    <row r="4753" spans="2:2" ht="24.95" customHeight="1">
      <c r="B4753" s="271"/>
    </row>
    <row r="4754" spans="2:2" ht="24.95" customHeight="1">
      <c r="B4754" s="271"/>
    </row>
    <row r="4755" spans="2:2" ht="24.95" customHeight="1">
      <c r="B4755" s="271"/>
    </row>
    <row r="4756" spans="2:2" ht="24.95" customHeight="1">
      <c r="B4756" s="271"/>
    </row>
    <row r="4757" spans="2:2" ht="24.95" customHeight="1">
      <c r="B4757" s="271"/>
    </row>
    <row r="4758" spans="2:2" ht="24.95" customHeight="1">
      <c r="B4758" s="271"/>
    </row>
    <row r="4759" spans="2:2" ht="24.95" customHeight="1">
      <c r="B4759" s="271"/>
    </row>
    <row r="4760" spans="2:2" ht="24.95" customHeight="1">
      <c r="B4760" s="271"/>
    </row>
    <row r="4761" spans="2:2" ht="24.95" customHeight="1">
      <c r="B4761" s="271"/>
    </row>
    <row r="4762" spans="2:2" ht="24.95" customHeight="1">
      <c r="B4762" s="271"/>
    </row>
    <row r="4763" spans="2:2" ht="24.95" customHeight="1">
      <c r="B4763" s="271"/>
    </row>
    <row r="4764" spans="2:2" ht="24.95" customHeight="1">
      <c r="B4764" s="271"/>
    </row>
    <row r="4765" spans="2:2" ht="24.95" customHeight="1">
      <c r="B4765" s="271"/>
    </row>
    <row r="4766" spans="2:2" ht="24.95" customHeight="1">
      <c r="B4766" s="271"/>
    </row>
    <row r="4767" spans="2:2" ht="24.95" customHeight="1">
      <c r="B4767" s="271"/>
    </row>
    <row r="4768" spans="2:2" ht="24.95" customHeight="1">
      <c r="B4768" s="271"/>
    </row>
    <row r="4769" spans="2:2" ht="24.95" customHeight="1">
      <c r="B4769" s="271"/>
    </row>
    <row r="4770" spans="2:2" ht="24.95" customHeight="1">
      <c r="B4770" s="271"/>
    </row>
    <row r="4771" spans="2:2" ht="24.95" customHeight="1">
      <c r="B4771" s="271"/>
    </row>
    <row r="4772" spans="2:2" ht="24.95" customHeight="1">
      <c r="B4772" s="271"/>
    </row>
    <row r="4773" spans="2:2" ht="24.95" customHeight="1">
      <c r="B4773" s="271"/>
    </row>
    <row r="4774" spans="2:2" ht="24.95" customHeight="1">
      <c r="B4774" s="271"/>
    </row>
    <row r="4775" spans="2:2" ht="24.95" customHeight="1">
      <c r="B4775" s="271"/>
    </row>
    <row r="4776" spans="2:2" ht="24.95" customHeight="1">
      <c r="B4776" s="271"/>
    </row>
    <row r="4777" spans="2:2" ht="24.95" customHeight="1">
      <c r="B4777" s="271"/>
    </row>
    <row r="4778" spans="2:2" ht="24.95" customHeight="1">
      <c r="B4778" s="271"/>
    </row>
    <row r="4779" spans="2:2" ht="24.95" customHeight="1">
      <c r="B4779" s="271"/>
    </row>
    <row r="4780" spans="2:2" ht="24.95" customHeight="1">
      <c r="B4780" s="271"/>
    </row>
    <row r="4781" spans="2:2" ht="24.95" customHeight="1">
      <c r="B4781" s="271"/>
    </row>
    <row r="4782" spans="2:2" ht="24.95" customHeight="1">
      <c r="B4782" s="271"/>
    </row>
    <row r="4783" spans="2:2" ht="24.95" customHeight="1">
      <c r="B4783" s="271"/>
    </row>
    <row r="4784" spans="2:2" ht="24.95" customHeight="1">
      <c r="B4784" s="271"/>
    </row>
    <row r="4785" spans="2:2" ht="24.95" customHeight="1">
      <c r="B4785" s="271"/>
    </row>
    <row r="4786" spans="2:2" ht="24.95" customHeight="1">
      <c r="B4786" s="271"/>
    </row>
    <row r="4787" spans="2:2" ht="24.95" customHeight="1">
      <c r="B4787" s="271"/>
    </row>
    <row r="4788" spans="2:2" ht="24.95" customHeight="1">
      <c r="B4788" s="271"/>
    </row>
    <row r="4789" spans="2:2" ht="24.95" customHeight="1">
      <c r="B4789" s="271"/>
    </row>
    <row r="4790" spans="2:2" ht="24.95" customHeight="1">
      <c r="B4790" s="271"/>
    </row>
    <row r="4791" spans="2:2" ht="24.95" customHeight="1">
      <c r="B4791" s="271"/>
    </row>
    <row r="4792" spans="2:2" ht="24.95" customHeight="1">
      <c r="B4792" s="271"/>
    </row>
    <row r="4793" spans="2:2" ht="24.95" customHeight="1">
      <c r="B4793" s="271"/>
    </row>
    <row r="4794" spans="2:2" ht="24.95" customHeight="1">
      <c r="B4794" s="271"/>
    </row>
    <row r="4795" spans="2:2" ht="24.95" customHeight="1">
      <c r="B4795" s="271"/>
    </row>
    <row r="4796" spans="2:2" ht="24.95" customHeight="1">
      <c r="B4796" s="271"/>
    </row>
    <row r="4797" spans="2:2" ht="24.95" customHeight="1">
      <c r="B4797" s="271"/>
    </row>
    <row r="4798" spans="2:2" ht="24.95" customHeight="1">
      <c r="B4798" s="271"/>
    </row>
    <row r="4799" spans="2:2" ht="24.95" customHeight="1">
      <c r="B4799" s="271"/>
    </row>
    <row r="4800" spans="2:2" ht="24.95" customHeight="1">
      <c r="B4800" s="271"/>
    </row>
    <row r="4801" spans="2:2" ht="24.95" customHeight="1">
      <c r="B4801" s="271"/>
    </row>
    <row r="4802" spans="2:2" ht="24.95" customHeight="1">
      <c r="B4802" s="271"/>
    </row>
    <row r="4803" spans="2:2" ht="24.95" customHeight="1">
      <c r="B4803" s="271"/>
    </row>
    <row r="4804" spans="2:2" ht="24.95" customHeight="1">
      <c r="B4804" s="271"/>
    </row>
    <row r="4805" spans="2:2" ht="24.95" customHeight="1">
      <c r="B4805" s="271"/>
    </row>
    <row r="4806" spans="2:2" ht="24.95" customHeight="1">
      <c r="B4806" s="271"/>
    </row>
    <row r="4807" spans="2:2" ht="24.95" customHeight="1">
      <c r="B4807" s="271"/>
    </row>
    <row r="4808" spans="2:2" ht="24.95" customHeight="1">
      <c r="B4808" s="271"/>
    </row>
    <row r="4809" spans="2:2" ht="24.95" customHeight="1">
      <c r="B4809" s="271"/>
    </row>
    <row r="4810" spans="2:2" ht="24.95" customHeight="1">
      <c r="B4810" s="271"/>
    </row>
    <row r="4811" spans="2:2" ht="24.95" customHeight="1">
      <c r="B4811" s="271"/>
    </row>
    <row r="4812" spans="2:2" ht="24.95" customHeight="1">
      <c r="B4812" s="271"/>
    </row>
    <row r="4813" spans="2:2" ht="24.95" customHeight="1">
      <c r="B4813" s="271"/>
    </row>
    <row r="4814" spans="2:2" ht="24.95" customHeight="1">
      <c r="B4814" s="271"/>
    </row>
    <row r="4815" spans="2:2" ht="24.95" customHeight="1">
      <c r="B4815" s="271"/>
    </row>
    <row r="4816" spans="2:2" ht="24.95" customHeight="1">
      <c r="B4816" s="271"/>
    </row>
    <row r="4817" spans="2:2" ht="24.95" customHeight="1">
      <c r="B4817" s="271"/>
    </row>
    <row r="4818" spans="2:2" ht="24.95" customHeight="1">
      <c r="B4818" s="271"/>
    </row>
    <row r="4819" spans="2:2" ht="24.95" customHeight="1">
      <c r="B4819" s="271"/>
    </row>
    <row r="4820" spans="2:2" ht="24.95" customHeight="1">
      <c r="B4820" s="271"/>
    </row>
    <row r="4821" spans="2:2" ht="24.95" customHeight="1">
      <c r="B4821" s="271"/>
    </row>
    <row r="4822" spans="2:2" ht="24.95" customHeight="1">
      <c r="B4822" s="271"/>
    </row>
    <row r="4823" spans="2:2" ht="24.95" customHeight="1">
      <c r="B4823" s="271"/>
    </row>
    <row r="4824" spans="2:2" ht="24.95" customHeight="1">
      <c r="B4824" s="271"/>
    </row>
    <row r="4825" spans="2:2" ht="24.95" customHeight="1">
      <c r="B4825" s="271"/>
    </row>
    <row r="4826" spans="2:2" ht="24.95" customHeight="1">
      <c r="B4826" s="271"/>
    </row>
    <row r="4827" spans="2:2" ht="24.95" customHeight="1">
      <c r="B4827" s="271"/>
    </row>
    <row r="4828" spans="2:2" ht="24.95" customHeight="1">
      <c r="B4828" s="271"/>
    </row>
    <row r="4829" spans="2:2" ht="24.95" customHeight="1">
      <c r="B4829" s="271"/>
    </row>
    <row r="4830" spans="2:2" ht="24.95" customHeight="1">
      <c r="B4830" s="271"/>
    </row>
    <row r="4831" spans="2:2" ht="24.95" customHeight="1">
      <c r="B4831" s="271"/>
    </row>
    <row r="4832" spans="2:2" ht="24.95" customHeight="1">
      <c r="B4832" s="271"/>
    </row>
    <row r="4833" spans="2:2" ht="24.95" customHeight="1">
      <c r="B4833" s="271"/>
    </row>
    <row r="4834" spans="2:2" ht="24.95" customHeight="1">
      <c r="B4834" s="271"/>
    </row>
    <row r="4835" spans="2:2" ht="24.95" customHeight="1">
      <c r="B4835" s="271"/>
    </row>
    <row r="4836" spans="2:2" ht="24.95" customHeight="1">
      <c r="B4836" s="271"/>
    </row>
    <row r="4837" spans="2:2" ht="24.95" customHeight="1">
      <c r="B4837" s="271"/>
    </row>
    <row r="4838" spans="2:2" ht="24.95" customHeight="1">
      <c r="B4838" s="271"/>
    </row>
    <row r="4839" spans="2:2" ht="24.95" customHeight="1">
      <c r="B4839" s="271"/>
    </row>
    <row r="4840" spans="2:2" ht="24.95" customHeight="1">
      <c r="B4840" s="271"/>
    </row>
    <row r="4841" spans="2:2" ht="24.95" customHeight="1">
      <c r="B4841" s="271"/>
    </row>
    <row r="4842" spans="2:2" ht="24.95" customHeight="1">
      <c r="B4842" s="271"/>
    </row>
    <row r="4843" spans="2:2" ht="24.95" customHeight="1">
      <c r="B4843" s="271"/>
    </row>
    <row r="4844" spans="2:2" ht="24.95" customHeight="1">
      <c r="B4844" s="271"/>
    </row>
    <row r="4845" spans="2:2" ht="24.95" customHeight="1">
      <c r="B4845" s="271"/>
    </row>
    <row r="4846" spans="2:2" ht="24.95" customHeight="1">
      <c r="B4846" s="271"/>
    </row>
    <row r="4847" spans="2:2" ht="24.95" customHeight="1">
      <c r="B4847" s="271"/>
    </row>
    <row r="4848" spans="2:2" ht="24.95" customHeight="1">
      <c r="B4848" s="271"/>
    </row>
    <row r="4849" spans="2:2" ht="24.95" customHeight="1">
      <c r="B4849" s="271"/>
    </row>
    <row r="4850" spans="2:2" ht="24.95" customHeight="1">
      <c r="B4850" s="271"/>
    </row>
    <row r="4851" spans="2:2" ht="24.95" customHeight="1">
      <c r="B4851" s="271"/>
    </row>
    <row r="4852" spans="2:2" ht="24.95" customHeight="1">
      <c r="B4852" s="271"/>
    </row>
    <row r="4853" spans="2:2" ht="24.95" customHeight="1">
      <c r="B4853" s="271"/>
    </row>
    <row r="4854" spans="2:2" ht="24.95" customHeight="1">
      <c r="B4854" s="271"/>
    </row>
    <row r="4855" spans="2:2" ht="24.95" customHeight="1">
      <c r="B4855" s="271"/>
    </row>
    <row r="4856" spans="2:2" ht="24.95" customHeight="1">
      <c r="B4856" s="271"/>
    </row>
    <row r="4857" spans="2:2" ht="24.95" customHeight="1">
      <c r="B4857" s="271"/>
    </row>
    <row r="4858" spans="2:2" ht="24.95" customHeight="1">
      <c r="B4858" s="271"/>
    </row>
    <row r="4859" spans="2:2" ht="24.95" customHeight="1">
      <c r="B4859" s="271"/>
    </row>
    <row r="4860" spans="2:2" ht="24.95" customHeight="1">
      <c r="B4860" s="271"/>
    </row>
    <row r="4861" spans="2:2" ht="24.95" customHeight="1">
      <c r="B4861" s="271"/>
    </row>
    <row r="4862" spans="2:2" ht="24.95" customHeight="1">
      <c r="B4862" s="271"/>
    </row>
    <row r="4863" spans="2:2" ht="24.95" customHeight="1">
      <c r="B4863" s="271"/>
    </row>
    <row r="4864" spans="2:2" ht="24.95" customHeight="1">
      <c r="B4864" s="271"/>
    </row>
    <row r="4865" spans="2:2" ht="24.95" customHeight="1">
      <c r="B4865" s="271"/>
    </row>
    <row r="4866" spans="2:2" ht="24.95" customHeight="1">
      <c r="B4866" s="271"/>
    </row>
    <row r="4867" spans="2:2" ht="24.95" customHeight="1">
      <c r="B4867" s="271"/>
    </row>
    <row r="4868" spans="2:2" ht="24.95" customHeight="1">
      <c r="B4868" s="271"/>
    </row>
    <row r="4869" spans="2:2" ht="24.95" customHeight="1">
      <c r="B4869" s="271"/>
    </row>
    <row r="4870" spans="2:2" ht="24.95" customHeight="1">
      <c r="B4870" s="271"/>
    </row>
    <row r="4871" spans="2:2" ht="24.95" customHeight="1">
      <c r="B4871" s="271"/>
    </row>
    <row r="4872" spans="2:2" ht="24.95" customHeight="1">
      <c r="B4872" s="271"/>
    </row>
    <row r="4873" spans="2:2" ht="24.95" customHeight="1">
      <c r="B4873" s="271"/>
    </row>
    <row r="4874" spans="2:2" ht="24.95" customHeight="1">
      <c r="B4874" s="271"/>
    </row>
    <row r="4875" spans="2:2" ht="24.95" customHeight="1">
      <c r="B4875" s="271"/>
    </row>
    <row r="4876" spans="2:2" ht="24.95" customHeight="1">
      <c r="B4876" s="271"/>
    </row>
    <row r="4877" spans="2:2" ht="24.95" customHeight="1">
      <c r="B4877" s="271"/>
    </row>
    <row r="4878" spans="2:2" ht="24.95" customHeight="1">
      <c r="B4878" s="271"/>
    </row>
    <row r="4879" spans="2:2" ht="24.95" customHeight="1">
      <c r="B4879" s="271"/>
    </row>
    <row r="4880" spans="2:2" ht="24.95" customHeight="1">
      <c r="B4880" s="271"/>
    </row>
    <row r="4881" spans="2:2" ht="24.95" customHeight="1">
      <c r="B4881" s="271"/>
    </row>
    <row r="4882" spans="2:2" ht="24.95" customHeight="1">
      <c r="B4882" s="271"/>
    </row>
    <row r="4883" spans="2:2" ht="24.95" customHeight="1">
      <c r="B4883" s="271"/>
    </row>
    <row r="4884" spans="2:2" ht="24.95" customHeight="1">
      <c r="B4884" s="271"/>
    </row>
    <row r="4885" spans="2:2" ht="24.95" customHeight="1">
      <c r="B4885" s="271"/>
    </row>
    <row r="4886" spans="2:2" ht="24.95" customHeight="1">
      <c r="B4886" s="271"/>
    </row>
    <row r="4887" spans="2:2" ht="24.95" customHeight="1">
      <c r="B4887" s="271"/>
    </row>
    <row r="4888" spans="2:2" ht="24.95" customHeight="1">
      <c r="B4888" s="271"/>
    </row>
    <row r="4889" spans="2:2" ht="24.95" customHeight="1">
      <c r="B4889" s="271"/>
    </row>
    <row r="4890" spans="2:2" ht="24.95" customHeight="1">
      <c r="B4890" s="271"/>
    </row>
    <row r="4891" spans="2:2" ht="24.95" customHeight="1">
      <c r="B4891" s="271"/>
    </row>
    <row r="4892" spans="2:2" ht="24.95" customHeight="1">
      <c r="B4892" s="271"/>
    </row>
    <row r="4893" spans="2:2" ht="24.95" customHeight="1">
      <c r="B4893" s="271"/>
    </row>
    <row r="4894" spans="2:2" ht="24.95" customHeight="1">
      <c r="B4894" s="271"/>
    </row>
    <row r="4895" spans="2:2" ht="24.95" customHeight="1">
      <c r="B4895" s="271"/>
    </row>
    <row r="4896" spans="2:2" ht="24.95" customHeight="1">
      <c r="B4896" s="271"/>
    </row>
    <row r="4897" spans="2:2" ht="24.95" customHeight="1">
      <c r="B4897" s="271"/>
    </row>
    <row r="4898" spans="2:2" ht="24.95" customHeight="1">
      <c r="B4898" s="271"/>
    </row>
    <row r="4899" spans="2:2" ht="24.95" customHeight="1">
      <c r="B4899" s="271"/>
    </row>
    <row r="4900" spans="2:2" ht="24.95" customHeight="1">
      <c r="B4900" s="271"/>
    </row>
    <row r="4901" spans="2:2" ht="24.95" customHeight="1">
      <c r="B4901" s="271"/>
    </row>
    <row r="4902" spans="2:2" ht="24.95" customHeight="1">
      <c r="B4902" s="271"/>
    </row>
    <row r="4903" spans="2:2" ht="24.95" customHeight="1">
      <c r="B4903" s="271"/>
    </row>
    <row r="4904" spans="2:2" ht="24.95" customHeight="1">
      <c r="B4904" s="271"/>
    </row>
    <row r="4905" spans="2:2" ht="24.95" customHeight="1">
      <c r="B4905" s="271"/>
    </row>
    <row r="4906" spans="2:2" ht="24.95" customHeight="1">
      <c r="B4906" s="271"/>
    </row>
    <row r="4907" spans="2:2" ht="24.95" customHeight="1">
      <c r="B4907" s="271"/>
    </row>
    <row r="4908" spans="2:2" ht="24.95" customHeight="1">
      <c r="B4908" s="271"/>
    </row>
    <row r="4909" spans="2:2" ht="24.95" customHeight="1">
      <c r="B4909" s="271"/>
    </row>
    <row r="4910" spans="2:2" ht="24.95" customHeight="1">
      <c r="B4910" s="271"/>
    </row>
    <row r="4911" spans="2:2" ht="24.95" customHeight="1">
      <c r="B4911" s="271"/>
    </row>
    <row r="4912" spans="2:2" ht="24.95" customHeight="1">
      <c r="B4912" s="271"/>
    </row>
    <row r="4913" spans="2:2" ht="24.95" customHeight="1">
      <c r="B4913" s="271"/>
    </row>
    <row r="4914" spans="2:2" ht="24.95" customHeight="1">
      <c r="B4914" s="271"/>
    </row>
    <row r="4915" spans="2:2" ht="24.95" customHeight="1">
      <c r="B4915" s="271"/>
    </row>
    <row r="4916" spans="2:2" ht="24.95" customHeight="1">
      <c r="B4916" s="271"/>
    </row>
    <row r="4917" spans="2:2" ht="24.95" customHeight="1">
      <c r="B4917" s="271"/>
    </row>
    <row r="4918" spans="2:2" ht="24.95" customHeight="1">
      <c r="B4918" s="271"/>
    </row>
    <row r="4919" spans="2:2" ht="24.95" customHeight="1">
      <c r="B4919" s="271"/>
    </row>
    <row r="4920" spans="2:2" ht="24.95" customHeight="1">
      <c r="B4920" s="271"/>
    </row>
    <row r="4921" spans="2:2" ht="24.95" customHeight="1">
      <c r="B4921" s="271"/>
    </row>
    <row r="4922" spans="2:2" ht="24.95" customHeight="1">
      <c r="B4922" s="271"/>
    </row>
    <row r="4923" spans="2:2" ht="24.95" customHeight="1">
      <c r="B4923" s="271"/>
    </row>
    <row r="4924" spans="2:2" ht="24.95" customHeight="1">
      <c r="B4924" s="271"/>
    </row>
    <row r="4925" spans="2:2" ht="24.95" customHeight="1">
      <c r="B4925" s="271"/>
    </row>
    <row r="4926" spans="2:2" ht="24.95" customHeight="1">
      <c r="B4926" s="271"/>
    </row>
    <row r="4927" spans="2:2" ht="24.95" customHeight="1">
      <c r="B4927" s="271"/>
    </row>
    <row r="4928" spans="2:2" ht="24.95" customHeight="1">
      <c r="B4928" s="271"/>
    </row>
    <row r="4929" spans="2:2" ht="24.95" customHeight="1">
      <c r="B4929" s="271"/>
    </row>
    <row r="4930" spans="2:2" ht="24.95" customHeight="1">
      <c r="B4930" s="271"/>
    </row>
    <row r="4931" spans="2:2" ht="24.95" customHeight="1">
      <c r="B4931" s="271"/>
    </row>
    <row r="4932" spans="2:2" ht="24.95" customHeight="1">
      <c r="B4932" s="271"/>
    </row>
    <row r="4933" spans="2:2" ht="24.95" customHeight="1">
      <c r="B4933" s="271"/>
    </row>
    <row r="4934" spans="2:2" ht="24.95" customHeight="1">
      <c r="B4934" s="271"/>
    </row>
    <row r="4935" spans="2:2" ht="24.95" customHeight="1">
      <c r="B4935" s="271"/>
    </row>
    <row r="4936" spans="2:2" ht="24.95" customHeight="1">
      <c r="B4936" s="271"/>
    </row>
    <row r="4937" spans="2:2" ht="24.95" customHeight="1">
      <c r="B4937" s="271"/>
    </row>
    <row r="4938" spans="2:2" ht="24.95" customHeight="1">
      <c r="B4938" s="271"/>
    </row>
    <row r="4939" spans="2:2" ht="24.95" customHeight="1">
      <c r="B4939" s="271"/>
    </row>
    <row r="4940" spans="2:2" ht="24.95" customHeight="1">
      <c r="B4940" s="271"/>
    </row>
    <row r="4941" spans="2:2" ht="24.95" customHeight="1">
      <c r="B4941" s="271"/>
    </row>
    <row r="4942" spans="2:2" ht="24.95" customHeight="1">
      <c r="B4942" s="271"/>
    </row>
    <row r="4943" spans="2:2" ht="24.95" customHeight="1">
      <c r="B4943" s="271"/>
    </row>
    <row r="4944" spans="2:2" ht="24.95" customHeight="1">
      <c r="B4944" s="271"/>
    </row>
    <row r="4945" spans="2:2" ht="24.95" customHeight="1">
      <c r="B4945" s="271"/>
    </row>
    <row r="4946" spans="2:2" ht="24.95" customHeight="1">
      <c r="B4946" s="271"/>
    </row>
    <row r="4947" spans="2:2" ht="24.95" customHeight="1">
      <c r="B4947" s="271"/>
    </row>
    <row r="4948" spans="2:2" ht="24.95" customHeight="1">
      <c r="B4948" s="271"/>
    </row>
    <row r="4949" spans="2:2" ht="24.95" customHeight="1">
      <c r="B4949" s="271"/>
    </row>
    <row r="4950" spans="2:2" ht="24.95" customHeight="1">
      <c r="B4950" s="271"/>
    </row>
    <row r="4951" spans="2:2" ht="24.95" customHeight="1">
      <c r="B4951" s="271"/>
    </row>
    <row r="4952" spans="2:2" ht="24.95" customHeight="1">
      <c r="B4952" s="271"/>
    </row>
    <row r="4953" spans="2:2" ht="24.95" customHeight="1">
      <c r="B4953" s="271"/>
    </row>
    <row r="4954" spans="2:2" ht="24.95" customHeight="1">
      <c r="B4954" s="271"/>
    </row>
    <row r="4955" spans="2:2" ht="24.95" customHeight="1">
      <c r="B4955" s="271"/>
    </row>
    <row r="4956" spans="2:2" ht="24.95" customHeight="1">
      <c r="B4956" s="271"/>
    </row>
    <row r="4957" spans="2:2" ht="24.95" customHeight="1">
      <c r="B4957" s="271"/>
    </row>
    <row r="4958" spans="2:2" ht="24.95" customHeight="1">
      <c r="B4958" s="271"/>
    </row>
    <row r="4959" spans="2:2" ht="24.95" customHeight="1">
      <c r="B4959" s="271"/>
    </row>
    <row r="4960" spans="2:2" ht="24.95" customHeight="1">
      <c r="B4960" s="271"/>
    </row>
    <row r="4961" spans="2:2" ht="24.95" customHeight="1">
      <c r="B4961" s="271"/>
    </row>
    <row r="4962" spans="2:2" ht="24.95" customHeight="1">
      <c r="B4962" s="271"/>
    </row>
    <row r="4963" spans="2:2" ht="24.95" customHeight="1">
      <c r="B4963" s="271"/>
    </row>
    <row r="4964" spans="2:2" ht="24.95" customHeight="1">
      <c r="B4964" s="271"/>
    </row>
    <row r="4965" spans="2:2" ht="24.95" customHeight="1">
      <c r="B4965" s="271"/>
    </row>
    <row r="4966" spans="2:2" ht="24.95" customHeight="1">
      <c r="B4966" s="271"/>
    </row>
    <row r="4967" spans="2:2" ht="24.95" customHeight="1">
      <c r="B4967" s="271"/>
    </row>
    <row r="4968" spans="2:2" ht="24.95" customHeight="1">
      <c r="B4968" s="271"/>
    </row>
    <row r="4969" spans="2:2" ht="24.95" customHeight="1">
      <c r="B4969" s="271"/>
    </row>
    <row r="4970" spans="2:2" ht="24.95" customHeight="1">
      <c r="B4970" s="271"/>
    </row>
    <row r="4971" spans="2:2" ht="24.95" customHeight="1">
      <c r="B4971" s="271"/>
    </row>
    <row r="4972" spans="2:2" ht="24.95" customHeight="1">
      <c r="B4972" s="271"/>
    </row>
    <row r="4973" spans="2:2" ht="24.95" customHeight="1">
      <c r="B4973" s="271"/>
    </row>
    <row r="4974" spans="2:2" ht="24.95" customHeight="1">
      <c r="B4974" s="271"/>
    </row>
    <row r="4975" spans="2:2" ht="24.95" customHeight="1">
      <c r="B4975" s="271"/>
    </row>
    <row r="4976" spans="2:2" ht="24.95" customHeight="1">
      <c r="B4976" s="271"/>
    </row>
    <row r="4977" spans="2:2" ht="24.95" customHeight="1">
      <c r="B4977" s="271"/>
    </row>
    <row r="4978" spans="2:2" ht="24.95" customHeight="1">
      <c r="B4978" s="271"/>
    </row>
    <row r="4979" spans="2:2" ht="24.95" customHeight="1">
      <c r="B4979" s="271"/>
    </row>
    <row r="4980" spans="2:2" ht="24.95" customHeight="1">
      <c r="B4980" s="271"/>
    </row>
    <row r="4981" spans="2:2" ht="24.95" customHeight="1">
      <c r="B4981" s="271"/>
    </row>
    <row r="4982" spans="2:2" ht="24.95" customHeight="1">
      <c r="B4982" s="271"/>
    </row>
    <row r="4983" spans="2:2" ht="24.95" customHeight="1">
      <c r="B4983" s="271"/>
    </row>
    <row r="4984" spans="2:2" ht="24.95" customHeight="1">
      <c r="B4984" s="271"/>
    </row>
    <row r="4985" spans="2:2" ht="24.95" customHeight="1">
      <c r="B4985" s="271"/>
    </row>
    <row r="4986" spans="2:2" ht="24.95" customHeight="1">
      <c r="B4986" s="271"/>
    </row>
    <row r="4987" spans="2:2" ht="24.95" customHeight="1">
      <c r="B4987" s="271"/>
    </row>
    <row r="4988" spans="2:2" ht="24.95" customHeight="1">
      <c r="B4988" s="271"/>
    </row>
    <row r="4989" spans="2:2" ht="24.95" customHeight="1">
      <c r="B4989" s="271"/>
    </row>
    <row r="4990" spans="2:2" ht="24.95" customHeight="1">
      <c r="B4990" s="271"/>
    </row>
    <row r="4991" spans="2:2" ht="24.95" customHeight="1">
      <c r="B4991" s="271"/>
    </row>
    <row r="4992" spans="2:2" ht="24.95" customHeight="1">
      <c r="B4992" s="271"/>
    </row>
    <row r="4993" spans="2:2" ht="24.95" customHeight="1">
      <c r="B4993" s="271"/>
    </row>
    <row r="4994" spans="2:2" ht="24.95" customHeight="1">
      <c r="B4994" s="271"/>
    </row>
    <row r="4995" spans="2:2" ht="24.95" customHeight="1">
      <c r="B4995" s="271"/>
    </row>
    <row r="4996" spans="2:2" ht="24.95" customHeight="1">
      <c r="B4996" s="271"/>
    </row>
    <row r="4997" spans="2:2" ht="24.95" customHeight="1">
      <c r="B4997" s="271"/>
    </row>
    <row r="4998" spans="2:2" ht="24.95" customHeight="1">
      <c r="B4998" s="271"/>
    </row>
    <row r="4999" spans="2:2" ht="24.95" customHeight="1">
      <c r="B4999" s="271"/>
    </row>
    <row r="5000" spans="2:2" ht="24.95" customHeight="1">
      <c r="B5000" s="271"/>
    </row>
    <row r="5001" spans="2:2" ht="24.95" customHeight="1">
      <c r="B5001" s="271"/>
    </row>
    <row r="5002" spans="2:2" ht="24.95" customHeight="1">
      <c r="B5002" s="271"/>
    </row>
    <row r="5003" spans="2:2" ht="24.95" customHeight="1">
      <c r="B5003" s="271"/>
    </row>
    <row r="5004" spans="2:2" ht="24.95" customHeight="1">
      <c r="B5004" s="271"/>
    </row>
    <row r="5005" spans="2:2" ht="24.95" customHeight="1">
      <c r="B5005" s="271"/>
    </row>
    <row r="5006" spans="2:2" ht="24.95" customHeight="1">
      <c r="B5006" s="271"/>
    </row>
    <row r="5007" spans="2:2" ht="24.95" customHeight="1">
      <c r="B5007" s="271"/>
    </row>
    <row r="5008" spans="2:2" ht="24.95" customHeight="1">
      <c r="B5008" s="271"/>
    </row>
    <row r="5009" spans="2:2" ht="24.95" customHeight="1">
      <c r="B5009" s="271"/>
    </row>
    <row r="5010" spans="2:2" ht="24.95" customHeight="1">
      <c r="B5010" s="271"/>
    </row>
    <row r="5011" spans="2:2" ht="24.95" customHeight="1">
      <c r="B5011" s="271"/>
    </row>
    <row r="5012" spans="2:2" ht="24.95" customHeight="1">
      <c r="B5012" s="271"/>
    </row>
    <row r="5013" spans="2:2" ht="24.95" customHeight="1">
      <c r="B5013" s="271"/>
    </row>
    <row r="5014" spans="2:2" ht="24.95" customHeight="1">
      <c r="B5014" s="271"/>
    </row>
    <row r="5015" spans="2:2" ht="24.95" customHeight="1">
      <c r="B5015" s="271"/>
    </row>
    <row r="5016" spans="2:2" ht="24.95" customHeight="1">
      <c r="B5016" s="271"/>
    </row>
    <row r="5017" spans="2:2" ht="24.95" customHeight="1">
      <c r="B5017" s="271"/>
    </row>
    <row r="5018" spans="2:2" ht="24.95" customHeight="1">
      <c r="B5018" s="271"/>
    </row>
    <row r="5019" spans="2:2" ht="24.95" customHeight="1">
      <c r="B5019" s="271"/>
    </row>
    <row r="5020" spans="2:2" ht="24.95" customHeight="1">
      <c r="B5020" s="271"/>
    </row>
    <row r="5021" spans="2:2" ht="24.95" customHeight="1">
      <c r="B5021" s="271"/>
    </row>
    <row r="5022" spans="2:2" ht="24.95" customHeight="1">
      <c r="B5022" s="271"/>
    </row>
    <row r="5023" spans="2:2" ht="24.95" customHeight="1">
      <c r="B5023" s="271"/>
    </row>
    <row r="5024" spans="2:2" ht="24.95" customHeight="1">
      <c r="B5024" s="271"/>
    </row>
    <row r="5025" spans="2:2" ht="24.95" customHeight="1">
      <c r="B5025" s="271"/>
    </row>
    <row r="5026" spans="2:2" ht="24.95" customHeight="1">
      <c r="B5026" s="271"/>
    </row>
    <row r="5027" spans="2:2" ht="24.95" customHeight="1">
      <c r="B5027" s="271"/>
    </row>
    <row r="5028" spans="2:2" ht="24.95" customHeight="1">
      <c r="B5028" s="271"/>
    </row>
    <row r="5029" spans="2:2" ht="24.95" customHeight="1">
      <c r="B5029" s="271"/>
    </row>
    <row r="5030" spans="2:2" ht="24.95" customHeight="1">
      <c r="B5030" s="271"/>
    </row>
    <row r="5031" spans="2:2" ht="24.95" customHeight="1">
      <c r="B5031" s="271"/>
    </row>
    <row r="5032" spans="2:2" ht="24.95" customHeight="1">
      <c r="B5032" s="271"/>
    </row>
    <row r="5033" spans="2:2" ht="24.95" customHeight="1">
      <c r="B5033" s="271"/>
    </row>
    <row r="5034" spans="2:2" ht="24.95" customHeight="1">
      <c r="B5034" s="271"/>
    </row>
    <row r="5035" spans="2:2" ht="24.95" customHeight="1">
      <c r="B5035" s="271"/>
    </row>
    <row r="5036" spans="2:2" ht="24.95" customHeight="1">
      <c r="B5036" s="271"/>
    </row>
    <row r="5037" spans="2:2" ht="24.95" customHeight="1">
      <c r="B5037" s="271"/>
    </row>
    <row r="5038" spans="2:2" ht="24.95" customHeight="1">
      <c r="B5038" s="271"/>
    </row>
    <row r="5039" spans="2:2" ht="24.95" customHeight="1">
      <c r="B5039" s="271"/>
    </row>
    <row r="5040" spans="2:2" ht="24.95" customHeight="1">
      <c r="B5040" s="271"/>
    </row>
    <row r="5041" spans="2:2" ht="24.95" customHeight="1">
      <c r="B5041" s="271"/>
    </row>
    <row r="5042" spans="2:2" ht="24.95" customHeight="1">
      <c r="B5042" s="271"/>
    </row>
    <row r="5043" spans="2:2" ht="24.95" customHeight="1">
      <c r="B5043" s="271"/>
    </row>
    <row r="5044" spans="2:2" ht="24.95" customHeight="1">
      <c r="B5044" s="271"/>
    </row>
    <row r="5045" spans="2:2" ht="24.95" customHeight="1">
      <c r="B5045" s="271"/>
    </row>
    <row r="5046" spans="2:2" ht="24.95" customHeight="1">
      <c r="B5046" s="271"/>
    </row>
    <row r="5047" spans="2:2" ht="24.95" customHeight="1">
      <c r="B5047" s="271"/>
    </row>
    <row r="5048" spans="2:2" ht="24.95" customHeight="1">
      <c r="B5048" s="271"/>
    </row>
    <row r="5049" spans="2:2" ht="24.95" customHeight="1">
      <c r="B5049" s="271"/>
    </row>
    <row r="5050" spans="2:2" ht="24.95" customHeight="1">
      <c r="B5050" s="271"/>
    </row>
    <row r="5051" spans="2:2" ht="24.95" customHeight="1">
      <c r="B5051" s="271"/>
    </row>
    <row r="5052" spans="2:2" ht="24.95" customHeight="1">
      <c r="B5052" s="271"/>
    </row>
    <row r="5053" spans="2:2" ht="24.95" customHeight="1">
      <c r="B5053" s="271"/>
    </row>
    <row r="5054" spans="2:2" ht="24.95" customHeight="1">
      <c r="B5054" s="271"/>
    </row>
    <row r="5055" spans="2:2" ht="24.95" customHeight="1">
      <c r="B5055" s="271"/>
    </row>
    <row r="5056" spans="2:2" ht="24.95" customHeight="1">
      <c r="B5056" s="271"/>
    </row>
    <row r="5057" spans="2:2" ht="24.95" customHeight="1">
      <c r="B5057" s="271"/>
    </row>
    <row r="5058" spans="2:2" ht="24.95" customHeight="1">
      <c r="B5058" s="271"/>
    </row>
    <row r="5059" spans="2:2" ht="24.95" customHeight="1">
      <c r="B5059" s="271"/>
    </row>
    <row r="5060" spans="2:2" ht="24.95" customHeight="1">
      <c r="B5060" s="271"/>
    </row>
    <row r="5061" spans="2:2" ht="24.95" customHeight="1">
      <c r="B5061" s="271"/>
    </row>
    <row r="5062" spans="2:2" ht="24.95" customHeight="1">
      <c r="B5062" s="271"/>
    </row>
    <row r="5063" spans="2:2" ht="24.95" customHeight="1">
      <c r="B5063" s="271"/>
    </row>
    <row r="5064" spans="2:2" ht="24.95" customHeight="1">
      <c r="B5064" s="271"/>
    </row>
    <row r="5065" spans="2:2" ht="24.95" customHeight="1">
      <c r="B5065" s="271"/>
    </row>
    <row r="5066" spans="2:2" ht="24.95" customHeight="1">
      <c r="B5066" s="271"/>
    </row>
    <row r="5067" spans="2:2" ht="24.95" customHeight="1">
      <c r="B5067" s="271"/>
    </row>
    <row r="5068" spans="2:2" ht="24.95" customHeight="1">
      <c r="B5068" s="271"/>
    </row>
    <row r="5069" spans="2:2" ht="24.95" customHeight="1">
      <c r="B5069" s="271"/>
    </row>
    <row r="5070" spans="2:2" ht="24.95" customHeight="1">
      <c r="B5070" s="271"/>
    </row>
    <row r="5071" spans="2:2" ht="24.95" customHeight="1">
      <c r="B5071" s="271"/>
    </row>
    <row r="5072" spans="2:2" ht="24.95" customHeight="1">
      <c r="B5072" s="271"/>
    </row>
    <row r="5073" spans="2:2" ht="24.95" customHeight="1">
      <c r="B5073" s="271"/>
    </row>
    <row r="5074" spans="2:2" ht="24.95" customHeight="1">
      <c r="B5074" s="271"/>
    </row>
    <row r="5075" spans="2:2" ht="24.95" customHeight="1">
      <c r="B5075" s="271"/>
    </row>
    <row r="5076" spans="2:2" ht="24.95" customHeight="1">
      <c r="B5076" s="271"/>
    </row>
    <row r="5077" spans="2:2" ht="24.95" customHeight="1">
      <c r="B5077" s="271"/>
    </row>
    <row r="5078" spans="2:2" ht="24.95" customHeight="1">
      <c r="B5078" s="271"/>
    </row>
    <row r="5079" spans="2:2" ht="24.95" customHeight="1">
      <c r="B5079" s="271"/>
    </row>
    <row r="5080" spans="2:2" ht="24.95" customHeight="1">
      <c r="B5080" s="271"/>
    </row>
    <row r="5081" spans="2:2" ht="24.95" customHeight="1">
      <c r="B5081" s="271"/>
    </row>
    <row r="5082" spans="2:2" ht="24.95" customHeight="1">
      <c r="B5082" s="271"/>
    </row>
    <row r="5083" spans="2:2" ht="24.95" customHeight="1">
      <c r="B5083" s="271"/>
    </row>
    <row r="5084" spans="2:2" ht="24.95" customHeight="1">
      <c r="B5084" s="271"/>
    </row>
    <row r="5085" spans="2:2" ht="24.95" customHeight="1">
      <c r="B5085" s="271"/>
    </row>
    <row r="5086" spans="2:2" ht="24.95" customHeight="1">
      <c r="B5086" s="271"/>
    </row>
    <row r="5087" spans="2:2" ht="24.95" customHeight="1">
      <c r="B5087" s="271"/>
    </row>
    <row r="5088" spans="2:2" ht="24.95" customHeight="1">
      <c r="B5088" s="271"/>
    </row>
    <row r="5089" spans="2:2" ht="24.95" customHeight="1">
      <c r="B5089" s="271"/>
    </row>
    <row r="5090" spans="2:2" ht="24.95" customHeight="1">
      <c r="B5090" s="271"/>
    </row>
    <row r="5091" spans="2:2" ht="24.95" customHeight="1">
      <c r="B5091" s="271"/>
    </row>
    <row r="5092" spans="2:2" ht="24.95" customHeight="1">
      <c r="B5092" s="271"/>
    </row>
    <row r="5093" spans="2:2" ht="24.95" customHeight="1">
      <c r="B5093" s="271"/>
    </row>
    <row r="5094" spans="2:2" ht="24.95" customHeight="1">
      <c r="B5094" s="271"/>
    </row>
    <row r="5095" spans="2:2" ht="24.95" customHeight="1">
      <c r="B5095" s="271"/>
    </row>
    <row r="5096" spans="2:2" ht="24.95" customHeight="1">
      <c r="B5096" s="271"/>
    </row>
    <row r="5097" spans="2:2" ht="24.95" customHeight="1">
      <c r="B5097" s="271"/>
    </row>
    <row r="5098" spans="2:2" ht="24.95" customHeight="1">
      <c r="B5098" s="271"/>
    </row>
    <row r="5099" spans="2:2" ht="24.95" customHeight="1">
      <c r="B5099" s="271"/>
    </row>
    <row r="5100" spans="2:2" ht="24.95" customHeight="1">
      <c r="B5100" s="271"/>
    </row>
    <row r="5101" spans="2:2" ht="24.95" customHeight="1">
      <c r="B5101" s="271"/>
    </row>
    <row r="5102" spans="2:2" ht="24.95" customHeight="1">
      <c r="B5102" s="271"/>
    </row>
    <row r="5103" spans="2:2" ht="24.95" customHeight="1">
      <c r="B5103" s="271"/>
    </row>
    <row r="5104" spans="2:2" ht="24.95" customHeight="1">
      <c r="B5104" s="271"/>
    </row>
    <row r="5105" spans="2:2" ht="24.95" customHeight="1">
      <c r="B5105" s="271"/>
    </row>
    <row r="5106" spans="2:2" ht="24.95" customHeight="1">
      <c r="B5106" s="271"/>
    </row>
    <row r="5107" spans="2:2" ht="24.95" customHeight="1">
      <c r="B5107" s="271"/>
    </row>
    <row r="5108" spans="2:2" ht="24.95" customHeight="1">
      <c r="B5108" s="271"/>
    </row>
    <row r="5109" spans="2:2" ht="24.95" customHeight="1">
      <c r="B5109" s="271"/>
    </row>
    <row r="5110" spans="2:2" ht="24.95" customHeight="1">
      <c r="B5110" s="271"/>
    </row>
    <row r="5111" spans="2:2" ht="24.95" customHeight="1">
      <c r="B5111" s="271"/>
    </row>
    <row r="5112" spans="2:2" ht="24.95" customHeight="1">
      <c r="B5112" s="271"/>
    </row>
    <row r="5113" spans="2:2" ht="24.95" customHeight="1">
      <c r="B5113" s="271"/>
    </row>
    <row r="5114" spans="2:2" ht="24.95" customHeight="1">
      <c r="B5114" s="271"/>
    </row>
    <row r="5115" spans="2:2" ht="24.95" customHeight="1">
      <c r="B5115" s="271"/>
    </row>
    <row r="5116" spans="2:2" ht="24.95" customHeight="1">
      <c r="B5116" s="271"/>
    </row>
    <row r="5117" spans="2:2" ht="24.95" customHeight="1">
      <c r="B5117" s="271"/>
    </row>
    <row r="5118" spans="2:2" ht="24.95" customHeight="1">
      <c r="B5118" s="271"/>
    </row>
    <row r="5119" spans="2:2" ht="24.95" customHeight="1">
      <c r="B5119" s="271"/>
    </row>
    <row r="5120" spans="2:2" ht="24.95" customHeight="1">
      <c r="B5120" s="271"/>
    </row>
    <row r="5121" spans="2:2" ht="24.95" customHeight="1">
      <c r="B5121" s="271"/>
    </row>
    <row r="5122" spans="2:2" ht="24.95" customHeight="1">
      <c r="B5122" s="271"/>
    </row>
    <row r="5123" spans="2:2" ht="24.95" customHeight="1">
      <c r="B5123" s="271"/>
    </row>
    <row r="5124" spans="2:2" ht="24.95" customHeight="1">
      <c r="B5124" s="271"/>
    </row>
    <row r="5125" spans="2:2" ht="24.95" customHeight="1">
      <c r="B5125" s="271"/>
    </row>
    <row r="5126" spans="2:2" ht="24.95" customHeight="1">
      <c r="B5126" s="271"/>
    </row>
    <row r="5127" spans="2:2" ht="24.95" customHeight="1">
      <c r="B5127" s="271"/>
    </row>
    <row r="5128" spans="2:2" ht="24.95" customHeight="1">
      <c r="B5128" s="271"/>
    </row>
    <row r="5129" spans="2:2" ht="24.95" customHeight="1">
      <c r="B5129" s="271"/>
    </row>
    <row r="5130" spans="2:2" ht="24.95" customHeight="1">
      <c r="B5130" s="271"/>
    </row>
    <row r="5131" spans="2:2" ht="24.95" customHeight="1">
      <c r="B5131" s="271"/>
    </row>
    <row r="5132" spans="2:2" ht="24.95" customHeight="1">
      <c r="B5132" s="271"/>
    </row>
    <row r="5133" spans="2:2" ht="24.95" customHeight="1">
      <c r="B5133" s="271"/>
    </row>
    <row r="5134" spans="2:2" ht="24.95" customHeight="1">
      <c r="B5134" s="271"/>
    </row>
    <row r="5135" spans="2:2" ht="24.95" customHeight="1">
      <c r="B5135" s="271"/>
    </row>
    <row r="5136" spans="2:2" ht="24.95" customHeight="1">
      <c r="B5136" s="271"/>
    </row>
    <row r="5137" spans="2:2" ht="24.95" customHeight="1">
      <c r="B5137" s="271"/>
    </row>
    <row r="5138" spans="2:2" ht="24.95" customHeight="1">
      <c r="B5138" s="271"/>
    </row>
    <row r="5139" spans="2:2" ht="24.95" customHeight="1">
      <c r="B5139" s="271"/>
    </row>
    <row r="5140" spans="2:2" ht="24.95" customHeight="1">
      <c r="B5140" s="271"/>
    </row>
    <row r="5141" spans="2:2" ht="24.95" customHeight="1">
      <c r="B5141" s="271"/>
    </row>
    <row r="5142" spans="2:2" ht="24.95" customHeight="1">
      <c r="B5142" s="271"/>
    </row>
    <row r="5143" spans="2:2" ht="24.95" customHeight="1">
      <c r="B5143" s="271"/>
    </row>
    <row r="5144" spans="2:2" ht="24.95" customHeight="1">
      <c r="B5144" s="271"/>
    </row>
    <row r="5145" spans="2:2" ht="24.95" customHeight="1">
      <c r="B5145" s="271"/>
    </row>
    <row r="5146" spans="2:2" ht="24.95" customHeight="1">
      <c r="B5146" s="271"/>
    </row>
    <row r="5147" spans="2:2" ht="24.95" customHeight="1">
      <c r="B5147" s="271"/>
    </row>
    <row r="5148" spans="2:2" ht="24.95" customHeight="1">
      <c r="B5148" s="271"/>
    </row>
    <row r="5149" spans="2:2" ht="24.95" customHeight="1">
      <c r="B5149" s="271"/>
    </row>
    <row r="5150" spans="2:2" ht="24.95" customHeight="1">
      <c r="B5150" s="271"/>
    </row>
    <row r="5151" spans="2:2" ht="24.95" customHeight="1">
      <c r="B5151" s="271"/>
    </row>
    <row r="5152" spans="2:2" ht="24.95" customHeight="1">
      <c r="B5152" s="271"/>
    </row>
    <row r="5153" spans="2:2" ht="24.95" customHeight="1">
      <c r="B5153" s="271"/>
    </row>
    <row r="5154" spans="2:2" ht="24.95" customHeight="1">
      <c r="B5154" s="271"/>
    </row>
    <row r="5155" spans="2:2" ht="24.95" customHeight="1">
      <c r="B5155" s="271"/>
    </row>
    <row r="5156" spans="2:2" ht="24.95" customHeight="1">
      <c r="B5156" s="271"/>
    </row>
    <row r="5157" spans="2:2" ht="24.95" customHeight="1">
      <c r="B5157" s="271"/>
    </row>
    <row r="5158" spans="2:2" ht="24.95" customHeight="1">
      <c r="B5158" s="271"/>
    </row>
    <row r="5159" spans="2:2" ht="24.95" customHeight="1">
      <c r="B5159" s="271"/>
    </row>
    <row r="5160" spans="2:2" ht="24.95" customHeight="1">
      <c r="B5160" s="271"/>
    </row>
    <row r="5161" spans="2:2" ht="24.95" customHeight="1">
      <c r="B5161" s="271"/>
    </row>
    <row r="5162" spans="2:2" ht="24.95" customHeight="1">
      <c r="B5162" s="271"/>
    </row>
    <row r="5163" spans="2:2" ht="24.95" customHeight="1">
      <c r="B5163" s="271"/>
    </row>
    <row r="5164" spans="2:2" ht="24.95" customHeight="1">
      <c r="B5164" s="271"/>
    </row>
    <row r="5165" spans="2:2" ht="24.95" customHeight="1">
      <c r="B5165" s="271"/>
    </row>
    <row r="5166" spans="2:2" ht="24.95" customHeight="1">
      <c r="B5166" s="271"/>
    </row>
    <row r="5167" spans="2:2" ht="24.95" customHeight="1">
      <c r="B5167" s="271"/>
    </row>
    <row r="5168" spans="2:2" ht="24.95" customHeight="1">
      <c r="B5168" s="271"/>
    </row>
    <row r="5169" spans="2:2" ht="24.95" customHeight="1">
      <c r="B5169" s="271"/>
    </row>
    <row r="5170" spans="2:2" ht="24.95" customHeight="1">
      <c r="B5170" s="271"/>
    </row>
    <row r="5171" spans="2:2" ht="24.95" customHeight="1">
      <c r="B5171" s="271"/>
    </row>
    <row r="5172" spans="2:2" ht="24.95" customHeight="1">
      <c r="B5172" s="271"/>
    </row>
    <row r="5173" spans="2:2" ht="24.95" customHeight="1">
      <c r="B5173" s="271"/>
    </row>
    <row r="5174" spans="2:2" ht="24.95" customHeight="1">
      <c r="B5174" s="271"/>
    </row>
    <row r="5175" spans="2:2" ht="24.95" customHeight="1">
      <c r="B5175" s="271"/>
    </row>
    <row r="5176" spans="2:2" ht="24.95" customHeight="1">
      <c r="B5176" s="271"/>
    </row>
    <row r="5177" spans="2:2" ht="24.95" customHeight="1">
      <c r="B5177" s="271"/>
    </row>
    <row r="5178" spans="2:2" ht="24.95" customHeight="1">
      <c r="B5178" s="271"/>
    </row>
    <row r="5179" spans="2:2" ht="24.95" customHeight="1">
      <c r="B5179" s="271"/>
    </row>
    <row r="5180" spans="2:2" ht="24.95" customHeight="1">
      <c r="B5180" s="271"/>
    </row>
    <row r="5181" spans="2:2" ht="24.95" customHeight="1">
      <c r="B5181" s="271"/>
    </row>
    <row r="5182" spans="2:2" ht="24.95" customHeight="1">
      <c r="B5182" s="271"/>
    </row>
    <row r="5183" spans="2:2" ht="24.95" customHeight="1">
      <c r="B5183" s="271"/>
    </row>
    <row r="5184" spans="2:2" ht="24.95" customHeight="1">
      <c r="B5184" s="271"/>
    </row>
    <row r="5185" spans="2:2" ht="24.95" customHeight="1">
      <c r="B5185" s="271"/>
    </row>
    <row r="5186" spans="2:2" ht="24.95" customHeight="1">
      <c r="B5186" s="271"/>
    </row>
    <row r="5187" spans="2:2" ht="24.95" customHeight="1">
      <c r="B5187" s="271"/>
    </row>
    <row r="5188" spans="2:2" ht="24.95" customHeight="1">
      <c r="B5188" s="271"/>
    </row>
    <row r="5189" spans="2:2" ht="24.95" customHeight="1">
      <c r="B5189" s="271"/>
    </row>
    <row r="5190" spans="2:2" ht="24.95" customHeight="1">
      <c r="B5190" s="271"/>
    </row>
    <row r="5191" spans="2:2" ht="24.95" customHeight="1">
      <c r="B5191" s="271"/>
    </row>
    <row r="5192" spans="2:2" ht="24.95" customHeight="1">
      <c r="B5192" s="271"/>
    </row>
    <row r="5193" spans="2:2" ht="24.95" customHeight="1">
      <c r="B5193" s="271"/>
    </row>
    <row r="5194" spans="2:2" ht="24.95" customHeight="1">
      <c r="B5194" s="271"/>
    </row>
    <row r="5195" spans="2:2" ht="24.95" customHeight="1">
      <c r="B5195" s="271"/>
    </row>
    <row r="5196" spans="2:2" ht="24.95" customHeight="1">
      <c r="B5196" s="271"/>
    </row>
    <row r="5197" spans="2:2" ht="24.95" customHeight="1">
      <c r="B5197" s="271"/>
    </row>
    <row r="5198" spans="2:2" ht="24.95" customHeight="1">
      <c r="B5198" s="271"/>
    </row>
    <row r="5199" spans="2:2" ht="24.95" customHeight="1">
      <c r="B5199" s="271"/>
    </row>
    <row r="5200" spans="2:2" ht="24.95" customHeight="1">
      <c r="B5200" s="271"/>
    </row>
    <row r="5201" spans="2:2" ht="24.95" customHeight="1">
      <c r="B5201" s="271"/>
    </row>
    <row r="5202" spans="2:2" ht="24.95" customHeight="1">
      <c r="B5202" s="271"/>
    </row>
    <row r="5203" spans="2:2" ht="24.95" customHeight="1">
      <c r="B5203" s="271"/>
    </row>
    <row r="5204" spans="2:2" ht="24.95" customHeight="1">
      <c r="B5204" s="271"/>
    </row>
    <row r="5205" spans="2:2" ht="24.95" customHeight="1">
      <c r="B5205" s="271"/>
    </row>
    <row r="5206" spans="2:2" ht="24.95" customHeight="1">
      <c r="B5206" s="271"/>
    </row>
    <row r="5207" spans="2:2" ht="24.95" customHeight="1">
      <c r="B5207" s="271"/>
    </row>
    <row r="5208" spans="2:2" ht="24.95" customHeight="1">
      <c r="B5208" s="271"/>
    </row>
    <row r="5209" spans="2:2" ht="24.95" customHeight="1">
      <c r="B5209" s="271"/>
    </row>
    <row r="5210" spans="2:2" ht="24.95" customHeight="1">
      <c r="B5210" s="271"/>
    </row>
    <row r="5211" spans="2:2" ht="24.95" customHeight="1">
      <c r="B5211" s="271"/>
    </row>
    <row r="5212" spans="2:2" ht="24.95" customHeight="1">
      <c r="B5212" s="271"/>
    </row>
    <row r="5213" spans="2:2" ht="24.95" customHeight="1">
      <c r="B5213" s="271"/>
    </row>
    <row r="5214" spans="2:2" ht="24.95" customHeight="1">
      <c r="B5214" s="271"/>
    </row>
    <row r="5215" spans="2:2" ht="24.95" customHeight="1">
      <c r="B5215" s="271"/>
    </row>
    <row r="5216" spans="2:2" ht="24.95" customHeight="1">
      <c r="B5216" s="271"/>
    </row>
    <row r="5217" spans="2:2" ht="24.95" customHeight="1">
      <c r="B5217" s="271"/>
    </row>
    <row r="5218" spans="2:2" ht="24.95" customHeight="1">
      <c r="B5218" s="271"/>
    </row>
    <row r="5219" spans="2:2" ht="24.95" customHeight="1">
      <c r="B5219" s="271"/>
    </row>
    <row r="5220" spans="2:2" ht="24.95" customHeight="1">
      <c r="B5220" s="271"/>
    </row>
    <row r="5221" spans="2:2" ht="24.95" customHeight="1">
      <c r="B5221" s="271"/>
    </row>
    <row r="5222" spans="2:2" ht="24.95" customHeight="1">
      <c r="B5222" s="271"/>
    </row>
    <row r="5223" spans="2:2" ht="24.95" customHeight="1">
      <c r="B5223" s="271"/>
    </row>
    <row r="5224" spans="2:2" ht="24.95" customHeight="1">
      <c r="B5224" s="271"/>
    </row>
    <row r="5225" spans="2:2" ht="24.95" customHeight="1">
      <c r="B5225" s="271"/>
    </row>
    <row r="5226" spans="2:2" ht="24.95" customHeight="1">
      <c r="B5226" s="271"/>
    </row>
    <row r="5227" spans="2:2" ht="24.95" customHeight="1">
      <c r="B5227" s="271"/>
    </row>
    <row r="5228" spans="2:2" ht="24.95" customHeight="1">
      <c r="B5228" s="271"/>
    </row>
    <row r="5229" spans="2:2" ht="24.95" customHeight="1">
      <c r="B5229" s="271"/>
    </row>
    <row r="5230" spans="2:2" ht="24.95" customHeight="1">
      <c r="B5230" s="271"/>
    </row>
    <row r="5231" spans="2:2" ht="24.95" customHeight="1">
      <c r="B5231" s="271"/>
    </row>
    <row r="5232" spans="2:2" ht="24.95" customHeight="1">
      <c r="B5232" s="271"/>
    </row>
    <row r="5233" spans="2:2" ht="24.95" customHeight="1">
      <c r="B5233" s="271"/>
    </row>
    <row r="5234" spans="2:2" ht="24.95" customHeight="1">
      <c r="B5234" s="271"/>
    </row>
    <row r="5235" spans="2:2" ht="24.95" customHeight="1">
      <c r="B5235" s="271"/>
    </row>
    <row r="5236" spans="2:2" ht="24.95" customHeight="1">
      <c r="B5236" s="271"/>
    </row>
    <row r="5237" spans="2:2" ht="24.95" customHeight="1">
      <c r="B5237" s="271"/>
    </row>
    <row r="5238" spans="2:2" ht="24.95" customHeight="1">
      <c r="B5238" s="271"/>
    </row>
    <row r="5239" spans="2:2" ht="24.95" customHeight="1">
      <c r="B5239" s="271"/>
    </row>
    <row r="5240" spans="2:2" ht="24.95" customHeight="1">
      <c r="B5240" s="271"/>
    </row>
    <row r="5241" spans="2:2" ht="24.95" customHeight="1">
      <c r="B5241" s="271"/>
    </row>
    <row r="5242" spans="2:2" ht="24.95" customHeight="1">
      <c r="B5242" s="271"/>
    </row>
    <row r="5243" spans="2:2" ht="24.95" customHeight="1">
      <c r="B5243" s="271"/>
    </row>
    <row r="5244" spans="2:2" ht="24.95" customHeight="1">
      <c r="B5244" s="271"/>
    </row>
    <row r="5245" spans="2:2" ht="24.95" customHeight="1">
      <c r="B5245" s="271"/>
    </row>
    <row r="5246" spans="2:2" ht="24.95" customHeight="1">
      <c r="B5246" s="271"/>
    </row>
    <row r="5247" spans="2:2" ht="24.95" customHeight="1">
      <c r="B5247" s="271"/>
    </row>
    <row r="5248" spans="2:2" ht="24.95" customHeight="1">
      <c r="B5248" s="271"/>
    </row>
    <row r="5249" spans="2:2" ht="24.95" customHeight="1">
      <c r="B5249" s="271"/>
    </row>
    <row r="5250" spans="2:2" ht="24.95" customHeight="1">
      <c r="B5250" s="271"/>
    </row>
    <row r="5251" spans="2:2" ht="24.95" customHeight="1">
      <c r="B5251" s="271"/>
    </row>
    <row r="5252" spans="2:2" ht="24.95" customHeight="1">
      <c r="B5252" s="271"/>
    </row>
    <row r="5253" spans="2:2" ht="24.95" customHeight="1">
      <c r="B5253" s="271"/>
    </row>
    <row r="5254" spans="2:2" ht="24.95" customHeight="1">
      <c r="B5254" s="271"/>
    </row>
    <row r="5255" spans="2:2" ht="24.95" customHeight="1">
      <c r="B5255" s="271"/>
    </row>
    <row r="5256" spans="2:2" ht="24.95" customHeight="1">
      <c r="B5256" s="271"/>
    </row>
    <row r="5257" spans="2:2" ht="24.95" customHeight="1">
      <c r="B5257" s="271"/>
    </row>
    <row r="5258" spans="2:2" ht="24.95" customHeight="1">
      <c r="B5258" s="271"/>
    </row>
    <row r="5259" spans="2:2" ht="24.95" customHeight="1">
      <c r="B5259" s="271"/>
    </row>
    <row r="5260" spans="2:2" ht="24.95" customHeight="1">
      <c r="B5260" s="271"/>
    </row>
    <row r="5261" spans="2:2" ht="24.95" customHeight="1">
      <c r="B5261" s="271"/>
    </row>
    <row r="5262" spans="2:2" ht="24.95" customHeight="1">
      <c r="B5262" s="271"/>
    </row>
    <row r="5263" spans="2:2" ht="24.95" customHeight="1">
      <c r="B5263" s="271"/>
    </row>
    <row r="5264" spans="2:2" ht="24.95" customHeight="1">
      <c r="B5264" s="271"/>
    </row>
    <row r="5265" spans="2:2" ht="24.95" customHeight="1">
      <c r="B5265" s="271"/>
    </row>
    <row r="5266" spans="2:2" ht="24.95" customHeight="1">
      <c r="B5266" s="271"/>
    </row>
    <row r="5267" spans="2:2" ht="24.95" customHeight="1">
      <c r="B5267" s="271"/>
    </row>
    <row r="5268" spans="2:2" ht="24.95" customHeight="1">
      <c r="B5268" s="271"/>
    </row>
    <row r="5269" spans="2:2" ht="24.95" customHeight="1">
      <c r="B5269" s="271"/>
    </row>
    <row r="5270" spans="2:2" ht="24.95" customHeight="1">
      <c r="B5270" s="271"/>
    </row>
    <row r="5271" spans="2:2" ht="24.95" customHeight="1">
      <c r="B5271" s="271"/>
    </row>
    <row r="5272" spans="2:2" ht="24.95" customHeight="1">
      <c r="B5272" s="271"/>
    </row>
    <row r="5273" spans="2:2" ht="24.95" customHeight="1">
      <c r="B5273" s="271"/>
    </row>
    <row r="5274" spans="2:2" ht="24.95" customHeight="1">
      <c r="B5274" s="271"/>
    </row>
    <row r="5275" spans="2:2" ht="24.95" customHeight="1">
      <c r="B5275" s="271"/>
    </row>
    <row r="5276" spans="2:2" ht="24.95" customHeight="1">
      <c r="B5276" s="271"/>
    </row>
    <row r="5277" spans="2:2" ht="24.95" customHeight="1">
      <c r="B5277" s="271"/>
    </row>
    <row r="5278" spans="2:2" ht="24.95" customHeight="1">
      <c r="B5278" s="271"/>
    </row>
    <row r="5279" spans="2:2" ht="24.95" customHeight="1">
      <c r="B5279" s="271"/>
    </row>
    <row r="5280" spans="2:2" ht="24.95" customHeight="1">
      <c r="B5280" s="271"/>
    </row>
    <row r="5281" spans="2:2" ht="24.95" customHeight="1">
      <c r="B5281" s="271"/>
    </row>
    <row r="5282" spans="2:2" ht="24.95" customHeight="1">
      <c r="B5282" s="271"/>
    </row>
    <row r="5283" spans="2:2" ht="24.95" customHeight="1">
      <c r="B5283" s="271"/>
    </row>
    <row r="5284" spans="2:2" ht="24.95" customHeight="1">
      <c r="B5284" s="271"/>
    </row>
    <row r="5285" spans="2:2" ht="24.95" customHeight="1">
      <c r="B5285" s="271"/>
    </row>
    <row r="5286" spans="2:2" ht="24.95" customHeight="1">
      <c r="B5286" s="271"/>
    </row>
    <row r="5287" spans="2:2" ht="24.95" customHeight="1">
      <c r="B5287" s="271"/>
    </row>
    <row r="5288" spans="2:2" ht="24.95" customHeight="1">
      <c r="B5288" s="271"/>
    </row>
    <row r="5289" spans="2:2" ht="24.95" customHeight="1">
      <c r="B5289" s="271"/>
    </row>
    <row r="5290" spans="2:2" ht="24.95" customHeight="1">
      <c r="B5290" s="271"/>
    </row>
    <row r="5291" spans="2:2" ht="24.95" customHeight="1">
      <c r="B5291" s="271"/>
    </row>
    <row r="5292" spans="2:2" ht="24.95" customHeight="1">
      <c r="B5292" s="271"/>
    </row>
    <row r="5293" spans="2:2" ht="24.95" customHeight="1">
      <c r="B5293" s="271"/>
    </row>
    <row r="5294" spans="2:2" ht="24.95" customHeight="1">
      <c r="B5294" s="271"/>
    </row>
    <row r="5295" spans="2:2" ht="24.95" customHeight="1">
      <c r="B5295" s="271"/>
    </row>
    <row r="5296" spans="2:2" ht="24.95" customHeight="1">
      <c r="B5296" s="271"/>
    </row>
    <row r="5297" spans="2:2" ht="24.95" customHeight="1">
      <c r="B5297" s="271"/>
    </row>
    <row r="5298" spans="2:2" ht="24.95" customHeight="1">
      <c r="B5298" s="271"/>
    </row>
    <row r="5299" spans="2:2" ht="24.95" customHeight="1">
      <c r="B5299" s="271"/>
    </row>
    <row r="5300" spans="2:2" ht="24.95" customHeight="1">
      <c r="B5300" s="271"/>
    </row>
    <row r="5301" spans="2:2" ht="24.95" customHeight="1">
      <c r="B5301" s="271"/>
    </row>
    <row r="5302" spans="2:2" ht="24.95" customHeight="1">
      <c r="B5302" s="271"/>
    </row>
    <row r="5303" spans="2:2" ht="24.95" customHeight="1">
      <c r="B5303" s="271"/>
    </row>
    <row r="5304" spans="2:2" ht="24.95" customHeight="1">
      <c r="B5304" s="271"/>
    </row>
    <row r="5305" spans="2:2" ht="24.95" customHeight="1">
      <c r="B5305" s="271"/>
    </row>
    <row r="5306" spans="2:2" ht="24.95" customHeight="1">
      <c r="B5306" s="271"/>
    </row>
    <row r="5307" spans="2:2" ht="24.95" customHeight="1">
      <c r="B5307" s="271"/>
    </row>
    <row r="5308" spans="2:2" ht="24.95" customHeight="1">
      <c r="B5308" s="271"/>
    </row>
    <row r="5309" spans="2:2" ht="24.95" customHeight="1">
      <c r="B5309" s="271"/>
    </row>
    <row r="5310" spans="2:2" ht="24.95" customHeight="1">
      <c r="B5310" s="271"/>
    </row>
    <row r="5311" spans="2:2" ht="24.95" customHeight="1">
      <c r="B5311" s="271"/>
    </row>
    <row r="5312" spans="2:2" ht="24.95" customHeight="1">
      <c r="B5312" s="271"/>
    </row>
    <row r="5313" spans="2:2" ht="24.95" customHeight="1">
      <c r="B5313" s="271"/>
    </row>
    <row r="5314" spans="2:2" ht="24.95" customHeight="1">
      <c r="B5314" s="271"/>
    </row>
    <row r="5315" spans="2:2" ht="24.95" customHeight="1">
      <c r="B5315" s="271"/>
    </row>
    <row r="5316" spans="2:2" ht="24.95" customHeight="1">
      <c r="B5316" s="271"/>
    </row>
    <row r="5317" spans="2:2" ht="24.95" customHeight="1">
      <c r="B5317" s="271"/>
    </row>
    <row r="5318" spans="2:2" ht="24.95" customHeight="1">
      <c r="B5318" s="271"/>
    </row>
    <row r="5319" spans="2:2" ht="24.95" customHeight="1">
      <c r="B5319" s="271"/>
    </row>
    <row r="5320" spans="2:2" ht="24.95" customHeight="1">
      <c r="B5320" s="271"/>
    </row>
    <row r="5321" spans="2:2" ht="24.95" customHeight="1">
      <c r="B5321" s="271"/>
    </row>
    <row r="5322" spans="2:2" ht="24.95" customHeight="1">
      <c r="B5322" s="271"/>
    </row>
    <row r="5323" spans="2:2" ht="24.95" customHeight="1">
      <c r="B5323" s="271"/>
    </row>
    <row r="5324" spans="2:2" ht="24.95" customHeight="1">
      <c r="B5324" s="271"/>
    </row>
    <row r="5325" spans="2:2" ht="24.95" customHeight="1">
      <c r="B5325" s="271"/>
    </row>
    <row r="5326" spans="2:2" ht="24.95" customHeight="1">
      <c r="B5326" s="271"/>
    </row>
    <row r="5327" spans="2:2" ht="24.95" customHeight="1">
      <c r="B5327" s="271"/>
    </row>
    <row r="5328" spans="2:2" ht="24.95" customHeight="1">
      <c r="B5328" s="271"/>
    </row>
    <row r="5329" spans="2:2" ht="24.95" customHeight="1">
      <c r="B5329" s="271"/>
    </row>
    <row r="5330" spans="2:2" ht="24.95" customHeight="1">
      <c r="B5330" s="271"/>
    </row>
    <row r="5331" spans="2:2" ht="24.95" customHeight="1">
      <c r="B5331" s="271"/>
    </row>
    <row r="5332" spans="2:2" ht="24.95" customHeight="1">
      <c r="B5332" s="271"/>
    </row>
    <row r="5333" spans="2:2" ht="24.95" customHeight="1">
      <c r="B5333" s="271"/>
    </row>
    <row r="5334" spans="2:2" ht="24.95" customHeight="1">
      <c r="B5334" s="271"/>
    </row>
    <row r="5335" spans="2:2" ht="24.95" customHeight="1">
      <c r="B5335" s="271"/>
    </row>
    <row r="5336" spans="2:2" ht="24.95" customHeight="1">
      <c r="B5336" s="271"/>
    </row>
    <row r="5337" spans="2:2" ht="24.95" customHeight="1">
      <c r="B5337" s="271"/>
    </row>
    <row r="5338" spans="2:2" ht="24.95" customHeight="1">
      <c r="B5338" s="271"/>
    </row>
    <row r="5339" spans="2:2" ht="24.95" customHeight="1">
      <c r="B5339" s="271"/>
    </row>
    <row r="5340" spans="2:2" ht="24.95" customHeight="1">
      <c r="B5340" s="271"/>
    </row>
    <row r="5341" spans="2:2" ht="24.95" customHeight="1">
      <c r="B5341" s="271"/>
    </row>
    <row r="5342" spans="2:2" ht="24.95" customHeight="1">
      <c r="B5342" s="271"/>
    </row>
    <row r="5343" spans="2:2" ht="24.95" customHeight="1">
      <c r="B5343" s="271"/>
    </row>
    <row r="5344" spans="2:2" ht="24.95" customHeight="1">
      <c r="B5344" s="271"/>
    </row>
    <row r="5345" spans="2:2" ht="24.95" customHeight="1">
      <c r="B5345" s="271"/>
    </row>
    <row r="5346" spans="2:2" ht="24.95" customHeight="1">
      <c r="B5346" s="271"/>
    </row>
    <row r="5347" spans="2:2" ht="24.95" customHeight="1">
      <c r="B5347" s="271"/>
    </row>
    <row r="5348" spans="2:2" ht="24.95" customHeight="1">
      <c r="B5348" s="271"/>
    </row>
    <row r="5349" spans="2:2" ht="24.95" customHeight="1">
      <c r="B5349" s="271"/>
    </row>
    <row r="5350" spans="2:2" ht="24.95" customHeight="1">
      <c r="B5350" s="271"/>
    </row>
    <row r="5351" spans="2:2" ht="24.95" customHeight="1">
      <c r="B5351" s="271"/>
    </row>
    <row r="5352" spans="2:2" ht="24.95" customHeight="1">
      <c r="B5352" s="271"/>
    </row>
    <row r="5353" spans="2:2" ht="24.95" customHeight="1">
      <c r="B5353" s="271"/>
    </row>
    <row r="5354" spans="2:2" ht="24.95" customHeight="1">
      <c r="B5354" s="271"/>
    </row>
    <row r="5355" spans="2:2" ht="24.95" customHeight="1">
      <c r="B5355" s="271"/>
    </row>
    <row r="5356" spans="2:2" ht="24.95" customHeight="1">
      <c r="B5356" s="271"/>
    </row>
    <row r="5357" spans="2:2" ht="24.95" customHeight="1">
      <c r="B5357" s="271"/>
    </row>
    <row r="5358" spans="2:2" ht="24.95" customHeight="1">
      <c r="B5358" s="271"/>
    </row>
    <row r="5359" spans="2:2" ht="24.95" customHeight="1">
      <c r="B5359" s="271"/>
    </row>
    <row r="5360" spans="2:2" ht="24.95" customHeight="1">
      <c r="B5360" s="271"/>
    </row>
    <row r="5361" spans="2:2" ht="24.95" customHeight="1">
      <c r="B5361" s="271"/>
    </row>
    <row r="5362" spans="2:2" ht="24.95" customHeight="1">
      <c r="B5362" s="271"/>
    </row>
    <row r="5363" spans="2:2" ht="24.95" customHeight="1">
      <c r="B5363" s="271"/>
    </row>
    <row r="5364" spans="2:2" ht="24.95" customHeight="1">
      <c r="B5364" s="271"/>
    </row>
    <row r="5365" spans="2:2" ht="24.95" customHeight="1">
      <c r="B5365" s="271"/>
    </row>
    <row r="5366" spans="2:2" ht="24.95" customHeight="1">
      <c r="B5366" s="271"/>
    </row>
    <row r="5367" spans="2:2" ht="24.95" customHeight="1">
      <c r="B5367" s="271"/>
    </row>
    <row r="5368" spans="2:2" ht="24.95" customHeight="1">
      <c r="B5368" s="271"/>
    </row>
    <row r="5369" spans="2:2" ht="24.95" customHeight="1">
      <c r="B5369" s="271"/>
    </row>
    <row r="5370" spans="2:2" ht="24.95" customHeight="1">
      <c r="B5370" s="271"/>
    </row>
    <row r="5371" spans="2:2" ht="24.95" customHeight="1">
      <c r="B5371" s="271"/>
    </row>
    <row r="5372" spans="2:2" ht="24.95" customHeight="1">
      <c r="B5372" s="271"/>
    </row>
    <row r="5373" spans="2:2" ht="24.95" customHeight="1">
      <c r="B5373" s="271"/>
    </row>
    <row r="5374" spans="2:2" ht="24.95" customHeight="1">
      <c r="B5374" s="271"/>
    </row>
    <row r="5375" spans="2:2" ht="24.95" customHeight="1">
      <c r="B5375" s="271"/>
    </row>
    <row r="5376" spans="2:2" ht="24.95" customHeight="1">
      <c r="B5376" s="271"/>
    </row>
    <row r="5377" spans="2:2" ht="24.95" customHeight="1">
      <c r="B5377" s="271"/>
    </row>
    <row r="5378" spans="2:2" ht="24.95" customHeight="1">
      <c r="B5378" s="271"/>
    </row>
    <row r="5379" spans="2:2" ht="24.95" customHeight="1">
      <c r="B5379" s="271"/>
    </row>
    <row r="5380" spans="2:2" ht="24.95" customHeight="1">
      <c r="B5380" s="271"/>
    </row>
    <row r="5381" spans="2:2" ht="24.95" customHeight="1">
      <c r="B5381" s="271"/>
    </row>
    <row r="5382" spans="2:2" ht="24.95" customHeight="1">
      <c r="B5382" s="271"/>
    </row>
    <row r="5383" spans="2:2" ht="24.95" customHeight="1">
      <c r="B5383" s="271"/>
    </row>
    <row r="5384" spans="2:2" ht="24.95" customHeight="1">
      <c r="B5384" s="271"/>
    </row>
    <row r="5385" spans="2:2" ht="24.95" customHeight="1">
      <c r="B5385" s="271"/>
    </row>
    <row r="5386" spans="2:2" ht="24.95" customHeight="1">
      <c r="B5386" s="271"/>
    </row>
    <row r="5387" spans="2:2" ht="24.95" customHeight="1">
      <c r="B5387" s="271"/>
    </row>
    <row r="5388" spans="2:2" ht="24.95" customHeight="1">
      <c r="B5388" s="271"/>
    </row>
    <row r="5389" spans="2:2" ht="24.95" customHeight="1">
      <c r="B5389" s="271"/>
    </row>
    <row r="5390" spans="2:2" ht="24.95" customHeight="1">
      <c r="B5390" s="271"/>
    </row>
    <row r="5391" spans="2:2" ht="24.95" customHeight="1">
      <c r="B5391" s="271"/>
    </row>
    <row r="5392" spans="2:2" ht="24.95" customHeight="1">
      <c r="B5392" s="271"/>
    </row>
    <row r="5393" spans="2:2" ht="24.95" customHeight="1">
      <c r="B5393" s="271"/>
    </row>
    <row r="5394" spans="2:2" ht="24.95" customHeight="1">
      <c r="B5394" s="271"/>
    </row>
    <row r="5395" spans="2:2" ht="24.95" customHeight="1">
      <c r="B5395" s="271"/>
    </row>
    <row r="5396" spans="2:2" ht="24.95" customHeight="1">
      <c r="B5396" s="271"/>
    </row>
    <row r="5397" spans="2:2" ht="24.95" customHeight="1">
      <c r="B5397" s="271"/>
    </row>
    <row r="5398" spans="2:2" ht="24.95" customHeight="1">
      <c r="B5398" s="271"/>
    </row>
    <row r="5399" spans="2:2" ht="24.95" customHeight="1">
      <c r="B5399" s="271"/>
    </row>
    <row r="5400" spans="2:2" ht="24.95" customHeight="1">
      <c r="B5400" s="271"/>
    </row>
    <row r="5401" spans="2:2" ht="24.95" customHeight="1">
      <c r="B5401" s="271"/>
    </row>
    <row r="5402" spans="2:2" ht="24.95" customHeight="1">
      <c r="B5402" s="271"/>
    </row>
    <row r="5403" spans="2:2" ht="24.95" customHeight="1">
      <c r="B5403" s="271"/>
    </row>
    <row r="5404" spans="2:2" ht="24.95" customHeight="1">
      <c r="B5404" s="271"/>
    </row>
    <row r="5405" spans="2:2" ht="24.95" customHeight="1">
      <c r="B5405" s="271"/>
    </row>
    <row r="5406" spans="2:2" ht="24.95" customHeight="1">
      <c r="B5406" s="271"/>
    </row>
    <row r="5407" spans="2:2" ht="24.95" customHeight="1">
      <c r="B5407" s="271"/>
    </row>
    <row r="5408" spans="2:2" ht="24.95" customHeight="1">
      <c r="B5408" s="271"/>
    </row>
    <row r="5409" spans="2:2" ht="24.95" customHeight="1">
      <c r="B5409" s="271"/>
    </row>
    <row r="5410" spans="2:2" ht="24.95" customHeight="1">
      <c r="B5410" s="271"/>
    </row>
    <row r="5411" spans="2:2" ht="24.95" customHeight="1">
      <c r="B5411" s="271"/>
    </row>
    <row r="5412" spans="2:2" ht="24.95" customHeight="1">
      <c r="B5412" s="271"/>
    </row>
    <row r="5413" spans="2:2" ht="24.95" customHeight="1">
      <c r="B5413" s="271"/>
    </row>
    <row r="5414" spans="2:2" ht="24.95" customHeight="1">
      <c r="B5414" s="271"/>
    </row>
    <row r="5415" spans="2:2" ht="24.95" customHeight="1">
      <c r="B5415" s="271"/>
    </row>
    <row r="5416" spans="2:2" ht="24.95" customHeight="1">
      <c r="B5416" s="271"/>
    </row>
    <row r="5417" spans="2:2" ht="24.95" customHeight="1">
      <c r="B5417" s="271"/>
    </row>
    <row r="5418" spans="2:2" ht="24.95" customHeight="1">
      <c r="B5418" s="271"/>
    </row>
    <row r="5419" spans="2:2" ht="24.95" customHeight="1">
      <c r="B5419" s="271"/>
    </row>
    <row r="5420" spans="2:2" ht="24.95" customHeight="1">
      <c r="B5420" s="271"/>
    </row>
    <row r="5421" spans="2:2" ht="24.95" customHeight="1">
      <c r="B5421" s="271"/>
    </row>
    <row r="5422" spans="2:2" ht="24.95" customHeight="1">
      <c r="B5422" s="271"/>
    </row>
    <row r="5423" spans="2:2" ht="24.95" customHeight="1">
      <c r="B5423" s="271"/>
    </row>
    <row r="5424" spans="2:2" ht="24.95" customHeight="1">
      <c r="B5424" s="271"/>
    </row>
    <row r="5425" spans="2:2" ht="24.95" customHeight="1">
      <c r="B5425" s="271"/>
    </row>
    <row r="5426" spans="2:2" ht="24.95" customHeight="1">
      <c r="B5426" s="271"/>
    </row>
    <row r="5427" spans="2:2" ht="24.95" customHeight="1">
      <c r="B5427" s="271"/>
    </row>
    <row r="5428" spans="2:2" ht="24.95" customHeight="1">
      <c r="B5428" s="271"/>
    </row>
    <row r="5429" spans="2:2" ht="24.95" customHeight="1">
      <c r="B5429" s="271"/>
    </row>
    <row r="5430" spans="2:2" ht="24.95" customHeight="1">
      <c r="B5430" s="271"/>
    </row>
    <row r="5431" spans="2:2" ht="24.95" customHeight="1">
      <c r="B5431" s="271"/>
    </row>
    <row r="5432" spans="2:2" ht="24.95" customHeight="1">
      <c r="B5432" s="271"/>
    </row>
    <row r="5433" spans="2:2" ht="24.95" customHeight="1">
      <c r="B5433" s="271"/>
    </row>
    <row r="5434" spans="2:2" ht="24.95" customHeight="1">
      <c r="B5434" s="271"/>
    </row>
    <row r="5435" spans="2:2" ht="24.95" customHeight="1">
      <c r="B5435" s="271"/>
    </row>
    <row r="5436" spans="2:2" ht="24.95" customHeight="1">
      <c r="B5436" s="271"/>
    </row>
    <row r="5437" spans="2:2" ht="24.95" customHeight="1">
      <c r="B5437" s="271"/>
    </row>
    <row r="5438" spans="2:2" ht="24.95" customHeight="1">
      <c r="B5438" s="271"/>
    </row>
    <row r="5439" spans="2:2" ht="24.95" customHeight="1">
      <c r="B5439" s="271"/>
    </row>
    <row r="5440" spans="2:2" ht="24.95" customHeight="1">
      <c r="B5440" s="271"/>
    </row>
    <row r="5441" spans="2:2" ht="24.95" customHeight="1">
      <c r="B5441" s="271"/>
    </row>
    <row r="5442" spans="2:2" ht="24.95" customHeight="1">
      <c r="B5442" s="271"/>
    </row>
    <row r="5443" spans="2:2" ht="24.95" customHeight="1">
      <c r="B5443" s="271"/>
    </row>
    <row r="5444" spans="2:2" ht="24.95" customHeight="1">
      <c r="B5444" s="271"/>
    </row>
    <row r="5445" spans="2:2" ht="24.95" customHeight="1">
      <c r="B5445" s="271"/>
    </row>
    <row r="5446" spans="2:2" ht="24.95" customHeight="1">
      <c r="B5446" s="271"/>
    </row>
    <row r="5447" spans="2:2" ht="24.95" customHeight="1">
      <c r="B5447" s="271"/>
    </row>
    <row r="5448" spans="2:2" ht="24.95" customHeight="1">
      <c r="B5448" s="271"/>
    </row>
    <row r="5449" spans="2:2" ht="24.95" customHeight="1">
      <c r="B5449" s="271"/>
    </row>
    <row r="5450" spans="2:2" ht="24.95" customHeight="1">
      <c r="B5450" s="271"/>
    </row>
    <row r="5451" spans="2:2" ht="24.95" customHeight="1">
      <c r="B5451" s="271"/>
    </row>
    <row r="5452" spans="2:2" ht="24.95" customHeight="1">
      <c r="B5452" s="271"/>
    </row>
    <row r="5453" spans="2:2" ht="24.95" customHeight="1">
      <c r="B5453" s="271"/>
    </row>
    <row r="5454" spans="2:2" ht="24.95" customHeight="1">
      <c r="B5454" s="271"/>
    </row>
    <row r="5455" spans="2:2" ht="24.95" customHeight="1">
      <c r="B5455" s="271"/>
    </row>
    <row r="5456" spans="2:2" ht="24.95" customHeight="1">
      <c r="B5456" s="271"/>
    </row>
    <row r="5457" spans="2:2" ht="24.95" customHeight="1">
      <c r="B5457" s="271"/>
    </row>
    <row r="5458" spans="2:2" ht="24.95" customHeight="1">
      <c r="B5458" s="271"/>
    </row>
    <row r="5459" spans="2:2" ht="24.95" customHeight="1">
      <c r="B5459" s="271"/>
    </row>
    <row r="5460" spans="2:2" ht="24.95" customHeight="1">
      <c r="B5460" s="271"/>
    </row>
    <row r="5461" spans="2:2" ht="24.95" customHeight="1">
      <c r="B5461" s="271"/>
    </row>
    <row r="5462" spans="2:2" ht="24.95" customHeight="1">
      <c r="B5462" s="271"/>
    </row>
    <row r="5463" spans="2:2" ht="24.95" customHeight="1">
      <c r="B5463" s="271"/>
    </row>
    <row r="5464" spans="2:2" ht="24.95" customHeight="1">
      <c r="B5464" s="271"/>
    </row>
    <row r="5465" spans="2:2" ht="24.95" customHeight="1">
      <c r="B5465" s="271"/>
    </row>
    <row r="5466" spans="2:2" ht="24.95" customHeight="1">
      <c r="B5466" s="271"/>
    </row>
    <row r="5467" spans="2:2" ht="24.95" customHeight="1">
      <c r="B5467" s="271"/>
    </row>
    <row r="5468" spans="2:2" ht="24.95" customHeight="1">
      <c r="B5468" s="271"/>
    </row>
    <row r="5469" spans="2:2" ht="24.95" customHeight="1">
      <c r="B5469" s="271"/>
    </row>
    <row r="5470" spans="2:2" ht="24.95" customHeight="1">
      <c r="B5470" s="271"/>
    </row>
    <row r="5471" spans="2:2" ht="24.95" customHeight="1">
      <c r="B5471" s="271"/>
    </row>
    <row r="5472" spans="2:2" ht="24.95" customHeight="1">
      <c r="B5472" s="271"/>
    </row>
    <row r="5473" spans="2:2" ht="24.95" customHeight="1">
      <c r="B5473" s="271"/>
    </row>
    <row r="5474" spans="2:2" ht="24.95" customHeight="1">
      <c r="B5474" s="271"/>
    </row>
    <row r="5475" spans="2:2" ht="24.95" customHeight="1">
      <c r="B5475" s="271"/>
    </row>
    <row r="5476" spans="2:2" ht="24.95" customHeight="1">
      <c r="B5476" s="271"/>
    </row>
    <row r="5477" spans="2:2" ht="24.95" customHeight="1">
      <c r="B5477" s="271"/>
    </row>
    <row r="5478" spans="2:2" ht="24.95" customHeight="1">
      <c r="B5478" s="271"/>
    </row>
    <row r="5479" spans="2:2" ht="24.95" customHeight="1">
      <c r="B5479" s="271"/>
    </row>
    <row r="5480" spans="2:2" ht="24.95" customHeight="1">
      <c r="B5480" s="271"/>
    </row>
    <row r="5481" spans="2:2" ht="24.95" customHeight="1">
      <c r="B5481" s="271"/>
    </row>
    <row r="5482" spans="2:2" ht="24.95" customHeight="1">
      <c r="B5482" s="271"/>
    </row>
    <row r="5483" spans="2:2" ht="24.95" customHeight="1">
      <c r="B5483" s="271"/>
    </row>
    <row r="5484" spans="2:2" ht="24.95" customHeight="1">
      <c r="B5484" s="271"/>
    </row>
    <row r="5485" spans="2:2" ht="24.95" customHeight="1">
      <c r="B5485" s="271"/>
    </row>
    <row r="5486" spans="2:2" ht="24.95" customHeight="1">
      <c r="B5486" s="271"/>
    </row>
    <row r="5487" spans="2:2" ht="24.95" customHeight="1">
      <c r="B5487" s="271"/>
    </row>
    <row r="5488" spans="2:2" ht="24.95" customHeight="1">
      <c r="B5488" s="271"/>
    </row>
    <row r="5489" spans="2:2" ht="24.95" customHeight="1">
      <c r="B5489" s="271"/>
    </row>
    <row r="5490" spans="2:2" ht="24.95" customHeight="1">
      <c r="B5490" s="271"/>
    </row>
    <row r="5491" spans="2:2" ht="24.95" customHeight="1">
      <c r="B5491" s="271"/>
    </row>
    <row r="5492" spans="2:2" ht="24.95" customHeight="1">
      <c r="B5492" s="271"/>
    </row>
    <row r="5493" spans="2:2" ht="24.95" customHeight="1">
      <c r="B5493" s="271"/>
    </row>
    <row r="5494" spans="2:2" ht="24.95" customHeight="1">
      <c r="B5494" s="271"/>
    </row>
    <row r="5495" spans="2:2" ht="24.95" customHeight="1">
      <c r="B5495" s="271"/>
    </row>
    <row r="5496" spans="2:2" ht="24.95" customHeight="1">
      <c r="B5496" s="271"/>
    </row>
    <row r="5497" spans="2:2" ht="24.95" customHeight="1">
      <c r="B5497" s="271"/>
    </row>
    <row r="5498" spans="2:2" ht="24.95" customHeight="1">
      <c r="B5498" s="271"/>
    </row>
    <row r="5499" spans="2:2" ht="24.95" customHeight="1">
      <c r="B5499" s="271"/>
    </row>
    <row r="5500" spans="2:2" ht="24.95" customHeight="1">
      <c r="B5500" s="271"/>
    </row>
    <row r="5501" spans="2:2" ht="24.95" customHeight="1">
      <c r="B5501" s="271"/>
    </row>
    <row r="5502" spans="2:2" ht="24.95" customHeight="1">
      <c r="B5502" s="271"/>
    </row>
    <row r="5503" spans="2:2" ht="24.95" customHeight="1">
      <c r="B5503" s="271"/>
    </row>
    <row r="5504" spans="2:2" ht="24.95" customHeight="1">
      <c r="B5504" s="271"/>
    </row>
    <row r="5505" spans="2:2" ht="24.95" customHeight="1">
      <c r="B5505" s="271"/>
    </row>
    <row r="5506" spans="2:2" ht="24.95" customHeight="1">
      <c r="B5506" s="271"/>
    </row>
    <row r="5507" spans="2:2" ht="24.95" customHeight="1">
      <c r="B5507" s="271"/>
    </row>
    <row r="5508" spans="2:2" ht="24.95" customHeight="1">
      <c r="B5508" s="271"/>
    </row>
    <row r="5509" spans="2:2" ht="24.95" customHeight="1">
      <c r="B5509" s="271"/>
    </row>
    <row r="5510" spans="2:2" ht="24.95" customHeight="1">
      <c r="B5510" s="271"/>
    </row>
    <row r="5511" spans="2:2" ht="24.95" customHeight="1">
      <c r="B5511" s="271"/>
    </row>
    <row r="5512" spans="2:2" ht="24.95" customHeight="1">
      <c r="B5512" s="271"/>
    </row>
    <row r="5513" spans="2:2" ht="24.95" customHeight="1">
      <c r="B5513" s="271"/>
    </row>
    <row r="5514" spans="2:2" ht="24.95" customHeight="1">
      <c r="B5514" s="271"/>
    </row>
    <row r="5515" spans="2:2" ht="24.95" customHeight="1">
      <c r="B5515" s="271"/>
    </row>
    <row r="5516" spans="2:2" ht="24.95" customHeight="1">
      <c r="B5516" s="271"/>
    </row>
    <row r="5517" spans="2:2" ht="24.95" customHeight="1">
      <c r="B5517" s="271"/>
    </row>
    <row r="5518" spans="2:2" ht="24.95" customHeight="1">
      <c r="B5518" s="271"/>
    </row>
    <row r="5519" spans="2:2" ht="24.95" customHeight="1">
      <c r="B5519" s="271"/>
    </row>
    <row r="5520" spans="2:2" ht="24.95" customHeight="1">
      <c r="B5520" s="271"/>
    </row>
    <row r="5521" spans="2:2" ht="24.95" customHeight="1">
      <c r="B5521" s="271"/>
    </row>
    <row r="5522" spans="2:2" ht="24.95" customHeight="1">
      <c r="B5522" s="271"/>
    </row>
    <row r="5523" spans="2:2" ht="24.95" customHeight="1">
      <c r="B5523" s="271"/>
    </row>
    <row r="5524" spans="2:2" ht="24.95" customHeight="1">
      <c r="B5524" s="271"/>
    </row>
    <row r="5525" spans="2:2" ht="24.95" customHeight="1">
      <c r="B5525" s="271"/>
    </row>
    <row r="5526" spans="2:2" ht="24.95" customHeight="1">
      <c r="B5526" s="271"/>
    </row>
    <row r="5527" spans="2:2" ht="24.95" customHeight="1">
      <c r="B5527" s="271"/>
    </row>
    <row r="5528" spans="2:2" ht="24.95" customHeight="1">
      <c r="B5528" s="271"/>
    </row>
    <row r="5529" spans="2:2" ht="24.95" customHeight="1">
      <c r="B5529" s="271"/>
    </row>
    <row r="5530" spans="2:2" ht="24.95" customHeight="1">
      <c r="B5530" s="271"/>
    </row>
    <row r="5531" spans="2:2" ht="24.95" customHeight="1">
      <c r="B5531" s="271"/>
    </row>
    <row r="5532" spans="2:2" ht="24.95" customHeight="1">
      <c r="B5532" s="271"/>
    </row>
    <row r="5533" spans="2:2" ht="24.95" customHeight="1">
      <c r="B5533" s="271"/>
    </row>
    <row r="5534" spans="2:2" ht="24.95" customHeight="1">
      <c r="B5534" s="271"/>
    </row>
    <row r="5535" spans="2:2" ht="24.95" customHeight="1">
      <c r="B5535" s="271"/>
    </row>
    <row r="5536" spans="2:2" ht="24.95" customHeight="1">
      <c r="B5536" s="271"/>
    </row>
    <row r="5537" spans="2:2" ht="24.95" customHeight="1">
      <c r="B5537" s="271"/>
    </row>
    <row r="5538" spans="2:2" ht="24.95" customHeight="1">
      <c r="B5538" s="271"/>
    </row>
    <row r="5539" spans="2:2" ht="24.95" customHeight="1">
      <c r="B5539" s="271"/>
    </row>
    <row r="5540" spans="2:2" ht="24.95" customHeight="1">
      <c r="B5540" s="271"/>
    </row>
    <row r="5541" spans="2:2" ht="24.95" customHeight="1">
      <c r="B5541" s="271"/>
    </row>
    <row r="5542" spans="2:2" ht="24.95" customHeight="1">
      <c r="B5542" s="271"/>
    </row>
    <row r="5543" spans="2:2" ht="24.95" customHeight="1">
      <c r="B5543" s="271"/>
    </row>
    <row r="5544" spans="2:2" ht="24.95" customHeight="1">
      <c r="B5544" s="271"/>
    </row>
    <row r="5545" spans="2:2" ht="24.95" customHeight="1">
      <c r="B5545" s="271"/>
    </row>
    <row r="5546" spans="2:2" ht="24.95" customHeight="1">
      <c r="B5546" s="271"/>
    </row>
    <row r="5547" spans="2:2" ht="24.95" customHeight="1">
      <c r="B5547" s="271"/>
    </row>
    <row r="5548" spans="2:2" ht="24.95" customHeight="1">
      <c r="B5548" s="271"/>
    </row>
    <row r="5549" spans="2:2" ht="24.95" customHeight="1">
      <c r="B5549" s="271"/>
    </row>
    <row r="5550" spans="2:2" ht="24.95" customHeight="1">
      <c r="B5550" s="271"/>
    </row>
    <row r="5551" spans="2:2" ht="24.95" customHeight="1">
      <c r="B5551" s="271"/>
    </row>
    <row r="5552" spans="2:2" ht="24.95" customHeight="1">
      <c r="B5552" s="271"/>
    </row>
    <row r="5553" spans="2:2" ht="24.95" customHeight="1">
      <c r="B5553" s="271"/>
    </row>
    <row r="5554" spans="2:2" ht="24.95" customHeight="1">
      <c r="B5554" s="271"/>
    </row>
    <row r="5555" spans="2:2" ht="24.95" customHeight="1">
      <c r="B5555" s="271"/>
    </row>
    <row r="5556" spans="2:2" ht="24.95" customHeight="1">
      <c r="B5556" s="271"/>
    </row>
    <row r="5557" spans="2:2" ht="24.95" customHeight="1">
      <c r="B5557" s="271"/>
    </row>
    <row r="5558" spans="2:2" ht="24.95" customHeight="1">
      <c r="B5558" s="271"/>
    </row>
    <row r="5559" spans="2:2" ht="24.95" customHeight="1">
      <c r="B5559" s="271"/>
    </row>
    <row r="5560" spans="2:2" ht="24.95" customHeight="1">
      <c r="B5560" s="271"/>
    </row>
    <row r="5561" spans="2:2" ht="24.95" customHeight="1">
      <c r="B5561" s="271"/>
    </row>
    <row r="5562" spans="2:2" ht="24.95" customHeight="1">
      <c r="B5562" s="271"/>
    </row>
    <row r="5563" spans="2:2" ht="24.95" customHeight="1">
      <c r="B5563" s="271"/>
    </row>
    <row r="5564" spans="2:2" ht="24.95" customHeight="1">
      <c r="B5564" s="271"/>
    </row>
    <row r="5565" spans="2:2" ht="24.95" customHeight="1">
      <c r="B5565" s="271"/>
    </row>
    <row r="5566" spans="2:2" ht="24.95" customHeight="1">
      <c r="B5566" s="271"/>
    </row>
    <row r="5567" spans="2:2" ht="24.95" customHeight="1">
      <c r="B5567" s="271"/>
    </row>
    <row r="5568" spans="2:2" ht="24.95" customHeight="1">
      <c r="B5568" s="271"/>
    </row>
    <row r="5569" spans="2:2" ht="24.95" customHeight="1">
      <c r="B5569" s="271"/>
    </row>
    <row r="5570" spans="2:2" ht="24.95" customHeight="1">
      <c r="B5570" s="271"/>
    </row>
    <row r="5571" spans="2:2" ht="24.95" customHeight="1">
      <c r="B5571" s="271"/>
    </row>
    <row r="5572" spans="2:2" ht="24.95" customHeight="1">
      <c r="B5572" s="271"/>
    </row>
    <row r="5573" spans="2:2" ht="24.95" customHeight="1">
      <c r="B5573" s="271"/>
    </row>
    <row r="5574" spans="2:2" ht="24.95" customHeight="1">
      <c r="B5574" s="271"/>
    </row>
    <row r="5575" spans="2:2" ht="24.95" customHeight="1">
      <c r="B5575" s="271"/>
    </row>
    <row r="5576" spans="2:2" ht="24.95" customHeight="1">
      <c r="B5576" s="271"/>
    </row>
    <row r="5577" spans="2:2" ht="24.95" customHeight="1">
      <c r="B5577" s="271"/>
    </row>
    <row r="5578" spans="2:2" ht="24.95" customHeight="1">
      <c r="B5578" s="271"/>
    </row>
    <row r="5579" spans="2:2" ht="24.95" customHeight="1">
      <c r="B5579" s="271"/>
    </row>
    <row r="5580" spans="2:2" ht="24.95" customHeight="1">
      <c r="B5580" s="271"/>
    </row>
    <row r="5581" spans="2:2" ht="24.95" customHeight="1">
      <c r="B5581" s="271"/>
    </row>
    <row r="5582" spans="2:2" ht="24.95" customHeight="1">
      <c r="B5582" s="271"/>
    </row>
    <row r="5583" spans="2:2" ht="24.95" customHeight="1">
      <c r="B5583" s="271"/>
    </row>
    <row r="5584" spans="2:2" ht="24.95" customHeight="1">
      <c r="B5584" s="271"/>
    </row>
    <row r="5585" spans="2:2" ht="24.95" customHeight="1">
      <c r="B5585" s="271"/>
    </row>
    <row r="5586" spans="2:2" ht="24.95" customHeight="1">
      <c r="B5586" s="271"/>
    </row>
    <row r="5587" spans="2:2" ht="24.95" customHeight="1">
      <c r="B5587" s="271"/>
    </row>
    <row r="5588" spans="2:2" ht="24.95" customHeight="1">
      <c r="B5588" s="271"/>
    </row>
    <row r="5589" spans="2:2" ht="24.95" customHeight="1">
      <c r="B5589" s="271"/>
    </row>
    <row r="5590" spans="2:2" ht="24.95" customHeight="1">
      <c r="B5590" s="271"/>
    </row>
    <row r="5591" spans="2:2" ht="24.95" customHeight="1">
      <c r="B5591" s="271"/>
    </row>
    <row r="5592" spans="2:2" ht="24.95" customHeight="1">
      <c r="B5592" s="271"/>
    </row>
    <row r="5593" spans="2:2" ht="24.95" customHeight="1">
      <c r="B5593" s="271"/>
    </row>
    <row r="5594" spans="2:2" ht="24.95" customHeight="1">
      <c r="B5594" s="271"/>
    </row>
    <row r="5595" spans="2:2" ht="24.95" customHeight="1">
      <c r="B5595" s="271"/>
    </row>
    <row r="5596" spans="2:2" ht="24.95" customHeight="1">
      <c r="B5596" s="271"/>
    </row>
    <row r="5597" spans="2:2" ht="24.95" customHeight="1">
      <c r="B5597" s="271"/>
    </row>
    <row r="5598" spans="2:2" ht="24.95" customHeight="1">
      <c r="B5598" s="271"/>
    </row>
    <row r="5599" spans="2:2" ht="24.95" customHeight="1">
      <c r="B5599" s="271"/>
    </row>
    <row r="5600" spans="2:2" ht="24.95" customHeight="1">
      <c r="B5600" s="271"/>
    </row>
    <row r="5601" spans="2:2" ht="24.95" customHeight="1">
      <c r="B5601" s="271"/>
    </row>
    <row r="5602" spans="2:2" ht="24.95" customHeight="1">
      <c r="B5602" s="271"/>
    </row>
    <row r="5603" spans="2:2" ht="24.95" customHeight="1">
      <c r="B5603" s="271"/>
    </row>
    <row r="5604" spans="2:2" ht="24.95" customHeight="1">
      <c r="B5604" s="271"/>
    </row>
    <row r="5605" spans="2:2" ht="24.95" customHeight="1">
      <c r="B5605" s="271"/>
    </row>
    <row r="5606" spans="2:2" ht="24.95" customHeight="1">
      <c r="B5606" s="271"/>
    </row>
    <row r="5607" spans="2:2" ht="24.95" customHeight="1">
      <c r="B5607" s="271"/>
    </row>
    <row r="5608" spans="2:2" ht="24.95" customHeight="1">
      <c r="B5608" s="271"/>
    </row>
    <row r="5609" spans="2:2" ht="24.95" customHeight="1">
      <c r="B5609" s="271"/>
    </row>
    <row r="5610" spans="2:2" ht="24.95" customHeight="1">
      <c r="B5610" s="271"/>
    </row>
    <row r="5611" spans="2:2" ht="24.95" customHeight="1">
      <c r="B5611" s="271"/>
    </row>
    <row r="5612" spans="2:2" ht="24.95" customHeight="1">
      <c r="B5612" s="271"/>
    </row>
    <row r="5613" spans="2:2" ht="24.95" customHeight="1">
      <c r="B5613" s="271"/>
    </row>
    <row r="5614" spans="2:2" ht="24.95" customHeight="1">
      <c r="B5614" s="271"/>
    </row>
    <row r="5615" spans="2:2" ht="24.95" customHeight="1">
      <c r="B5615" s="271"/>
    </row>
    <row r="5616" spans="2:2" ht="24.95" customHeight="1">
      <c r="B5616" s="271"/>
    </row>
    <row r="5617" spans="2:2" ht="24.95" customHeight="1">
      <c r="B5617" s="271"/>
    </row>
    <row r="5618" spans="2:2" ht="24.95" customHeight="1">
      <c r="B5618" s="271"/>
    </row>
    <row r="5619" spans="2:2" ht="24.95" customHeight="1">
      <c r="B5619" s="271"/>
    </row>
    <row r="5620" spans="2:2" ht="24.95" customHeight="1">
      <c r="B5620" s="271"/>
    </row>
    <row r="5621" spans="2:2" ht="24.95" customHeight="1">
      <c r="B5621" s="271"/>
    </row>
    <row r="5622" spans="2:2" ht="24.95" customHeight="1">
      <c r="B5622" s="271"/>
    </row>
    <row r="5623" spans="2:2" ht="24.95" customHeight="1">
      <c r="B5623" s="271"/>
    </row>
    <row r="5624" spans="2:2" ht="24.95" customHeight="1">
      <c r="B5624" s="271"/>
    </row>
    <row r="5625" spans="2:2" ht="24.95" customHeight="1">
      <c r="B5625" s="271"/>
    </row>
    <row r="5626" spans="2:2" ht="24.95" customHeight="1">
      <c r="B5626" s="271"/>
    </row>
    <row r="5627" spans="2:2" ht="24.95" customHeight="1">
      <c r="B5627" s="271"/>
    </row>
    <row r="5628" spans="2:2" ht="24.95" customHeight="1">
      <c r="B5628" s="271"/>
    </row>
    <row r="5629" spans="2:2" ht="24.95" customHeight="1">
      <c r="B5629" s="271"/>
    </row>
    <row r="5630" spans="2:2" ht="24.95" customHeight="1">
      <c r="B5630" s="271"/>
    </row>
    <row r="5631" spans="2:2" ht="24.95" customHeight="1">
      <c r="B5631" s="271"/>
    </row>
    <row r="5632" spans="2:2" ht="24.95" customHeight="1">
      <c r="B5632" s="271"/>
    </row>
    <row r="5633" spans="2:2" ht="24.95" customHeight="1">
      <c r="B5633" s="271"/>
    </row>
    <row r="5634" spans="2:2" ht="24.95" customHeight="1">
      <c r="B5634" s="271"/>
    </row>
    <row r="5635" spans="2:2" ht="24.95" customHeight="1">
      <c r="B5635" s="271"/>
    </row>
    <row r="5636" spans="2:2" ht="24.95" customHeight="1">
      <c r="B5636" s="271"/>
    </row>
    <row r="5637" spans="2:2" ht="24.95" customHeight="1">
      <c r="B5637" s="271"/>
    </row>
    <row r="5638" spans="2:2" ht="24.95" customHeight="1">
      <c r="B5638" s="271"/>
    </row>
    <row r="5639" spans="2:2" ht="24.95" customHeight="1">
      <c r="B5639" s="271"/>
    </row>
    <row r="5640" spans="2:2" ht="24.95" customHeight="1">
      <c r="B5640" s="271"/>
    </row>
    <row r="5641" spans="2:2" ht="24.95" customHeight="1">
      <c r="B5641" s="271"/>
    </row>
    <row r="5642" spans="2:2" ht="24.95" customHeight="1">
      <c r="B5642" s="271"/>
    </row>
    <row r="5643" spans="2:2" ht="24.95" customHeight="1">
      <c r="B5643" s="271"/>
    </row>
    <row r="5644" spans="2:2" ht="24.95" customHeight="1">
      <c r="B5644" s="271"/>
    </row>
    <row r="5645" spans="2:2" ht="24.95" customHeight="1">
      <c r="B5645" s="271"/>
    </row>
    <row r="5646" spans="2:2" ht="24.95" customHeight="1">
      <c r="B5646" s="271"/>
    </row>
    <row r="5647" spans="2:2" ht="24.95" customHeight="1">
      <c r="B5647" s="271"/>
    </row>
    <row r="5648" spans="2:2" ht="24.95" customHeight="1">
      <c r="B5648" s="271"/>
    </row>
    <row r="5649" spans="2:2" ht="24.95" customHeight="1">
      <c r="B5649" s="271"/>
    </row>
    <row r="5650" spans="2:2" ht="24.95" customHeight="1">
      <c r="B5650" s="271"/>
    </row>
    <row r="5651" spans="2:2" ht="24.95" customHeight="1">
      <c r="B5651" s="271"/>
    </row>
    <row r="5652" spans="2:2" ht="24.95" customHeight="1">
      <c r="B5652" s="271"/>
    </row>
    <row r="5653" spans="2:2" ht="24.95" customHeight="1">
      <c r="B5653" s="271"/>
    </row>
    <row r="5654" spans="2:2" ht="24.95" customHeight="1">
      <c r="B5654" s="271"/>
    </row>
    <row r="5655" spans="2:2" ht="24.95" customHeight="1">
      <c r="B5655" s="271"/>
    </row>
    <row r="5656" spans="2:2" ht="24.95" customHeight="1">
      <c r="B5656" s="271"/>
    </row>
    <row r="5657" spans="2:2" ht="24.95" customHeight="1">
      <c r="B5657" s="271"/>
    </row>
    <row r="5658" spans="2:2" ht="24.95" customHeight="1">
      <c r="B5658" s="271"/>
    </row>
    <row r="5659" spans="2:2" ht="24.95" customHeight="1">
      <c r="B5659" s="271"/>
    </row>
    <row r="5660" spans="2:2" ht="24.95" customHeight="1">
      <c r="B5660" s="271"/>
    </row>
    <row r="5661" spans="2:2" ht="24.95" customHeight="1">
      <c r="B5661" s="271"/>
    </row>
    <row r="5662" spans="2:2" ht="24.95" customHeight="1">
      <c r="B5662" s="271"/>
    </row>
    <row r="5663" spans="2:2" ht="24.95" customHeight="1">
      <c r="B5663" s="271"/>
    </row>
    <row r="5664" spans="2:2" ht="24.95" customHeight="1">
      <c r="B5664" s="271"/>
    </row>
    <row r="5665" spans="2:2" ht="24.95" customHeight="1">
      <c r="B5665" s="271"/>
    </row>
    <row r="5666" spans="2:2" ht="24.95" customHeight="1">
      <c r="B5666" s="271"/>
    </row>
    <row r="5667" spans="2:2" ht="24.95" customHeight="1">
      <c r="B5667" s="271"/>
    </row>
    <row r="5668" spans="2:2" ht="24.95" customHeight="1">
      <c r="B5668" s="271"/>
    </row>
    <row r="5669" spans="2:2" ht="24.95" customHeight="1">
      <c r="B5669" s="271"/>
    </row>
    <row r="5670" spans="2:2" ht="24.95" customHeight="1">
      <c r="B5670" s="271"/>
    </row>
    <row r="5671" spans="2:2" ht="24.95" customHeight="1">
      <c r="B5671" s="271"/>
    </row>
    <row r="5672" spans="2:2" ht="24.95" customHeight="1">
      <c r="B5672" s="271"/>
    </row>
    <row r="5673" spans="2:2" ht="24.95" customHeight="1">
      <c r="B5673" s="271"/>
    </row>
    <row r="5674" spans="2:2" ht="24.95" customHeight="1">
      <c r="B5674" s="271"/>
    </row>
    <row r="5675" spans="2:2" ht="24.95" customHeight="1">
      <c r="B5675" s="271"/>
    </row>
    <row r="5676" spans="2:2" ht="24.95" customHeight="1">
      <c r="B5676" s="271"/>
    </row>
    <row r="5677" spans="2:2" ht="24.95" customHeight="1">
      <c r="B5677" s="271"/>
    </row>
    <row r="5678" spans="2:2" ht="24.95" customHeight="1">
      <c r="B5678" s="271"/>
    </row>
    <row r="5679" spans="2:2" ht="24.95" customHeight="1">
      <c r="B5679" s="271"/>
    </row>
    <row r="5680" spans="2:2" ht="24.95" customHeight="1">
      <c r="B5680" s="271"/>
    </row>
    <row r="5681" spans="2:2" ht="24.95" customHeight="1">
      <c r="B5681" s="271"/>
    </row>
    <row r="5682" spans="2:2" ht="24.95" customHeight="1">
      <c r="B5682" s="271"/>
    </row>
    <row r="5683" spans="2:2" ht="24.95" customHeight="1">
      <c r="B5683" s="271"/>
    </row>
    <row r="5684" spans="2:2" ht="24.95" customHeight="1">
      <c r="B5684" s="271"/>
    </row>
    <row r="5685" spans="2:2" ht="24.95" customHeight="1">
      <c r="B5685" s="271"/>
    </row>
    <row r="5686" spans="2:2" ht="24.95" customHeight="1">
      <c r="B5686" s="271"/>
    </row>
    <row r="5687" spans="2:2" ht="24.95" customHeight="1">
      <c r="B5687" s="271"/>
    </row>
    <row r="5688" spans="2:2" ht="24.95" customHeight="1">
      <c r="B5688" s="271"/>
    </row>
    <row r="5689" spans="2:2" ht="24.95" customHeight="1">
      <c r="B5689" s="271"/>
    </row>
    <row r="5690" spans="2:2" ht="24.95" customHeight="1">
      <c r="B5690" s="271"/>
    </row>
    <row r="5691" spans="2:2" ht="24.95" customHeight="1">
      <c r="B5691" s="271"/>
    </row>
    <row r="5692" spans="2:2" ht="24.95" customHeight="1">
      <c r="B5692" s="271"/>
    </row>
    <row r="5693" spans="2:2" ht="24.95" customHeight="1">
      <c r="B5693" s="271"/>
    </row>
    <row r="5694" spans="2:2" ht="24.95" customHeight="1">
      <c r="B5694" s="271"/>
    </row>
    <row r="5695" spans="2:2" ht="24.95" customHeight="1">
      <c r="B5695" s="271"/>
    </row>
    <row r="5696" spans="2:2" ht="24.95" customHeight="1">
      <c r="B5696" s="271"/>
    </row>
    <row r="5697" spans="2:2" ht="24.95" customHeight="1">
      <c r="B5697" s="271"/>
    </row>
    <row r="5698" spans="2:2" ht="24.95" customHeight="1">
      <c r="B5698" s="271"/>
    </row>
    <row r="5699" spans="2:2" ht="24.95" customHeight="1">
      <c r="B5699" s="271"/>
    </row>
    <row r="5700" spans="2:2" ht="24.95" customHeight="1">
      <c r="B5700" s="271"/>
    </row>
    <row r="5701" spans="2:2" ht="24.95" customHeight="1">
      <c r="B5701" s="271"/>
    </row>
    <row r="5702" spans="2:2" ht="24.95" customHeight="1">
      <c r="B5702" s="271"/>
    </row>
    <row r="5703" spans="2:2" ht="24.95" customHeight="1">
      <c r="B5703" s="271"/>
    </row>
    <row r="5704" spans="2:2" ht="24.95" customHeight="1">
      <c r="B5704" s="271"/>
    </row>
    <row r="5705" spans="2:2" ht="24.95" customHeight="1">
      <c r="B5705" s="271"/>
    </row>
    <row r="5706" spans="2:2" ht="24.95" customHeight="1">
      <c r="B5706" s="271"/>
    </row>
    <row r="5707" spans="2:2" ht="24.95" customHeight="1">
      <c r="B5707" s="271"/>
    </row>
    <row r="5708" spans="2:2" ht="24.95" customHeight="1">
      <c r="B5708" s="271"/>
    </row>
    <row r="5709" spans="2:2" ht="24.95" customHeight="1">
      <c r="B5709" s="271"/>
    </row>
    <row r="5710" spans="2:2" ht="24.95" customHeight="1">
      <c r="B5710" s="271"/>
    </row>
    <row r="5711" spans="2:2" ht="24.95" customHeight="1">
      <c r="B5711" s="271"/>
    </row>
    <row r="5712" spans="2:2" ht="24.95" customHeight="1">
      <c r="B5712" s="271"/>
    </row>
    <row r="5713" spans="2:2" ht="24.95" customHeight="1">
      <c r="B5713" s="271"/>
    </row>
    <row r="5714" spans="2:2" ht="24.95" customHeight="1">
      <c r="B5714" s="271"/>
    </row>
    <row r="5715" spans="2:2" ht="24.95" customHeight="1">
      <c r="B5715" s="271"/>
    </row>
    <row r="5716" spans="2:2" ht="24.95" customHeight="1">
      <c r="B5716" s="271"/>
    </row>
    <row r="5717" spans="2:2" ht="24.95" customHeight="1">
      <c r="B5717" s="271"/>
    </row>
    <row r="5718" spans="2:2" ht="24.95" customHeight="1">
      <c r="B5718" s="271"/>
    </row>
    <row r="5719" spans="2:2" ht="24.95" customHeight="1">
      <c r="B5719" s="271"/>
    </row>
    <row r="5720" spans="2:2" ht="24.95" customHeight="1">
      <c r="B5720" s="271"/>
    </row>
    <row r="5721" spans="2:2" ht="24.95" customHeight="1">
      <c r="B5721" s="271"/>
    </row>
    <row r="5722" spans="2:2" ht="24.95" customHeight="1">
      <c r="B5722" s="271"/>
    </row>
    <row r="5723" spans="2:2" ht="24.95" customHeight="1">
      <c r="B5723" s="271"/>
    </row>
    <row r="5724" spans="2:2" ht="24.95" customHeight="1">
      <c r="B5724" s="271"/>
    </row>
    <row r="5725" spans="2:2" ht="24.95" customHeight="1">
      <c r="B5725" s="271"/>
    </row>
    <row r="5726" spans="2:2" ht="24.95" customHeight="1">
      <c r="B5726" s="271"/>
    </row>
    <row r="5727" spans="2:2" ht="24.95" customHeight="1">
      <c r="B5727" s="271"/>
    </row>
    <row r="5728" spans="2:2" ht="24.95" customHeight="1">
      <c r="B5728" s="271"/>
    </row>
    <row r="5729" spans="2:2" ht="24.95" customHeight="1">
      <c r="B5729" s="271"/>
    </row>
    <row r="5730" spans="2:2" ht="24.95" customHeight="1">
      <c r="B5730" s="271"/>
    </row>
    <row r="5731" spans="2:2" ht="24.95" customHeight="1">
      <c r="B5731" s="271"/>
    </row>
    <row r="5732" spans="2:2" ht="24.95" customHeight="1">
      <c r="B5732" s="271"/>
    </row>
    <row r="5733" spans="2:2" ht="24.95" customHeight="1">
      <c r="B5733" s="271"/>
    </row>
    <row r="5734" spans="2:2" ht="24.95" customHeight="1">
      <c r="B5734" s="271"/>
    </row>
    <row r="5735" spans="2:2" ht="24.95" customHeight="1">
      <c r="B5735" s="271"/>
    </row>
    <row r="5736" spans="2:2" ht="24.95" customHeight="1">
      <c r="B5736" s="271"/>
    </row>
    <row r="5737" spans="2:2" ht="24.95" customHeight="1">
      <c r="B5737" s="271"/>
    </row>
    <row r="5738" spans="2:2" ht="24.95" customHeight="1">
      <c r="B5738" s="271"/>
    </row>
    <row r="5739" spans="2:2" ht="24.95" customHeight="1">
      <c r="B5739" s="271"/>
    </row>
    <row r="5740" spans="2:2" ht="24.95" customHeight="1">
      <c r="B5740" s="271"/>
    </row>
    <row r="5741" spans="2:2" ht="24.95" customHeight="1">
      <c r="B5741" s="271"/>
    </row>
    <row r="5742" spans="2:2" ht="24.95" customHeight="1">
      <c r="B5742" s="271"/>
    </row>
    <row r="5743" spans="2:2" ht="24.95" customHeight="1">
      <c r="B5743" s="271"/>
    </row>
    <row r="5744" spans="2:2" ht="24.95" customHeight="1">
      <c r="B5744" s="271"/>
    </row>
    <row r="5745" spans="2:2" ht="24.95" customHeight="1">
      <c r="B5745" s="271"/>
    </row>
    <row r="5746" spans="2:2" ht="24.95" customHeight="1">
      <c r="B5746" s="271"/>
    </row>
    <row r="5747" spans="2:2" ht="24.95" customHeight="1">
      <c r="B5747" s="271"/>
    </row>
    <row r="5748" spans="2:2" ht="24.95" customHeight="1">
      <c r="B5748" s="271"/>
    </row>
    <row r="5749" spans="2:2" ht="24.95" customHeight="1">
      <c r="B5749" s="271"/>
    </row>
    <row r="5750" spans="2:2" ht="24.95" customHeight="1">
      <c r="B5750" s="271"/>
    </row>
    <row r="5751" spans="2:2" ht="24.95" customHeight="1">
      <c r="B5751" s="271"/>
    </row>
    <row r="5752" spans="2:2" ht="24.95" customHeight="1">
      <c r="B5752" s="271"/>
    </row>
    <row r="5753" spans="2:2" ht="24.95" customHeight="1">
      <c r="B5753" s="271"/>
    </row>
    <row r="5754" spans="2:2" ht="24.95" customHeight="1">
      <c r="B5754" s="271"/>
    </row>
    <row r="5755" spans="2:2" ht="24.95" customHeight="1">
      <c r="B5755" s="271"/>
    </row>
    <row r="5756" spans="2:2" ht="24.95" customHeight="1">
      <c r="B5756" s="271"/>
    </row>
    <row r="5757" spans="2:2" ht="24.95" customHeight="1">
      <c r="B5757" s="271"/>
    </row>
    <row r="5758" spans="2:2" ht="24.95" customHeight="1">
      <c r="B5758" s="271"/>
    </row>
    <row r="5759" spans="2:2" ht="24.95" customHeight="1">
      <c r="B5759" s="271"/>
    </row>
    <row r="5760" spans="2:2" ht="24.95" customHeight="1">
      <c r="B5760" s="271"/>
    </row>
    <row r="5761" spans="2:2" ht="24.95" customHeight="1">
      <c r="B5761" s="271"/>
    </row>
    <row r="5762" spans="2:2" ht="24.95" customHeight="1">
      <c r="B5762" s="271"/>
    </row>
    <row r="5763" spans="2:2" ht="24.95" customHeight="1">
      <c r="B5763" s="271"/>
    </row>
    <row r="5764" spans="2:2" ht="24.95" customHeight="1">
      <c r="B5764" s="271"/>
    </row>
    <row r="5765" spans="2:2" ht="24.95" customHeight="1">
      <c r="B5765" s="271"/>
    </row>
    <row r="5766" spans="2:2" ht="24.95" customHeight="1">
      <c r="B5766" s="271"/>
    </row>
  </sheetData>
  <mergeCells count="2">
    <mergeCell ref="F2001:I2001"/>
    <mergeCell ref="A2001:D2001"/>
  </mergeCells>
  <pageMargins left="0.24" right="0.16" top="0.21" bottom="0.75" header="0.21" footer="0.3"/>
  <pageSetup scale="72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FFFF00"/>
    <pageSetUpPr fitToPage="1"/>
  </sheetPr>
  <dimension ref="A1:I2001"/>
  <sheetViews>
    <sheetView view="pageBreakPreview" zoomScale="85" zoomScaleNormal="70" zoomScaleSheetLayoutView="85" workbookViewId="0">
      <pane ySplit="6" topLeftCell="A7" activePane="bottomLeft" state="frozen"/>
      <selection pane="bottomLeft" activeCell="J8" sqref="J8"/>
    </sheetView>
  </sheetViews>
  <sheetFormatPr defaultColWidth="9.1328125" defaultRowHeight="24.95" customHeight="1"/>
  <cols>
    <col min="1" max="1" width="6.3984375" style="186" customWidth="1"/>
    <col min="2" max="2" width="10.86328125" style="186" bestFit="1" customWidth="1"/>
    <col min="3" max="3" width="39.3984375" style="251" customWidth="1"/>
    <col min="4" max="4" width="21.73046875" style="259" bestFit="1" customWidth="1"/>
    <col min="5" max="5" width="24.1328125" style="188" bestFit="1" customWidth="1"/>
    <col min="6" max="6" width="22.3984375" style="188" bestFit="1" customWidth="1"/>
    <col min="7" max="7" width="24.59765625" style="189" customWidth="1"/>
    <col min="8" max="8" width="10.73046875" style="137" bestFit="1" customWidth="1"/>
    <col min="9" max="9" width="16" style="137" bestFit="1" customWidth="1"/>
    <col min="10" max="16384" width="9.1328125" style="137"/>
  </cols>
  <sheetData>
    <row r="1" spans="1:9" s="2" customFormat="1" ht="9.75" customHeight="1">
      <c r="A1" s="131"/>
      <c r="B1" s="131"/>
      <c r="C1" s="230"/>
      <c r="D1" s="252"/>
      <c r="E1" s="148"/>
      <c r="F1" s="148"/>
      <c r="G1" s="135"/>
    </row>
    <row r="2" spans="1:9" s="2" customFormat="1" ht="57.75" customHeight="1">
      <c r="A2" s="131"/>
      <c r="B2" s="131"/>
      <c r="C2" s="230"/>
      <c r="D2" s="252"/>
      <c r="E2" s="148"/>
      <c r="F2" s="148"/>
      <c r="G2" s="135"/>
      <c r="H2" s="153">
        <f ca="1">NOW()</f>
        <v>44825.391208912035</v>
      </c>
      <c r="I2" s="125" t="s">
        <v>173</v>
      </c>
    </row>
    <row r="3" spans="1:9" s="2" customFormat="1" ht="15" customHeight="1">
      <c r="A3" s="132"/>
      <c r="B3" s="181" t="s">
        <v>250</v>
      </c>
      <c r="C3" s="206" t="s">
        <v>263</v>
      </c>
      <c r="D3" s="253" t="s">
        <v>176</v>
      </c>
      <c r="E3" s="297">
        <v>44166</v>
      </c>
      <c r="F3" s="254"/>
      <c r="G3" s="135"/>
      <c r="H3" s="153">
        <f ca="1">EOMONTH(H2,-1)+1</f>
        <v>44805</v>
      </c>
      <c r="I3" s="125" t="s">
        <v>174</v>
      </c>
    </row>
    <row r="4" spans="1:9" s="2" customFormat="1" ht="14.25">
      <c r="A4" s="132"/>
      <c r="B4" s="229"/>
      <c r="C4" s="245"/>
      <c r="D4" s="253" t="s">
        <v>243</v>
      </c>
      <c r="E4" s="297">
        <v>44196</v>
      </c>
      <c r="F4" s="254"/>
      <c r="G4" s="135"/>
      <c r="H4" s="153">
        <f ca="1">EOMONTH(H2,0)</f>
        <v>44834</v>
      </c>
      <c r="I4" s="125" t="s">
        <v>175</v>
      </c>
    </row>
    <row r="5" spans="1:9" s="2" customFormat="1" ht="21" customHeight="1">
      <c r="A5" s="132"/>
      <c r="B5" s="229"/>
      <c r="C5" s="246"/>
      <c r="D5" s="254"/>
      <c r="E5" s="148"/>
      <c r="F5" s="135"/>
      <c r="G5" s="135"/>
      <c r="H5" s="153">
        <f ca="1">TODAY()</f>
        <v>44825</v>
      </c>
      <c r="I5" s="125"/>
    </row>
    <row r="6" spans="1:9" s="2" customFormat="1" ht="30" customHeight="1">
      <c r="A6" s="237" t="s">
        <v>23</v>
      </c>
      <c r="B6" s="238" t="s">
        <v>49</v>
      </c>
      <c r="C6" s="237" t="s">
        <v>247</v>
      </c>
      <c r="D6" s="264" t="s">
        <v>248</v>
      </c>
      <c r="E6" s="263" t="s">
        <v>249</v>
      </c>
      <c r="F6" s="265" t="s">
        <v>252</v>
      </c>
      <c r="G6" s="242" t="s">
        <v>246</v>
      </c>
    </row>
    <row r="7" spans="1:9" s="236" customFormat="1" ht="24.95" customHeight="1">
      <c r="A7" s="136"/>
      <c r="B7" s="176"/>
      <c r="C7" s="247"/>
      <c r="D7" s="255"/>
      <c r="E7" s="144"/>
      <c r="F7" s="144"/>
      <c r="G7" s="235"/>
    </row>
    <row r="8" spans="1:9" ht="24.95" hidden="1" customHeight="1">
      <c r="A8" s="136"/>
      <c r="B8" s="176"/>
      <c r="C8" s="247"/>
      <c r="D8" s="255"/>
      <c r="E8" s="144"/>
      <c r="F8" s="144"/>
      <c r="G8" s="235"/>
    </row>
    <row r="9" spans="1:9" ht="24.95" hidden="1" customHeight="1">
      <c r="A9" s="136"/>
      <c r="B9" s="176"/>
      <c r="C9" s="247"/>
      <c r="D9" s="255"/>
      <c r="E9" s="144"/>
      <c r="F9" s="144"/>
      <c r="G9" s="235"/>
      <c r="I9" s="267"/>
    </row>
    <row r="10" spans="1:9" ht="24.95" hidden="1" customHeight="1">
      <c r="A10" s="136"/>
      <c r="B10" s="176"/>
      <c r="C10" s="247"/>
      <c r="D10" s="255"/>
      <c r="E10" s="144"/>
      <c r="F10" s="144"/>
      <c r="G10" s="235"/>
      <c r="I10" s="268"/>
    </row>
    <row r="11" spans="1:9" ht="24.95" hidden="1" customHeight="1">
      <c r="A11" s="136"/>
      <c r="B11" s="176"/>
      <c r="C11" s="247"/>
      <c r="D11" s="255"/>
      <c r="E11" s="144"/>
      <c r="F11" s="144"/>
      <c r="G11" s="235"/>
    </row>
    <row r="12" spans="1:9" ht="24.95" hidden="1" customHeight="1">
      <c r="A12" s="136"/>
      <c r="B12" s="176"/>
      <c r="C12" s="247"/>
      <c r="D12" s="255"/>
      <c r="E12" s="144"/>
      <c r="F12" s="144"/>
      <c r="G12" s="144"/>
      <c r="I12" s="267"/>
    </row>
    <row r="13" spans="1:9" ht="24.95" hidden="1" customHeight="1">
      <c r="A13" s="136"/>
      <c r="B13" s="176"/>
      <c r="C13" s="247"/>
      <c r="D13" s="255"/>
      <c r="E13" s="144"/>
      <c r="F13" s="144"/>
      <c r="G13" s="144"/>
    </row>
    <row r="14" spans="1:9" ht="24.95" hidden="1" customHeight="1">
      <c r="A14" s="136"/>
      <c r="B14" s="176"/>
      <c r="C14" s="247"/>
      <c r="D14" s="255"/>
      <c r="E14" s="144"/>
      <c r="F14" s="144"/>
      <c r="G14" s="144"/>
    </row>
    <row r="15" spans="1:9" ht="24.95" hidden="1" customHeight="1">
      <c r="A15" s="136"/>
      <c r="B15" s="176"/>
      <c r="C15" s="247"/>
      <c r="D15" s="255"/>
      <c r="E15" s="144"/>
      <c r="F15" s="144"/>
      <c r="G15" s="144"/>
    </row>
    <row r="16" spans="1:9" ht="24.95" hidden="1" customHeight="1">
      <c r="A16" s="136"/>
      <c r="B16" s="176"/>
      <c r="C16" s="247"/>
      <c r="D16" s="255"/>
      <c r="E16" s="144"/>
      <c r="F16" s="144"/>
      <c r="G16" s="144"/>
    </row>
    <row r="17" spans="1:7" ht="24.95" hidden="1" customHeight="1">
      <c r="A17" s="136"/>
      <c r="B17" s="176"/>
      <c r="C17" s="247"/>
      <c r="D17" s="255"/>
      <c r="E17" s="144"/>
      <c r="F17" s="144"/>
      <c r="G17" s="144"/>
    </row>
    <row r="18" spans="1:7" ht="24.95" hidden="1" customHeight="1">
      <c r="A18" s="136"/>
      <c r="B18" s="176"/>
      <c r="C18" s="247"/>
      <c r="D18" s="255"/>
      <c r="E18" s="144"/>
      <c r="F18" s="144"/>
      <c r="G18" s="144"/>
    </row>
    <row r="19" spans="1:7" ht="24.95" hidden="1" customHeight="1">
      <c r="A19" s="136"/>
      <c r="B19" s="176"/>
      <c r="C19" s="247"/>
      <c r="D19" s="255"/>
      <c r="E19" s="144"/>
      <c r="F19" s="144"/>
      <c r="G19" s="144"/>
    </row>
    <row r="20" spans="1:7" ht="24.95" hidden="1" customHeight="1">
      <c r="A20" s="136"/>
      <c r="B20" s="176"/>
      <c r="C20" s="247"/>
      <c r="D20" s="255"/>
      <c r="E20" s="144"/>
      <c r="F20" s="144"/>
      <c r="G20" s="144"/>
    </row>
    <row r="21" spans="1:7" ht="24.95" hidden="1" customHeight="1">
      <c r="A21" s="136"/>
      <c r="B21" s="176"/>
      <c r="C21" s="247"/>
      <c r="D21" s="255"/>
      <c r="E21" s="144"/>
      <c r="F21" s="144"/>
      <c r="G21" s="144"/>
    </row>
    <row r="22" spans="1:7" ht="24.95" hidden="1" customHeight="1">
      <c r="A22" s="136"/>
      <c r="B22" s="176"/>
      <c r="C22" s="247"/>
      <c r="D22" s="255"/>
      <c r="E22" s="144"/>
      <c r="F22" s="144"/>
      <c r="G22" s="144"/>
    </row>
    <row r="23" spans="1:7" ht="24.95" hidden="1" customHeight="1">
      <c r="A23" s="136"/>
      <c r="B23" s="136"/>
      <c r="C23" s="247"/>
      <c r="D23" s="255"/>
      <c r="E23" s="144"/>
      <c r="F23" s="144"/>
      <c r="G23" s="144"/>
    </row>
    <row r="24" spans="1:7" ht="24.95" hidden="1" customHeight="1">
      <c r="A24" s="136"/>
      <c r="B24" s="136"/>
      <c r="C24" s="247"/>
      <c r="D24" s="255"/>
      <c r="E24" s="144"/>
      <c r="F24" s="144"/>
      <c r="G24" s="144"/>
    </row>
    <row r="25" spans="1:7" ht="24.95" hidden="1" customHeight="1">
      <c r="A25" s="136"/>
      <c r="B25" s="136"/>
      <c r="C25" s="247"/>
      <c r="D25" s="255"/>
      <c r="E25" s="144"/>
      <c r="F25" s="144"/>
      <c r="G25" s="144"/>
    </row>
    <row r="26" spans="1:7" ht="24.95" hidden="1" customHeight="1">
      <c r="A26" s="136"/>
      <c r="B26" s="136"/>
      <c r="C26" s="247"/>
      <c r="D26" s="255"/>
      <c r="E26" s="144"/>
      <c r="F26" s="144"/>
      <c r="G26" s="144"/>
    </row>
    <row r="27" spans="1:7" ht="24.95" hidden="1" customHeight="1">
      <c r="A27" s="141"/>
      <c r="B27" s="141"/>
      <c r="C27" s="248"/>
      <c r="D27" s="256"/>
      <c r="E27" s="150"/>
      <c r="F27" s="150"/>
      <c r="G27" s="145"/>
    </row>
    <row r="28" spans="1:7" ht="24.95" hidden="1" customHeight="1">
      <c r="A28" s="141"/>
      <c r="B28" s="141"/>
      <c r="C28" s="248"/>
      <c r="D28" s="256"/>
      <c r="E28" s="150"/>
      <c r="F28" s="150"/>
      <c r="G28" s="145"/>
    </row>
    <row r="29" spans="1:7" ht="24.95" hidden="1" customHeight="1">
      <c r="A29" s="141"/>
      <c r="B29" s="141"/>
      <c r="C29" s="248"/>
      <c r="D29" s="256"/>
      <c r="E29" s="150"/>
      <c r="F29" s="150"/>
      <c r="G29" s="145"/>
    </row>
    <row r="30" spans="1:7" ht="24.95" hidden="1" customHeight="1">
      <c r="A30" s="141"/>
      <c r="B30" s="141"/>
      <c r="C30" s="248"/>
      <c r="D30" s="256"/>
      <c r="E30" s="150"/>
      <c r="F30" s="150"/>
      <c r="G30" s="145"/>
    </row>
    <row r="31" spans="1:7" ht="24.95" hidden="1" customHeight="1">
      <c r="A31" s="141"/>
      <c r="B31" s="141"/>
      <c r="C31" s="248"/>
      <c r="D31" s="256"/>
      <c r="E31" s="150"/>
      <c r="F31" s="150"/>
      <c r="G31" s="145"/>
    </row>
    <row r="32" spans="1:7" ht="24.95" hidden="1" customHeight="1">
      <c r="A32" s="141"/>
      <c r="B32" s="141"/>
      <c r="C32" s="248"/>
      <c r="D32" s="256"/>
      <c r="E32" s="150"/>
      <c r="F32" s="150"/>
      <c r="G32" s="145"/>
    </row>
    <row r="33" spans="1:7" ht="24.95" hidden="1" customHeight="1">
      <c r="A33" s="141"/>
      <c r="B33" s="141"/>
      <c r="C33" s="248"/>
      <c r="D33" s="256"/>
      <c r="E33" s="150"/>
      <c r="F33" s="150"/>
      <c r="G33" s="145"/>
    </row>
    <row r="34" spans="1:7" ht="24.95" hidden="1" customHeight="1">
      <c r="A34" s="141"/>
      <c r="B34" s="141"/>
      <c r="C34" s="248"/>
      <c r="D34" s="256"/>
      <c r="E34" s="150"/>
      <c r="F34" s="150"/>
      <c r="G34" s="145"/>
    </row>
    <row r="35" spans="1:7" ht="24.95" hidden="1" customHeight="1">
      <c r="A35" s="141"/>
      <c r="B35" s="141"/>
      <c r="C35" s="248"/>
      <c r="D35" s="256"/>
      <c r="E35" s="150"/>
      <c r="F35" s="150"/>
      <c r="G35" s="145"/>
    </row>
    <row r="36" spans="1:7" ht="24.95" hidden="1" customHeight="1">
      <c r="A36" s="141"/>
      <c r="B36" s="141"/>
      <c r="C36" s="248"/>
      <c r="D36" s="256"/>
      <c r="E36" s="150"/>
      <c r="F36" s="150"/>
      <c r="G36" s="145"/>
    </row>
    <row r="37" spans="1:7" ht="24.95" hidden="1" customHeight="1">
      <c r="A37" s="141"/>
      <c r="B37" s="141"/>
      <c r="C37" s="248"/>
      <c r="D37" s="256"/>
      <c r="E37" s="150"/>
      <c r="F37" s="150"/>
      <c r="G37" s="145"/>
    </row>
    <row r="38" spans="1:7" ht="24.95" hidden="1" customHeight="1">
      <c r="A38" s="141"/>
      <c r="B38" s="141"/>
      <c r="C38" s="248"/>
      <c r="D38" s="256"/>
      <c r="E38" s="150"/>
      <c r="F38" s="150"/>
      <c r="G38" s="145"/>
    </row>
    <row r="39" spans="1:7" ht="24.95" hidden="1" customHeight="1">
      <c r="A39" s="141"/>
      <c r="B39" s="141"/>
      <c r="C39" s="248"/>
      <c r="D39" s="256"/>
      <c r="E39" s="150"/>
      <c r="F39" s="150"/>
      <c r="G39" s="145"/>
    </row>
    <row r="40" spans="1:7" ht="24.95" hidden="1" customHeight="1">
      <c r="A40" s="141"/>
      <c r="B40" s="141"/>
      <c r="C40" s="248"/>
      <c r="D40" s="256"/>
      <c r="E40" s="150"/>
      <c r="F40" s="150"/>
      <c r="G40" s="145"/>
    </row>
    <row r="41" spans="1:7" ht="24.95" hidden="1" customHeight="1">
      <c r="A41" s="141"/>
      <c r="B41" s="141"/>
      <c r="C41" s="248"/>
      <c r="D41" s="256"/>
      <c r="E41" s="150"/>
      <c r="F41" s="150"/>
      <c r="G41" s="145"/>
    </row>
    <row r="42" spans="1:7" ht="24.95" hidden="1" customHeight="1">
      <c r="A42" s="141"/>
      <c r="B42" s="141"/>
      <c r="C42" s="248"/>
      <c r="D42" s="256"/>
      <c r="E42" s="150"/>
      <c r="F42" s="150"/>
      <c r="G42" s="145"/>
    </row>
    <row r="43" spans="1:7" ht="24.95" hidden="1" customHeight="1">
      <c r="A43" s="141"/>
      <c r="B43" s="141"/>
      <c r="C43" s="248"/>
      <c r="D43" s="256"/>
      <c r="E43" s="150"/>
      <c r="F43" s="150"/>
      <c r="G43" s="145"/>
    </row>
    <row r="44" spans="1:7" ht="24.95" hidden="1" customHeight="1">
      <c r="A44" s="141"/>
      <c r="B44" s="141"/>
      <c r="C44" s="248"/>
      <c r="D44" s="256"/>
      <c r="E44" s="150"/>
      <c r="F44" s="150"/>
      <c r="G44" s="145"/>
    </row>
    <row r="45" spans="1:7" ht="24.95" hidden="1" customHeight="1">
      <c r="A45" s="141"/>
      <c r="B45" s="141"/>
      <c r="C45" s="248"/>
      <c r="D45" s="256"/>
      <c r="E45" s="150"/>
      <c r="F45" s="150"/>
      <c r="G45" s="145"/>
    </row>
    <row r="46" spans="1:7" ht="24.95" hidden="1" customHeight="1">
      <c r="A46" s="141"/>
      <c r="B46" s="141"/>
      <c r="C46" s="248"/>
      <c r="D46" s="256"/>
      <c r="E46" s="150"/>
      <c r="F46" s="150"/>
      <c r="G46" s="145"/>
    </row>
    <row r="47" spans="1:7" ht="24.95" hidden="1" customHeight="1">
      <c r="A47" s="141"/>
      <c r="B47" s="141"/>
      <c r="C47" s="248"/>
      <c r="D47" s="256"/>
      <c r="E47" s="150"/>
      <c r="F47" s="150"/>
      <c r="G47" s="145"/>
    </row>
    <row r="48" spans="1:7" ht="24.95" hidden="1" customHeight="1">
      <c r="A48" s="141"/>
      <c r="B48" s="141"/>
      <c r="C48" s="248"/>
      <c r="D48" s="256"/>
      <c r="E48" s="150"/>
      <c r="F48" s="150"/>
      <c r="G48" s="145"/>
    </row>
    <row r="49" spans="1:7" ht="24.95" hidden="1" customHeight="1">
      <c r="A49" s="141"/>
      <c r="B49" s="141"/>
      <c r="C49" s="248"/>
      <c r="D49" s="256"/>
      <c r="E49" s="150"/>
      <c r="F49" s="150"/>
      <c r="G49" s="145"/>
    </row>
    <row r="50" spans="1:7" ht="24.95" hidden="1" customHeight="1">
      <c r="A50" s="141"/>
      <c r="B50" s="141"/>
      <c r="C50" s="248"/>
      <c r="D50" s="256"/>
      <c r="E50" s="150"/>
      <c r="F50" s="150"/>
      <c r="G50" s="145"/>
    </row>
    <row r="51" spans="1:7" ht="24.95" hidden="1" customHeight="1">
      <c r="A51" s="141"/>
      <c r="B51" s="141"/>
      <c r="C51" s="248"/>
      <c r="D51" s="256"/>
      <c r="E51" s="150"/>
      <c r="F51" s="150"/>
      <c r="G51" s="145"/>
    </row>
    <row r="52" spans="1:7" ht="24.95" hidden="1" customHeight="1">
      <c r="A52" s="141"/>
      <c r="B52" s="141"/>
      <c r="C52" s="248"/>
      <c r="D52" s="256"/>
      <c r="E52" s="150"/>
      <c r="F52" s="150"/>
      <c r="G52" s="145"/>
    </row>
    <row r="53" spans="1:7" ht="24.95" hidden="1" customHeight="1">
      <c r="A53" s="141"/>
      <c r="B53" s="141"/>
      <c r="C53" s="248"/>
      <c r="D53" s="256"/>
      <c r="E53" s="150"/>
      <c r="F53" s="150"/>
      <c r="G53" s="145"/>
    </row>
    <row r="54" spans="1:7" ht="24.95" hidden="1" customHeight="1">
      <c r="A54" s="141"/>
      <c r="B54" s="141"/>
      <c r="C54" s="248"/>
      <c r="D54" s="256"/>
      <c r="E54" s="150"/>
      <c r="F54" s="150"/>
      <c r="G54" s="145"/>
    </row>
    <row r="55" spans="1:7" ht="24.95" hidden="1" customHeight="1">
      <c r="A55" s="141"/>
      <c r="B55" s="141"/>
      <c r="C55" s="248"/>
      <c r="D55" s="256"/>
      <c r="E55" s="150"/>
      <c r="F55" s="150"/>
      <c r="G55" s="145"/>
    </row>
    <row r="56" spans="1:7" ht="24.95" hidden="1" customHeight="1">
      <c r="A56" s="141"/>
      <c r="B56" s="141"/>
      <c r="C56" s="248"/>
      <c r="D56" s="256"/>
      <c r="E56" s="150"/>
      <c r="F56" s="150"/>
      <c r="G56" s="145"/>
    </row>
    <row r="57" spans="1:7" ht="24.95" hidden="1" customHeight="1">
      <c r="A57" s="141"/>
      <c r="B57" s="141"/>
      <c r="C57" s="248"/>
      <c r="D57" s="256"/>
      <c r="E57" s="150"/>
      <c r="F57" s="150"/>
      <c r="G57" s="145"/>
    </row>
    <row r="58" spans="1:7" ht="24.95" hidden="1" customHeight="1">
      <c r="A58" s="141"/>
      <c r="B58" s="141"/>
      <c r="C58" s="248"/>
      <c r="D58" s="256"/>
      <c r="E58" s="150"/>
      <c r="F58" s="150"/>
      <c r="G58" s="145"/>
    </row>
    <row r="59" spans="1:7" ht="24.95" hidden="1" customHeight="1">
      <c r="A59" s="141"/>
      <c r="B59" s="141"/>
      <c r="C59" s="248"/>
      <c r="D59" s="256"/>
      <c r="E59" s="150"/>
      <c r="F59" s="150"/>
      <c r="G59" s="145"/>
    </row>
    <row r="60" spans="1:7" ht="24.95" hidden="1" customHeight="1">
      <c r="A60" s="141"/>
      <c r="B60" s="141"/>
      <c r="C60" s="248"/>
      <c r="D60" s="256"/>
      <c r="E60" s="150"/>
      <c r="F60" s="150"/>
      <c r="G60" s="145"/>
    </row>
    <row r="61" spans="1:7" ht="24.95" hidden="1" customHeight="1">
      <c r="A61" s="141"/>
      <c r="B61" s="141"/>
      <c r="C61" s="248"/>
      <c r="D61" s="256"/>
      <c r="E61" s="150"/>
      <c r="F61" s="150"/>
      <c r="G61" s="145"/>
    </row>
    <row r="62" spans="1:7" ht="24.95" hidden="1" customHeight="1">
      <c r="A62" s="141"/>
      <c r="B62" s="141"/>
      <c r="C62" s="248"/>
      <c r="D62" s="256"/>
      <c r="E62" s="150"/>
      <c r="F62" s="150"/>
      <c r="G62" s="145"/>
    </row>
    <row r="63" spans="1:7" ht="24.95" hidden="1" customHeight="1">
      <c r="A63" s="141"/>
      <c r="B63" s="141"/>
      <c r="C63" s="248"/>
      <c r="D63" s="256"/>
      <c r="E63" s="150"/>
      <c r="F63" s="150"/>
      <c r="G63" s="145"/>
    </row>
    <row r="64" spans="1:7" ht="24.95" hidden="1" customHeight="1">
      <c r="A64" s="141"/>
      <c r="B64" s="141"/>
      <c r="C64" s="248"/>
      <c r="D64" s="256"/>
      <c r="E64" s="150"/>
      <c r="F64" s="150"/>
      <c r="G64" s="145"/>
    </row>
    <row r="65" spans="1:7" ht="24.95" hidden="1" customHeight="1">
      <c r="A65" s="141"/>
      <c r="B65" s="141"/>
      <c r="C65" s="248"/>
      <c r="D65" s="256"/>
      <c r="E65" s="150"/>
      <c r="F65" s="150"/>
      <c r="G65" s="145"/>
    </row>
    <row r="66" spans="1:7" ht="24.95" hidden="1" customHeight="1">
      <c r="A66" s="141"/>
      <c r="B66" s="141"/>
      <c r="C66" s="248"/>
      <c r="D66" s="256"/>
      <c r="E66" s="150"/>
      <c r="F66" s="150"/>
      <c r="G66" s="145"/>
    </row>
    <row r="67" spans="1:7" ht="24.95" hidden="1" customHeight="1">
      <c r="A67" s="141"/>
      <c r="B67" s="141"/>
      <c r="C67" s="248"/>
      <c r="D67" s="256"/>
      <c r="E67" s="150"/>
      <c r="F67" s="150"/>
      <c r="G67" s="145"/>
    </row>
    <row r="68" spans="1:7" ht="24.95" hidden="1" customHeight="1">
      <c r="A68" s="141"/>
      <c r="B68" s="141"/>
      <c r="C68" s="248"/>
      <c r="D68" s="256"/>
      <c r="E68" s="150"/>
      <c r="F68" s="150"/>
      <c r="G68" s="145"/>
    </row>
    <row r="69" spans="1:7" ht="24.95" hidden="1" customHeight="1">
      <c r="A69" s="141"/>
      <c r="B69" s="141"/>
      <c r="C69" s="248"/>
      <c r="D69" s="256"/>
      <c r="E69" s="150"/>
      <c r="F69" s="150"/>
      <c r="G69" s="145"/>
    </row>
    <row r="70" spans="1:7" ht="24.95" hidden="1" customHeight="1">
      <c r="A70" s="141"/>
      <c r="B70" s="141"/>
      <c r="C70" s="248"/>
      <c r="D70" s="256"/>
      <c r="E70" s="150"/>
      <c r="F70" s="150"/>
      <c r="G70" s="145"/>
    </row>
    <row r="71" spans="1:7" ht="24.95" hidden="1" customHeight="1">
      <c r="A71" s="141"/>
      <c r="B71" s="141"/>
      <c r="C71" s="248"/>
      <c r="D71" s="256"/>
      <c r="E71" s="150"/>
      <c r="F71" s="150"/>
      <c r="G71" s="145"/>
    </row>
    <row r="72" spans="1:7" ht="24.95" hidden="1" customHeight="1">
      <c r="A72" s="141"/>
      <c r="B72" s="141"/>
      <c r="C72" s="248"/>
      <c r="D72" s="256"/>
      <c r="E72" s="150"/>
      <c r="F72" s="150"/>
      <c r="G72" s="145"/>
    </row>
    <row r="73" spans="1:7" ht="24.95" hidden="1" customHeight="1">
      <c r="A73" s="141"/>
      <c r="B73" s="141"/>
      <c r="C73" s="248"/>
      <c r="D73" s="256"/>
      <c r="E73" s="150"/>
      <c r="F73" s="150"/>
      <c r="G73" s="145"/>
    </row>
    <row r="74" spans="1:7" ht="24.95" hidden="1" customHeight="1">
      <c r="A74" s="141"/>
      <c r="B74" s="141"/>
      <c r="C74" s="248"/>
      <c r="D74" s="256"/>
      <c r="E74" s="150"/>
      <c r="F74" s="150"/>
      <c r="G74" s="145"/>
    </row>
    <row r="75" spans="1:7" ht="24.95" hidden="1" customHeight="1">
      <c r="A75" s="141"/>
      <c r="B75" s="141"/>
      <c r="C75" s="248"/>
      <c r="D75" s="256"/>
      <c r="E75" s="150"/>
      <c r="F75" s="150"/>
      <c r="G75" s="145"/>
    </row>
    <row r="76" spans="1:7" ht="24.95" hidden="1" customHeight="1">
      <c r="A76" s="141"/>
      <c r="B76" s="141"/>
      <c r="C76" s="248"/>
      <c r="D76" s="256"/>
      <c r="E76" s="150"/>
      <c r="F76" s="150"/>
      <c r="G76" s="145"/>
    </row>
    <row r="77" spans="1:7" ht="24.95" hidden="1" customHeight="1">
      <c r="A77" s="141"/>
      <c r="B77" s="141"/>
      <c r="C77" s="248"/>
      <c r="D77" s="256"/>
      <c r="E77" s="150"/>
      <c r="F77" s="150"/>
      <c r="G77" s="145"/>
    </row>
    <row r="78" spans="1:7" ht="24.95" hidden="1" customHeight="1">
      <c r="A78" s="141"/>
      <c r="B78" s="141"/>
      <c r="C78" s="248"/>
      <c r="D78" s="256"/>
      <c r="E78" s="150"/>
      <c r="F78" s="150"/>
      <c r="G78" s="145"/>
    </row>
    <row r="79" spans="1:7" ht="24.95" hidden="1" customHeight="1">
      <c r="A79" s="141"/>
      <c r="B79" s="141"/>
      <c r="C79" s="248"/>
      <c r="D79" s="256"/>
      <c r="E79" s="150"/>
      <c r="F79" s="150"/>
      <c r="G79" s="145"/>
    </row>
    <row r="80" spans="1:7" ht="24.95" hidden="1" customHeight="1">
      <c r="A80" s="141"/>
      <c r="B80" s="141"/>
      <c r="C80" s="248"/>
      <c r="D80" s="256"/>
      <c r="E80" s="150"/>
      <c r="F80" s="150"/>
      <c r="G80" s="145"/>
    </row>
    <row r="81" spans="1:7" ht="24.95" hidden="1" customHeight="1">
      <c r="A81" s="141"/>
      <c r="B81" s="141"/>
      <c r="C81" s="248"/>
      <c r="D81" s="256"/>
      <c r="E81" s="150"/>
      <c r="F81" s="150"/>
      <c r="G81" s="145"/>
    </row>
    <row r="82" spans="1:7" ht="24.95" hidden="1" customHeight="1">
      <c r="A82" s="141"/>
      <c r="B82" s="141"/>
      <c r="C82" s="248"/>
      <c r="D82" s="256"/>
      <c r="E82" s="150"/>
      <c r="F82" s="150"/>
      <c r="G82" s="145"/>
    </row>
    <row r="83" spans="1:7" ht="24.95" hidden="1" customHeight="1">
      <c r="A83" s="141"/>
      <c r="B83" s="141"/>
      <c r="C83" s="248"/>
      <c r="D83" s="256"/>
      <c r="E83" s="150"/>
      <c r="F83" s="150"/>
      <c r="G83" s="145"/>
    </row>
    <row r="84" spans="1:7" ht="24.95" hidden="1" customHeight="1">
      <c r="A84" s="141"/>
      <c r="B84" s="141"/>
      <c r="C84" s="248"/>
      <c r="D84" s="256"/>
      <c r="E84" s="150"/>
      <c r="F84" s="150"/>
      <c r="G84" s="145"/>
    </row>
    <row r="85" spans="1:7" ht="24.95" hidden="1" customHeight="1">
      <c r="A85" s="141"/>
      <c r="B85" s="141"/>
      <c r="C85" s="248"/>
      <c r="D85" s="256"/>
      <c r="E85" s="150"/>
      <c r="F85" s="150"/>
      <c r="G85" s="145"/>
    </row>
    <row r="86" spans="1:7" ht="24.95" hidden="1" customHeight="1">
      <c r="A86" s="141"/>
      <c r="B86" s="141"/>
      <c r="C86" s="248"/>
      <c r="D86" s="256"/>
      <c r="E86" s="150"/>
      <c r="F86" s="150"/>
      <c r="G86" s="145"/>
    </row>
    <row r="87" spans="1:7" ht="24.95" hidden="1" customHeight="1">
      <c r="A87" s="141"/>
      <c r="B87" s="141"/>
      <c r="C87" s="248"/>
      <c r="D87" s="256"/>
      <c r="E87" s="150"/>
      <c r="F87" s="150"/>
      <c r="G87" s="145"/>
    </row>
    <row r="88" spans="1:7" ht="24.95" hidden="1" customHeight="1">
      <c r="A88" s="141"/>
      <c r="B88" s="141"/>
      <c r="C88" s="248"/>
      <c r="D88" s="256"/>
      <c r="E88" s="150"/>
      <c r="F88" s="150"/>
      <c r="G88" s="145"/>
    </row>
    <row r="89" spans="1:7" ht="24.95" hidden="1" customHeight="1">
      <c r="A89" s="141"/>
      <c r="B89" s="141"/>
      <c r="C89" s="248"/>
      <c r="D89" s="256"/>
      <c r="E89" s="150"/>
      <c r="F89" s="150"/>
      <c r="G89" s="145"/>
    </row>
    <row r="90" spans="1:7" ht="24.95" hidden="1" customHeight="1">
      <c r="A90" s="141"/>
      <c r="B90" s="141"/>
      <c r="C90" s="248"/>
      <c r="D90" s="256"/>
      <c r="E90" s="150"/>
      <c r="F90" s="150"/>
      <c r="G90" s="145"/>
    </row>
    <row r="91" spans="1:7" ht="24.95" hidden="1" customHeight="1">
      <c r="A91" s="141"/>
      <c r="B91" s="141"/>
      <c r="C91" s="248"/>
      <c r="D91" s="256"/>
      <c r="E91" s="150"/>
      <c r="F91" s="150"/>
      <c r="G91" s="145"/>
    </row>
    <row r="92" spans="1:7" ht="24.95" hidden="1" customHeight="1">
      <c r="A92" s="141"/>
      <c r="B92" s="141"/>
      <c r="C92" s="248"/>
      <c r="D92" s="256"/>
      <c r="E92" s="150"/>
      <c r="F92" s="150"/>
      <c r="G92" s="145"/>
    </row>
    <row r="93" spans="1:7" ht="24.95" hidden="1" customHeight="1">
      <c r="A93" s="141"/>
      <c r="B93" s="141"/>
      <c r="C93" s="248"/>
      <c r="D93" s="256"/>
      <c r="E93" s="150"/>
      <c r="F93" s="150"/>
      <c r="G93" s="145"/>
    </row>
    <row r="94" spans="1:7" ht="24.95" hidden="1" customHeight="1">
      <c r="A94" s="141"/>
      <c r="B94" s="141"/>
      <c r="C94" s="248"/>
      <c r="D94" s="256"/>
      <c r="E94" s="150"/>
      <c r="F94" s="150"/>
      <c r="G94" s="145"/>
    </row>
    <row r="95" spans="1:7" ht="24.95" hidden="1" customHeight="1">
      <c r="A95" s="141"/>
      <c r="B95" s="141"/>
      <c r="C95" s="248"/>
      <c r="D95" s="256"/>
      <c r="E95" s="150"/>
      <c r="F95" s="150"/>
      <c r="G95" s="145"/>
    </row>
    <row r="96" spans="1:7" ht="24.95" hidden="1" customHeight="1">
      <c r="A96" s="141"/>
      <c r="B96" s="141"/>
      <c r="C96" s="248"/>
      <c r="D96" s="256"/>
      <c r="E96" s="150"/>
      <c r="F96" s="150"/>
      <c r="G96" s="145"/>
    </row>
    <row r="97" spans="1:7" ht="24.95" hidden="1" customHeight="1">
      <c r="A97" s="141"/>
      <c r="B97" s="141"/>
      <c r="C97" s="248"/>
      <c r="D97" s="256"/>
      <c r="E97" s="150"/>
      <c r="F97" s="150"/>
      <c r="G97" s="145"/>
    </row>
    <row r="98" spans="1:7" ht="24.95" hidden="1" customHeight="1">
      <c r="A98" s="141"/>
      <c r="B98" s="141"/>
      <c r="C98" s="248"/>
      <c r="D98" s="256"/>
      <c r="E98" s="150"/>
      <c r="F98" s="150"/>
      <c r="G98" s="145"/>
    </row>
    <row r="99" spans="1:7" ht="24.95" hidden="1" customHeight="1">
      <c r="A99" s="141"/>
      <c r="B99" s="141"/>
      <c r="C99" s="248"/>
      <c r="D99" s="256"/>
      <c r="E99" s="150"/>
      <c r="F99" s="150"/>
      <c r="G99" s="145"/>
    </row>
    <row r="100" spans="1:7" ht="24.95" hidden="1" customHeight="1">
      <c r="A100" s="141"/>
      <c r="B100" s="141"/>
      <c r="C100" s="248"/>
      <c r="D100" s="256"/>
      <c r="E100" s="150"/>
      <c r="F100" s="150"/>
      <c r="G100" s="145"/>
    </row>
    <row r="101" spans="1:7" ht="24.95" hidden="1" customHeight="1">
      <c r="A101" s="141"/>
      <c r="B101" s="141"/>
      <c r="C101" s="248"/>
      <c r="D101" s="256"/>
      <c r="E101" s="150"/>
      <c r="F101" s="150"/>
      <c r="G101" s="145"/>
    </row>
    <row r="102" spans="1:7" ht="24.95" hidden="1" customHeight="1">
      <c r="A102" s="141"/>
      <c r="B102" s="141"/>
      <c r="C102" s="248"/>
      <c r="D102" s="256"/>
      <c r="E102" s="150"/>
      <c r="F102" s="150"/>
      <c r="G102" s="145"/>
    </row>
    <row r="103" spans="1:7" ht="24.95" hidden="1" customHeight="1">
      <c r="A103" s="141"/>
      <c r="B103" s="141"/>
      <c r="C103" s="248"/>
      <c r="D103" s="256"/>
      <c r="E103" s="150"/>
      <c r="F103" s="150"/>
      <c r="G103" s="145"/>
    </row>
    <row r="104" spans="1:7" ht="24.95" hidden="1" customHeight="1">
      <c r="A104" s="141"/>
      <c r="B104" s="141"/>
      <c r="C104" s="248"/>
      <c r="D104" s="256"/>
      <c r="E104" s="150"/>
      <c r="F104" s="150"/>
      <c r="G104" s="145"/>
    </row>
    <row r="105" spans="1:7" ht="24.95" hidden="1" customHeight="1">
      <c r="A105" s="141"/>
      <c r="B105" s="141"/>
      <c r="C105" s="248"/>
      <c r="D105" s="256"/>
      <c r="E105" s="150"/>
      <c r="F105" s="150"/>
      <c r="G105" s="145"/>
    </row>
    <row r="106" spans="1:7" ht="24.95" hidden="1" customHeight="1">
      <c r="A106" s="141"/>
      <c r="B106" s="141"/>
      <c r="C106" s="248"/>
      <c r="D106" s="256"/>
      <c r="E106" s="150"/>
      <c r="F106" s="150"/>
      <c r="G106" s="145"/>
    </row>
    <row r="107" spans="1:7" ht="24.95" hidden="1" customHeight="1">
      <c r="A107" s="141"/>
      <c r="B107" s="141"/>
      <c r="C107" s="248"/>
      <c r="D107" s="256"/>
      <c r="E107" s="150"/>
      <c r="F107" s="150"/>
      <c r="G107" s="145"/>
    </row>
    <row r="108" spans="1:7" ht="24.95" hidden="1" customHeight="1">
      <c r="A108" s="141"/>
      <c r="B108" s="141"/>
      <c r="C108" s="248"/>
      <c r="D108" s="256"/>
      <c r="E108" s="150"/>
      <c r="F108" s="150"/>
      <c r="G108" s="145"/>
    </row>
    <row r="109" spans="1:7" ht="24.95" hidden="1" customHeight="1">
      <c r="A109" s="141"/>
      <c r="B109" s="141"/>
      <c r="C109" s="248"/>
      <c r="D109" s="256"/>
      <c r="E109" s="150"/>
      <c r="F109" s="150"/>
      <c r="G109" s="145"/>
    </row>
    <row r="110" spans="1:7" ht="24.95" hidden="1" customHeight="1">
      <c r="A110" s="141"/>
      <c r="B110" s="141"/>
      <c r="C110" s="248"/>
      <c r="D110" s="256"/>
      <c r="E110" s="150"/>
      <c r="F110" s="150"/>
      <c r="G110" s="145"/>
    </row>
    <row r="111" spans="1:7" ht="24.95" hidden="1" customHeight="1">
      <c r="A111" s="141"/>
      <c r="B111" s="141"/>
      <c r="C111" s="248"/>
      <c r="D111" s="256"/>
      <c r="E111" s="150"/>
      <c r="F111" s="150"/>
      <c r="G111" s="145"/>
    </row>
    <row r="112" spans="1:7" ht="24.95" hidden="1" customHeight="1">
      <c r="A112" s="141"/>
      <c r="B112" s="141"/>
      <c r="C112" s="248"/>
      <c r="D112" s="256"/>
      <c r="E112" s="150"/>
      <c r="F112" s="150"/>
      <c r="G112" s="145"/>
    </row>
    <row r="113" spans="1:7" ht="24.95" hidden="1" customHeight="1">
      <c r="A113" s="141"/>
      <c r="B113" s="141"/>
      <c r="C113" s="248"/>
      <c r="D113" s="256"/>
      <c r="E113" s="150"/>
      <c r="F113" s="150"/>
      <c r="G113" s="145"/>
    </row>
    <row r="114" spans="1:7" ht="24.95" hidden="1" customHeight="1">
      <c r="A114" s="141"/>
      <c r="B114" s="141"/>
      <c r="C114" s="248"/>
      <c r="D114" s="256"/>
      <c r="E114" s="150"/>
      <c r="F114" s="150"/>
      <c r="G114" s="145"/>
    </row>
    <row r="115" spans="1:7" ht="24.95" hidden="1" customHeight="1">
      <c r="A115" s="141"/>
      <c r="B115" s="141"/>
      <c r="C115" s="248"/>
      <c r="D115" s="256"/>
      <c r="E115" s="150"/>
      <c r="F115" s="150"/>
      <c r="G115" s="145"/>
    </row>
    <row r="116" spans="1:7" ht="24.95" hidden="1" customHeight="1">
      <c r="A116" s="141"/>
      <c r="B116" s="141"/>
      <c r="C116" s="248"/>
      <c r="D116" s="256"/>
      <c r="E116" s="150"/>
      <c r="F116" s="150"/>
      <c r="G116" s="145"/>
    </row>
    <row r="117" spans="1:7" ht="24.95" hidden="1" customHeight="1">
      <c r="A117" s="141"/>
      <c r="B117" s="141"/>
      <c r="C117" s="248"/>
      <c r="D117" s="256"/>
      <c r="E117" s="150"/>
      <c r="F117" s="150"/>
      <c r="G117" s="145"/>
    </row>
    <row r="118" spans="1:7" ht="24.95" hidden="1" customHeight="1">
      <c r="A118" s="141"/>
      <c r="B118" s="141"/>
      <c r="C118" s="248"/>
      <c r="D118" s="256"/>
      <c r="E118" s="150"/>
      <c r="F118" s="150"/>
      <c r="G118" s="145"/>
    </row>
    <row r="119" spans="1:7" ht="24.95" hidden="1" customHeight="1">
      <c r="A119" s="141"/>
      <c r="B119" s="141"/>
      <c r="C119" s="248"/>
      <c r="D119" s="256"/>
      <c r="E119" s="150"/>
      <c r="F119" s="150"/>
      <c r="G119" s="145"/>
    </row>
    <row r="120" spans="1:7" ht="24.95" hidden="1" customHeight="1">
      <c r="A120" s="141"/>
      <c r="B120" s="141"/>
      <c r="C120" s="248"/>
      <c r="D120" s="256"/>
      <c r="E120" s="150"/>
      <c r="F120" s="150"/>
      <c r="G120" s="145"/>
    </row>
    <row r="121" spans="1:7" ht="24.95" hidden="1" customHeight="1">
      <c r="A121" s="141"/>
      <c r="B121" s="141"/>
      <c r="C121" s="248"/>
      <c r="D121" s="256"/>
      <c r="E121" s="150"/>
      <c r="F121" s="150"/>
      <c r="G121" s="145"/>
    </row>
    <row r="122" spans="1:7" ht="24.95" hidden="1" customHeight="1">
      <c r="A122" s="141"/>
      <c r="B122" s="141"/>
      <c r="C122" s="248"/>
      <c r="D122" s="256"/>
      <c r="E122" s="150"/>
      <c r="F122" s="150"/>
      <c r="G122" s="145"/>
    </row>
    <row r="123" spans="1:7" ht="24.95" hidden="1" customHeight="1">
      <c r="A123" s="141"/>
      <c r="B123" s="141"/>
      <c r="C123" s="248"/>
      <c r="D123" s="256"/>
      <c r="E123" s="150"/>
      <c r="F123" s="150"/>
      <c r="G123" s="145"/>
    </row>
    <row r="124" spans="1:7" ht="24.95" hidden="1" customHeight="1">
      <c r="A124" s="141"/>
      <c r="B124" s="141"/>
      <c r="C124" s="248"/>
      <c r="D124" s="256"/>
      <c r="E124" s="150"/>
      <c r="F124" s="150"/>
      <c r="G124" s="145"/>
    </row>
    <row r="125" spans="1:7" ht="24.95" hidden="1" customHeight="1">
      <c r="A125" s="141"/>
      <c r="B125" s="141"/>
      <c r="C125" s="248"/>
      <c r="D125" s="256"/>
      <c r="E125" s="150"/>
      <c r="F125" s="150"/>
      <c r="G125" s="145"/>
    </row>
    <row r="126" spans="1:7" ht="24.95" hidden="1" customHeight="1">
      <c r="A126" s="141"/>
      <c r="B126" s="141"/>
      <c r="C126" s="248"/>
      <c r="D126" s="256"/>
      <c r="E126" s="150"/>
      <c r="F126" s="150"/>
      <c r="G126" s="145"/>
    </row>
    <row r="127" spans="1:7" ht="24.95" hidden="1" customHeight="1">
      <c r="A127" s="141"/>
      <c r="B127" s="141"/>
      <c r="C127" s="248"/>
      <c r="D127" s="256"/>
      <c r="E127" s="150"/>
      <c r="F127" s="150"/>
      <c r="G127" s="145"/>
    </row>
    <row r="128" spans="1:7" ht="24.95" hidden="1" customHeight="1">
      <c r="A128" s="141"/>
      <c r="B128" s="141"/>
      <c r="C128" s="248"/>
      <c r="D128" s="256"/>
      <c r="E128" s="150"/>
      <c r="F128" s="150"/>
      <c r="G128" s="145"/>
    </row>
    <row r="129" spans="1:7" ht="24.95" hidden="1" customHeight="1">
      <c r="A129" s="141"/>
      <c r="B129" s="141"/>
      <c r="C129" s="248"/>
      <c r="D129" s="256"/>
      <c r="E129" s="150"/>
      <c r="F129" s="150"/>
      <c r="G129" s="145"/>
    </row>
    <row r="130" spans="1:7" ht="24.95" hidden="1" customHeight="1">
      <c r="A130" s="141"/>
      <c r="B130" s="141"/>
      <c r="C130" s="248"/>
      <c r="D130" s="256"/>
      <c r="E130" s="150"/>
      <c r="F130" s="150"/>
      <c r="G130" s="145"/>
    </row>
    <row r="131" spans="1:7" ht="24.95" hidden="1" customHeight="1">
      <c r="A131" s="141"/>
      <c r="B131" s="141"/>
      <c r="C131" s="248"/>
      <c r="D131" s="256"/>
      <c r="E131" s="150"/>
      <c r="F131" s="150"/>
      <c r="G131" s="145"/>
    </row>
    <row r="132" spans="1:7" ht="24.95" hidden="1" customHeight="1">
      <c r="A132" s="141"/>
      <c r="B132" s="141"/>
      <c r="C132" s="248"/>
      <c r="D132" s="256"/>
      <c r="E132" s="150"/>
      <c r="F132" s="150"/>
      <c r="G132" s="145"/>
    </row>
    <row r="133" spans="1:7" ht="24.95" hidden="1" customHeight="1">
      <c r="A133" s="141"/>
      <c r="B133" s="141"/>
      <c r="C133" s="248"/>
      <c r="D133" s="256"/>
      <c r="E133" s="150"/>
      <c r="F133" s="150"/>
      <c r="G133" s="145"/>
    </row>
    <row r="134" spans="1:7" ht="24.95" hidden="1" customHeight="1">
      <c r="A134" s="141"/>
      <c r="B134" s="141"/>
      <c r="C134" s="248"/>
      <c r="D134" s="256"/>
      <c r="E134" s="150"/>
      <c r="F134" s="150"/>
      <c r="G134" s="145"/>
    </row>
    <row r="135" spans="1:7" ht="24.95" hidden="1" customHeight="1">
      <c r="A135" s="141"/>
      <c r="B135" s="141"/>
      <c r="C135" s="248"/>
      <c r="D135" s="256"/>
      <c r="E135" s="150"/>
      <c r="F135" s="150"/>
      <c r="G135" s="145"/>
    </row>
    <row r="136" spans="1:7" ht="24.95" hidden="1" customHeight="1">
      <c r="A136" s="141"/>
      <c r="B136" s="141"/>
      <c r="C136" s="248"/>
      <c r="D136" s="256"/>
      <c r="E136" s="150"/>
      <c r="F136" s="150"/>
      <c r="G136" s="145"/>
    </row>
    <row r="137" spans="1:7" ht="24.95" hidden="1" customHeight="1">
      <c r="A137" s="141"/>
      <c r="B137" s="141"/>
      <c r="C137" s="248"/>
      <c r="D137" s="256"/>
      <c r="E137" s="150"/>
      <c r="F137" s="150"/>
      <c r="G137" s="145"/>
    </row>
    <row r="138" spans="1:7" ht="24.95" hidden="1" customHeight="1">
      <c r="A138" s="141"/>
      <c r="B138" s="141"/>
      <c r="C138" s="248"/>
      <c r="D138" s="256"/>
      <c r="E138" s="150"/>
      <c r="F138" s="150"/>
      <c r="G138" s="145"/>
    </row>
    <row r="139" spans="1:7" ht="24.95" hidden="1" customHeight="1">
      <c r="A139" s="141"/>
      <c r="B139" s="141"/>
      <c r="C139" s="248"/>
      <c r="D139" s="256"/>
      <c r="E139" s="150"/>
      <c r="F139" s="150"/>
      <c r="G139" s="145"/>
    </row>
    <row r="140" spans="1:7" ht="24.95" hidden="1" customHeight="1">
      <c r="A140" s="141"/>
      <c r="B140" s="141"/>
      <c r="C140" s="248"/>
      <c r="D140" s="256"/>
      <c r="E140" s="150"/>
      <c r="F140" s="150"/>
      <c r="G140" s="145"/>
    </row>
    <row r="141" spans="1:7" ht="24.95" hidden="1" customHeight="1">
      <c r="A141" s="141"/>
      <c r="B141" s="141"/>
      <c r="C141" s="248"/>
      <c r="D141" s="256"/>
      <c r="E141" s="150"/>
      <c r="F141" s="150"/>
      <c r="G141" s="145"/>
    </row>
    <row r="142" spans="1:7" ht="24.95" hidden="1" customHeight="1">
      <c r="A142" s="141"/>
      <c r="B142" s="141"/>
      <c r="C142" s="248"/>
      <c r="D142" s="256"/>
      <c r="E142" s="150"/>
      <c r="F142" s="150"/>
      <c r="G142" s="145"/>
    </row>
    <row r="143" spans="1:7" ht="24.95" hidden="1" customHeight="1">
      <c r="A143" s="141"/>
      <c r="B143" s="141"/>
      <c r="C143" s="248"/>
      <c r="D143" s="256"/>
      <c r="E143" s="150"/>
      <c r="F143" s="150"/>
      <c r="G143" s="145"/>
    </row>
    <row r="144" spans="1:7" ht="24.95" hidden="1" customHeight="1">
      <c r="A144" s="141"/>
      <c r="B144" s="141"/>
      <c r="C144" s="248"/>
      <c r="D144" s="256"/>
      <c r="E144" s="150"/>
      <c r="F144" s="150"/>
      <c r="G144" s="145"/>
    </row>
    <row r="145" spans="1:7" ht="24.95" hidden="1" customHeight="1">
      <c r="A145" s="141"/>
      <c r="B145" s="141"/>
      <c r="C145" s="248"/>
      <c r="D145" s="256"/>
      <c r="E145" s="150"/>
      <c r="F145" s="150"/>
      <c r="G145" s="145"/>
    </row>
    <row r="146" spans="1:7" ht="24.95" hidden="1" customHeight="1">
      <c r="A146" s="141"/>
      <c r="B146" s="141"/>
      <c r="C146" s="248"/>
      <c r="D146" s="256"/>
      <c r="E146" s="150"/>
      <c r="F146" s="150"/>
      <c r="G146" s="145"/>
    </row>
    <row r="147" spans="1:7" ht="24.95" hidden="1" customHeight="1">
      <c r="A147" s="141"/>
      <c r="B147" s="141"/>
      <c r="C147" s="248"/>
      <c r="D147" s="256"/>
      <c r="E147" s="150"/>
      <c r="F147" s="150"/>
      <c r="G147" s="145"/>
    </row>
    <row r="148" spans="1:7" ht="24.95" hidden="1" customHeight="1">
      <c r="A148" s="141"/>
      <c r="B148" s="141"/>
      <c r="C148" s="248"/>
      <c r="D148" s="256"/>
      <c r="E148" s="150"/>
      <c r="F148" s="150"/>
      <c r="G148" s="145"/>
    </row>
    <row r="149" spans="1:7" ht="24.95" hidden="1" customHeight="1">
      <c r="A149" s="141"/>
      <c r="B149" s="141"/>
      <c r="C149" s="248"/>
      <c r="D149" s="256"/>
      <c r="E149" s="150"/>
      <c r="F149" s="150"/>
      <c r="G149" s="145"/>
    </row>
    <row r="150" spans="1:7" ht="24.95" hidden="1" customHeight="1">
      <c r="A150" s="141"/>
      <c r="B150" s="141"/>
      <c r="C150" s="248"/>
      <c r="D150" s="256"/>
      <c r="E150" s="150"/>
      <c r="F150" s="150"/>
      <c r="G150" s="145"/>
    </row>
    <row r="151" spans="1:7" ht="24.95" hidden="1" customHeight="1">
      <c r="A151" s="141"/>
      <c r="B151" s="141"/>
      <c r="C151" s="248"/>
      <c r="D151" s="256"/>
      <c r="E151" s="150"/>
      <c r="F151" s="150"/>
      <c r="G151" s="145"/>
    </row>
    <row r="152" spans="1:7" ht="24.95" hidden="1" customHeight="1">
      <c r="A152" s="141"/>
      <c r="B152" s="141"/>
      <c r="C152" s="248"/>
      <c r="D152" s="256"/>
      <c r="E152" s="150"/>
      <c r="F152" s="150"/>
      <c r="G152" s="145"/>
    </row>
    <row r="153" spans="1:7" ht="24.95" hidden="1" customHeight="1">
      <c r="A153" s="141"/>
      <c r="B153" s="141"/>
      <c r="C153" s="248"/>
      <c r="D153" s="256"/>
      <c r="E153" s="150"/>
      <c r="F153" s="150"/>
      <c r="G153" s="145"/>
    </row>
    <row r="154" spans="1:7" ht="24.95" hidden="1" customHeight="1">
      <c r="A154" s="141"/>
      <c r="B154" s="141"/>
      <c r="C154" s="248"/>
      <c r="D154" s="256"/>
      <c r="E154" s="150"/>
      <c r="F154" s="150"/>
      <c r="G154" s="145"/>
    </row>
    <row r="155" spans="1:7" ht="24.95" hidden="1" customHeight="1">
      <c r="A155" s="141"/>
      <c r="B155" s="141"/>
      <c r="C155" s="248"/>
      <c r="D155" s="256"/>
      <c r="E155" s="150"/>
      <c r="F155" s="150"/>
      <c r="G155" s="145"/>
    </row>
    <row r="156" spans="1:7" ht="24.95" hidden="1" customHeight="1">
      <c r="A156" s="141"/>
      <c r="B156" s="141"/>
      <c r="C156" s="248"/>
      <c r="D156" s="256"/>
      <c r="E156" s="150"/>
      <c r="F156" s="150"/>
      <c r="G156" s="145"/>
    </row>
    <row r="157" spans="1:7" ht="24.95" hidden="1" customHeight="1">
      <c r="A157" s="141"/>
      <c r="B157" s="141"/>
      <c r="C157" s="248"/>
      <c r="D157" s="256"/>
      <c r="E157" s="150"/>
      <c r="F157" s="150"/>
      <c r="G157" s="145"/>
    </row>
    <row r="158" spans="1:7" ht="24.95" hidden="1" customHeight="1">
      <c r="A158" s="141"/>
      <c r="B158" s="141"/>
      <c r="C158" s="248"/>
      <c r="D158" s="256"/>
      <c r="E158" s="150"/>
      <c r="F158" s="150"/>
      <c r="G158" s="145"/>
    </row>
    <row r="159" spans="1:7" ht="24.95" hidden="1" customHeight="1">
      <c r="A159" s="141"/>
      <c r="B159" s="141"/>
      <c r="C159" s="248"/>
      <c r="D159" s="256"/>
      <c r="E159" s="150"/>
      <c r="F159" s="150"/>
      <c r="G159" s="145"/>
    </row>
    <row r="160" spans="1:7" ht="24.95" hidden="1" customHeight="1">
      <c r="A160" s="141"/>
      <c r="B160" s="141"/>
      <c r="C160" s="248"/>
      <c r="D160" s="256"/>
      <c r="E160" s="150"/>
      <c r="F160" s="150"/>
      <c r="G160" s="145"/>
    </row>
    <row r="161" spans="1:7" ht="24.95" hidden="1" customHeight="1">
      <c r="A161" s="141"/>
      <c r="B161" s="141"/>
      <c r="C161" s="248"/>
      <c r="D161" s="256"/>
      <c r="E161" s="150"/>
      <c r="F161" s="150"/>
      <c r="G161" s="145"/>
    </row>
    <row r="162" spans="1:7" ht="24.95" hidden="1" customHeight="1">
      <c r="A162" s="141"/>
      <c r="B162" s="141"/>
      <c r="C162" s="248"/>
      <c r="D162" s="256"/>
      <c r="E162" s="150"/>
      <c r="F162" s="150"/>
      <c r="G162" s="145"/>
    </row>
    <row r="163" spans="1:7" ht="24.95" hidden="1" customHeight="1">
      <c r="A163" s="141"/>
      <c r="B163" s="141"/>
      <c r="C163" s="248"/>
      <c r="D163" s="256"/>
      <c r="E163" s="150"/>
      <c r="F163" s="150"/>
      <c r="G163" s="145"/>
    </row>
    <row r="164" spans="1:7" ht="24.95" hidden="1" customHeight="1">
      <c r="A164" s="141"/>
      <c r="B164" s="141"/>
      <c r="C164" s="248"/>
      <c r="D164" s="256"/>
      <c r="E164" s="150"/>
      <c r="F164" s="150"/>
      <c r="G164" s="145"/>
    </row>
    <row r="165" spans="1:7" ht="24.95" hidden="1" customHeight="1">
      <c r="A165" s="141"/>
      <c r="B165" s="141"/>
      <c r="C165" s="248"/>
      <c r="D165" s="256"/>
      <c r="E165" s="150"/>
      <c r="F165" s="150"/>
      <c r="G165" s="145"/>
    </row>
    <row r="166" spans="1:7" ht="24.95" hidden="1" customHeight="1">
      <c r="A166" s="141"/>
      <c r="B166" s="141"/>
      <c r="C166" s="248"/>
      <c r="D166" s="256"/>
      <c r="E166" s="150"/>
      <c r="F166" s="150"/>
      <c r="G166" s="145"/>
    </row>
    <row r="167" spans="1:7" ht="24.95" hidden="1" customHeight="1">
      <c r="A167" s="141"/>
      <c r="B167" s="141"/>
      <c r="C167" s="248"/>
      <c r="D167" s="256"/>
      <c r="E167" s="150"/>
      <c r="F167" s="150"/>
      <c r="G167" s="145"/>
    </row>
    <row r="168" spans="1:7" ht="24.95" hidden="1" customHeight="1">
      <c r="A168" s="141"/>
      <c r="B168" s="141"/>
      <c r="C168" s="248"/>
      <c r="D168" s="256"/>
      <c r="E168" s="150"/>
      <c r="F168" s="150"/>
      <c r="G168" s="145"/>
    </row>
    <row r="169" spans="1:7" ht="24.95" hidden="1" customHeight="1">
      <c r="A169" s="141"/>
      <c r="B169" s="141"/>
      <c r="C169" s="248"/>
      <c r="D169" s="256"/>
      <c r="E169" s="150"/>
      <c r="F169" s="150"/>
      <c r="G169" s="145"/>
    </row>
    <row r="170" spans="1:7" ht="24.95" hidden="1" customHeight="1">
      <c r="A170" s="141"/>
      <c r="B170" s="141"/>
      <c r="C170" s="248"/>
      <c r="D170" s="256"/>
      <c r="E170" s="150"/>
      <c r="F170" s="150"/>
      <c r="G170" s="145"/>
    </row>
    <row r="171" spans="1:7" ht="24.95" hidden="1" customHeight="1">
      <c r="A171" s="141"/>
      <c r="B171" s="141"/>
      <c r="C171" s="248"/>
      <c r="D171" s="256"/>
      <c r="E171" s="150"/>
      <c r="F171" s="150"/>
      <c r="G171" s="145"/>
    </row>
    <row r="172" spans="1:7" ht="24.95" hidden="1" customHeight="1">
      <c r="A172" s="141"/>
      <c r="B172" s="141"/>
      <c r="C172" s="248"/>
      <c r="D172" s="256"/>
      <c r="E172" s="150"/>
      <c r="F172" s="150"/>
      <c r="G172" s="145"/>
    </row>
    <row r="173" spans="1:7" ht="24.95" hidden="1" customHeight="1">
      <c r="A173" s="141"/>
      <c r="B173" s="141"/>
      <c r="C173" s="248"/>
      <c r="D173" s="256"/>
      <c r="E173" s="150"/>
      <c r="F173" s="150"/>
      <c r="G173" s="145"/>
    </row>
    <row r="174" spans="1:7" ht="24.95" hidden="1" customHeight="1">
      <c r="A174" s="141"/>
      <c r="B174" s="141"/>
      <c r="C174" s="248"/>
      <c r="D174" s="256"/>
      <c r="E174" s="150"/>
      <c r="F174" s="150"/>
      <c r="G174" s="145"/>
    </row>
    <row r="175" spans="1:7" ht="24.95" hidden="1" customHeight="1">
      <c r="A175" s="141"/>
      <c r="B175" s="141"/>
      <c r="C175" s="248"/>
      <c r="D175" s="256"/>
      <c r="E175" s="150"/>
      <c r="F175" s="150"/>
      <c r="G175" s="145"/>
    </row>
    <row r="176" spans="1:7" ht="24.95" hidden="1" customHeight="1">
      <c r="A176" s="141"/>
      <c r="B176" s="141"/>
      <c r="C176" s="248"/>
      <c r="D176" s="256"/>
      <c r="E176" s="150"/>
      <c r="F176" s="150"/>
      <c r="G176" s="145"/>
    </row>
    <row r="177" spans="1:7" ht="24.95" hidden="1" customHeight="1">
      <c r="A177" s="141"/>
      <c r="B177" s="141"/>
      <c r="C177" s="248"/>
      <c r="D177" s="256"/>
      <c r="E177" s="150"/>
      <c r="F177" s="150"/>
      <c r="G177" s="145"/>
    </row>
    <row r="178" spans="1:7" ht="24.95" hidden="1" customHeight="1">
      <c r="A178" s="141"/>
      <c r="B178" s="141"/>
      <c r="C178" s="248"/>
      <c r="D178" s="256"/>
      <c r="E178" s="150"/>
      <c r="F178" s="150"/>
      <c r="G178" s="145"/>
    </row>
    <row r="179" spans="1:7" ht="24.95" hidden="1" customHeight="1">
      <c r="A179" s="141"/>
      <c r="B179" s="141"/>
      <c r="C179" s="248"/>
      <c r="D179" s="256"/>
      <c r="E179" s="150"/>
      <c r="F179" s="150"/>
      <c r="G179" s="145"/>
    </row>
    <row r="180" spans="1:7" ht="24.95" hidden="1" customHeight="1">
      <c r="A180" s="141"/>
      <c r="B180" s="141"/>
      <c r="C180" s="248"/>
      <c r="D180" s="256"/>
      <c r="E180" s="150"/>
      <c r="F180" s="150"/>
      <c r="G180" s="145"/>
    </row>
    <row r="181" spans="1:7" ht="24.95" hidden="1" customHeight="1">
      <c r="A181" s="141"/>
      <c r="B181" s="141"/>
      <c r="C181" s="248"/>
      <c r="D181" s="256"/>
      <c r="E181" s="150"/>
      <c r="F181" s="150"/>
      <c r="G181" s="145"/>
    </row>
    <row r="182" spans="1:7" ht="24.95" hidden="1" customHeight="1">
      <c r="A182" s="141"/>
      <c r="B182" s="141"/>
      <c r="C182" s="248"/>
      <c r="D182" s="256"/>
      <c r="E182" s="150"/>
      <c r="F182" s="150"/>
      <c r="G182" s="145"/>
    </row>
    <row r="183" spans="1:7" ht="24.95" hidden="1" customHeight="1">
      <c r="A183" s="141"/>
      <c r="B183" s="141"/>
      <c r="C183" s="248"/>
      <c r="D183" s="256"/>
      <c r="E183" s="150"/>
      <c r="F183" s="150"/>
      <c r="G183" s="145"/>
    </row>
    <row r="184" spans="1:7" ht="24.95" hidden="1" customHeight="1">
      <c r="A184" s="141"/>
      <c r="B184" s="141"/>
      <c r="C184" s="248"/>
      <c r="D184" s="256"/>
      <c r="E184" s="150"/>
      <c r="F184" s="150"/>
      <c r="G184" s="145"/>
    </row>
    <row r="185" spans="1:7" ht="24.95" hidden="1" customHeight="1">
      <c r="A185" s="141"/>
      <c r="B185" s="141"/>
      <c r="C185" s="248"/>
      <c r="D185" s="256"/>
      <c r="E185" s="150"/>
      <c r="F185" s="150"/>
      <c r="G185" s="145"/>
    </row>
    <row r="186" spans="1:7" ht="24.95" hidden="1" customHeight="1">
      <c r="A186" s="141"/>
      <c r="B186" s="141"/>
      <c r="C186" s="248"/>
      <c r="D186" s="256"/>
      <c r="E186" s="150"/>
      <c r="F186" s="150"/>
      <c r="G186" s="145"/>
    </row>
    <row r="187" spans="1:7" ht="24.95" hidden="1" customHeight="1">
      <c r="A187" s="141"/>
      <c r="B187" s="141"/>
      <c r="C187" s="248"/>
      <c r="D187" s="256"/>
      <c r="E187" s="150"/>
      <c r="F187" s="150"/>
      <c r="G187" s="145"/>
    </row>
    <row r="188" spans="1:7" ht="24.95" hidden="1" customHeight="1">
      <c r="A188" s="141"/>
      <c r="B188" s="141"/>
      <c r="C188" s="248"/>
      <c r="D188" s="256"/>
      <c r="E188" s="150"/>
      <c r="F188" s="150"/>
      <c r="G188" s="145"/>
    </row>
    <row r="189" spans="1:7" ht="24.95" hidden="1" customHeight="1">
      <c r="A189" s="141"/>
      <c r="B189" s="141"/>
      <c r="C189" s="248"/>
      <c r="D189" s="256"/>
      <c r="E189" s="150"/>
      <c r="F189" s="150"/>
      <c r="G189" s="145"/>
    </row>
    <row r="190" spans="1:7" ht="24.95" hidden="1" customHeight="1">
      <c r="A190" s="141"/>
      <c r="B190" s="141"/>
      <c r="C190" s="248"/>
      <c r="D190" s="256"/>
      <c r="E190" s="150"/>
      <c r="F190" s="150"/>
      <c r="G190" s="145"/>
    </row>
    <row r="191" spans="1:7" ht="24.95" hidden="1" customHeight="1">
      <c r="A191" s="141"/>
      <c r="B191" s="141"/>
      <c r="C191" s="248"/>
      <c r="D191" s="256"/>
      <c r="E191" s="150"/>
      <c r="F191" s="150"/>
      <c r="G191" s="145"/>
    </row>
    <row r="192" spans="1:7" ht="24.95" hidden="1" customHeight="1">
      <c r="A192" s="141"/>
      <c r="B192" s="141"/>
      <c r="C192" s="248"/>
      <c r="D192" s="256"/>
      <c r="E192" s="150"/>
      <c r="F192" s="150"/>
      <c r="G192" s="145"/>
    </row>
    <row r="193" spans="1:7" ht="24.95" hidden="1" customHeight="1">
      <c r="A193" s="141"/>
      <c r="B193" s="141"/>
      <c r="C193" s="248"/>
      <c r="D193" s="256"/>
      <c r="E193" s="150"/>
      <c r="F193" s="150"/>
      <c r="G193" s="145"/>
    </row>
    <row r="194" spans="1:7" ht="24.95" hidden="1" customHeight="1">
      <c r="A194" s="141"/>
      <c r="B194" s="141"/>
      <c r="C194" s="248"/>
      <c r="D194" s="256"/>
      <c r="E194" s="150"/>
      <c r="F194" s="150"/>
      <c r="G194" s="145"/>
    </row>
    <row r="195" spans="1:7" ht="24.95" hidden="1" customHeight="1">
      <c r="A195" s="141"/>
      <c r="B195" s="141"/>
      <c r="C195" s="248"/>
      <c r="D195" s="256"/>
      <c r="E195" s="150"/>
      <c r="F195" s="150"/>
      <c r="G195" s="145"/>
    </row>
    <row r="196" spans="1:7" ht="24.95" hidden="1" customHeight="1">
      <c r="A196" s="141"/>
      <c r="B196" s="141"/>
      <c r="C196" s="248"/>
      <c r="D196" s="256"/>
      <c r="E196" s="150"/>
      <c r="F196" s="150"/>
      <c r="G196" s="145"/>
    </row>
    <row r="197" spans="1:7" ht="24.95" hidden="1" customHeight="1">
      <c r="A197" s="141"/>
      <c r="B197" s="141"/>
      <c r="C197" s="248"/>
      <c r="D197" s="256"/>
      <c r="E197" s="150"/>
      <c r="F197" s="150"/>
      <c r="G197" s="145"/>
    </row>
    <row r="198" spans="1:7" ht="24.95" hidden="1" customHeight="1">
      <c r="A198" s="141"/>
      <c r="B198" s="141"/>
      <c r="C198" s="248"/>
      <c r="D198" s="256"/>
      <c r="E198" s="150"/>
      <c r="F198" s="150"/>
      <c r="G198" s="145"/>
    </row>
    <row r="199" spans="1:7" ht="24.95" hidden="1" customHeight="1">
      <c r="A199" s="141"/>
      <c r="B199" s="141"/>
      <c r="C199" s="248"/>
      <c r="D199" s="256"/>
      <c r="E199" s="150"/>
      <c r="F199" s="150"/>
      <c r="G199" s="145"/>
    </row>
    <row r="200" spans="1:7" ht="24.95" hidden="1" customHeight="1">
      <c r="A200" s="141"/>
      <c r="B200" s="141"/>
      <c r="C200" s="248"/>
      <c r="D200" s="256"/>
      <c r="E200" s="150"/>
      <c r="F200" s="150"/>
      <c r="G200" s="145"/>
    </row>
    <row r="201" spans="1:7" ht="24.95" hidden="1" customHeight="1">
      <c r="A201" s="141"/>
      <c r="B201" s="141"/>
      <c r="C201" s="248"/>
      <c r="D201" s="256"/>
      <c r="E201" s="150"/>
      <c r="F201" s="150"/>
      <c r="G201" s="145"/>
    </row>
    <row r="202" spans="1:7" ht="24.95" hidden="1" customHeight="1">
      <c r="A202" s="141"/>
      <c r="B202" s="141"/>
      <c r="C202" s="248"/>
      <c r="D202" s="256"/>
      <c r="E202" s="150"/>
      <c r="F202" s="150"/>
      <c r="G202" s="145"/>
    </row>
    <row r="203" spans="1:7" ht="24.95" hidden="1" customHeight="1">
      <c r="A203" s="141"/>
      <c r="B203" s="141"/>
      <c r="C203" s="248"/>
      <c r="D203" s="256"/>
      <c r="E203" s="150"/>
      <c r="F203" s="150"/>
      <c r="G203" s="145"/>
    </row>
    <row r="204" spans="1:7" ht="24.95" hidden="1" customHeight="1">
      <c r="A204" s="141"/>
      <c r="B204" s="141"/>
      <c r="C204" s="248"/>
      <c r="D204" s="256"/>
      <c r="E204" s="150"/>
      <c r="F204" s="150"/>
      <c r="G204" s="145"/>
    </row>
    <row r="205" spans="1:7" ht="24.95" hidden="1" customHeight="1">
      <c r="A205" s="141"/>
      <c r="B205" s="141"/>
      <c r="C205" s="248"/>
      <c r="D205" s="256"/>
      <c r="E205" s="150"/>
      <c r="F205" s="150"/>
      <c r="G205" s="145"/>
    </row>
    <row r="206" spans="1:7" ht="24.95" hidden="1" customHeight="1">
      <c r="A206" s="141"/>
      <c r="B206" s="141"/>
      <c r="C206" s="248"/>
      <c r="D206" s="256"/>
      <c r="E206" s="150"/>
      <c r="F206" s="150"/>
      <c r="G206" s="145"/>
    </row>
    <row r="207" spans="1:7" ht="24.95" hidden="1" customHeight="1">
      <c r="A207" s="141"/>
      <c r="B207" s="141"/>
      <c r="C207" s="248"/>
      <c r="D207" s="256"/>
      <c r="E207" s="150"/>
      <c r="F207" s="150"/>
      <c r="G207" s="145"/>
    </row>
    <row r="208" spans="1:7" ht="24.95" hidden="1" customHeight="1">
      <c r="A208" s="141"/>
      <c r="B208" s="141"/>
      <c r="C208" s="248"/>
      <c r="D208" s="256"/>
      <c r="E208" s="150"/>
      <c r="F208" s="150"/>
      <c r="G208" s="145"/>
    </row>
    <row r="209" spans="1:7" ht="24.95" hidden="1" customHeight="1">
      <c r="A209" s="141"/>
      <c r="B209" s="141"/>
      <c r="C209" s="248"/>
      <c r="D209" s="256"/>
      <c r="E209" s="150"/>
      <c r="F209" s="150"/>
      <c r="G209" s="145"/>
    </row>
    <row r="210" spans="1:7" ht="24.95" hidden="1" customHeight="1">
      <c r="A210" s="141"/>
      <c r="B210" s="141"/>
      <c r="C210" s="248"/>
      <c r="D210" s="256"/>
      <c r="E210" s="150"/>
      <c r="F210" s="150"/>
      <c r="G210" s="145"/>
    </row>
    <row r="211" spans="1:7" ht="24.95" hidden="1" customHeight="1">
      <c r="A211" s="141"/>
      <c r="B211" s="141"/>
      <c r="C211" s="248"/>
      <c r="D211" s="256"/>
      <c r="E211" s="150"/>
      <c r="F211" s="150"/>
      <c r="G211" s="145"/>
    </row>
    <row r="212" spans="1:7" ht="24.95" hidden="1" customHeight="1">
      <c r="A212" s="141"/>
      <c r="B212" s="141"/>
      <c r="C212" s="248"/>
      <c r="D212" s="256"/>
      <c r="E212" s="150"/>
      <c r="F212" s="150"/>
      <c r="G212" s="145"/>
    </row>
    <row r="213" spans="1:7" ht="24.95" hidden="1" customHeight="1">
      <c r="A213" s="141"/>
      <c r="B213" s="141"/>
      <c r="C213" s="248"/>
      <c r="D213" s="256"/>
      <c r="E213" s="150"/>
      <c r="F213" s="150"/>
      <c r="G213" s="145"/>
    </row>
    <row r="214" spans="1:7" ht="24.95" hidden="1" customHeight="1">
      <c r="A214" s="141"/>
      <c r="B214" s="141"/>
      <c r="C214" s="248"/>
      <c r="D214" s="256"/>
      <c r="E214" s="150"/>
      <c r="F214" s="150"/>
      <c r="G214" s="145"/>
    </row>
    <row r="215" spans="1:7" ht="24.95" hidden="1" customHeight="1">
      <c r="A215" s="141"/>
      <c r="B215" s="141"/>
      <c r="C215" s="248"/>
      <c r="D215" s="256"/>
      <c r="E215" s="150"/>
      <c r="F215" s="150"/>
      <c r="G215" s="145"/>
    </row>
    <row r="216" spans="1:7" ht="24.95" hidden="1" customHeight="1">
      <c r="A216" s="141"/>
      <c r="B216" s="141"/>
      <c r="C216" s="248"/>
      <c r="D216" s="256"/>
      <c r="E216" s="150"/>
      <c r="F216" s="150"/>
      <c r="G216" s="145"/>
    </row>
    <row r="217" spans="1:7" ht="24.95" hidden="1" customHeight="1">
      <c r="A217" s="141"/>
      <c r="B217" s="141"/>
      <c r="C217" s="248"/>
      <c r="D217" s="256"/>
      <c r="E217" s="150"/>
      <c r="F217" s="150"/>
      <c r="G217" s="145"/>
    </row>
    <row r="218" spans="1:7" ht="24.95" hidden="1" customHeight="1">
      <c r="A218" s="141"/>
      <c r="B218" s="141"/>
      <c r="C218" s="248"/>
      <c r="D218" s="256"/>
      <c r="E218" s="150"/>
      <c r="F218" s="150"/>
      <c r="G218" s="145"/>
    </row>
    <row r="219" spans="1:7" ht="24.95" hidden="1" customHeight="1">
      <c r="A219" s="141"/>
      <c r="B219" s="141"/>
      <c r="C219" s="248"/>
      <c r="D219" s="256"/>
      <c r="E219" s="150"/>
      <c r="F219" s="150"/>
      <c r="G219" s="145"/>
    </row>
    <row r="220" spans="1:7" ht="24.95" hidden="1" customHeight="1">
      <c r="A220" s="141"/>
      <c r="B220" s="141"/>
      <c r="C220" s="248"/>
      <c r="D220" s="256"/>
      <c r="E220" s="150"/>
      <c r="F220" s="150"/>
      <c r="G220" s="145"/>
    </row>
    <row r="221" spans="1:7" ht="24.95" hidden="1" customHeight="1">
      <c r="A221" s="141"/>
      <c r="B221" s="141"/>
      <c r="C221" s="248"/>
      <c r="D221" s="256"/>
      <c r="E221" s="150"/>
      <c r="F221" s="150"/>
      <c r="G221" s="145"/>
    </row>
    <row r="222" spans="1:7" ht="24.95" hidden="1" customHeight="1">
      <c r="A222" s="141"/>
      <c r="B222" s="141"/>
      <c r="C222" s="248"/>
      <c r="D222" s="256"/>
      <c r="E222" s="150"/>
      <c r="F222" s="150"/>
      <c r="G222" s="145"/>
    </row>
    <row r="223" spans="1:7" ht="24.95" hidden="1" customHeight="1">
      <c r="A223" s="141"/>
      <c r="B223" s="141"/>
      <c r="C223" s="248"/>
      <c r="D223" s="256"/>
      <c r="E223" s="150"/>
      <c r="F223" s="150"/>
      <c r="G223" s="145"/>
    </row>
    <row r="224" spans="1:7" ht="24.95" hidden="1" customHeight="1">
      <c r="A224" s="141"/>
      <c r="B224" s="141"/>
      <c r="C224" s="248"/>
      <c r="D224" s="256"/>
      <c r="E224" s="150"/>
      <c r="F224" s="150"/>
      <c r="G224" s="145"/>
    </row>
    <row r="225" spans="1:7" ht="24.95" hidden="1" customHeight="1">
      <c r="A225" s="141"/>
      <c r="B225" s="141"/>
      <c r="C225" s="248"/>
      <c r="D225" s="256"/>
      <c r="E225" s="150"/>
      <c r="F225" s="150"/>
      <c r="G225" s="145"/>
    </row>
    <row r="226" spans="1:7" ht="24.95" hidden="1" customHeight="1">
      <c r="A226" s="141"/>
      <c r="B226" s="141"/>
      <c r="C226" s="248"/>
      <c r="D226" s="256"/>
      <c r="E226" s="150"/>
      <c r="F226" s="150"/>
      <c r="G226" s="145"/>
    </row>
    <row r="227" spans="1:7" ht="24.95" hidden="1" customHeight="1">
      <c r="A227" s="141"/>
      <c r="B227" s="141"/>
      <c r="C227" s="248"/>
      <c r="D227" s="256"/>
      <c r="E227" s="150"/>
      <c r="F227" s="150"/>
      <c r="G227" s="145"/>
    </row>
    <row r="228" spans="1:7" ht="24.95" hidden="1" customHeight="1">
      <c r="A228" s="141"/>
      <c r="B228" s="141"/>
      <c r="C228" s="248"/>
      <c r="D228" s="256"/>
      <c r="E228" s="150"/>
      <c r="F228" s="150"/>
      <c r="G228" s="145"/>
    </row>
    <row r="229" spans="1:7" ht="24.95" hidden="1" customHeight="1">
      <c r="A229" s="141"/>
      <c r="B229" s="141"/>
      <c r="C229" s="248"/>
      <c r="D229" s="256"/>
      <c r="E229" s="150"/>
      <c r="F229" s="150"/>
      <c r="G229" s="145"/>
    </row>
    <row r="230" spans="1:7" ht="24.95" hidden="1" customHeight="1">
      <c r="A230" s="141"/>
      <c r="B230" s="141"/>
      <c r="C230" s="248"/>
      <c r="D230" s="256"/>
      <c r="E230" s="150"/>
      <c r="F230" s="150"/>
      <c r="G230" s="145"/>
    </row>
    <row r="231" spans="1:7" ht="24.95" hidden="1" customHeight="1">
      <c r="A231" s="141"/>
      <c r="B231" s="141"/>
      <c r="C231" s="248"/>
      <c r="D231" s="256"/>
      <c r="E231" s="150"/>
      <c r="F231" s="150"/>
      <c r="G231" s="145"/>
    </row>
    <row r="232" spans="1:7" ht="24.95" hidden="1" customHeight="1">
      <c r="A232" s="141"/>
      <c r="B232" s="141"/>
      <c r="C232" s="248"/>
      <c r="D232" s="256"/>
      <c r="E232" s="150"/>
      <c r="F232" s="150"/>
      <c r="G232" s="145"/>
    </row>
    <row r="233" spans="1:7" ht="24.95" hidden="1" customHeight="1">
      <c r="A233" s="141"/>
      <c r="B233" s="141"/>
      <c r="C233" s="248"/>
      <c r="D233" s="256"/>
      <c r="E233" s="150"/>
      <c r="F233" s="150"/>
      <c r="G233" s="145"/>
    </row>
    <row r="234" spans="1:7" ht="24.95" hidden="1" customHeight="1">
      <c r="A234" s="141"/>
      <c r="B234" s="141"/>
      <c r="C234" s="248"/>
      <c r="D234" s="256"/>
      <c r="E234" s="150"/>
      <c r="F234" s="150"/>
      <c r="G234" s="145"/>
    </row>
    <row r="235" spans="1:7" ht="24.95" hidden="1" customHeight="1">
      <c r="A235" s="141"/>
      <c r="B235" s="141"/>
      <c r="C235" s="248"/>
      <c r="D235" s="256"/>
      <c r="E235" s="150"/>
      <c r="F235" s="150"/>
      <c r="G235" s="145"/>
    </row>
    <row r="236" spans="1:7" ht="24.95" hidden="1" customHeight="1">
      <c r="A236" s="141"/>
      <c r="B236" s="141"/>
      <c r="C236" s="248"/>
      <c r="D236" s="256"/>
      <c r="E236" s="150"/>
      <c r="F236" s="150"/>
      <c r="G236" s="145"/>
    </row>
    <row r="237" spans="1:7" ht="24.95" hidden="1" customHeight="1">
      <c r="A237" s="141"/>
      <c r="B237" s="141"/>
      <c r="C237" s="248"/>
      <c r="D237" s="256"/>
      <c r="E237" s="150"/>
      <c r="F237" s="150"/>
      <c r="G237" s="145"/>
    </row>
    <row r="238" spans="1:7" ht="24.95" hidden="1" customHeight="1">
      <c r="A238" s="141"/>
      <c r="B238" s="141"/>
      <c r="C238" s="248"/>
      <c r="D238" s="256"/>
      <c r="E238" s="150"/>
      <c r="F238" s="150"/>
      <c r="G238" s="145"/>
    </row>
    <row r="239" spans="1:7" ht="24.95" hidden="1" customHeight="1">
      <c r="A239" s="141"/>
      <c r="B239" s="141"/>
      <c r="C239" s="248"/>
      <c r="D239" s="256"/>
      <c r="E239" s="150"/>
      <c r="F239" s="150"/>
      <c r="G239" s="145"/>
    </row>
    <row r="240" spans="1:7" ht="24.95" hidden="1" customHeight="1">
      <c r="A240" s="141"/>
      <c r="B240" s="141"/>
      <c r="C240" s="248"/>
      <c r="D240" s="256"/>
      <c r="E240" s="150"/>
      <c r="F240" s="150"/>
      <c r="G240" s="145"/>
    </row>
    <row r="241" spans="1:7" ht="24.95" hidden="1" customHeight="1">
      <c r="A241" s="141"/>
      <c r="B241" s="141"/>
      <c r="C241" s="248"/>
      <c r="D241" s="256"/>
      <c r="E241" s="150"/>
      <c r="F241" s="150"/>
      <c r="G241" s="145"/>
    </row>
    <row r="242" spans="1:7" ht="24.95" hidden="1" customHeight="1">
      <c r="A242" s="141"/>
      <c r="B242" s="141"/>
      <c r="C242" s="248"/>
      <c r="D242" s="256"/>
      <c r="E242" s="150"/>
      <c r="F242" s="150"/>
      <c r="G242" s="145"/>
    </row>
    <row r="243" spans="1:7" ht="24.95" hidden="1" customHeight="1">
      <c r="A243" s="141"/>
      <c r="B243" s="141"/>
      <c r="C243" s="248"/>
      <c r="D243" s="256"/>
      <c r="E243" s="150"/>
      <c r="F243" s="150"/>
      <c r="G243" s="145"/>
    </row>
    <row r="244" spans="1:7" ht="24.95" hidden="1" customHeight="1">
      <c r="A244" s="141"/>
      <c r="B244" s="141"/>
      <c r="C244" s="248"/>
      <c r="D244" s="256"/>
      <c r="E244" s="150"/>
      <c r="F244" s="150"/>
      <c r="G244" s="145"/>
    </row>
    <row r="245" spans="1:7" ht="24.95" hidden="1" customHeight="1">
      <c r="A245" s="141"/>
      <c r="B245" s="141"/>
      <c r="C245" s="248"/>
      <c r="D245" s="256"/>
      <c r="E245" s="150"/>
      <c r="F245" s="150"/>
      <c r="G245" s="145"/>
    </row>
    <row r="246" spans="1:7" ht="24.95" hidden="1" customHeight="1">
      <c r="A246" s="141"/>
      <c r="B246" s="141"/>
      <c r="C246" s="248"/>
      <c r="D246" s="256"/>
      <c r="E246" s="150"/>
      <c r="F246" s="150"/>
      <c r="G246" s="145"/>
    </row>
    <row r="247" spans="1:7" ht="24.95" hidden="1" customHeight="1">
      <c r="A247" s="141"/>
      <c r="B247" s="141"/>
      <c r="C247" s="248"/>
      <c r="D247" s="256"/>
      <c r="E247" s="150"/>
      <c r="F247" s="150"/>
      <c r="G247" s="145"/>
    </row>
    <row r="248" spans="1:7" ht="24.95" hidden="1" customHeight="1">
      <c r="A248" s="141"/>
      <c r="B248" s="141"/>
      <c r="C248" s="248"/>
      <c r="D248" s="256"/>
      <c r="E248" s="150"/>
      <c r="F248" s="150"/>
      <c r="G248" s="145"/>
    </row>
    <row r="249" spans="1:7" ht="24.95" hidden="1" customHeight="1">
      <c r="A249" s="141"/>
      <c r="B249" s="141"/>
      <c r="C249" s="248"/>
      <c r="D249" s="256"/>
      <c r="E249" s="150"/>
      <c r="F249" s="150"/>
      <c r="G249" s="145"/>
    </row>
    <row r="250" spans="1:7" ht="24.95" hidden="1" customHeight="1">
      <c r="A250" s="141"/>
      <c r="B250" s="141"/>
      <c r="C250" s="248"/>
      <c r="D250" s="256"/>
      <c r="E250" s="150"/>
      <c r="F250" s="150"/>
      <c r="G250" s="145"/>
    </row>
    <row r="251" spans="1:7" ht="24.95" hidden="1" customHeight="1">
      <c r="A251" s="141"/>
      <c r="B251" s="141"/>
      <c r="C251" s="248"/>
      <c r="D251" s="256"/>
      <c r="E251" s="150"/>
      <c r="F251" s="150"/>
      <c r="G251" s="145"/>
    </row>
    <row r="252" spans="1:7" ht="24.95" hidden="1" customHeight="1">
      <c r="A252" s="141"/>
      <c r="B252" s="141"/>
      <c r="C252" s="248"/>
      <c r="D252" s="256"/>
      <c r="E252" s="150"/>
      <c r="F252" s="150"/>
      <c r="G252" s="145"/>
    </row>
    <row r="253" spans="1:7" ht="24.95" hidden="1" customHeight="1">
      <c r="A253" s="141"/>
      <c r="B253" s="141"/>
      <c r="C253" s="248"/>
      <c r="D253" s="256"/>
      <c r="E253" s="150"/>
      <c r="F253" s="150"/>
      <c r="G253" s="145"/>
    </row>
    <row r="254" spans="1:7" ht="24.95" hidden="1" customHeight="1">
      <c r="A254" s="141"/>
      <c r="B254" s="141"/>
      <c r="C254" s="248"/>
      <c r="D254" s="256"/>
      <c r="E254" s="150"/>
      <c r="F254" s="150"/>
      <c r="G254" s="145"/>
    </row>
    <row r="255" spans="1:7" ht="24.95" hidden="1" customHeight="1">
      <c r="A255" s="141"/>
      <c r="B255" s="141"/>
      <c r="C255" s="248"/>
      <c r="D255" s="256"/>
      <c r="E255" s="150"/>
      <c r="F255" s="150"/>
      <c r="G255" s="145"/>
    </row>
    <row r="256" spans="1:7" ht="24.95" hidden="1" customHeight="1">
      <c r="A256" s="141"/>
      <c r="B256" s="141"/>
      <c r="C256" s="248"/>
      <c r="D256" s="256"/>
      <c r="E256" s="150"/>
      <c r="F256" s="150"/>
      <c r="G256" s="145"/>
    </row>
    <row r="257" spans="1:7" ht="24.95" hidden="1" customHeight="1">
      <c r="A257" s="141"/>
      <c r="B257" s="141"/>
      <c r="C257" s="248"/>
      <c r="D257" s="256"/>
      <c r="E257" s="150"/>
      <c r="F257" s="150"/>
      <c r="G257" s="145"/>
    </row>
    <row r="258" spans="1:7" ht="24.95" hidden="1" customHeight="1">
      <c r="A258" s="141"/>
      <c r="B258" s="141"/>
      <c r="C258" s="248"/>
      <c r="D258" s="256"/>
      <c r="E258" s="150"/>
      <c r="F258" s="150"/>
      <c r="G258" s="145"/>
    </row>
    <row r="259" spans="1:7" ht="24.95" hidden="1" customHeight="1">
      <c r="A259" s="141"/>
      <c r="B259" s="141"/>
      <c r="C259" s="248"/>
      <c r="D259" s="256"/>
      <c r="E259" s="150"/>
      <c r="F259" s="150"/>
      <c r="G259" s="145"/>
    </row>
    <row r="260" spans="1:7" ht="24.95" hidden="1" customHeight="1">
      <c r="A260" s="141"/>
      <c r="B260" s="141"/>
      <c r="C260" s="248"/>
      <c r="D260" s="256"/>
      <c r="E260" s="150"/>
      <c r="F260" s="150"/>
      <c r="G260" s="145"/>
    </row>
    <row r="261" spans="1:7" ht="24.95" hidden="1" customHeight="1">
      <c r="A261" s="141"/>
      <c r="B261" s="141"/>
      <c r="C261" s="248"/>
      <c r="D261" s="256"/>
      <c r="E261" s="150"/>
      <c r="F261" s="150"/>
      <c r="G261" s="145"/>
    </row>
    <row r="262" spans="1:7" ht="24.95" hidden="1" customHeight="1">
      <c r="A262" s="141"/>
      <c r="B262" s="141"/>
      <c r="C262" s="248"/>
      <c r="D262" s="256"/>
      <c r="E262" s="150"/>
      <c r="F262" s="150"/>
      <c r="G262" s="145"/>
    </row>
    <row r="263" spans="1:7" ht="24.95" hidden="1" customHeight="1">
      <c r="A263" s="141"/>
      <c r="B263" s="141"/>
      <c r="C263" s="248"/>
      <c r="D263" s="256"/>
      <c r="E263" s="150"/>
      <c r="F263" s="150"/>
      <c r="G263" s="145"/>
    </row>
    <row r="264" spans="1:7" ht="24.95" hidden="1" customHeight="1">
      <c r="A264" s="141"/>
      <c r="B264" s="141"/>
      <c r="C264" s="248"/>
      <c r="D264" s="256"/>
      <c r="E264" s="150"/>
      <c r="F264" s="150"/>
      <c r="G264" s="145"/>
    </row>
    <row r="265" spans="1:7" ht="24.95" hidden="1" customHeight="1">
      <c r="A265" s="141"/>
      <c r="B265" s="141"/>
      <c r="C265" s="248"/>
      <c r="D265" s="256"/>
      <c r="E265" s="150"/>
      <c r="F265" s="150"/>
      <c r="G265" s="145"/>
    </row>
    <row r="266" spans="1:7" ht="24.95" hidden="1" customHeight="1">
      <c r="A266" s="141"/>
      <c r="B266" s="141"/>
      <c r="C266" s="248"/>
      <c r="D266" s="256"/>
      <c r="E266" s="150"/>
      <c r="F266" s="150"/>
      <c r="G266" s="145"/>
    </row>
    <row r="267" spans="1:7" ht="24.95" hidden="1" customHeight="1">
      <c r="A267" s="141"/>
      <c r="B267" s="141"/>
      <c r="C267" s="248"/>
      <c r="D267" s="256"/>
      <c r="E267" s="150"/>
      <c r="F267" s="150"/>
      <c r="G267" s="145"/>
    </row>
    <row r="268" spans="1:7" ht="24.95" hidden="1" customHeight="1">
      <c r="A268" s="141"/>
      <c r="B268" s="141"/>
      <c r="C268" s="248"/>
      <c r="D268" s="256"/>
      <c r="E268" s="150"/>
      <c r="F268" s="150"/>
      <c r="G268" s="145"/>
    </row>
    <row r="269" spans="1:7" ht="24.95" hidden="1" customHeight="1">
      <c r="A269" s="141"/>
      <c r="B269" s="141"/>
      <c r="C269" s="248"/>
      <c r="D269" s="256"/>
      <c r="E269" s="150"/>
      <c r="F269" s="150"/>
      <c r="G269" s="145"/>
    </row>
    <row r="270" spans="1:7" ht="24.95" hidden="1" customHeight="1">
      <c r="A270" s="141"/>
      <c r="B270" s="141"/>
      <c r="C270" s="248"/>
      <c r="D270" s="256"/>
      <c r="E270" s="150"/>
      <c r="F270" s="150"/>
      <c r="G270" s="145"/>
    </row>
    <row r="271" spans="1:7" ht="24.95" hidden="1" customHeight="1">
      <c r="A271" s="141"/>
      <c r="B271" s="141"/>
      <c r="C271" s="248"/>
      <c r="D271" s="256"/>
      <c r="E271" s="150"/>
      <c r="F271" s="150"/>
      <c r="G271" s="145"/>
    </row>
    <row r="272" spans="1:7" ht="24.95" hidden="1" customHeight="1">
      <c r="A272" s="141"/>
      <c r="B272" s="141"/>
      <c r="C272" s="248"/>
      <c r="D272" s="256"/>
      <c r="E272" s="150"/>
      <c r="F272" s="150"/>
      <c r="G272" s="145"/>
    </row>
    <row r="273" spans="1:7" ht="24.95" hidden="1" customHeight="1">
      <c r="A273" s="141"/>
      <c r="B273" s="141"/>
      <c r="C273" s="248"/>
      <c r="D273" s="256"/>
      <c r="E273" s="150"/>
      <c r="F273" s="150"/>
      <c r="G273" s="145"/>
    </row>
    <row r="274" spans="1:7" ht="24.95" hidden="1" customHeight="1">
      <c r="A274" s="141"/>
      <c r="B274" s="141"/>
      <c r="C274" s="248"/>
      <c r="D274" s="256"/>
      <c r="E274" s="150"/>
      <c r="F274" s="150"/>
      <c r="G274" s="145"/>
    </row>
    <row r="275" spans="1:7" ht="24.95" hidden="1" customHeight="1">
      <c r="A275" s="141"/>
      <c r="B275" s="141"/>
      <c r="C275" s="248"/>
      <c r="D275" s="256"/>
      <c r="E275" s="150"/>
      <c r="F275" s="150"/>
      <c r="G275" s="145"/>
    </row>
    <row r="276" spans="1:7" ht="24.95" hidden="1" customHeight="1">
      <c r="A276" s="141"/>
      <c r="B276" s="141"/>
      <c r="C276" s="248"/>
      <c r="D276" s="256"/>
      <c r="E276" s="150"/>
      <c r="F276" s="150"/>
      <c r="G276" s="145"/>
    </row>
    <row r="277" spans="1:7" ht="24.95" hidden="1" customHeight="1">
      <c r="A277" s="141"/>
      <c r="B277" s="141"/>
      <c r="C277" s="248"/>
      <c r="D277" s="256"/>
      <c r="E277" s="150"/>
      <c r="F277" s="150"/>
      <c r="G277" s="145"/>
    </row>
    <row r="278" spans="1:7" ht="24.95" hidden="1" customHeight="1">
      <c r="A278" s="141"/>
      <c r="B278" s="141"/>
      <c r="C278" s="248"/>
      <c r="D278" s="256"/>
      <c r="E278" s="150"/>
      <c r="F278" s="150"/>
      <c r="G278" s="145"/>
    </row>
    <row r="279" spans="1:7" ht="24.95" hidden="1" customHeight="1">
      <c r="A279" s="141"/>
      <c r="B279" s="141"/>
      <c r="C279" s="248"/>
      <c r="D279" s="256"/>
      <c r="E279" s="150"/>
      <c r="F279" s="150"/>
      <c r="G279" s="145"/>
    </row>
    <row r="280" spans="1:7" ht="24.95" hidden="1" customHeight="1">
      <c r="A280" s="141"/>
      <c r="B280" s="141"/>
      <c r="C280" s="248"/>
      <c r="D280" s="256"/>
      <c r="E280" s="150"/>
      <c r="F280" s="150"/>
      <c r="G280" s="145"/>
    </row>
    <row r="281" spans="1:7" ht="24.95" hidden="1" customHeight="1">
      <c r="A281" s="141"/>
      <c r="B281" s="141"/>
      <c r="C281" s="248"/>
      <c r="D281" s="256"/>
      <c r="E281" s="150"/>
      <c r="F281" s="150"/>
      <c r="G281" s="145"/>
    </row>
    <row r="282" spans="1:7" ht="24.95" hidden="1" customHeight="1">
      <c r="A282" s="141"/>
      <c r="B282" s="141"/>
      <c r="C282" s="248"/>
      <c r="D282" s="256"/>
      <c r="E282" s="150"/>
      <c r="F282" s="150"/>
      <c r="G282" s="145"/>
    </row>
    <row r="283" spans="1:7" ht="24.95" hidden="1" customHeight="1">
      <c r="A283" s="141"/>
      <c r="B283" s="141"/>
      <c r="C283" s="248"/>
      <c r="D283" s="256"/>
      <c r="E283" s="150"/>
      <c r="F283" s="150"/>
      <c r="G283" s="145"/>
    </row>
    <row r="284" spans="1:7" ht="24.95" hidden="1" customHeight="1">
      <c r="A284" s="141"/>
      <c r="B284" s="141"/>
      <c r="C284" s="248"/>
      <c r="D284" s="256"/>
      <c r="E284" s="150"/>
      <c r="F284" s="150"/>
      <c r="G284" s="145"/>
    </row>
    <row r="285" spans="1:7" ht="24.95" hidden="1" customHeight="1">
      <c r="A285" s="141"/>
      <c r="B285" s="141"/>
      <c r="C285" s="248"/>
      <c r="D285" s="256"/>
      <c r="E285" s="150"/>
      <c r="F285" s="150"/>
      <c r="G285" s="145"/>
    </row>
    <row r="286" spans="1:7" ht="24.95" hidden="1" customHeight="1">
      <c r="A286" s="141"/>
      <c r="B286" s="141"/>
      <c r="C286" s="248"/>
      <c r="D286" s="256"/>
      <c r="E286" s="150"/>
      <c r="F286" s="150"/>
      <c r="G286" s="145"/>
    </row>
    <row r="287" spans="1:7" ht="24.95" hidden="1" customHeight="1">
      <c r="A287" s="141"/>
      <c r="B287" s="141"/>
      <c r="C287" s="248"/>
      <c r="D287" s="256"/>
      <c r="E287" s="150"/>
      <c r="F287" s="150"/>
      <c r="G287" s="145"/>
    </row>
    <row r="288" spans="1:7" ht="24.95" hidden="1" customHeight="1">
      <c r="A288" s="141"/>
      <c r="B288" s="141"/>
      <c r="C288" s="248"/>
      <c r="D288" s="256"/>
      <c r="E288" s="150"/>
      <c r="F288" s="150"/>
      <c r="G288" s="145"/>
    </row>
    <row r="289" spans="1:7" ht="24.95" hidden="1" customHeight="1">
      <c r="A289" s="141"/>
      <c r="B289" s="141"/>
      <c r="C289" s="248"/>
      <c r="D289" s="256"/>
      <c r="E289" s="150"/>
      <c r="F289" s="150"/>
      <c r="G289" s="145"/>
    </row>
    <row r="290" spans="1:7" ht="24.95" hidden="1" customHeight="1">
      <c r="A290" s="141"/>
      <c r="B290" s="141"/>
      <c r="C290" s="248"/>
      <c r="D290" s="256"/>
      <c r="E290" s="150"/>
      <c r="F290" s="150"/>
      <c r="G290" s="145"/>
    </row>
    <row r="291" spans="1:7" ht="24.95" hidden="1" customHeight="1">
      <c r="A291" s="141"/>
      <c r="B291" s="141"/>
      <c r="C291" s="248"/>
      <c r="D291" s="256"/>
      <c r="E291" s="150"/>
      <c r="F291" s="150"/>
      <c r="G291" s="145"/>
    </row>
    <row r="292" spans="1:7" ht="24.95" hidden="1" customHeight="1">
      <c r="A292" s="141"/>
      <c r="B292" s="141"/>
      <c r="C292" s="248"/>
      <c r="D292" s="256"/>
      <c r="E292" s="150"/>
      <c r="F292" s="150"/>
      <c r="G292" s="145"/>
    </row>
    <row r="293" spans="1:7" ht="24.95" hidden="1" customHeight="1">
      <c r="A293" s="141"/>
      <c r="B293" s="141"/>
      <c r="C293" s="248"/>
      <c r="D293" s="256"/>
      <c r="E293" s="150"/>
      <c r="F293" s="150"/>
      <c r="G293" s="145"/>
    </row>
    <row r="294" spans="1:7" ht="24.95" hidden="1" customHeight="1">
      <c r="A294" s="141"/>
      <c r="B294" s="141"/>
      <c r="C294" s="248"/>
      <c r="D294" s="256"/>
      <c r="E294" s="150"/>
      <c r="F294" s="150"/>
      <c r="G294" s="145"/>
    </row>
    <row r="295" spans="1:7" ht="24.95" hidden="1" customHeight="1">
      <c r="A295" s="141"/>
      <c r="B295" s="141"/>
      <c r="C295" s="248"/>
      <c r="D295" s="256"/>
      <c r="E295" s="150"/>
      <c r="F295" s="150"/>
      <c r="G295" s="145"/>
    </row>
    <row r="296" spans="1:7" ht="24.95" hidden="1" customHeight="1">
      <c r="A296" s="141"/>
      <c r="B296" s="141"/>
      <c r="C296" s="248"/>
      <c r="D296" s="256"/>
      <c r="E296" s="150"/>
      <c r="F296" s="150"/>
      <c r="G296" s="145"/>
    </row>
    <row r="297" spans="1:7" ht="24.95" hidden="1" customHeight="1">
      <c r="A297" s="141"/>
      <c r="B297" s="141"/>
      <c r="C297" s="248"/>
      <c r="D297" s="256"/>
      <c r="E297" s="150"/>
      <c r="F297" s="150"/>
      <c r="G297" s="145"/>
    </row>
    <row r="298" spans="1:7" ht="24.95" hidden="1" customHeight="1">
      <c r="A298" s="141"/>
      <c r="B298" s="141"/>
      <c r="C298" s="248"/>
      <c r="D298" s="256"/>
      <c r="E298" s="150"/>
      <c r="F298" s="150"/>
      <c r="G298" s="145"/>
    </row>
    <row r="299" spans="1:7" ht="24.95" hidden="1" customHeight="1">
      <c r="A299" s="141"/>
      <c r="B299" s="141"/>
      <c r="C299" s="248"/>
      <c r="D299" s="256"/>
      <c r="E299" s="150"/>
      <c r="F299" s="150"/>
      <c r="G299" s="145"/>
    </row>
    <row r="300" spans="1:7" ht="24.95" hidden="1" customHeight="1">
      <c r="A300" s="141"/>
      <c r="B300" s="141"/>
      <c r="C300" s="248"/>
      <c r="D300" s="256"/>
      <c r="E300" s="150"/>
      <c r="F300" s="150"/>
      <c r="G300" s="145"/>
    </row>
    <row r="301" spans="1:7" ht="24.95" hidden="1" customHeight="1">
      <c r="A301" s="141"/>
      <c r="B301" s="141"/>
      <c r="C301" s="248"/>
      <c r="D301" s="256"/>
      <c r="E301" s="150"/>
      <c r="F301" s="150"/>
      <c r="G301" s="145"/>
    </row>
    <row r="302" spans="1:7" ht="24.95" hidden="1" customHeight="1">
      <c r="A302" s="141"/>
      <c r="B302" s="141"/>
      <c r="C302" s="248"/>
      <c r="D302" s="256"/>
      <c r="E302" s="150"/>
      <c r="F302" s="150"/>
      <c r="G302" s="145"/>
    </row>
    <row r="303" spans="1:7" ht="24.95" hidden="1" customHeight="1">
      <c r="A303" s="141"/>
      <c r="B303" s="141"/>
      <c r="C303" s="248"/>
      <c r="D303" s="256"/>
      <c r="E303" s="150"/>
      <c r="F303" s="150"/>
      <c r="G303" s="145"/>
    </row>
    <row r="304" spans="1:7" ht="24.95" hidden="1" customHeight="1">
      <c r="A304" s="141"/>
      <c r="B304" s="141"/>
      <c r="C304" s="248"/>
      <c r="D304" s="256"/>
      <c r="E304" s="150"/>
      <c r="F304" s="150"/>
      <c r="G304" s="145"/>
    </row>
    <row r="305" spans="1:7" ht="24.95" hidden="1" customHeight="1">
      <c r="A305" s="141"/>
      <c r="B305" s="141"/>
      <c r="C305" s="248"/>
      <c r="D305" s="256"/>
      <c r="E305" s="150"/>
      <c r="F305" s="150"/>
      <c r="G305" s="145"/>
    </row>
    <row r="306" spans="1:7" ht="24.95" hidden="1" customHeight="1">
      <c r="A306" s="141"/>
      <c r="B306" s="141"/>
      <c r="C306" s="248"/>
      <c r="D306" s="256"/>
      <c r="E306" s="150"/>
      <c r="F306" s="150"/>
      <c r="G306" s="145"/>
    </row>
    <row r="307" spans="1:7" ht="24.95" hidden="1" customHeight="1">
      <c r="A307" s="141"/>
      <c r="B307" s="141"/>
      <c r="C307" s="248"/>
      <c r="D307" s="256"/>
      <c r="E307" s="150"/>
      <c r="F307" s="150"/>
      <c r="G307" s="145"/>
    </row>
    <row r="308" spans="1:7" ht="24.95" hidden="1" customHeight="1">
      <c r="A308" s="141"/>
      <c r="B308" s="141"/>
      <c r="C308" s="248"/>
      <c r="D308" s="256"/>
      <c r="E308" s="150"/>
      <c r="F308" s="150"/>
      <c r="G308" s="145"/>
    </row>
    <row r="309" spans="1:7" ht="24.95" hidden="1" customHeight="1">
      <c r="A309" s="141"/>
      <c r="B309" s="141"/>
      <c r="C309" s="248"/>
      <c r="D309" s="256"/>
      <c r="E309" s="150"/>
      <c r="F309" s="150"/>
      <c r="G309" s="145"/>
    </row>
    <row r="310" spans="1:7" ht="24.95" hidden="1" customHeight="1">
      <c r="A310" s="141"/>
      <c r="B310" s="141"/>
      <c r="C310" s="248"/>
      <c r="D310" s="256"/>
      <c r="E310" s="150"/>
      <c r="F310" s="150"/>
      <c r="G310" s="145"/>
    </row>
    <row r="311" spans="1:7" ht="24.95" hidden="1" customHeight="1">
      <c r="A311" s="141"/>
      <c r="B311" s="141"/>
      <c r="C311" s="248"/>
      <c r="D311" s="256"/>
      <c r="E311" s="150"/>
      <c r="F311" s="150"/>
      <c r="G311" s="145"/>
    </row>
    <row r="312" spans="1:7" ht="24.95" hidden="1" customHeight="1">
      <c r="A312" s="141"/>
      <c r="B312" s="141"/>
      <c r="C312" s="248"/>
      <c r="D312" s="256"/>
      <c r="E312" s="150"/>
      <c r="F312" s="150"/>
      <c r="G312" s="145"/>
    </row>
    <row r="313" spans="1:7" ht="24.95" hidden="1" customHeight="1">
      <c r="A313" s="141"/>
      <c r="B313" s="141"/>
      <c r="C313" s="248"/>
      <c r="D313" s="256"/>
      <c r="E313" s="150"/>
      <c r="F313" s="150"/>
      <c r="G313" s="145"/>
    </row>
    <row r="314" spans="1:7" ht="24.95" hidden="1" customHeight="1">
      <c r="A314" s="141"/>
      <c r="B314" s="141"/>
      <c r="C314" s="248"/>
      <c r="D314" s="256"/>
      <c r="E314" s="150"/>
      <c r="F314" s="150"/>
      <c r="G314" s="145"/>
    </row>
    <row r="315" spans="1:7" ht="24.95" hidden="1" customHeight="1">
      <c r="A315" s="141"/>
      <c r="B315" s="141"/>
      <c r="C315" s="248"/>
      <c r="D315" s="256"/>
      <c r="E315" s="150"/>
      <c r="F315" s="150"/>
      <c r="G315" s="145"/>
    </row>
    <row r="316" spans="1:7" ht="24.95" hidden="1" customHeight="1">
      <c r="A316" s="141"/>
      <c r="B316" s="141"/>
      <c r="C316" s="248"/>
      <c r="D316" s="256"/>
      <c r="E316" s="150"/>
      <c r="F316" s="150"/>
      <c r="G316" s="145"/>
    </row>
    <row r="317" spans="1:7" ht="24.95" hidden="1" customHeight="1">
      <c r="A317" s="141"/>
      <c r="B317" s="141"/>
      <c r="C317" s="248"/>
      <c r="D317" s="256"/>
      <c r="E317" s="150"/>
      <c r="F317" s="150"/>
      <c r="G317" s="145"/>
    </row>
    <row r="318" spans="1:7" ht="24.95" hidden="1" customHeight="1">
      <c r="A318" s="141"/>
      <c r="B318" s="141"/>
      <c r="C318" s="248"/>
      <c r="D318" s="256"/>
      <c r="E318" s="150"/>
      <c r="F318" s="150"/>
      <c r="G318" s="145"/>
    </row>
    <row r="319" spans="1:7" ht="24.95" hidden="1" customHeight="1">
      <c r="A319" s="141"/>
      <c r="B319" s="141"/>
      <c r="C319" s="248"/>
      <c r="D319" s="256"/>
      <c r="E319" s="150"/>
      <c r="F319" s="150"/>
      <c r="G319" s="145"/>
    </row>
    <row r="320" spans="1:7" ht="24.95" hidden="1" customHeight="1">
      <c r="A320" s="141"/>
      <c r="B320" s="141"/>
      <c r="C320" s="248"/>
      <c r="D320" s="256"/>
      <c r="E320" s="150"/>
      <c r="F320" s="150"/>
      <c r="G320" s="145"/>
    </row>
    <row r="321" spans="1:7" ht="24.95" hidden="1" customHeight="1">
      <c r="A321" s="141"/>
      <c r="B321" s="141"/>
      <c r="C321" s="248"/>
      <c r="D321" s="256"/>
      <c r="E321" s="150"/>
      <c r="F321" s="150"/>
      <c r="G321" s="145"/>
    </row>
    <row r="322" spans="1:7" ht="24.95" hidden="1" customHeight="1">
      <c r="A322" s="141"/>
      <c r="B322" s="141"/>
      <c r="C322" s="248"/>
      <c r="D322" s="256"/>
      <c r="E322" s="150"/>
      <c r="F322" s="150"/>
      <c r="G322" s="145"/>
    </row>
    <row r="323" spans="1:7" ht="24.95" hidden="1" customHeight="1">
      <c r="A323" s="141"/>
      <c r="B323" s="141"/>
      <c r="C323" s="248"/>
      <c r="D323" s="256"/>
      <c r="E323" s="150"/>
      <c r="F323" s="150"/>
      <c r="G323" s="145"/>
    </row>
    <row r="324" spans="1:7" ht="24.95" hidden="1" customHeight="1">
      <c r="A324" s="141"/>
      <c r="B324" s="141"/>
      <c r="C324" s="248"/>
      <c r="D324" s="256"/>
      <c r="E324" s="150"/>
      <c r="F324" s="150"/>
      <c r="G324" s="145"/>
    </row>
    <row r="325" spans="1:7" ht="24.95" hidden="1" customHeight="1">
      <c r="A325" s="141"/>
      <c r="B325" s="141"/>
      <c r="C325" s="248"/>
      <c r="D325" s="256"/>
      <c r="E325" s="150"/>
      <c r="F325" s="150"/>
      <c r="G325" s="145"/>
    </row>
    <row r="326" spans="1:7" ht="24.95" hidden="1" customHeight="1">
      <c r="A326" s="141"/>
      <c r="B326" s="141"/>
      <c r="C326" s="248"/>
      <c r="D326" s="256"/>
      <c r="E326" s="150"/>
      <c r="F326" s="150"/>
      <c r="G326" s="145"/>
    </row>
    <row r="327" spans="1:7" ht="24.95" hidden="1" customHeight="1">
      <c r="A327" s="141"/>
      <c r="B327" s="141"/>
      <c r="C327" s="248"/>
      <c r="D327" s="256"/>
      <c r="E327" s="150"/>
      <c r="F327" s="150"/>
      <c r="G327" s="145"/>
    </row>
    <row r="328" spans="1:7" ht="24.95" hidden="1" customHeight="1">
      <c r="A328" s="141"/>
      <c r="B328" s="141"/>
      <c r="C328" s="248"/>
      <c r="D328" s="256"/>
      <c r="E328" s="150"/>
      <c r="F328" s="150"/>
      <c r="G328" s="145"/>
    </row>
    <row r="329" spans="1:7" ht="24.95" hidden="1" customHeight="1">
      <c r="A329" s="141"/>
      <c r="B329" s="141"/>
      <c r="C329" s="248"/>
      <c r="D329" s="256"/>
      <c r="E329" s="150"/>
      <c r="F329" s="150"/>
      <c r="G329" s="145"/>
    </row>
    <row r="330" spans="1:7" ht="24.95" hidden="1" customHeight="1">
      <c r="A330" s="141"/>
      <c r="B330" s="141"/>
      <c r="C330" s="248"/>
      <c r="D330" s="256"/>
      <c r="E330" s="150"/>
      <c r="F330" s="150"/>
      <c r="G330" s="145"/>
    </row>
    <row r="331" spans="1:7" ht="24.95" hidden="1" customHeight="1">
      <c r="A331" s="141"/>
      <c r="B331" s="141"/>
      <c r="C331" s="248"/>
      <c r="D331" s="256"/>
      <c r="E331" s="150"/>
      <c r="F331" s="150"/>
      <c r="G331" s="145"/>
    </row>
    <row r="332" spans="1:7" ht="24.95" hidden="1" customHeight="1">
      <c r="A332" s="141"/>
      <c r="B332" s="141"/>
      <c r="C332" s="248"/>
      <c r="D332" s="256"/>
      <c r="E332" s="150"/>
      <c r="F332" s="150"/>
      <c r="G332" s="145"/>
    </row>
    <row r="333" spans="1:7" ht="24.95" hidden="1" customHeight="1">
      <c r="A333" s="141"/>
      <c r="B333" s="141"/>
      <c r="C333" s="248"/>
      <c r="D333" s="256"/>
      <c r="E333" s="150"/>
      <c r="F333" s="150"/>
      <c r="G333" s="145"/>
    </row>
    <row r="334" spans="1:7" ht="24.95" hidden="1" customHeight="1">
      <c r="A334" s="141"/>
      <c r="B334" s="141"/>
      <c r="C334" s="248"/>
      <c r="D334" s="256"/>
      <c r="E334" s="150"/>
      <c r="F334" s="150"/>
      <c r="G334" s="145"/>
    </row>
    <row r="335" spans="1:7" ht="24.95" hidden="1" customHeight="1">
      <c r="A335" s="141"/>
      <c r="B335" s="141"/>
      <c r="C335" s="248"/>
      <c r="D335" s="256"/>
      <c r="E335" s="150"/>
      <c r="F335" s="150"/>
      <c r="G335" s="145"/>
    </row>
    <row r="336" spans="1:7" ht="24.95" hidden="1" customHeight="1">
      <c r="A336" s="141"/>
      <c r="B336" s="141"/>
      <c r="C336" s="248"/>
      <c r="D336" s="256"/>
      <c r="E336" s="150"/>
      <c r="F336" s="150"/>
      <c r="G336" s="145"/>
    </row>
    <row r="337" spans="1:7" ht="24.95" hidden="1" customHeight="1">
      <c r="A337" s="141"/>
      <c r="B337" s="141"/>
      <c r="C337" s="248"/>
      <c r="D337" s="256"/>
      <c r="E337" s="150"/>
      <c r="F337" s="150"/>
      <c r="G337" s="145"/>
    </row>
    <row r="338" spans="1:7" ht="24.95" hidden="1" customHeight="1">
      <c r="A338" s="141"/>
      <c r="B338" s="141"/>
      <c r="C338" s="248"/>
      <c r="D338" s="256"/>
      <c r="E338" s="150"/>
      <c r="F338" s="150"/>
      <c r="G338" s="145"/>
    </row>
    <row r="339" spans="1:7" ht="24.95" hidden="1" customHeight="1">
      <c r="A339" s="141"/>
      <c r="B339" s="141"/>
      <c r="C339" s="248"/>
      <c r="D339" s="256"/>
      <c r="E339" s="150"/>
      <c r="F339" s="150"/>
      <c r="G339" s="145"/>
    </row>
    <row r="340" spans="1:7" ht="24.95" hidden="1" customHeight="1">
      <c r="A340" s="141"/>
      <c r="B340" s="141"/>
      <c r="C340" s="248"/>
      <c r="D340" s="256"/>
      <c r="E340" s="150"/>
      <c r="F340" s="150"/>
      <c r="G340" s="145"/>
    </row>
    <row r="341" spans="1:7" ht="24.95" hidden="1" customHeight="1">
      <c r="A341" s="141"/>
      <c r="B341" s="141"/>
      <c r="C341" s="248"/>
      <c r="D341" s="256"/>
      <c r="E341" s="150"/>
      <c r="F341" s="150"/>
      <c r="G341" s="145"/>
    </row>
    <row r="342" spans="1:7" ht="24.95" hidden="1" customHeight="1">
      <c r="A342" s="141"/>
      <c r="B342" s="141"/>
      <c r="C342" s="248"/>
      <c r="D342" s="256"/>
      <c r="E342" s="150"/>
      <c r="F342" s="150"/>
      <c r="G342" s="145"/>
    </row>
    <row r="343" spans="1:7" ht="24.95" hidden="1" customHeight="1">
      <c r="A343" s="141"/>
      <c r="B343" s="141"/>
      <c r="C343" s="248"/>
      <c r="D343" s="256"/>
      <c r="E343" s="150"/>
      <c r="F343" s="150"/>
      <c r="G343" s="145"/>
    </row>
    <row r="344" spans="1:7" ht="24.95" hidden="1" customHeight="1">
      <c r="A344" s="141"/>
      <c r="B344" s="141"/>
      <c r="C344" s="248"/>
      <c r="D344" s="256"/>
      <c r="E344" s="150"/>
      <c r="F344" s="150"/>
      <c r="G344" s="145"/>
    </row>
    <row r="345" spans="1:7" ht="24.95" hidden="1" customHeight="1">
      <c r="A345" s="141"/>
      <c r="B345" s="141"/>
      <c r="C345" s="248"/>
      <c r="D345" s="256"/>
      <c r="E345" s="150"/>
      <c r="F345" s="150"/>
      <c r="G345" s="145"/>
    </row>
    <row r="346" spans="1:7" ht="24.95" hidden="1" customHeight="1">
      <c r="A346" s="141"/>
      <c r="B346" s="141"/>
      <c r="C346" s="248"/>
      <c r="D346" s="256"/>
      <c r="E346" s="150"/>
      <c r="F346" s="150"/>
      <c r="G346" s="145"/>
    </row>
    <row r="347" spans="1:7" ht="24.95" hidden="1" customHeight="1">
      <c r="A347" s="141"/>
      <c r="B347" s="141"/>
      <c r="C347" s="248"/>
      <c r="D347" s="256"/>
      <c r="E347" s="150"/>
      <c r="F347" s="150"/>
      <c r="G347" s="145"/>
    </row>
    <row r="348" spans="1:7" ht="24.95" hidden="1" customHeight="1">
      <c r="A348" s="141"/>
      <c r="B348" s="141"/>
      <c r="C348" s="248"/>
      <c r="D348" s="256"/>
      <c r="E348" s="150"/>
      <c r="F348" s="150"/>
      <c r="G348" s="145"/>
    </row>
    <row r="349" spans="1:7" ht="24.95" hidden="1" customHeight="1">
      <c r="A349" s="141"/>
      <c r="B349" s="141"/>
      <c r="C349" s="248"/>
      <c r="D349" s="256"/>
      <c r="E349" s="150"/>
      <c r="F349" s="150"/>
      <c r="G349" s="145"/>
    </row>
    <row r="350" spans="1:7" ht="24.95" hidden="1" customHeight="1">
      <c r="A350" s="141"/>
      <c r="B350" s="141"/>
      <c r="C350" s="248"/>
      <c r="D350" s="256"/>
      <c r="E350" s="150"/>
      <c r="F350" s="150"/>
      <c r="G350" s="145"/>
    </row>
    <row r="351" spans="1:7" ht="24.95" hidden="1" customHeight="1">
      <c r="A351" s="141"/>
      <c r="B351" s="141"/>
      <c r="C351" s="248"/>
      <c r="D351" s="256"/>
      <c r="E351" s="150"/>
      <c r="F351" s="150"/>
      <c r="G351" s="145"/>
    </row>
    <row r="352" spans="1:7" ht="24.95" hidden="1" customHeight="1">
      <c r="A352" s="141"/>
      <c r="B352" s="141"/>
      <c r="C352" s="248"/>
      <c r="D352" s="256"/>
      <c r="E352" s="150"/>
      <c r="F352" s="150"/>
      <c r="G352" s="145"/>
    </row>
    <row r="353" spans="1:7" ht="24.95" hidden="1" customHeight="1">
      <c r="A353" s="141"/>
      <c r="B353" s="141"/>
      <c r="C353" s="248"/>
      <c r="D353" s="256"/>
      <c r="E353" s="150"/>
      <c r="F353" s="150"/>
      <c r="G353" s="145"/>
    </row>
    <row r="354" spans="1:7" ht="24.95" hidden="1" customHeight="1">
      <c r="A354" s="141"/>
      <c r="B354" s="141"/>
      <c r="C354" s="248"/>
      <c r="D354" s="256"/>
      <c r="E354" s="150"/>
      <c r="F354" s="150"/>
      <c r="G354" s="145"/>
    </row>
    <row r="355" spans="1:7" ht="24.95" hidden="1" customHeight="1">
      <c r="A355" s="141"/>
      <c r="B355" s="141"/>
      <c r="C355" s="248"/>
      <c r="D355" s="256"/>
      <c r="E355" s="150"/>
      <c r="F355" s="150"/>
      <c r="G355" s="145"/>
    </row>
    <row r="356" spans="1:7" ht="24.95" hidden="1" customHeight="1">
      <c r="A356" s="141"/>
      <c r="B356" s="141"/>
      <c r="C356" s="248"/>
      <c r="D356" s="256"/>
      <c r="E356" s="150"/>
      <c r="F356" s="150"/>
      <c r="G356" s="145"/>
    </row>
    <row r="357" spans="1:7" ht="24.95" hidden="1" customHeight="1">
      <c r="A357" s="141"/>
      <c r="B357" s="141"/>
      <c r="C357" s="248"/>
      <c r="D357" s="256"/>
      <c r="E357" s="150"/>
      <c r="F357" s="150"/>
      <c r="G357" s="145"/>
    </row>
    <row r="358" spans="1:7" ht="24.95" hidden="1" customHeight="1">
      <c r="A358" s="141"/>
      <c r="B358" s="141"/>
      <c r="C358" s="248"/>
      <c r="D358" s="256"/>
      <c r="E358" s="150"/>
      <c r="F358" s="150"/>
      <c r="G358" s="145"/>
    </row>
    <row r="359" spans="1:7" ht="24.95" hidden="1" customHeight="1">
      <c r="A359" s="141"/>
      <c r="B359" s="141"/>
      <c r="C359" s="248"/>
      <c r="D359" s="256"/>
      <c r="E359" s="150"/>
      <c r="F359" s="150"/>
      <c r="G359" s="145"/>
    </row>
    <row r="360" spans="1:7" ht="24.95" hidden="1" customHeight="1">
      <c r="A360" s="141"/>
      <c r="B360" s="141"/>
      <c r="C360" s="248"/>
      <c r="D360" s="256"/>
      <c r="E360" s="150"/>
      <c r="F360" s="150"/>
      <c r="G360" s="145"/>
    </row>
    <row r="361" spans="1:7" ht="24.95" hidden="1" customHeight="1">
      <c r="A361" s="141"/>
      <c r="B361" s="141"/>
      <c r="C361" s="248"/>
      <c r="D361" s="256"/>
      <c r="E361" s="150"/>
      <c r="F361" s="150"/>
      <c r="G361" s="145"/>
    </row>
    <row r="362" spans="1:7" ht="24.95" hidden="1" customHeight="1">
      <c r="A362" s="141"/>
      <c r="B362" s="141"/>
      <c r="C362" s="248"/>
      <c r="D362" s="256"/>
      <c r="E362" s="150"/>
      <c r="F362" s="150"/>
      <c r="G362" s="145"/>
    </row>
    <row r="363" spans="1:7" ht="24.95" hidden="1" customHeight="1">
      <c r="A363" s="141"/>
      <c r="B363" s="141"/>
      <c r="C363" s="248"/>
      <c r="D363" s="256"/>
      <c r="E363" s="150"/>
      <c r="F363" s="150"/>
      <c r="G363" s="145"/>
    </row>
    <row r="364" spans="1:7" ht="24.95" hidden="1" customHeight="1">
      <c r="A364" s="141"/>
      <c r="B364" s="141"/>
      <c r="C364" s="248"/>
      <c r="D364" s="256"/>
      <c r="E364" s="150"/>
      <c r="F364" s="150"/>
      <c r="G364" s="145"/>
    </row>
    <row r="365" spans="1:7" ht="24.95" hidden="1" customHeight="1">
      <c r="A365" s="141"/>
      <c r="B365" s="141"/>
      <c r="C365" s="248"/>
      <c r="D365" s="256"/>
      <c r="E365" s="150"/>
      <c r="F365" s="150"/>
      <c r="G365" s="145"/>
    </row>
    <row r="366" spans="1:7" ht="24.95" hidden="1" customHeight="1">
      <c r="A366" s="141"/>
      <c r="B366" s="141"/>
      <c r="C366" s="248"/>
      <c r="D366" s="256"/>
      <c r="E366" s="150"/>
      <c r="F366" s="150"/>
      <c r="G366" s="145"/>
    </row>
    <row r="367" spans="1:7" ht="24.95" hidden="1" customHeight="1">
      <c r="A367" s="141"/>
      <c r="B367" s="141"/>
      <c r="C367" s="248"/>
      <c r="D367" s="256"/>
      <c r="E367" s="150"/>
      <c r="F367" s="150"/>
      <c r="G367" s="145"/>
    </row>
    <row r="368" spans="1:7" ht="24.95" hidden="1" customHeight="1">
      <c r="A368" s="141"/>
      <c r="B368" s="141"/>
      <c r="C368" s="248"/>
      <c r="D368" s="256"/>
      <c r="E368" s="150"/>
      <c r="F368" s="150"/>
      <c r="G368" s="145"/>
    </row>
    <row r="369" spans="1:7" ht="24.95" hidden="1" customHeight="1">
      <c r="A369" s="141"/>
      <c r="B369" s="141"/>
      <c r="C369" s="248"/>
      <c r="D369" s="256"/>
      <c r="E369" s="150"/>
      <c r="F369" s="150"/>
      <c r="G369" s="145"/>
    </row>
    <row r="370" spans="1:7" ht="24.95" hidden="1" customHeight="1">
      <c r="A370" s="141"/>
      <c r="B370" s="141"/>
      <c r="C370" s="248"/>
      <c r="D370" s="256"/>
      <c r="E370" s="150"/>
      <c r="F370" s="150"/>
      <c r="G370" s="145"/>
    </row>
    <row r="371" spans="1:7" ht="24.95" hidden="1" customHeight="1">
      <c r="A371" s="141"/>
      <c r="B371" s="141"/>
      <c r="C371" s="248"/>
      <c r="D371" s="256"/>
      <c r="E371" s="150"/>
      <c r="F371" s="150"/>
      <c r="G371" s="145"/>
    </row>
    <row r="372" spans="1:7" ht="24.95" hidden="1" customHeight="1">
      <c r="A372" s="141"/>
      <c r="B372" s="141"/>
      <c r="C372" s="248"/>
      <c r="D372" s="256"/>
      <c r="E372" s="150"/>
      <c r="F372" s="150"/>
      <c r="G372" s="145"/>
    </row>
    <row r="373" spans="1:7" ht="24.95" hidden="1" customHeight="1">
      <c r="A373" s="141"/>
      <c r="B373" s="141"/>
      <c r="C373" s="248"/>
      <c r="D373" s="256"/>
      <c r="E373" s="150"/>
      <c r="F373" s="150"/>
      <c r="G373" s="145"/>
    </row>
    <row r="374" spans="1:7" ht="24.95" hidden="1" customHeight="1">
      <c r="A374" s="141"/>
      <c r="B374" s="141"/>
      <c r="C374" s="248"/>
      <c r="D374" s="256"/>
      <c r="E374" s="150"/>
      <c r="F374" s="150"/>
      <c r="G374" s="145"/>
    </row>
    <row r="375" spans="1:7" ht="24.95" hidden="1" customHeight="1">
      <c r="A375" s="141"/>
      <c r="B375" s="141"/>
      <c r="C375" s="248"/>
      <c r="D375" s="256"/>
      <c r="E375" s="150"/>
      <c r="F375" s="150"/>
      <c r="G375" s="145"/>
    </row>
    <row r="376" spans="1:7" ht="24.95" hidden="1" customHeight="1">
      <c r="A376" s="141"/>
      <c r="B376" s="141"/>
      <c r="C376" s="248"/>
      <c r="D376" s="256"/>
      <c r="E376" s="150"/>
      <c r="F376" s="150"/>
      <c r="G376" s="145"/>
    </row>
    <row r="377" spans="1:7" ht="24.95" hidden="1" customHeight="1">
      <c r="A377" s="141"/>
      <c r="B377" s="141"/>
      <c r="C377" s="248"/>
      <c r="D377" s="256"/>
      <c r="E377" s="150"/>
      <c r="F377" s="150"/>
      <c r="G377" s="145"/>
    </row>
    <row r="378" spans="1:7" ht="24.95" hidden="1" customHeight="1">
      <c r="A378" s="141"/>
      <c r="B378" s="141"/>
      <c r="C378" s="248"/>
      <c r="D378" s="256"/>
      <c r="E378" s="150"/>
      <c r="F378" s="150"/>
      <c r="G378" s="145"/>
    </row>
    <row r="379" spans="1:7" ht="24.95" hidden="1" customHeight="1">
      <c r="A379" s="141"/>
      <c r="B379" s="141"/>
      <c r="C379" s="248"/>
      <c r="D379" s="256"/>
      <c r="E379" s="150"/>
      <c r="F379" s="150"/>
      <c r="G379" s="145"/>
    </row>
    <row r="380" spans="1:7" ht="24.95" hidden="1" customHeight="1">
      <c r="A380" s="141"/>
      <c r="B380" s="141"/>
      <c r="C380" s="248"/>
      <c r="D380" s="256"/>
      <c r="E380" s="150"/>
      <c r="F380" s="150"/>
      <c r="G380" s="145"/>
    </row>
    <row r="381" spans="1:7" ht="24.95" hidden="1" customHeight="1">
      <c r="A381" s="141"/>
      <c r="B381" s="141"/>
      <c r="C381" s="248"/>
      <c r="D381" s="256"/>
      <c r="E381" s="150"/>
      <c r="F381" s="150"/>
      <c r="G381" s="145"/>
    </row>
    <row r="382" spans="1:7" ht="24.95" hidden="1" customHeight="1">
      <c r="A382" s="141"/>
      <c r="B382" s="141"/>
      <c r="C382" s="248"/>
      <c r="D382" s="256"/>
      <c r="E382" s="150"/>
      <c r="F382" s="150"/>
      <c r="G382" s="145"/>
    </row>
    <row r="383" spans="1:7" ht="24.95" hidden="1" customHeight="1">
      <c r="A383" s="141"/>
      <c r="B383" s="141"/>
      <c r="C383" s="248"/>
      <c r="D383" s="256"/>
      <c r="E383" s="150"/>
      <c r="F383" s="150"/>
      <c r="G383" s="145"/>
    </row>
    <row r="384" spans="1:7" ht="24.95" hidden="1" customHeight="1">
      <c r="A384" s="141"/>
      <c r="B384" s="141"/>
      <c r="C384" s="248"/>
      <c r="D384" s="256"/>
      <c r="E384" s="150"/>
      <c r="F384" s="150"/>
      <c r="G384" s="145"/>
    </row>
    <row r="385" spans="1:7" ht="24.95" hidden="1" customHeight="1">
      <c r="A385" s="141"/>
      <c r="B385" s="141"/>
      <c r="C385" s="248"/>
      <c r="D385" s="256"/>
      <c r="E385" s="150"/>
      <c r="F385" s="150"/>
      <c r="G385" s="145"/>
    </row>
    <row r="386" spans="1:7" ht="24.95" hidden="1" customHeight="1">
      <c r="A386" s="141"/>
      <c r="B386" s="141"/>
      <c r="C386" s="248"/>
      <c r="D386" s="256"/>
      <c r="E386" s="150"/>
      <c r="F386" s="150"/>
      <c r="G386" s="145"/>
    </row>
    <row r="387" spans="1:7" ht="24.95" hidden="1" customHeight="1">
      <c r="A387" s="141"/>
      <c r="B387" s="141"/>
      <c r="C387" s="248"/>
      <c r="D387" s="256"/>
      <c r="E387" s="150"/>
      <c r="F387" s="150"/>
      <c r="G387" s="145"/>
    </row>
    <row r="388" spans="1:7" ht="24.95" hidden="1" customHeight="1">
      <c r="A388" s="141"/>
      <c r="B388" s="141"/>
      <c r="C388" s="248"/>
      <c r="D388" s="256"/>
      <c r="E388" s="150"/>
      <c r="F388" s="150"/>
      <c r="G388" s="145"/>
    </row>
    <row r="389" spans="1:7" ht="24.95" hidden="1" customHeight="1">
      <c r="A389" s="141"/>
      <c r="B389" s="141"/>
      <c r="C389" s="248"/>
      <c r="D389" s="256"/>
      <c r="E389" s="150"/>
      <c r="F389" s="150"/>
      <c r="G389" s="145"/>
    </row>
    <row r="390" spans="1:7" ht="24.95" hidden="1" customHeight="1">
      <c r="A390" s="141"/>
      <c r="B390" s="141"/>
      <c r="C390" s="248"/>
      <c r="D390" s="256"/>
      <c r="E390" s="150"/>
      <c r="F390" s="150"/>
      <c r="G390" s="145"/>
    </row>
    <row r="391" spans="1:7" ht="24.95" hidden="1" customHeight="1">
      <c r="A391" s="141"/>
      <c r="B391" s="141"/>
      <c r="C391" s="248"/>
      <c r="D391" s="256"/>
      <c r="E391" s="150"/>
      <c r="F391" s="150"/>
      <c r="G391" s="145"/>
    </row>
    <row r="392" spans="1:7" ht="24.95" hidden="1" customHeight="1">
      <c r="A392" s="141"/>
      <c r="B392" s="141"/>
      <c r="C392" s="248"/>
      <c r="D392" s="256"/>
      <c r="E392" s="150"/>
      <c r="F392" s="150"/>
      <c r="G392" s="145"/>
    </row>
    <row r="393" spans="1:7" ht="24.95" hidden="1" customHeight="1">
      <c r="A393" s="141"/>
      <c r="B393" s="141"/>
      <c r="C393" s="248"/>
      <c r="D393" s="256"/>
      <c r="E393" s="150"/>
      <c r="F393" s="150"/>
      <c r="G393" s="145"/>
    </row>
    <row r="394" spans="1:7" ht="24.95" hidden="1" customHeight="1">
      <c r="A394" s="141"/>
      <c r="B394" s="141"/>
      <c r="C394" s="248"/>
      <c r="D394" s="256"/>
      <c r="E394" s="150"/>
      <c r="F394" s="150"/>
      <c r="G394" s="145"/>
    </row>
    <row r="395" spans="1:7" ht="24.95" hidden="1" customHeight="1">
      <c r="A395" s="141"/>
      <c r="B395" s="141"/>
      <c r="C395" s="248"/>
      <c r="D395" s="256"/>
      <c r="E395" s="150"/>
      <c r="F395" s="150"/>
      <c r="G395" s="145"/>
    </row>
    <row r="396" spans="1:7" ht="24.95" hidden="1" customHeight="1">
      <c r="A396" s="141"/>
      <c r="B396" s="141"/>
      <c r="C396" s="248"/>
      <c r="D396" s="256"/>
      <c r="E396" s="150"/>
      <c r="F396" s="150"/>
      <c r="G396" s="145"/>
    </row>
    <row r="397" spans="1:7" ht="24.95" hidden="1" customHeight="1">
      <c r="A397" s="141"/>
      <c r="B397" s="141"/>
      <c r="C397" s="248"/>
      <c r="D397" s="256"/>
      <c r="E397" s="150"/>
      <c r="F397" s="150"/>
      <c r="G397" s="145"/>
    </row>
    <row r="398" spans="1:7" ht="24.95" hidden="1" customHeight="1">
      <c r="A398" s="141"/>
      <c r="B398" s="141"/>
      <c r="C398" s="248"/>
      <c r="D398" s="256"/>
      <c r="E398" s="150"/>
      <c r="F398" s="150"/>
      <c r="G398" s="145"/>
    </row>
    <row r="399" spans="1:7" ht="24.95" hidden="1" customHeight="1">
      <c r="A399" s="141"/>
      <c r="B399" s="141"/>
      <c r="C399" s="248"/>
      <c r="D399" s="256"/>
      <c r="E399" s="150"/>
      <c r="F399" s="150"/>
      <c r="G399" s="145"/>
    </row>
    <row r="400" spans="1:7" ht="24.95" hidden="1" customHeight="1">
      <c r="A400" s="141"/>
      <c r="B400" s="141"/>
      <c r="C400" s="248"/>
      <c r="D400" s="256"/>
      <c r="E400" s="150"/>
      <c r="F400" s="150"/>
      <c r="G400" s="145"/>
    </row>
    <row r="401" spans="1:7" ht="24.95" hidden="1" customHeight="1">
      <c r="A401" s="141"/>
      <c r="B401" s="141"/>
      <c r="C401" s="248"/>
      <c r="D401" s="256"/>
      <c r="E401" s="150"/>
      <c r="F401" s="150"/>
      <c r="G401" s="145"/>
    </row>
    <row r="402" spans="1:7" ht="24.95" hidden="1" customHeight="1">
      <c r="A402" s="141"/>
      <c r="B402" s="141"/>
      <c r="C402" s="248"/>
      <c r="D402" s="256"/>
      <c r="E402" s="150"/>
      <c r="F402" s="150"/>
      <c r="G402" s="145"/>
    </row>
    <row r="403" spans="1:7" ht="24.95" hidden="1" customHeight="1">
      <c r="A403" s="141"/>
      <c r="B403" s="141"/>
      <c r="C403" s="248"/>
      <c r="D403" s="256"/>
      <c r="E403" s="150"/>
      <c r="F403" s="150"/>
      <c r="G403" s="145"/>
    </row>
    <row r="404" spans="1:7" ht="24.95" hidden="1" customHeight="1">
      <c r="A404" s="141"/>
      <c r="B404" s="141"/>
      <c r="C404" s="248"/>
      <c r="D404" s="256"/>
      <c r="E404" s="150"/>
      <c r="F404" s="150"/>
      <c r="G404" s="145"/>
    </row>
    <row r="405" spans="1:7" ht="24.95" hidden="1" customHeight="1">
      <c r="A405" s="141"/>
      <c r="B405" s="141"/>
      <c r="C405" s="248"/>
      <c r="D405" s="256"/>
      <c r="E405" s="150"/>
      <c r="F405" s="150"/>
      <c r="G405" s="145"/>
    </row>
    <row r="406" spans="1:7" ht="24.95" hidden="1" customHeight="1">
      <c r="A406" s="141"/>
      <c r="B406" s="141"/>
      <c r="C406" s="248"/>
      <c r="D406" s="256"/>
      <c r="E406" s="150"/>
      <c r="F406" s="150"/>
      <c r="G406" s="145"/>
    </row>
    <row r="407" spans="1:7" ht="24.95" hidden="1" customHeight="1">
      <c r="A407" s="141"/>
      <c r="B407" s="141"/>
      <c r="C407" s="248"/>
      <c r="D407" s="256"/>
      <c r="E407" s="150"/>
      <c r="F407" s="150"/>
      <c r="G407" s="145"/>
    </row>
    <row r="408" spans="1:7" ht="24.95" hidden="1" customHeight="1">
      <c r="A408" s="141"/>
      <c r="B408" s="141"/>
      <c r="C408" s="248"/>
      <c r="D408" s="256"/>
      <c r="E408" s="150"/>
      <c r="F408" s="150"/>
      <c r="G408" s="145"/>
    </row>
    <row r="409" spans="1:7" ht="24.95" hidden="1" customHeight="1">
      <c r="A409" s="141"/>
      <c r="B409" s="141"/>
      <c r="C409" s="248"/>
      <c r="D409" s="256"/>
      <c r="E409" s="150"/>
      <c r="F409" s="150"/>
      <c r="G409" s="145"/>
    </row>
    <row r="410" spans="1:7" ht="24.95" hidden="1" customHeight="1">
      <c r="A410" s="141"/>
      <c r="B410" s="141"/>
      <c r="C410" s="248"/>
      <c r="D410" s="256"/>
      <c r="E410" s="150"/>
      <c r="F410" s="150"/>
      <c r="G410" s="145"/>
    </row>
    <row r="411" spans="1:7" ht="24.95" hidden="1" customHeight="1">
      <c r="A411" s="141"/>
      <c r="B411" s="141"/>
      <c r="C411" s="248"/>
      <c r="D411" s="256"/>
      <c r="E411" s="150"/>
      <c r="F411" s="150"/>
      <c r="G411" s="145"/>
    </row>
    <row r="412" spans="1:7" ht="24.95" hidden="1" customHeight="1">
      <c r="A412" s="141"/>
      <c r="B412" s="141"/>
      <c r="C412" s="248"/>
      <c r="D412" s="256"/>
      <c r="E412" s="150"/>
      <c r="F412" s="150"/>
      <c r="G412" s="145"/>
    </row>
    <row r="413" spans="1:7" ht="24.95" hidden="1" customHeight="1">
      <c r="A413" s="141"/>
      <c r="B413" s="141"/>
      <c r="C413" s="248"/>
      <c r="D413" s="256"/>
      <c r="E413" s="150"/>
      <c r="F413" s="150"/>
      <c r="G413" s="145"/>
    </row>
    <row r="414" spans="1:7" ht="24.95" hidden="1" customHeight="1">
      <c r="A414" s="141"/>
      <c r="B414" s="141"/>
      <c r="C414" s="248"/>
      <c r="D414" s="256"/>
      <c r="E414" s="150"/>
      <c r="F414" s="150"/>
      <c r="G414" s="145"/>
    </row>
    <row r="415" spans="1:7" ht="24.95" hidden="1" customHeight="1">
      <c r="A415" s="141"/>
      <c r="B415" s="141"/>
      <c r="C415" s="232"/>
      <c r="D415" s="256"/>
      <c r="E415" s="150"/>
      <c r="F415" s="150"/>
      <c r="G415" s="145"/>
    </row>
    <row r="416" spans="1:7" ht="24.95" hidden="1" customHeight="1">
      <c r="A416" s="141"/>
      <c r="B416" s="141"/>
      <c r="C416" s="248"/>
      <c r="D416" s="256"/>
      <c r="E416" s="150"/>
      <c r="F416" s="150"/>
      <c r="G416" s="145"/>
    </row>
    <row r="417" spans="1:7" ht="24.95" hidden="1" customHeight="1">
      <c r="A417" s="141"/>
      <c r="B417" s="141"/>
      <c r="C417" s="248"/>
      <c r="D417" s="256"/>
      <c r="E417" s="150"/>
      <c r="F417" s="150"/>
      <c r="G417" s="145"/>
    </row>
    <row r="418" spans="1:7" ht="24.95" hidden="1" customHeight="1">
      <c r="A418" s="141"/>
      <c r="B418" s="141"/>
      <c r="C418" s="248"/>
      <c r="D418" s="256"/>
      <c r="E418" s="150"/>
      <c r="F418" s="150"/>
      <c r="G418" s="145"/>
    </row>
    <row r="419" spans="1:7" ht="24.95" hidden="1" customHeight="1">
      <c r="A419" s="141"/>
      <c r="B419" s="141"/>
      <c r="C419" s="248"/>
      <c r="D419" s="256"/>
      <c r="E419" s="150"/>
      <c r="F419" s="150"/>
      <c r="G419" s="145"/>
    </row>
    <row r="420" spans="1:7" ht="24.95" hidden="1" customHeight="1">
      <c r="A420" s="141"/>
      <c r="B420" s="141"/>
      <c r="C420" s="232"/>
      <c r="D420" s="256"/>
      <c r="E420" s="150"/>
      <c r="F420" s="150"/>
      <c r="G420" s="145"/>
    </row>
    <row r="421" spans="1:7" ht="24.95" hidden="1" customHeight="1">
      <c r="A421" s="141"/>
      <c r="B421" s="141"/>
      <c r="C421" s="248"/>
      <c r="D421" s="256"/>
      <c r="E421" s="150"/>
      <c r="F421" s="150"/>
      <c r="G421" s="145"/>
    </row>
    <row r="422" spans="1:7" ht="24.95" hidden="1" customHeight="1">
      <c r="A422" s="141"/>
      <c r="B422" s="141"/>
      <c r="C422" s="248"/>
      <c r="D422" s="256"/>
      <c r="E422" s="150"/>
      <c r="F422" s="150"/>
      <c r="G422" s="145"/>
    </row>
    <row r="423" spans="1:7" ht="24.95" hidden="1" customHeight="1">
      <c r="A423" s="141"/>
      <c r="B423" s="141"/>
      <c r="C423" s="248"/>
      <c r="D423" s="256"/>
      <c r="E423" s="150"/>
      <c r="F423" s="150"/>
      <c r="G423" s="145"/>
    </row>
    <row r="424" spans="1:7" ht="24.95" hidden="1" customHeight="1">
      <c r="A424" s="141"/>
      <c r="B424" s="141"/>
      <c r="C424" s="248"/>
      <c r="D424" s="256"/>
      <c r="E424" s="150"/>
      <c r="F424" s="150"/>
      <c r="G424" s="145"/>
    </row>
    <row r="425" spans="1:7" ht="24.95" hidden="1" customHeight="1">
      <c r="A425" s="141"/>
      <c r="B425" s="141"/>
      <c r="C425" s="248"/>
      <c r="D425" s="256"/>
      <c r="E425" s="150"/>
      <c r="F425" s="150"/>
      <c r="G425" s="145"/>
    </row>
    <row r="426" spans="1:7" ht="24.95" hidden="1" customHeight="1">
      <c r="A426" s="141"/>
      <c r="B426" s="141"/>
      <c r="C426" s="248"/>
      <c r="D426" s="256"/>
      <c r="E426" s="150"/>
      <c r="F426" s="150"/>
      <c r="G426" s="145"/>
    </row>
    <row r="427" spans="1:7" ht="24.95" hidden="1" customHeight="1">
      <c r="A427" s="141"/>
      <c r="B427" s="141"/>
      <c r="C427" s="248"/>
      <c r="D427" s="256"/>
      <c r="E427" s="150"/>
      <c r="F427" s="150"/>
      <c r="G427" s="145"/>
    </row>
    <row r="428" spans="1:7" ht="24.95" hidden="1" customHeight="1">
      <c r="A428" s="141"/>
      <c r="B428" s="141"/>
      <c r="C428" s="248"/>
      <c r="D428" s="256"/>
      <c r="E428" s="150"/>
      <c r="F428" s="150"/>
      <c r="G428" s="145"/>
    </row>
    <row r="429" spans="1:7" ht="24.95" hidden="1" customHeight="1">
      <c r="A429" s="141"/>
      <c r="B429" s="141"/>
      <c r="C429" s="248"/>
      <c r="D429" s="256"/>
      <c r="E429" s="150"/>
      <c r="F429" s="150"/>
      <c r="G429" s="145"/>
    </row>
    <row r="430" spans="1:7" ht="24.95" hidden="1" customHeight="1">
      <c r="A430" s="141"/>
      <c r="B430" s="141"/>
      <c r="C430" s="248"/>
      <c r="D430" s="256"/>
      <c r="E430" s="150"/>
      <c r="F430" s="150"/>
      <c r="G430" s="145"/>
    </row>
    <row r="431" spans="1:7" ht="24.95" hidden="1" customHeight="1">
      <c r="A431" s="141"/>
      <c r="B431" s="141"/>
      <c r="C431" s="248"/>
      <c r="D431" s="256"/>
      <c r="E431" s="150"/>
      <c r="F431" s="150"/>
      <c r="G431" s="145"/>
    </row>
    <row r="432" spans="1:7" ht="24.95" hidden="1" customHeight="1">
      <c r="A432" s="141"/>
      <c r="B432" s="141"/>
      <c r="C432" s="248"/>
      <c r="D432" s="256"/>
      <c r="E432" s="150"/>
      <c r="F432" s="150"/>
      <c r="G432" s="145"/>
    </row>
    <row r="433" spans="1:7" ht="24.95" hidden="1" customHeight="1">
      <c r="A433" s="141"/>
      <c r="B433" s="141"/>
      <c r="C433" s="248"/>
      <c r="D433" s="256"/>
      <c r="E433" s="150"/>
      <c r="F433" s="150"/>
      <c r="G433" s="145"/>
    </row>
    <row r="434" spans="1:7" ht="24.95" hidden="1" customHeight="1">
      <c r="A434" s="141"/>
      <c r="B434" s="141"/>
      <c r="C434" s="248"/>
      <c r="D434" s="256"/>
      <c r="E434" s="150"/>
      <c r="F434" s="150"/>
      <c r="G434" s="145"/>
    </row>
    <row r="435" spans="1:7" ht="24.95" hidden="1" customHeight="1">
      <c r="A435" s="141"/>
      <c r="B435" s="141"/>
      <c r="C435" s="248"/>
      <c r="D435" s="256"/>
      <c r="E435" s="150"/>
      <c r="F435" s="150"/>
      <c r="G435" s="145"/>
    </row>
    <row r="436" spans="1:7" ht="24.95" hidden="1" customHeight="1">
      <c r="A436" s="141"/>
      <c r="B436" s="141"/>
      <c r="C436" s="248"/>
      <c r="D436" s="256"/>
      <c r="E436" s="150"/>
      <c r="F436" s="150"/>
      <c r="G436" s="145"/>
    </row>
    <row r="437" spans="1:7" ht="24.95" hidden="1" customHeight="1">
      <c r="A437" s="141"/>
      <c r="B437" s="141"/>
      <c r="C437" s="248"/>
      <c r="D437" s="256"/>
      <c r="E437" s="150"/>
      <c r="F437" s="150"/>
      <c r="G437" s="145"/>
    </row>
    <row r="438" spans="1:7" ht="24.95" hidden="1" customHeight="1">
      <c r="A438" s="141"/>
      <c r="B438" s="141"/>
      <c r="C438" s="248"/>
      <c r="D438" s="256"/>
      <c r="E438" s="150"/>
      <c r="F438" s="150"/>
      <c r="G438" s="145"/>
    </row>
    <row r="439" spans="1:7" ht="24.95" hidden="1" customHeight="1">
      <c r="A439" s="141"/>
      <c r="B439" s="141"/>
      <c r="C439" s="248"/>
      <c r="D439" s="256"/>
      <c r="E439" s="150"/>
      <c r="F439" s="150"/>
      <c r="G439" s="145"/>
    </row>
    <row r="440" spans="1:7" ht="24.95" hidden="1" customHeight="1">
      <c r="A440" s="141"/>
      <c r="B440" s="141"/>
      <c r="C440" s="248"/>
      <c r="D440" s="256"/>
      <c r="E440" s="150"/>
      <c r="F440" s="150"/>
      <c r="G440" s="145"/>
    </row>
    <row r="441" spans="1:7" ht="24.95" hidden="1" customHeight="1">
      <c r="A441" s="141"/>
      <c r="B441" s="141"/>
      <c r="C441" s="248"/>
      <c r="D441" s="256"/>
      <c r="E441" s="150"/>
      <c r="F441" s="150"/>
      <c r="G441" s="145"/>
    </row>
    <row r="442" spans="1:7" ht="24.95" hidden="1" customHeight="1">
      <c r="A442" s="141"/>
      <c r="B442" s="141"/>
      <c r="C442" s="248"/>
      <c r="D442" s="256"/>
      <c r="E442" s="150"/>
      <c r="F442" s="150"/>
      <c r="G442" s="145"/>
    </row>
    <row r="443" spans="1:7" ht="24.95" hidden="1" customHeight="1">
      <c r="A443" s="141"/>
      <c r="B443" s="141"/>
      <c r="C443" s="248"/>
      <c r="D443" s="256"/>
      <c r="E443" s="150"/>
      <c r="F443" s="150"/>
      <c r="G443" s="145"/>
    </row>
    <row r="444" spans="1:7" ht="24.95" hidden="1" customHeight="1">
      <c r="A444" s="141"/>
      <c r="B444" s="141"/>
      <c r="C444" s="248"/>
      <c r="D444" s="256"/>
      <c r="E444" s="150"/>
      <c r="F444" s="150"/>
      <c r="G444" s="145"/>
    </row>
    <row r="445" spans="1:7" ht="24.95" hidden="1" customHeight="1">
      <c r="A445" s="141"/>
      <c r="B445" s="141"/>
      <c r="C445" s="248"/>
      <c r="D445" s="256"/>
      <c r="E445" s="150"/>
      <c r="F445" s="150"/>
      <c r="G445" s="145"/>
    </row>
    <row r="446" spans="1:7" ht="24.95" hidden="1" customHeight="1">
      <c r="A446" s="141"/>
      <c r="B446" s="141"/>
      <c r="C446" s="248"/>
      <c r="D446" s="256"/>
      <c r="E446" s="150"/>
      <c r="F446" s="150"/>
      <c r="G446" s="145"/>
    </row>
    <row r="447" spans="1:7" ht="24.95" hidden="1" customHeight="1">
      <c r="A447" s="141"/>
      <c r="B447" s="141"/>
      <c r="C447" s="248"/>
      <c r="D447" s="256"/>
      <c r="E447" s="150"/>
      <c r="F447" s="150"/>
      <c r="G447" s="145"/>
    </row>
    <row r="448" spans="1:7" ht="24.95" hidden="1" customHeight="1">
      <c r="A448" s="141"/>
      <c r="B448" s="141"/>
      <c r="C448" s="248"/>
      <c r="D448" s="256"/>
      <c r="E448" s="150"/>
      <c r="F448" s="150"/>
      <c r="G448" s="145"/>
    </row>
    <row r="449" spans="1:7" ht="24.95" hidden="1" customHeight="1">
      <c r="A449" s="141"/>
      <c r="B449" s="141"/>
      <c r="C449" s="248"/>
      <c r="D449" s="256"/>
      <c r="E449" s="150"/>
      <c r="F449" s="150"/>
      <c r="G449" s="145"/>
    </row>
    <row r="450" spans="1:7" ht="24.95" hidden="1" customHeight="1">
      <c r="A450" s="141"/>
      <c r="B450" s="141"/>
      <c r="C450" s="248"/>
      <c r="D450" s="256"/>
      <c r="E450" s="150"/>
      <c r="F450" s="150"/>
      <c r="G450" s="145"/>
    </row>
    <row r="451" spans="1:7" ht="24.95" hidden="1" customHeight="1">
      <c r="A451" s="141"/>
      <c r="B451" s="141"/>
      <c r="C451" s="248"/>
      <c r="D451" s="256"/>
      <c r="E451" s="150"/>
      <c r="F451" s="150"/>
      <c r="G451" s="145"/>
    </row>
    <row r="452" spans="1:7" ht="24.95" hidden="1" customHeight="1">
      <c r="A452" s="141"/>
      <c r="B452" s="141"/>
      <c r="C452" s="248"/>
      <c r="D452" s="256"/>
      <c r="E452" s="150"/>
      <c r="F452" s="150"/>
      <c r="G452" s="145"/>
    </row>
    <row r="453" spans="1:7" ht="24.95" hidden="1" customHeight="1">
      <c r="A453" s="141"/>
      <c r="B453" s="141"/>
      <c r="C453" s="248"/>
      <c r="D453" s="256"/>
      <c r="E453" s="150"/>
      <c r="F453" s="150"/>
      <c r="G453" s="145"/>
    </row>
    <row r="454" spans="1:7" ht="24.95" hidden="1" customHeight="1">
      <c r="A454" s="141"/>
      <c r="B454" s="141"/>
      <c r="C454" s="248"/>
      <c r="D454" s="256"/>
      <c r="E454" s="150"/>
      <c r="F454" s="150"/>
      <c r="G454" s="145"/>
    </row>
    <row r="455" spans="1:7" ht="24.95" hidden="1" customHeight="1">
      <c r="A455" s="141"/>
      <c r="B455" s="141"/>
      <c r="C455" s="248"/>
      <c r="D455" s="256"/>
      <c r="E455" s="150"/>
      <c r="F455" s="150"/>
      <c r="G455" s="145"/>
    </row>
    <row r="456" spans="1:7" ht="24.95" hidden="1" customHeight="1">
      <c r="A456" s="141"/>
      <c r="B456" s="141"/>
      <c r="C456" s="248"/>
      <c r="D456" s="256"/>
      <c r="E456" s="150"/>
      <c r="F456" s="150"/>
      <c r="G456" s="145"/>
    </row>
    <row r="457" spans="1:7" ht="24.95" hidden="1" customHeight="1">
      <c r="A457" s="141"/>
      <c r="B457" s="141"/>
      <c r="C457" s="248"/>
      <c r="D457" s="256"/>
      <c r="E457" s="150"/>
      <c r="F457" s="150"/>
      <c r="G457" s="145"/>
    </row>
    <row r="458" spans="1:7" ht="24.95" hidden="1" customHeight="1">
      <c r="A458" s="141"/>
      <c r="B458" s="141"/>
      <c r="C458" s="248"/>
      <c r="D458" s="256"/>
      <c r="E458" s="150"/>
      <c r="F458" s="150"/>
      <c r="G458" s="145"/>
    </row>
    <row r="459" spans="1:7" ht="24.95" hidden="1" customHeight="1">
      <c r="A459" s="141"/>
      <c r="B459" s="141"/>
      <c r="C459" s="248"/>
      <c r="D459" s="256"/>
      <c r="E459" s="150"/>
      <c r="F459" s="150"/>
      <c r="G459" s="145"/>
    </row>
    <row r="460" spans="1:7" ht="24.95" hidden="1" customHeight="1">
      <c r="A460" s="141"/>
      <c r="B460" s="141"/>
      <c r="C460" s="248"/>
      <c r="D460" s="256"/>
      <c r="E460" s="150"/>
      <c r="F460" s="150"/>
      <c r="G460" s="145"/>
    </row>
    <row r="461" spans="1:7" ht="24.95" hidden="1" customHeight="1">
      <c r="A461" s="141"/>
      <c r="B461" s="141"/>
      <c r="C461" s="248"/>
      <c r="D461" s="256"/>
      <c r="E461" s="150"/>
      <c r="F461" s="150"/>
      <c r="G461" s="145"/>
    </row>
    <row r="462" spans="1:7" ht="24.95" hidden="1" customHeight="1">
      <c r="A462" s="141"/>
      <c r="B462" s="141"/>
      <c r="C462" s="248"/>
      <c r="D462" s="256"/>
      <c r="E462" s="150"/>
      <c r="F462" s="150"/>
      <c r="G462" s="145"/>
    </row>
    <row r="463" spans="1:7" ht="24.95" hidden="1" customHeight="1">
      <c r="A463" s="141"/>
      <c r="B463" s="141"/>
      <c r="C463" s="248"/>
      <c r="D463" s="256"/>
      <c r="E463" s="150"/>
      <c r="F463" s="150"/>
      <c r="G463" s="145"/>
    </row>
    <row r="464" spans="1:7" ht="24.95" hidden="1" customHeight="1">
      <c r="A464" s="141"/>
      <c r="B464" s="141"/>
      <c r="C464" s="248"/>
      <c r="D464" s="256"/>
      <c r="E464" s="150"/>
      <c r="F464" s="150"/>
      <c r="G464" s="145"/>
    </row>
    <row r="465" spans="1:7" ht="24.95" hidden="1" customHeight="1">
      <c r="A465" s="141"/>
      <c r="B465" s="141"/>
      <c r="C465" s="248"/>
      <c r="D465" s="256"/>
      <c r="E465" s="150"/>
      <c r="F465" s="150"/>
      <c r="G465" s="145"/>
    </row>
    <row r="466" spans="1:7" ht="24.95" hidden="1" customHeight="1">
      <c r="A466" s="141"/>
      <c r="B466" s="141"/>
      <c r="C466" s="248"/>
      <c r="D466" s="256"/>
      <c r="E466" s="150"/>
      <c r="F466" s="150"/>
      <c r="G466" s="145"/>
    </row>
    <row r="467" spans="1:7" ht="24.95" hidden="1" customHeight="1">
      <c r="A467" s="141"/>
      <c r="B467" s="141"/>
      <c r="C467" s="232"/>
      <c r="D467" s="256"/>
      <c r="E467" s="150"/>
      <c r="F467" s="150"/>
      <c r="G467" s="145"/>
    </row>
    <row r="468" spans="1:7" ht="24.95" hidden="1" customHeight="1">
      <c r="A468" s="141"/>
      <c r="B468" s="141"/>
      <c r="C468" s="248"/>
      <c r="D468" s="256"/>
      <c r="E468" s="150"/>
      <c r="F468" s="150"/>
      <c r="G468" s="145"/>
    </row>
    <row r="469" spans="1:7" ht="24.95" hidden="1" customHeight="1">
      <c r="A469" s="141"/>
      <c r="B469" s="141"/>
      <c r="C469" s="248"/>
      <c r="D469" s="256"/>
      <c r="E469" s="150"/>
      <c r="F469" s="150"/>
      <c r="G469" s="145"/>
    </row>
    <row r="470" spans="1:7" ht="24.95" hidden="1" customHeight="1">
      <c r="A470" s="141"/>
      <c r="B470" s="141"/>
      <c r="C470" s="248"/>
      <c r="D470" s="256"/>
      <c r="E470" s="150"/>
      <c r="F470" s="150"/>
      <c r="G470" s="145"/>
    </row>
    <row r="471" spans="1:7" ht="24.95" hidden="1" customHeight="1">
      <c r="A471" s="141"/>
      <c r="B471" s="141"/>
      <c r="C471" s="248"/>
      <c r="D471" s="256"/>
      <c r="E471" s="150"/>
      <c r="F471" s="150"/>
      <c r="G471" s="145"/>
    </row>
    <row r="472" spans="1:7" ht="24.95" hidden="1" customHeight="1">
      <c r="A472" s="141"/>
      <c r="B472" s="141"/>
      <c r="C472" s="248"/>
      <c r="D472" s="256"/>
      <c r="E472" s="150"/>
      <c r="F472" s="150"/>
      <c r="G472" s="145"/>
    </row>
    <row r="473" spans="1:7" ht="24.95" hidden="1" customHeight="1">
      <c r="A473" s="141"/>
      <c r="B473" s="141"/>
      <c r="C473" s="248"/>
      <c r="D473" s="256"/>
      <c r="E473" s="150"/>
      <c r="F473" s="150"/>
      <c r="G473" s="145"/>
    </row>
    <row r="474" spans="1:7" ht="24.95" hidden="1" customHeight="1">
      <c r="A474" s="141"/>
      <c r="B474" s="141"/>
      <c r="C474" s="248"/>
      <c r="D474" s="256"/>
      <c r="E474" s="150"/>
      <c r="F474" s="150"/>
      <c r="G474" s="145"/>
    </row>
    <row r="475" spans="1:7" ht="24.95" hidden="1" customHeight="1">
      <c r="A475" s="141"/>
      <c r="B475" s="141"/>
      <c r="C475" s="248"/>
      <c r="D475" s="256"/>
      <c r="E475" s="150"/>
      <c r="F475" s="150"/>
      <c r="G475" s="145"/>
    </row>
    <row r="476" spans="1:7" ht="24.95" hidden="1" customHeight="1">
      <c r="A476" s="141"/>
      <c r="B476" s="141"/>
      <c r="C476" s="248"/>
      <c r="D476" s="256"/>
      <c r="E476" s="150"/>
      <c r="F476" s="150"/>
      <c r="G476" s="145"/>
    </row>
    <row r="477" spans="1:7" ht="24.95" hidden="1" customHeight="1">
      <c r="A477" s="141"/>
      <c r="B477" s="141"/>
      <c r="C477" s="248"/>
      <c r="D477" s="256"/>
      <c r="E477" s="150"/>
      <c r="F477" s="150"/>
      <c r="G477" s="145"/>
    </row>
    <row r="478" spans="1:7" ht="24.95" hidden="1" customHeight="1">
      <c r="A478" s="141"/>
      <c r="B478" s="141"/>
      <c r="C478" s="248"/>
      <c r="D478" s="256"/>
      <c r="E478" s="150"/>
      <c r="F478" s="150"/>
      <c r="G478" s="145"/>
    </row>
    <row r="479" spans="1:7" ht="24.95" hidden="1" customHeight="1">
      <c r="A479" s="141"/>
      <c r="B479" s="141"/>
      <c r="C479" s="248"/>
      <c r="D479" s="256"/>
      <c r="E479" s="150"/>
      <c r="F479" s="150"/>
      <c r="G479" s="145"/>
    </row>
    <row r="480" spans="1:7" ht="24.95" hidden="1" customHeight="1">
      <c r="A480" s="141"/>
      <c r="B480" s="141"/>
      <c r="C480" s="248"/>
      <c r="D480" s="256"/>
      <c r="E480" s="150"/>
      <c r="F480" s="150"/>
      <c r="G480" s="145"/>
    </row>
    <row r="481" spans="1:7" ht="24.95" hidden="1" customHeight="1">
      <c r="A481" s="141"/>
      <c r="B481" s="141"/>
      <c r="C481" s="248"/>
      <c r="D481" s="256"/>
      <c r="E481" s="150"/>
      <c r="F481" s="150"/>
      <c r="G481" s="145"/>
    </row>
    <row r="482" spans="1:7" ht="24.95" hidden="1" customHeight="1">
      <c r="A482" s="141"/>
      <c r="B482" s="141"/>
      <c r="C482" s="248"/>
      <c r="D482" s="256"/>
      <c r="E482" s="150"/>
      <c r="F482" s="150"/>
      <c r="G482" s="145"/>
    </row>
    <row r="483" spans="1:7" ht="24.95" hidden="1" customHeight="1">
      <c r="A483" s="141"/>
      <c r="B483" s="141"/>
      <c r="C483" s="248"/>
      <c r="D483" s="256"/>
      <c r="E483" s="150"/>
      <c r="F483" s="150"/>
      <c r="G483" s="145"/>
    </row>
    <row r="484" spans="1:7" ht="24.95" hidden="1" customHeight="1">
      <c r="A484" s="141"/>
      <c r="B484" s="141"/>
      <c r="C484" s="248"/>
      <c r="D484" s="256"/>
      <c r="E484" s="150"/>
      <c r="F484" s="150"/>
      <c r="G484" s="145"/>
    </row>
    <row r="485" spans="1:7" ht="24.95" hidden="1" customHeight="1">
      <c r="A485" s="141"/>
      <c r="B485" s="141"/>
      <c r="C485" s="248"/>
      <c r="D485" s="256"/>
      <c r="E485" s="150"/>
      <c r="F485" s="150"/>
      <c r="G485" s="145"/>
    </row>
    <row r="486" spans="1:7" ht="24.95" hidden="1" customHeight="1">
      <c r="A486" s="141"/>
      <c r="B486" s="141"/>
      <c r="C486" s="248"/>
      <c r="D486" s="256"/>
      <c r="E486" s="150"/>
      <c r="F486" s="150"/>
      <c r="G486" s="145"/>
    </row>
    <row r="487" spans="1:7" ht="24.95" hidden="1" customHeight="1">
      <c r="A487" s="141"/>
      <c r="B487" s="141"/>
      <c r="C487" s="248"/>
      <c r="D487" s="256"/>
      <c r="E487" s="150"/>
      <c r="F487" s="150"/>
      <c r="G487" s="145"/>
    </row>
    <row r="488" spans="1:7" ht="24.95" hidden="1" customHeight="1">
      <c r="A488" s="141"/>
      <c r="B488" s="141"/>
      <c r="C488" s="248"/>
      <c r="D488" s="256"/>
      <c r="E488" s="150"/>
      <c r="F488" s="150"/>
      <c r="G488" s="145"/>
    </row>
    <row r="489" spans="1:7" ht="24.95" hidden="1" customHeight="1">
      <c r="A489" s="141"/>
      <c r="B489" s="141"/>
      <c r="C489" s="248"/>
      <c r="D489" s="256"/>
      <c r="E489" s="150"/>
      <c r="F489" s="150"/>
      <c r="G489" s="145"/>
    </row>
    <row r="490" spans="1:7" ht="24.95" hidden="1" customHeight="1">
      <c r="A490" s="141"/>
      <c r="B490" s="141"/>
      <c r="C490" s="248"/>
      <c r="D490" s="256"/>
      <c r="E490" s="150"/>
      <c r="F490" s="150"/>
      <c r="G490" s="145"/>
    </row>
    <row r="491" spans="1:7" ht="24.95" hidden="1" customHeight="1">
      <c r="A491" s="141"/>
      <c r="B491" s="141"/>
      <c r="C491" s="248"/>
      <c r="D491" s="256"/>
      <c r="E491" s="150"/>
      <c r="F491" s="150"/>
      <c r="G491" s="145"/>
    </row>
    <row r="492" spans="1:7" ht="24.95" hidden="1" customHeight="1">
      <c r="A492" s="141"/>
      <c r="B492" s="141"/>
      <c r="C492" s="248"/>
      <c r="D492" s="256"/>
      <c r="E492" s="150"/>
      <c r="F492" s="150"/>
      <c r="G492" s="145"/>
    </row>
    <row r="493" spans="1:7" ht="24.95" hidden="1" customHeight="1">
      <c r="A493" s="141"/>
      <c r="B493" s="141"/>
      <c r="C493" s="248"/>
      <c r="D493" s="256"/>
      <c r="E493" s="150"/>
      <c r="F493" s="150"/>
      <c r="G493" s="145"/>
    </row>
    <row r="494" spans="1:7" ht="24.95" hidden="1" customHeight="1">
      <c r="A494" s="141"/>
      <c r="B494" s="141"/>
      <c r="C494" s="248"/>
      <c r="D494" s="256"/>
      <c r="E494" s="150"/>
      <c r="F494" s="150"/>
      <c r="G494" s="145"/>
    </row>
    <row r="495" spans="1:7" ht="24.95" hidden="1" customHeight="1">
      <c r="A495" s="141"/>
      <c r="B495" s="141"/>
      <c r="C495" s="248"/>
      <c r="D495" s="256"/>
      <c r="E495" s="150"/>
      <c r="F495" s="150"/>
      <c r="G495" s="145"/>
    </row>
    <row r="496" spans="1:7" ht="24.95" hidden="1" customHeight="1">
      <c r="A496" s="141"/>
      <c r="B496" s="141"/>
      <c r="C496" s="248"/>
      <c r="D496" s="256"/>
      <c r="E496" s="150"/>
      <c r="F496" s="150"/>
      <c r="G496" s="145"/>
    </row>
    <row r="497" spans="1:7" ht="24.95" hidden="1" customHeight="1">
      <c r="A497" s="141"/>
      <c r="B497" s="141"/>
      <c r="C497" s="248"/>
      <c r="D497" s="256"/>
      <c r="E497" s="150"/>
      <c r="F497" s="150"/>
      <c r="G497" s="145"/>
    </row>
    <row r="498" spans="1:7" ht="24.95" hidden="1" customHeight="1">
      <c r="A498" s="141"/>
      <c r="B498" s="141"/>
      <c r="C498" s="248"/>
      <c r="D498" s="256"/>
      <c r="E498" s="150"/>
      <c r="F498" s="150"/>
      <c r="G498" s="145"/>
    </row>
    <row r="499" spans="1:7" ht="24.95" hidden="1" customHeight="1">
      <c r="A499" s="141"/>
      <c r="B499" s="141"/>
      <c r="C499" s="248"/>
      <c r="D499" s="256"/>
      <c r="E499" s="150"/>
      <c r="F499" s="150"/>
      <c r="G499" s="145"/>
    </row>
    <row r="500" spans="1:7" ht="24.95" hidden="1" customHeight="1">
      <c r="A500" s="141"/>
      <c r="B500" s="141"/>
      <c r="C500" s="248"/>
      <c r="D500" s="256"/>
      <c r="E500" s="150"/>
      <c r="F500" s="150"/>
      <c r="G500" s="145"/>
    </row>
    <row r="501" spans="1:7" ht="24.95" hidden="1" customHeight="1">
      <c r="A501" s="141"/>
      <c r="B501" s="141"/>
      <c r="C501" s="248"/>
      <c r="D501" s="256"/>
      <c r="E501" s="150"/>
      <c r="F501" s="150"/>
      <c r="G501" s="145"/>
    </row>
    <row r="502" spans="1:7" ht="24.95" hidden="1" customHeight="1">
      <c r="A502" s="141"/>
      <c r="B502" s="141"/>
      <c r="C502" s="248"/>
      <c r="D502" s="256"/>
      <c r="E502" s="150"/>
      <c r="F502" s="150"/>
      <c r="G502" s="145"/>
    </row>
    <row r="503" spans="1:7" ht="24.95" hidden="1" customHeight="1">
      <c r="A503" s="141"/>
      <c r="B503" s="141"/>
      <c r="C503" s="248"/>
      <c r="D503" s="256"/>
      <c r="E503" s="150"/>
      <c r="F503" s="150"/>
      <c r="G503" s="145"/>
    </row>
    <row r="504" spans="1:7" ht="24.95" hidden="1" customHeight="1">
      <c r="A504" s="141"/>
      <c r="B504" s="141"/>
      <c r="C504" s="248"/>
      <c r="D504" s="256"/>
      <c r="E504" s="150"/>
      <c r="F504" s="150"/>
      <c r="G504" s="145"/>
    </row>
    <row r="505" spans="1:7" ht="24.95" hidden="1" customHeight="1">
      <c r="A505" s="141"/>
      <c r="B505" s="141"/>
      <c r="C505" s="248"/>
      <c r="D505" s="256"/>
      <c r="E505" s="150"/>
      <c r="F505" s="150"/>
      <c r="G505" s="145"/>
    </row>
    <row r="506" spans="1:7" ht="24.95" hidden="1" customHeight="1">
      <c r="A506" s="141"/>
      <c r="B506" s="141"/>
      <c r="C506" s="248"/>
      <c r="D506" s="256"/>
      <c r="E506" s="150"/>
      <c r="F506" s="150"/>
      <c r="G506" s="145"/>
    </row>
    <row r="507" spans="1:7" ht="24.95" hidden="1" customHeight="1">
      <c r="A507" s="141"/>
      <c r="B507" s="141"/>
      <c r="C507" s="248"/>
      <c r="D507" s="256"/>
      <c r="E507" s="150"/>
      <c r="F507" s="150"/>
      <c r="G507" s="145"/>
    </row>
    <row r="508" spans="1:7" ht="24.95" hidden="1" customHeight="1">
      <c r="A508" s="141"/>
      <c r="B508" s="141"/>
      <c r="C508" s="248"/>
      <c r="D508" s="256"/>
      <c r="E508" s="150"/>
      <c r="F508" s="150"/>
      <c r="G508" s="145"/>
    </row>
    <row r="509" spans="1:7" ht="24.95" hidden="1" customHeight="1">
      <c r="A509" s="141"/>
      <c r="B509" s="141"/>
      <c r="C509" s="248"/>
      <c r="D509" s="256"/>
      <c r="E509" s="150"/>
      <c r="F509" s="150"/>
      <c r="G509" s="145"/>
    </row>
    <row r="510" spans="1:7" ht="24.95" hidden="1" customHeight="1">
      <c r="A510" s="141"/>
      <c r="B510" s="141"/>
      <c r="C510" s="248"/>
      <c r="D510" s="256"/>
      <c r="E510" s="150"/>
      <c r="F510" s="150"/>
      <c r="G510" s="145"/>
    </row>
    <row r="511" spans="1:7" ht="24.95" hidden="1" customHeight="1">
      <c r="A511" s="141"/>
      <c r="B511" s="141"/>
      <c r="C511" s="248"/>
      <c r="D511" s="256"/>
      <c r="E511" s="150"/>
      <c r="F511" s="150"/>
      <c r="G511" s="145"/>
    </row>
    <row r="512" spans="1:7" ht="24.95" hidden="1" customHeight="1">
      <c r="A512" s="141"/>
      <c r="B512" s="141"/>
      <c r="C512" s="248"/>
      <c r="D512" s="256"/>
      <c r="E512" s="150"/>
      <c r="F512" s="150"/>
      <c r="G512" s="145"/>
    </row>
    <row r="513" spans="1:7" ht="24.95" hidden="1" customHeight="1">
      <c r="A513" s="141"/>
      <c r="B513" s="141"/>
      <c r="C513" s="248"/>
      <c r="D513" s="256"/>
      <c r="E513" s="150"/>
      <c r="F513" s="150"/>
      <c r="G513" s="145"/>
    </row>
    <row r="514" spans="1:7" ht="24.95" hidden="1" customHeight="1">
      <c r="A514" s="141"/>
      <c r="B514" s="141"/>
      <c r="C514" s="248"/>
      <c r="D514" s="256"/>
      <c r="E514" s="150"/>
      <c r="F514" s="150"/>
      <c r="G514" s="145"/>
    </row>
    <row r="515" spans="1:7" ht="24.95" hidden="1" customHeight="1">
      <c r="A515" s="141"/>
      <c r="B515" s="141"/>
      <c r="C515" s="248"/>
      <c r="D515" s="256"/>
      <c r="E515" s="150"/>
      <c r="F515" s="150"/>
      <c r="G515" s="145"/>
    </row>
    <row r="516" spans="1:7" ht="24.95" hidden="1" customHeight="1">
      <c r="A516" s="141"/>
      <c r="B516" s="141"/>
      <c r="C516" s="248"/>
      <c r="D516" s="256"/>
      <c r="E516" s="150"/>
      <c r="F516" s="150"/>
      <c r="G516" s="145"/>
    </row>
    <row r="517" spans="1:7" ht="24.95" hidden="1" customHeight="1">
      <c r="A517" s="141"/>
      <c r="B517" s="141"/>
      <c r="C517" s="248"/>
      <c r="D517" s="256"/>
      <c r="E517" s="150"/>
      <c r="F517" s="150"/>
      <c r="G517" s="145"/>
    </row>
    <row r="518" spans="1:7" ht="24.95" hidden="1" customHeight="1">
      <c r="A518" s="141"/>
      <c r="B518" s="141"/>
      <c r="C518" s="248"/>
      <c r="D518" s="256"/>
      <c r="E518" s="150"/>
      <c r="F518" s="150"/>
      <c r="G518" s="145"/>
    </row>
    <row r="519" spans="1:7" ht="24.95" hidden="1" customHeight="1">
      <c r="A519" s="141"/>
      <c r="B519" s="141"/>
      <c r="C519" s="248"/>
      <c r="D519" s="256"/>
      <c r="E519" s="150"/>
      <c r="F519" s="150"/>
      <c r="G519" s="145"/>
    </row>
    <row r="520" spans="1:7" ht="24.95" hidden="1" customHeight="1">
      <c r="A520" s="141"/>
      <c r="B520" s="141"/>
      <c r="C520" s="248"/>
      <c r="D520" s="256"/>
      <c r="E520" s="150"/>
      <c r="F520" s="150"/>
      <c r="G520" s="145"/>
    </row>
    <row r="521" spans="1:7" ht="24.95" hidden="1" customHeight="1">
      <c r="A521" s="141"/>
      <c r="B521" s="141"/>
      <c r="C521" s="248"/>
      <c r="D521" s="256"/>
      <c r="E521" s="150"/>
      <c r="F521" s="150"/>
      <c r="G521" s="145"/>
    </row>
    <row r="522" spans="1:7" ht="24.95" hidden="1" customHeight="1">
      <c r="A522" s="141"/>
      <c r="B522" s="141"/>
      <c r="C522" s="248"/>
      <c r="D522" s="256"/>
      <c r="E522" s="150"/>
      <c r="F522" s="150"/>
      <c r="G522" s="145"/>
    </row>
    <row r="523" spans="1:7" ht="24.95" hidden="1" customHeight="1">
      <c r="A523" s="141"/>
      <c r="B523" s="141"/>
      <c r="C523" s="248"/>
      <c r="D523" s="256"/>
      <c r="E523" s="150"/>
      <c r="F523" s="150"/>
      <c r="G523" s="145"/>
    </row>
    <row r="524" spans="1:7" ht="24.95" hidden="1" customHeight="1">
      <c r="A524" s="141"/>
      <c r="B524" s="141"/>
      <c r="C524" s="248"/>
      <c r="D524" s="256"/>
      <c r="E524" s="150"/>
      <c r="F524" s="150"/>
      <c r="G524" s="145"/>
    </row>
    <row r="525" spans="1:7" ht="24.95" hidden="1" customHeight="1">
      <c r="A525" s="141"/>
      <c r="B525" s="141"/>
      <c r="C525" s="248"/>
      <c r="D525" s="256"/>
      <c r="E525" s="150"/>
      <c r="F525" s="150"/>
      <c r="G525" s="145"/>
    </row>
    <row r="526" spans="1:7" ht="24.95" hidden="1" customHeight="1">
      <c r="A526" s="141"/>
      <c r="B526" s="141"/>
      <c r="C526" s="248"/>
      <c r="D526" s="256"/>
      <c r="E526" s="150"/>
      <c r="F526" s="150"/>
      <c r="G526" s="145"/>
    </row>
    <row r="527" spans="1:7" ht="24.95" hidden="1" customHeight="1">
      <c r="A527" s="141"/>
      <c r="B527" s="141"/>
      <c r="C527" s="248"/>
      <c r="D527" s="256"/>
      <c r="E527" s="150"/>
      <c r="F527" s="150"/>
      <c r="G527" s="145"/>
    </row>
    <row r="528" spans="1:7" ht="24.95" hidden="1" customHeight="1">
      <c r="A528" s="141"/>
      <c r="B528" s="141"/>
      <c r="C528" s="248"/>
      <c r="D528" s="256"/>
      <c r="E528" s="150"/>
      <c r="F528" s="150"/>
      <c r="G528" s="145"/>
    </row>
    <row r="529" spans="1:7" ht="24.95" hidden="1" customHeight="1">
      <c r="A529" s="141"/>
      <c r="B529" s="141"/>
      <c r="C529" s="248"/>
      <c r="D529" s="256"/>
      <c r="E529" s="150"/>
      <c r="F529" s="150"/>
      <c r="G529" s="145"/>
    </row>
    <row r="530" spans="1:7" ht="24.95" hidden="1" customHeight="1">
      <c r="A530" s="141"/>
      <c r="B530" s="141"/>
      <c r="C530" s="248"/>
      <c r="D530" s="256"/>
      <c r="E530" s="150"/>
      <c r="F530" s="150"/>
      <c r="G530" s="145"/>
    </row>
    <row r="531" spans="1:7" ht="24.95" hidden="1" customHeight="1">
      <c r="A531" s="141"/>
      <c r="B531" s="141"/>
      <c r="C531" s="248"/>
      <c r="D531" s="256"/>
      <c r="E531" s="150"/>
      <c r="F531" s="150"/>
      <c r="G531" s="145"/>
    </row>
    <row r="532" spans="1:7" ht="24.95" hidden="1" customHeight="1">
      <c r="A532" s="141"/>
      <c r="B532" s="141"/>
      <c r="C532" s="248"/>
      <c r="D532" s="256"/>
      <c r="E532" s="150"/>
      <c r="F532" s="150"/>
      <c r="G532" s="145"/>
    </row>
    <row r="533" spans="1:7" ht="24.95" hidden="1" customHeight="1">
      <c r="A533" s="141"/>
      <c r="B533" s="141"/>
      <c r="C533" s="248"/>
      <c r="D533" s="256"/>
      <c r="E533" s="150"/>
      <c r="F533" s="150"/>
      <c r="G533" s="145"/>
    </row>
    <row r="534" spans="1:7" ht="24.95" hidden="1" customHeight="1">
      <c r="A534" s="141"/>
      <c r="B534" s="141"/>
      <c r="C534" s="248"/>
      <c r="D534" s="256"/>
      <c r="E534" s="150"/>
      <c r="F534" s="150"/>
      <c r="G534" s="145"/>
    </row>
    <row r="535" spans="1:7" ht="24.95" hidden="1" customHeight="1">
      <c r="A535" s="141"/>
      <c r="B535" s="141"/>
      <c r="C535" s="248"/>
      <c r="D535" s="256"/>
      <c r="E535" s="150"/>
      <c r="F535" s="150"/>
      <c r="G535" s="145"/>
    </row>
    <row r="536" spans="1:7" ht="24.95" hidden="1" customHeight="1">
      <c r="A536" s="141"/>
      <c r="B536" s="141"/>
      <c r="C536" s="248"/>
      <c r="D536" s="256"/>
      <c r="E536" s="150"/>
      <c r="F536" s="150"/>
      <c r="G536" s="145"/>
    </row>
    <row r="537" spans="1:7" ht="24.95" hidden="1" customHeight="1">
      <c r="A537" s="141"/>
      <c r="B537" s="141"/>
      <c r="C537" s="248"/>
      <c r="D537" s="256"/>
      <c r="E537" s="150"/>
      <c r="F537" s="150"/>
      <c r="G537" s="145"/>
    </row>
    <row r="538" spans="1:7" ht="24.95" hidden="1" customHeight="1">
      <c r="A538" s="141"/>
      <c r="B538" s="141"/>
      <c r="C538" s="248"/>
      <c r="D538" s="256"/>
      <c r="E538" s="150"/>
      <c r="F538" s="150"/>
      <c r="G538" s="145"/>
    </row>
    <row r="539" spans="1:7" ht="24.95" hidden="1" customHeight="1">
      <c r="A539" s="141"/>
      <c r="B539" s="141"/>
      <c r="C539" s="248"/>
      <c r="D539" s="256"/>
      <c r="E539" s="150"/>
      <c r="F539" s="150"/>
      <c r="G539" s="145"/>
    </row>
    <row r="540" spans="1:7" ht="24.95" hidden="1" customHeight="1">
      <c r="A540" s="141"/>
      <c r="B540" s="141"/>
      <c r="C540" s="248"/>
      <c r="D540" s="256"/>
      <c r="E540" s="150"/>
      <c r="F540" s="150"/>
      <c r="G540" s="145"/>
    </row>
    <row r="541" spans="1:7" ht="24.95" hidden="1" customHeight="1">
      <c r="A541" s="141"/>
      <c r="B541" s="141"/>
      <c r="C541" s="248"/>
      <c r="D541" s="256"/>
      <c r="E541" s="150"/>
      <c r="F541" s="150"/>
      <c r="G541" s="145"/>
    </row>
    <row r="542" spans="1:7" ht="24.95" hidden="1" customHeight="1">
      <c r="A542" s="141"/>
      <c r="B542" s="141"/>
      <c r="C542" s="248"/>
      <c r="D542" s="256"/>
      <c r="E542" s="150"/>
      <c r="F542" s="150"/>
      <c r="G542" s="145"/>
    </row>
    <row r="543" spans="1:7" ht="24.95" hidden="1" customHeight="1">
      <c r="A543" s="141"/>
      <c r="B543" s="141"/>
      <c r="C543" s="248"/>
      <c r="D543" s="256"/>
      <c r="E543" s="150"/>
      <c r="F543" s="150"/>
      <c r="G543" s="145"/>
    </row>
    <row r="544" spans="1:7" ht="24.95" hidden="1" customHeight="1">
      <c r="A544" s="141"/>
      <c r="B544" s="141"/>
      <c r="C544" s="248"/>
      <c r="D544" s="256"/>
      <c r="E544" s="150"/>
      <c r="F544" s="150"/>
      <c r="G544" s="145"/>
    </row>
    <row r="545" spans="1:7" ht="24.95" hidden="1" customHeight="1">
      <c r="A545" s="141"/>
      <c r="B545" s="141"/>
      <c r="C545" s="248"/>
      <c r="D545" s="256"/>
      <c r="E545" s="150"/>
      <c r="F545" s="150"/>
      <c r="G545" s="145"/>
    </row>
    <row r="546" spans="1:7" ht="24.95" hidden="1" customHeight="1">
      <c r="A546" s="141"/>
      <c r="B546" s="141"/>
      <c r="C546" s="248"/>
      <c r="D546" s="256"/>
      <c r="E546" s="150"/>
      <c r="F546" s="150"/>
      <c r="G546" s="145"/>
    </row>
    <row r="547" spans="1:7" ht="24.95" hidden="1" customHeight="1">
      <c r="A547" s="141"/>
      <c r="B547" s="141"/>
      <c r="C547" s="248"/>
      <c r="D547" s="256"/>
      <c r="E547" s="150"/>
      <c r="F547" s="150"/>
      <c r="G547" s="145"/>
    </row>
    <row r="548" spans="1:7" ht="24.95" hidden="1" customHeight="1">
      <c r="A548" s="141"/>
      <c r="B548" s="141"/>
      <c r="C548" s="248"/>
      <c r="D548" s="256"/>
      <c r="E548" s="150"/>
      <c r="F548" s="150"/>
      <c r="G548" s="145"/>
    </row>
    <row r="549" spans="1:7" ht="24.95" hidden="1" customHeight="1">
      <c r="A549" s="141"/>
      <c r="B549" s="141"/>
      <c r="C549" s="248"/>
      <c r="D549" s="256"/>
      <c r="E549" s="150"/>
      <c r="F549" s="150"/>
      <c r="G549" s="145"/>
    </row>
    <row r="550" spans="1:7" ht="24.95" hidden="1" customHeight="1">
      <c r="A550" s="141"/>
      <c r="B550" s="141"/>
      <c r="C550" s="248"/>
      <c r="D550" s="256"/>
      <c r="E550" s="150"/>
      <c r="F550" s="150"/>
      <c r="G550" s="145"/>
    </row>
    <row r="551" spans="1:7" ht="24.95" hidden="1" customHeight="1">
      <c r="A551" s="141"/>
      <c r="B551" s="141"/>
      <c r="C551" s="248"/>
      <c r="D551" s="256"/>
      <c r="E551" s="150"/>
      <c r="F551" s="150"/>
      <c r="G551" s="145"/>
    </row>
    <row r="552" spans="1:7" ht="24.95" hidden="1" customHeight="1">
      <c r="A552" s="141"/>
      <c r="B552" s="141"/>
      <c r="C552" s="248"/>
      <c r="D552" s="256"/>
      <c r="E552" s="150"/>
      <c r="F552" s="150"/>
      <c r="G552" s="145"/>
    </row>
    <row r="553" spans="1:7" ht="24.95" hidden="1" customHeight="1">
      <c r="A553" s="141"/>
      <c r="B553" s="141"/>
      <c r="C553" s="248"/>
      <c r="D553" s="256"/>
      <c r="E553" s="150"/>
      <c r="F553" s="150"/>
      <c r="G553" s="145"/>
    </row>
    <row r="554" spans="1:7" ht="24.95" hidden="1" customHeight="1">
      <c r="A554" s="141"/>
      <c r="B554" s="141"/>
      <c r="C554" s="248"/>
      <c r="D554" s="256"/>
      <c r="E554" s="150"/>
      <c r="F554" s="150"/>
      <c r="G554" s="145"/>
    </row>
    <row r="555" spans="1:7" ht="24.95" hidden="1" customHeight="1">
      <c r="A555" s="141"/>
      <c r="B555" s="141"/>
      <c r="C555" s="248"/>
      <c r="D555" s="256"/>
      <c r="E555" s="150"/>
      <c r="F555" s="150"/>
      <c r="G555" s="145"/>
    </row>
    <row r="556" spans="1:7" ht="24.95" hidden="1" customHeight="1">
      <c r="A556" s="141"/>
      <c r="B556" s="141"/>
      <c r="C556" s="248"/>
      <c r="D556" s="256"/>
      <c r="E556" s="150"/>
      <c r="F556" s="150"/>
      <c r="G556" s="145"/>
    </row>
    <row r="557" spans="1:7" ht="24.95" hidden="1" customHeight="1">
      <c r="A557" s="141"/>
      <c r="B557" s="141"/>
      <c r="C557" s="248"/>
      <c r="D557" s="256"/>
      <c r="E557" s="150"/>
      <c r="F557" s="150"/>
      <c r="G557" s="145"/>
    </row>
    <row r="558" spans="1:7" ht="24.95" hidden="1" customHeight="1">
      <c r="A558" s="141"/>
      <c r="B558" s="141"/>
      <c r="C558" s="248"/>
      <c r="D558" s="256"/>
      <c r="E558" s="150"/>
      <c r="F558" s="150"/>
      <c r="G558" s="145"/>
    </row>
    <row r="559" spans="1:7" ht="24.95" hidden="1" customHeight="1">
      <c r="A559" s="141"/>
      <c r="B559" s="141"/>
      <c r="C559" s="248"/>
      <c r="D559" s="256"/>
      <c r="E559" s="150"/>
      <c r="F559" s="150"/>
      <c r="G559" s="145"/>
    </row>
    <row r="560" spans="1:7" ht="24.95" hidden="1" customHeight="1">
      <c r="A560" s="141"/>
      <c r="B560" s="141"/>
      <c r="C560" s="248"/>
      <c r="D560" s="256"/>
      <c r="E560" s="150"/>
      <c r="F560" s="150"/>
      <c r="G560" s="145"/>
    </row>
    <row r="561" spans="1:7" ht="24.95" hidden="1" customHeight="1">
      <c r="A561" s="141"/>
      <c r="B561" s="141"/>
      <c r="C561" s="248"/>
      <c r="D561" s="256"/>
      <c r="E561" s="150"/>
      <c r="F561" s="150"/>
      <c r="G561" s="145"/>
    </row>
    <row r="562" spans="1:7" ht="24.95" hidden="1" customHeight="1">
      <c r="A562" s="141"/>
      <c r="B562" s="141"/>
      <c r="C562" s="248"/>
      <c r="D562" s="256"/>
      <c r="E562" s="150"/>
      <c r="F562" s="150"/>
      <c r="G562" s="145"/>
    </row>
    <row r="563" spans="1:7" ht="24.95" hidden="1" customHeight="1">
      <c r="A563" s="141"/>
      <c r="B563" s="141"/>
      <c r="C563" s="248"/>
      <c r="D563" s="256"/>
      <c r="E563" s="150"/>
      <c r="F563" s="150"/>
      <c r="G563" s="145"/>
    </row>
    <row r="564" spans="1:7" ht="24.95" hidden="1" customHeight="1">
      <c r="A564" s="141"/>
      <c r="B564" s="141"/>
      <c r="C564" s="248"/>
      <c r="D564" s="256"/>
      <c r="E564" s="150"/>
      <c r="F564" s="150"/>
      <c r="G564" s="145"/>
    </row>
    <row r="565" spans="1:7" ht="24.95" hidden="1" customHeight="1">
      <c r="A565" s="141"/>
      <c r="B565" s="141"/>
      <c r="C565" s="248"/>
      <c r="D565" s="256"/>
      <c r="E565" s="150"/>
      <c r="F565" s="150"/>
      <c r="G565" s="145"/>
    </row>
    <row r="566" spans="1:7" ht="24.95" hidden="1" customHeight="1">
      <c r="A566" s="141"/>
      <c r="B566" s="141"/>
      <c r="C566" s="248"/>
      <c r="D566" s="256"/>
      <c r="E566" s="150"/>
      <c r="F566" s="150"/>
      <c r="G566" s="145"/>
    </row>
    <row r="567" spans="1:7" ht="24.95" hidden="1" customHeight="1">
      <c r="A567" s="141"/>
      <c r="B567" s="141"/>
      <c r="C567" s="248"/>
      <c r="D567" s="256"/>
      <c r="E567" s="150"/>
      <c r="F567" s="150"/>
      <c r="G567" s="145"/>
    </row>
    <row r="568" spans="1:7" ht="24.95" hidden="1" customHeight="1">
      <c r="A568" s="141"/>
      <c r="B568" s="141"/>
      <c r="C568" s="248"/>
      <c r="D568" s="256"/>
      <c r="E568" s="150"/>
      <c r="F568" s="150"/>
      <c r="G568" s="145"/>
    </row>
    <row r="569" spans="1:7" ht="24.95" hidden="1" customHeight="1">
      <c r="A569" s="141"/>
      <c r="B569" s="141"/>
      <c r="C569" s="248"/>
      <c r="D569" s="256"/>
      <c r="E569" s="150"/>
      <c r="F569" s="150"/>
      <c r="G569" s="145"/>
    </row>
    <row r="570" spans="1:7" ht="24.95" hidden="1" customHeight="1">
      <c r="A570" s="141"/>
      <c r="B570" s="141"/>
      <c r="C570" s="248"/>
      <c r="D570" s="256"/>
      <c r="E570" s="150"/>
      <c r="F570" s="150"/>
      <c r="G570" s="145"/>
    </row>
    <row r="571" spans="1:7" ht="24.95" hidden="1" customHeight="1">
      <c r="A571" s="141"/>
      <c r="B571" s="141"/>
      <c r="C571" s="248"/>
      <c r="D571" s="256"/>
      <c r="E571" s="150"/>
      <c r="F571" s="150"/>
      <c r="G571" s="145"/>
    </row>
    <row r="572" spans="1:7" ht="24.95" hidden="1" customHeight="1">
      <c r="A572" s="141"/>
      <c r="B572" s="141"/>
      <c r="C572" s="248"/>
      <c r="D572" s="256"/>
      <c r="E572" s="150"/>
      <c r="F572" s="150"/>
      <c r="G572" s="145"/>
    </row>
    <row r="573" spans="1:7" ht="24.95" hidden="1" customHeight="1">
      <c r="A573" s="141"/>
      <c r="B573" s="141"/>
      <c r="C573" s="248"/>
      <c r="D573" s="256"/>
      <c r="E573" s="150"/>
      <c r="F573" s="150"/>
      <c r="G573" s="145"/>
    </row>
    <row r="574" spans="1:7" ht="24.95" hidden="1" customHeight="1">
      <c r="A574" s="141"/>
      <c r="B574" s="141"/>
      <c r="C574" s="248"/>
      <c r="D574" s="256"/>
      <c r="E574" s="150"/>
      <c r="F574" s="150"/>
      <c r="G574" s="145"/>
    </row>
    <row r="575" spans="1:7" ht="24.95" hidden="1" customHeight="1">
      <c r="A575" s="141"/>
      <c r="B575" s="141"/>
      <c r="C575" s="248"/>
      <c r="D575" s="256"/>
      <c r="E575" s="150"/>
      <c r="F575" s="150"/>
      <c r="G575" s="145"/>
    </row>
    <row r="576" spans="1:7" ht="24.95" hidden="1" customHeight="1">
      <c r="A576" s="141"/>
      <c r="B576" s="141"/>
      <c r="C576" s="248"/>
      <c r="D576" s="256"/>
      <c r="E576" s="150"/>
      <c r="F576" s="150"/>
      <c r="G576" s="145"/>
    </row>
    <row r="577" spans="1:7" ht="24.95" hidden="1" customHeight="1">
      <c r="A577" s="141"/>
      <c r="B577" s="141"/>
      <c r="C577" s="248"/>
      <c r="D577" s="256"/>
      <c r="E577" s="150"/>
      <c r="F577" s="150"/>
      <c r="G577" s="145"/>
    </row>
    <row r="578" spans="1:7" ht="24.95" hidden="1" customHeight="1">
      <c r="A578" s="141"/>
      <c r="B578" s="141"/>
      <c r="C578" s="248"/>
      <c r="D578" s="256"/>
      <c r="E578" s="150"/>
      <c r="F578" s="150"/>
      <c r="G578" s="145"/>
    </row>
    <row r="579" spans="1:7" ht="24.95" hidden="1" customHeight="1">
      <c r="A579" s="141"/>
      <c r="B579" s="141"/>
      <c r="C579" s="248"/>
      <c r="D579" s="256"/>
      <c r="E579" s="150"/>
      <c r="F579" s="150"/>
      <c r="G579" s="145"/>
    </row>
    <row r="580" spans="1:7" ht="24.95" hidden="1" customHeight="1">
      <c r="A580" s="141"/>
      <c r="B580" s="141"/>
      <c r="C580" s="248"/>
      <c r="D580" s="256"/>
      <c r="E580" s="150"/>
      <c r="F580" s="150"/>
      <c r="G580" s="145"/>
    </row>
    <row r="581" spans="1:7" ht="24.95" hidden="1" customHeight="1">
      <c r="A581" s="141"/>
      <c r="B581" s="141"/>
      <c r="C581" s="248"/>
      <c r="D581" s="256"/>
      <c r="E581" s="150"/>
      <c r="F581" s="150"/>
      <c r="G581" s="145"/>
    </row>
    <row r="582" spans="1:7" ht="24.95" hidden="1" customHeight="1">
      <c r="A582" s="141"/>
      <c r="B582" s="141"/>
      <c r="C582" s="248"/>
      <c r="D582" s="256"/>
      <c r="E582" s="150"/>
      <c r="F582" s="150"/>
      <c r="G582" s="145"/>
    </row>
    <row r="583" spans="1:7" ht="24.95" hidden="1" customHeight="1">
      <c r="A583" s="141"/>
      <c r="B583" s="141"/>
      <c r="C583" s="248"/>
      <c r="D583" s="256"/>
      <c r="E583" s="150"/>
      <c r="F583" s="150"/>
      <c r="G583" s="145"/>
    </row>
    <row r="584" spans="1:7" ht="24.95" hidden="1" customHeight="1">
      <c r="A584" s="141"/>
      <c r="B584" s="141"/>
      <c r="C584" s="248"/>
      <c r="D584" s="256"/>
      <c r="E584" s="150"/>
      <c r="F584" s="150"/>
      <c r="G584" s="145"/>
    </row>
    <row r="585" spans="1:7" ht="24.95" hidden="1" customHeight="1">
      <c r="A585" s="141"/>
      <c r="B585" s="141"/>
      <c r="C585" s="248"/>
      <c r="D585" s="256"/>
      <c r="E585" s="150"/>
      <c r="F585" s="150"/>
      <c r="G585" s="145"/>
    </row>
    <row r="586" spans="1:7" ht="24.95" hidden="1" customHeight="1">
      <c r="A586" s="141"/>
      <c r="B586" s="141"/>
      <c r="C586" s="248"/>
      <c r="D586" s="256"/>
      <c r="E586" s="150"/>
      <c r="F586" s="150"/>
      <c r="G586" s="145"/>
    </row>
    <row r="587" spans="1:7" ht="24.95" hidden="1" customHeight="1">
      <c r="A587" s="141"/>
      <c r="B587" s="141"/>
      <c r="C587" s="248"/>
      <c r="D587" s="256"/>
      <c r="E587" s="150"/>
      <c r="F587" s="150"/>
      <c r="G587" s="145"/>
    </row>
    <row r="588" spans="1:7" ht="24.95" hidden="1" customHeight="1">
      <c r="A588" s="141"/>
      <c r="B588" s="141"/>
      <c r="C588" s="248"/>
      <c r="D588" s="256"/>
      <c r="E588" s="150"/>
      <c r="F588" s="150"/>
      <c r="G588" s="145"/>
    </row>
    <row r="589" spans="1:7" ht="24.95" hidden="1" customHeight="1">
      <c r="A589" s="141"/>
      <c r="B589" s="141"/>
      <c r="C589" s="248"/>
      <c r="D589" s="256"/>
      <c r="E589" s="150"/>
      <c r="F589" s="150"/>
      <c r="G589" s="145"/>
    </row>
    <row r="590" spans="1:7" ht="24.95" hidden="1" customHeight="1">
      <c r="A590" s="141"/>
      <c r="B590" s="141"/>
      <c r="C590" s="248"/>
      <c r="D590" s="256"/>
      <c r="E590" s="150"/>
      <c r="F590" s="150"/>
      <c r="G590" s="145"/>
    </row>
    <row r="591" spans="1:7" ht="24.95" hidden="1" customHeight="1">
      <c r="A591" s="141"/>
      <c r="B591" s="141"/>
      <c r="C591" s="248"/>
      <c r="D591" s="256"/>
      <c r="E591" s="150"/>
      <c r="F591" s="150"/>
      <c r="G591" s="145"/>
    </row>
    <row r="592" spans="1:7" ht="24.95" hidden="1" customHeight="1">
      <c r="A592" s="141"/>
      <c r="B592" s="141"/>
      <c r="C592" s="248"/>
      <c r="D592" s="256"/>
      <c r="E592" s="150"/>
      <c r="F592" s="150"/>
      <c r="G592" s="145"/>
    </row>
    <row r="593" spans="1:7" ht="24.95" hidden="1" customHeight="1">
      <c r="A593" s="141"/>
      <c r="B593" s="141"/>
      <c r="C593" s="248"/>
      <c r="D593" s="256"/>
      <c r="E593" s="150"/>
      <c r="F593" s="150"/>
      <c r="G593" s="145"/>
    </row>
    <row r="594" spans="1:7" ht="24.95" hidden="1" customHeight="1">
      <c r="A594" s="141"/>
      <c r="B594" s="141"/>
      <c r="C594" s="248"/>
      <c r="D594" s="256"/>
      <c r="E594" s="150"/>
      <c r="F594" s="150"/>
      <c r="G594" s="145"/>
    </row>
    <row r="595" spans="1:7" ht="24.95" hidden="1" customHeight="1">
      <c r="A595" s="141"/>
      <c r="B595" s="141"/>
      <c r="C595" s="248"/>
      <c r="D595" s="256"/>
      <c r="E595" s="150"/>
      <c r="F595" s="150"/>
      <c r="G595" s="145"/>
    </row>
    <row r="596" spans="1:7" ht="24.95" hidden="1" customHeight="1">
      <c r="A596" s="141"/>
      <c r="B596" s="141"/>
      <c r="C596" s="248"/>
      <c r="D596" s="256"/>
      <c r="E596" s="150"/>
      <c r="F596" s="150"/>
      <c r="G596" s="145"/>
    </row>
    <row r="597" spans="1:7" ht="24.95" hidden="1" customHeight="1">
      <c r="A597" s="141"/>
      <c r="B597" s="141"/>
      <c r="C597" s="248"/>
      <c r="D597" s="256"/>
      <c r="E597" s="150"/>
      <c r="F597" s="150"/>
      <c r="G597" s="145"/>
    </row>
    <row r="598" spans="1:7" ht="24.95" hidden="1" customHeight="1">
      <c r="A598" s="141"/>
      <c r="B598" s="141"/>
      <c r="C598" s="248"/>
      <c r="D598" s="256"/>
      <c r="E598" s="150"/>
      <c r="F598" s="150"/>
      <c r="G598" s="145"/>
    </row>
    <row r="599" spans="1:7" ht="24.95" hidden="1" customHeight="1">
      <c r="A599" s="141"/>
      <c r="B599" s="141"/>
      <c r="C599" s="248"/>
      <c r="D599" s="256"/>
      <c r="E599" s="150"/>
      <c r="F599" s="150"/>
      <c r="G599" s="145"/>
    </row>
    <row r="600" spans="1:7" ht="24.95" hidden="1" customHeight="1">
      <c r="A600" s="141"/>
      <c r="B600" s="141"/>
      <c r="C600" s="248"/>
      <c r="D600" s="256"/>
      <c r="E600" s="150"/>
      <c r="F600" s="150"/>
      <c r="G600" s="145"/>
    </row>
    <row r="601" spans="1:7" ht="24.95" hidden="1" customHeight="1">
      <c r="A601" s="141"/>
      <c r="B601" s="141"/>
      <c r="C601" s="248"/>
      <c r="D601" s="256"/>
      <c r="E601" s="150"/>
      <c r="F601" s="150"/>
      <c r="G601" s="145"/>
    </row>
    <row r="602" spans="1:7" ht="24.95" hidden="1" customHeight="1">
      <c r="A602" s="141"/>
      <c r="B602" s="141"/>
      <c r="C602" s="248"/>
      <c r="D602" s="256"/>
      <c r="E602" s="150"/>
      <c r="F602" s="150"/>
      <c r="G602" s="145"/>
    </row>
    <row r="603" spans="1:7" ht="24.95" hidden="1" customHeight="1">
      <c r="A603" s="141"/>
      <c r="B603" s="141"/>
      <c r="C603" s="248"/>
      <c r="D603" s="256"/>
      <c r="E603" s="150"/>
      <c r="F603" s="150"/>
      <c r="G603" s="145"/>
    </row>
    <row r="604" spans="1:7" ht="24.95" hidden="1" customHeight="1">
      <c r="A604" s="141"/>
      <c r="B604" s="141"/>
      <c r="C604" s="248"/>
      <c r="D604" s="256"/>
      <c r="E604" s="150"/>
      <c r="F604" s="150"/>
      <c r="G604" s="145"/>
    </row>
    <row r="605" spans="1:7" ht="24.95" hidden="1" customHeight="1">
      <c r="A605" s="141"/>
      <c r="B605" s="141"/>
      <c r="C605" s="248"/>
      <c r="D605" s="256"/>
      <c r="E605" s="150"/>
      <c r="F605" s="150"/>
      <c r="G605" s="145"/>
    </row>
    <row r="606" spans="1:7" ht="24.95" hidden="1" customHeight="1">
      <c r="A606" s="141"/>
      <c r="B606" s="141"/>
      <c r="C606" s="248"/>
      <c r="D606" s="256"/>
      <c r="E606" s="150"/>
      <c r="F606" s="150"/>
      <c r="G606" s="145"/>
    </row>
    <row r="607" spans="1:7" ht="24.95" hidden="1" customHeight="1">
      <c r="A607" s="141"/>
      <c r="B607" s="141"/>
      <c r="C607" s="248"/>
      <c r="D607" s="256"/>
      <c r="E607" s="150"/>
      <c r="F607" s="150"/>
      <c r="G607" s="145"/>
    </row>
    <row r="608" spans="1:7" ht="24.95" hidden="1" customHeight="1">
      <c r="A608" s="141"/>
      <c r="B608" s="141"/>
      <c r="C608" s="248"/>
      <c r="D608" s="256"/>
      <c r="E608" s="150"/>
      <c r="F608" s="150"/>
      <c r="G608" s="145"/>
    </row>
    <row r="609" spans="1:7" ht="24.95" hidden="1" customHeight="1">
      <c r="A609" s="141"/>
      <c r="B609" s="141"/>
      <c r="C609" s="248"/>
      <c r="D609" s="256"/>
      <c r="E609" s="150"/>
      <c r="F609" s="150"/>
      <c r="G609" s="145"/>
    </row>
    <row r="610" spans="1:7" ht="24.95" hidden="1" customHeight="1">
      <c r="A610" s="141"/>
      <c r="B610" s="141"/>
      <c r="C610" s="248"/>
      <c r="D610" s="256"/>
      <c r="E610" s="150"/>
      <c r="F610" s="150"/>
      <c r="G610" s="145"/>
    </row>
    <row r="611" spans="1:7" ht="24.95" hidden="1" customHeight="1">
      <c r="A611" s="141"/>
      <c r="B611" s="141"/>
      <c r="C611" s="248"/>
      <c r="D611" s="256"/>
      <c r="E611" s="150"/>
      <c r="F611" s="150"/>
      <c r="G611" s="145"/>
    </row>
    <row r="612" spans="1:7" ht="24.95" hidden="1" customHeight="1">
      <c r="A612" s="141"/>
      <c r="B612" s="141"/>
      <c r="C612" s="248"/>
      <c r="D612" s="256"/>
      <c r="E612" s="150"/>
      <c r="F612" s="150"/>
      <c r="G612" s="145"/>
    </row>
    <row r="613" spans="1:7" ht="24.95" hidden="1" customHeight="1">
      <c r="A613" s="141"/>
      <c r="B613" s="141"/>
      <c r="C613" s="248"/>
      <c r="D613" s="256"/>
      <c r="E613" s="150"/>
      <c r="F613" s="150"/>
      <c r="G613" s="145"/>
    </row>
    <row r="614" spans="1:7" ht="24.95" hidden="1" customHeight="1">
      <c r="A614" s="141"/>
      <c r="B614" s="141"/>
      <c r="C614" s="248"/>
      <c r="D614" s="256"/>
      <c r="E614" s="150"/>
      <c r="F614" s="150"/>
      <c r="G614" s="145"/>
    </row>
    <row r="615" spans="1:7" ht="24.95" hidden="1" customHeight="1">
      <c r="A615" s="141"/>
      <c r="B615" s="141"/>
      <c r="C615" s="248"/>
      <c r="D615" s="256"/>
      <c r="E615" s="150"/>
      <c r="F615" s="150"/>
      <c r="G615" s="145"/>
    </row>
    <row r="616" spans="1:7" ht="24.95" hidden="1" customHeight="1">
      <c r="A616" s="141"/>
      <c r="B616" s="141"/>
      <c r="C616" s="248"/>
      <c r="D616" s="256"/>
      <c r="E616" s="150"/>
      <c r="F616" s="150"/>
      <c r="G616" s="145"/>
    </row>
    <row r="617" spans="1:7" ht="24.95" hidden="1" customHeight="1">
      <c r="A617" s="141"/>
      <c r="B617" s="141"/>
      <c r="C617" s="248"/>
      <c r="D617" s="256"/>
      <c r="E617" s="150"/>
      <c r="F617" s="150"/>
      <c r="G617" s="145"/>
    </row>
    <row r="618" spans="1:7" ht="24.95" hidden="1" customHeight="1">
      <c r="A618" s="141"/>
      <c r="B618" s="141"/>
      <c r="C618" s="248"/>
      <c r="D618" s="256"/>
      <c r="E618" s="150"/>
      <c r="F618" s="150"/>
      <c r="G618" s="145"/>
    </row>
    <row r="619" spans="1:7" ht="24.95" hidden="1" customHeight="1">
      <c r="A619" s="141"/>
      <c r="B619" s="141"/>
      <c r="C619" s="248"/>
      <c r="D619" s="256"/>
      <c r="E619" s="150"/>
      <c r="F619" s="150"/>
      <c r="G619" s="145"/>
    </row>
    <row r="620" spans="1:7" ht="24.95" hidden="1" customHeight="1">
      <c r="A620" s="141"/>
      <c r="B620" s="141"/>
      <c r="C620" s="248"/>
      <c r="D620" s="256"/>
      <c r="E620" s="150"/>
      <c r="F620" s="150"/>
      <c r="G620" s="145"/>
    </row>
    <row r="621" spans="1:7" ht="24.95" hidden="1" customHeight="1">
      <c r="A621" s="141"/>
      <c r="B621" s="141"/>
      <c r="C621" s="248"/>
      <c r="D621" s="256"/>
      <c r="E621" s="150"/>
      <c r="F621" s="150"/>
      <c r="G621" s="145"/>
    </row>
    <row r="622" spans="1:7" ht="24.95" hidden="1" customHeight="1">
      <c r="A622" s="141"/>
      <c r="B622" s="141"/>
      <c r="C622" s="248"/>
      <c r="D622" s="256"/>
      <c r="E622" s="150"/>
      <c r="F622" s="150"/>
      <c r="G622" s="145"/>
    </row>
    <row r="623" spans="1:7" ht="24.95" hidden="1" customHeight="1">
      <c r="A623" s="141"/>
      <c r="B623" s="141"/>
      <c r="C623" s="248"/>
      <c r="D623" s="256"/>
      <c r="E623" s="150"/>
      <c r="F623" s="150"/>
      <c r="G623" s="145"/>
    </row>
    <row r="624" spans="1:7" ht="24.95" hidden="1" customHeight="1">
      <c r="A624" s="141"/>
      <c r="B624" s="141"/>
      <c r="C624" s="248"/>
      <c r="D624" s="256"/>
      <c r="E624" s="150"/>
      <c r="F624" s="150"/>
      <c r="G624" s="145"/>
    </row>
    <row r="625" spans="1:7" ht="24.95" hidden="1" customHeight="1">
      <c r="A625" s="141"/>
      <c r="B625" s="141"/>
      <c r="C625" s="248"/>
      <c r="D625" s="256"/>
      <c r="E625" s="150"/>
      <c r="F625" s="150"/>
      <c r="G625" s="145"/>
    </row>
    <row r="626" spans="1:7" ht="24.95" hidden="1" customHeight="1">
      <c r="A626" s="141"/>
      <c r="B626" s="141"/>
      <c r="C626" s="248"/>
      <c r="D626" s="256"/>
      <c r="E626" s="150"/>
      <c r="F626" s="150"/>
      <c r="G626" s="145"/>
    </row>
    <row r="627" spans="1:7" ht="24.95" hidden="1" customHeight="1">
      <c r="A627" s="141"/>
      <c r="B627" s="141"/>
      <c r="C627" s="248"/>
      <c r="D627" s="256"/>
      <c r="E627" s="150"/>
      <c r="F627" s="150"/>
      <c r="G627" s="145"/>
    </row>
    <row r="628" spans="1:7" ht="24.95" hidden="1" customHeight="1">
      <c r="A628" s="141"/>
      <c r="B628" s="141"/>
      <c r="C628" s="248"/>
      <c r="D628" s="256"/>
      <c r="E628" s="150"/>
      <c r="F628" s="150"/>
      <c r="G628" s="145"/>
    </row>
    <row r="629" spans="1:7" ht="24.95" hidden="1" customHeight="1">
      <c r="A629" s="141"/>
      <c r="B629" s="141"/>
      <c r="C629" s="248"/>
      <c r="D629" s="256"/>
      <c r="E629" s="150"/>
      <c r="F629" s="150"/>
      <c r="G629" s="145"/>
    </row>
    <row r="630" spans="1:7" ht="24.95" hidden="1" customHeight="1">
      <c r="A630" s="141"/>
      <c r="B630" s="141"/>
      <c r="C630" s="248"/>
      <c r="D630" s="256"/>
      <c r="E630" s="150"/>
      <c r="F630" s="150"/>
      <c r="G630" s="145"/>
    </row>
    <row r="631" spans="1:7" ht="24.95" hidden="1" customHeight="1">
      <c r="A631" s="141"/>
      <c r="B631" s="141"/>
      <c r="C631" s="248"/>
      <c r="D631" s="256"/>
      <c r="E631" s="150"/>
      <c r="F631" s="150"/>
      <c r="G631" s="145"/>
    </row>
    <row r="632" spans="1:7" ht="24.95" hidden="1" customHeight="1">
      <c r="A632" s="141"/>
      <c r="B632" s="141"/>
      <c r="C632" s="248"/>
      <c r="D632" s="256"/>
      <c r="E632" s="150"/>
      <c r="F632" s="150"/>
      <c r="G632" s="145"/>
    </row>
    <row r="633" spans="1:7" ht="24.95" hidden="1" customHeight="1">
      <c r="A633" s="141"/>
      <c r="B633" s="141"/>
      <c r="C633" s="248"/>
      <c r="D633" s="256"/>
      <c r="E633" s="150"/>
      <c r="F633" s="150"/>
      <c r="G633" s="145"/>
    </row>
    <row r="634" spans="1:7" ht="24.95" hidden="1" customHeight="1">
      <c r="A634" s="141"/>
      <c r="B634" s="141"/>
      <c r="C634" s="248"/>
      <c r="D634" s="256"/>
      <c r="E634" s="150"/>
      <c r="F634" s="150"/>
      <c r="G634" s="145"/>
    </row>
    <row r="635" spans="1:7" ht="24.95" hidden="1" customHeight="1">
      <c r="A635" s="141"/>
      <c r="B635" s="141"/>
      <c r="C635" s="248"/>
      <c r="D635" s="256"/>
      <c r="E635" s="150"/>
      <c r="F635" s="150"/>
      <c r="G635" s="145"/>
    </row>
    <row r="636" spans="1:7" ht="24.95" hidden="1" customHeight="1">
      <c r="A636" s="141"/>
      <c r="B636" s="141"/>
      <c r="C636" s="248"/>
      <c r="D636" s="256"/>
      <c r="E636" s="150"/>
      <c r="F636" s="150"/>
      <c r="G636" s="145"/>
    </row>
    <row r="637" spans="1:7" ht="24.95" hidden="1" customHeight="1">
      <c r="A637" s="141"/>
      <c r="B637" s="141"/>
      <c r="C637" s="248"/>
      <c r="D637" s="256"/>
      <c r="E637" s="150"/>
      <c r="F637" s="150"/>
      <c r="G637" s="145"/>
    </row>
    <row r="638" spans="1:7" ht="24.95" hidden="1" customHeight="1">
      <c r="A638" s="141"/>
      <c r="B638" s="141"/>
      <c r="C638" s="248"/>
      <c r="D638" s="256"/>
      <c r="E638" s="150"/>
      <c r="F638" s="150"/>
      <c r="G638" s="145"/>
    </row>
    <row r="639" spans="1:7" ht="24.95" hidden="1" customHeight="1">
      <c r="A639" s="141"/>
      <c r="B639" s="141"/>
      <c r="C639" s="248"/>
      <c r="D639" s="256"/>
      <c r="E639" s="150"/>
      <c r="F639" s="150"/>
      <c r="G639" s="145"/>
    </row>
    <row r="640" spans="1:7" ht="24.95" hidden="1" customHeight="1">
      <c r="A640" s="141"/>
      <c r="B640" s="141"/>
      <c r="C640" s="248"/>
      <c r="D640" s="256"/>
      <c r="E640" s="150"/>
      <c r="F640" s="150"/>
      <c r="G640" s="145"/>
    </row>
    <row r="641" spans="1:7" ht="24.95" hidden="1" customHeight="1">
      <c r="A641" s="141"/>
      <c r="B641" s="141"/>
      <c r="C641" s="248"/>
      <c r="D641" s="256"/>
      <c r="E641" s="150"/>
      <c r="F641" s="150"/>
      <c r="G641" s="145"/>
    </row>
    <row r="642" spans="1:7" ht="24.95" hidden="1" customHeight="1">
      <c r="A642" s="141"/>
      <c r="B642" s="141"/>
      <c r="C642" s="248"/>
      <c r="D642" s="256"/>
      <c r="E642" s="150"/>
      <c r="F642" s="150"/>
      <c r="G642" s="145"/>
    </row>
    <row r="643" spans="1:7" ht="24.95" hidden="1" customHeight="1">
      <c r="A643" s="141"/>
      <c r="B643" s="141"/>
      <c r="C643" s="248"/>
      <c r="D643" s="256"/>
      <c r="E643" s="150"/>
      <c r="F643" s="150"/>
      <c r="G643" s="145"/>
    </row>
    <row r="644" spans="1:7" ht="24.95" hidden="1" customHeight="1">
      <c r="A644" s="141"/>
      <c r="B644" s="141"/>
      <c r="C644" s="248"/>
      <c r="D644" s="256"/>
      <c r="E644" s="150"/>
      <c r="F644" s="150"/>
      <c r="G644" s="145"/>
    </row>
    <row r="645" spans="1:7" ht="24.95" hidden="1" customHeight="1">
      <c r="A645" s="141"/>
      <c r="B645" s="141"/>
      <c r="C645" s="248"/>
      <c r="D645" s="256"/>
      <c r="E645" s="150"/>
      <c r="F645" s="150"/>
      <c r="G645" s="145"/>
    </row>
    <row r="646" spans="1:7" ht="24.95" hidden="1" customHeight="1">
      <c r="A646" s="141"/>
      <c r="B646" s="141"/>
      <c r="C646" s="248"/>
      <c r="D646" s="256"/>
      <c r="E646" s="150"/>
      <c r="F646" s="150"/>
      <c r="G646" s="145"/>
    </row>
    <row r="647" spans="1:7" ht="24.95" hidden="1" customHeight="1">
      <c r="A647" s="141"/>
      <c r="B647" s="141"/>
      <c r="C647" s="248"/>
      <c r="D647" s="256"/>
      <c r="E647" s="150"/>
      <c r="F647" s="150"/>
      <c r="G647" s="145"/>
    </row>
    <row r="648" spans="1:7" ht="24.95" hidden="1" customHeight="1">
      <c r="A648" s="141"/>
      <c r="B648" s="141"/>
      <c r="C648" s="248"/>
      <c r="D648" s="256"/>
      <c r="E648" s="150"/>
      <c r="F648" s="150"/>
      <c r="G648" s="145"/>
    </row>
    <row r="649" spans="1:7" ht="24.95" hidden="1" customHeight="1">
      <c r="A649" s="141"/>
      <c r="B649" s="141"/>
      <c r="C649" s="248"/>
      <c r="D649" s="256"/>
      <c r="E649" s="150"/>
      <c r="F649" s="150"/>
      <c r="G649" s="145"/>
    </row>
    <row r="650" spans="1:7" ht="24.95" hidden="1" customHeight="1">
      <c r="A650" s="141"/>
      <c r="B650" s="141"/>
      <c r="C650" s="248"/>
      <c r="D650" s="256"/>
      <c r="E650" s="150"/>
      <c r="F650" s="150"/>
      <c r="G650" s="145"/>
    </row>
    <row r="651" spans="1:7" ht="24.95" hidden="1" customHeight="1">
      <c r="A651" s="141"/>
      <c r="B651" s="141"/>
      <c r="C651" s="248"/>
      <c r="D651" s="256"/>
      <c r="E651" s="150"/>
      <c r="F651" s="150"/>
      <c r="G651" s="145"/>
    </row>
    <row r="652" spans="1:7" ht="24.95" hidden="1" customHeight="1">
      <c r="A652" s="141"/>
      <c r="B652" s="141"/>
      <c r="C652" s="248"/>
      <c r="D652" s="256"/>
      <c r="E652" s="150"/>
      <c r="F652" s="150"/>
      <c r="G652" s="145"/>
    </row>
    <row r="653" spans="1:7" ht="24.95" hidden="1" customHeight="1">
      <c r="A653" s="141"/>
      <c r="B653" s="141"/>
      <c r="C653" s="248"/>
      <c r="D653" s="256"/>
      <c r="E653" s="150"/>
      <c r="F653" s="150"/>
      <c r="G653" s="145"/>
    </row>
    <row r="654" spans="1:7" ht="24.95" hidden="1" customHeight="1">
      <c r="A654" s="141"/>
      <c r="B654" s="141"/>
      <c r="C654" s="248"/>
      <c r="D654" s="256"/>
      <c r="E654" s="150"/>
      <c r="F654" s="150"/>
      <c r="G654" s="145"/>
    </row>
    <row r="655" spans="1:7" ht="24.95" hidden="1" customHeight="1">
      <c r="A655" s="141"/>
      <c r="B655" s="141"/>
      <c r="C655" s="248"/>
      <c r="D655" s="256"/>
      <c r="E655" s="150"/>
      <c r="F655" s="150"/>
      <c r="G655" s="145"/>
    </row>
    <row r="656" spans="1:7" ht="24.95" hidden="1" customHeight="1">
      <c r="A656" s="141"/>
      <c r="B656" s="141"/>
      <c r="C656" s="248"/>
      <c r="D656" s="256"/>
      <c r="E656" s="150"/>
      <c r="F656" s="150"/>
      <c r="G656" s="145"/>
    </row>
    <row r="657" spans="1:7" ht="24.95" hidden="1" customHeight="1">
      <c r="A657" s="141"/>
      <c r="B657" s="141"/>
      <c r="C657" s="248"/>
      <c r="D657" s="256"/>
      <c r="E657" s="150"/>
      <c r="F657" s="150"/>
      <c r="G657" s="145"/>
    </row>
    <row r="658" spans="1:7" ht="24.95" hidden="1" customHeight="1">
      <c r="A658" s="141"/>
      <c r="B658" s="141"/>
      <c r="C658" s="248"/>
      <c r="D658" s="256"/>
      <c r="E658" s="150"/>
      <c r="F658" s="150"/>
      <c r="G658" s="145"/>
    </row>
    <row r="659" spans="1:7" ht="24.95" hidden="1" customHeight="1">
      <c r="A659" s="141"/>
      <c r="B659" s="141"/>
      <c r="C659" s="248"/>
      <c r="D659" s="256"/>
      <c r="E659" s="150"/>
      <c r="F659" s="150"/>
      <c r="G659" s="145"/>
    </row>
    <row r="660" spans="1:7" ht="24.95" hidden="1" customHeight="1">
      <c r="A660" s="141"/>
      <c r="B660" s="141"/>
      <c r="C660" s="248"/>
      <c r="D660" s="256"/>
      <c r="E660" s="150"/>
      <c r="F660" s="150"/>
      <c r="G660" s="145"/>
    </row>
    <row r="661" spans="1:7" ht="24.95" hidden="1" customHeight="1">
      <c r="A661" s="141"/>
      <c r="B661" s="141"/>
      <c r="C661" s="248"/>
      <c r="D661" s="256"/>
      <c r="E661" s="150"/>
      <c r="F661" s="150"/>
      <c r="G661" s="145"/>
    </row>
    <row r="662" spans="1:7" ht="24.95" hidden="1" customHeight="1">
      <c r="A662" s="141"/>
      <c r="B662" s="141"/>
      <c r="C662" s="248"/>
      <c r="D662" s="256"/>
      <c r="E662" s="150"/>
      <c r="F662" s="150"/>
      <c r="G662" s="145"/>
    </row>
    <row r="663" spans="1:7" ht="24.95" hidden="1" customHeight="1">
      <c r="A663" s="141"/>
      <c r="B663" s="141"/>
      <c r="C663" s="248"/>
      <c r="D663" s="256"/>
      <c r="E663" s="150"/>
      <c r="F663" s="150"/>
      <c r="G663" s="145"/>
    </row>
    <row r="664" spans="1:7" ht="24.95" hidden="1" customHeight="1">
      <c r="A664" s="141"/>
      <c r="B664" s="141"/>
      <c r="C664" s="248"/>
      <c r="D664" s="256"/>
      <c r="E664" s="150"/>
      <c r="F664" s="150"/>
      <c r="G664" s="145"/>
    </row>
    <row r="665" spans="1:7" ht="24.95" hidden="1" customHeight="1">
      <c r="A665" s="141"/>
      <c r="B665" s="141"/>
      <c r="C665" s="248"/>
      <c r="D665" s="256"/>
      <c r="E665" s="150"/>
      <c r="F665" s="150"/>
      <c r="G665" s="145"/>
    </row>
    <row r="666" spans="1:7" ht="24.95" hidden="1" customHeight="1">
      <c r="A666" s="141"/>
      <c r="B666" s="141"/>
      <c r="C666" s="248"/>
      <c r="D666" s="256"/>
      <c r="E666" s="150"/>
      <c r="F666" s="150"/>
      <c r="G666" s="145"/>
    </row>
    <row r="667" spans="1:7" ht="24.95" hidden="1" customHeight="1">
      <c r="A667" s="141"/>
      <c r="B667" s="141"/>
      <c r="C667" s="248"/>
      <c r="D667" s="256"/>
      <c r="E667" s="150"/>
      <c r="F667" s="150"/>
      <c r="G667" s="145"/>
    </row>
    <row r="668" spans="1:7" ht="24.95" hidden="1" customHeight="1">
      <c r="A668" s="141"/>
      <c r="B668" s="141"/>
      <c r="C668" s="248"/>
      <c r="D668" s="256"/>
      <c r="E668" s="150"/>
      <c r="F668" s="150"/>
      <c r="G668" s="145"/>
    </row>
    <row r="669" spans="1:7" ht="24.95" hidden="1" customHeight="1">
      <c r="A669" s="141"/>
      <c r="B669" s="141"/>
      <c r="C669" s="248"/>
      <c r="D669" s="256"/>
      <c r="E669" s="150"/>
      <c r="F669" s="150"/>
      <c r="G669" s="145"/>
    </row>
    <row r="670" spans="1:7" ht="24.95" hidden="1" customHeight="1">
      <c r="A670" s="141"/>
      <c r="B670" s="141"/>
      <c r="C670" s="248"/>
      <c r="D670" s="256"/>
      <c r="E670" s="150"/>
      <c r="F670" s="150"/>
      <c r="G670" s="145"/>
    </row>
    <row r="671" spans="1:7" ht="24.95" hidden="1" customHeight="1">
      <c r="A671" s="141"/>
      <c r="B671" s="141"/>
      <c r="C671" s="248"/>
      <c r="D671" s="256"/>
      <c r="E671" s="150"/>
      <c r="F671" s="150"/>
      <c r="G671" s="145"/>
    </row>
    <row r="672" spans="1:7" ht="24.95" hidden="1" customHeight="1">
      <c r="A672" s="141"/>
      <c r="B672" s="141"/>
      <c r="C672" s="248"/>
      <c r="D672" s="256"/>
      <c r="E672" s="150"/>
      <c r="F672" s="150"/>
      <c r="G672" s="145"/>
    </row>
    <row r="673" spans="1:7" ht="24.95" hidden="1" customHeight="1">
      <c r="A673" s="141"/>
      <c r="B673" s="141"/>
      <c r="C673" s="248"/>
      <c r="D673" s="256"/>
      <c r="E673" s="150"/>
      <c r="F673" s="150"/>
      <c r="G673" s="145"/>
    </row>
    <row r="674" spans="1:7" ht="24.95" hidden="1" customHeight="1">
      <c r="A674" s="141"/>
      <c r="B674" s="141"/>
      <c r="C674" s="248"/>
      <c r="D674" s="256"/>
      <c r="E674" s="150"/>
      <c r="F674" s="150"/>
      <c r="G674" s="145"/>
    </row>
    <row r="675" spans="1:7" ht="24.95" hidden="1" customHeight="1">
      <c r="A675" s="141"/>
      <c r="B675" s="141"/>
      <c r="C675" s="248"/>
      <c r="D675" s="256"/>
      <c r="E675" s="150"/>
      <c r="F675" s="150"/>
      <c r="G675" s="145"/>
    </row>
    <row r="676" spans="1:7" ht="24.95" hidden="1" customHeight="1">
      <c r="A676" s="141"/>
      <c r="B676" s="141"/>
      <c r="C676" s="248"/>
      <c r="D676" s="256"/>
      <c r="E676" s="150"/>
      <c r="F676" s="150"/>
      <c r="G676" s="145"/>
    </row>
    <row r="677" spans="1:7" ht="24.95" hidden="1" customHeight="1">
      <c r="A677" s="141"/>
      <c r="B677" s="141"/>
      <c r="C677" s="248"/>
      <c r="D677" s="256"/>
      <c r="E677" s="150"/>
      <c r="F677" s="150"/>
      <c r="G677" s="145"/>
    </row>
    <row r="678" spans="1:7" ht="24.95" hidden="1" customHeight="1">
      <c r="A678" s="141"/>
      <c r="B678" s="141"/>
      <c r="C678" s="248"/>
      <c r="D678" s="256"/>
      <c r="E678" s="150"/>
      <c r="F678" s="150"/>
      <c r="G678" s="145"/>
    </row>
    <row r="679" spans="1:7" ht="24.95" hidden="1" customHeight="1">
      <c r="A679" s="141"/>
      <c r="B679" s="141"/>
      <c r="C679" s="248"/>
      <c r="D679" s="256"/>
      <c r="E679" s="150"/>
      <c r="F679" s="150"/>
      <c r="G679" s="145"/>
    </row>
    <row r="680" spans="1:7" ht="24.95" hidden="1" customHeight="1">
      <c r="A680" s="141"/>
      <c r="B680" s="141"/>
      <c r="C680" s="248"/>
      <c r="D680" s="256"/>
      <c r="E680" s="150"/>
      <c r="F680" s="150"/>
      <c r="G680" s="145"/>
    </row>
    <row r="681" spans="1:7" ht="24.95" hidden="1" customHeight="1">
      <c r="A681" s="141"/>
      <c r="B681" s="141"/>
      <c r="C681" s="248"/>
      <c r="D681" s="256"/>
      <c r="E681" s="150"/>
      <c r="F681" s="150"/>
      <c r="G681" s="145"/>
    </row>
    <row r="682" spans="1:7" ht="24.95" hidden="1" customHeight="1">
      <c r="A682" s="141"/>
      <c r="B682" s="141"/>
      <c r="C682" s="248"/>
      <c r="D682" s="256"/>
      <c r="E682" s="150"/>
      <c r="F682" s="150"/>
      <c r="G682" s="145"/>
    </row>
    <row r="683" spans="1:7" ht="24.95" hidden="1" customHeight="1">
      <c r="A683" s="141"/>
      <c r="B683" s="141"/>
      <c r="C683" s="248"/>
      <c r="D683" s="256"/>
      <c r="E683" s="150"/>
      <c r="F683" s="150"/>
      <c r="G683" s="145"/>
    </row>
    <row r="684" spans="1:7" ht="24.95" hidden="1" customHeight="1">
      <c r="A684" s="141"/>
      <c r="B684" s="141"/>
      <c r="C684" s="248"/>
      <c r="D684" s="256"/>
      <c r="E684" s="150"/>
      <c r="F684" s="150"/>
      <c r="G684" s="145"/>
    </row>
    <row r="685" spans="1:7" ht="24.95" hidden="1" customHeight="1">
      <c r="A685" s="141"/>
      <c r="B685" s="141"/>
      <c r="C685" s="248"/>
      <c r="D685" s="256"/>
      <c r="E685" s="150"/>
      <c r="F685" s="150"/>
      <c r="G685" s="145"/>
    </row>
    <row r="686" spans="1:7" ht="24.95" hidden="1" customHeight="1">
      <c r="A686" s="141"/>
      <c r="B686" s="141"/>
      <c r="C686" s="248"/>
      <c r="D686" s="256"/>
      <c r="E686" s="150"/>
      <c r="F686" s="150"/>
      <c r="G686" s="145"/>
    </row>
    <row r="687" spans="1:7" ht="24.95" hidden="1" customHeight="1">
      <c r="A687" s="141"/>
      <c r="B687" s="141"/>
      <c r="C687" s="248"/>
      <c r="D687" s="256"/>
      <c r="E687" s="150"/>
      <c r="F687" s="150"/>
      <c r="G687" s="145"/>
    </row>
    <row r="688" spans="1:7" ht="24.95" hidden="1" customHeight="1">
      <c r="A688" s="141"/>
      <c r="B688" s="141"/>
      <c r="C688" s="248"/>
      <c r="D688" s="256"/>
      <c r="E688" s="150"/>
      <c r="F688" s="150"/>
      <c r="G688" s="145"/>
    </row>
    <row r="689" spans="1:7" ht="24.95" hidden="1" customHeight="1">
      <c r="A689" s="141"/>
      <c r="B689" s="141"/>
      <c r="C689" s="248"/>
      <c r="D689" s="256"/>
      <c r="E689" s="150"/>
      <c r="F689" s="150"/>
      <c r="G689" s="145"/>
    </row>
    <row r="690" spans="1:7" ht="24.95" hidden="1" customHeight="1">
      <c r="A690" s="141"/>
      <c r="B690" s="141"/>
      <c r="C690" s="248"/>
      <c r="D690" s="256"/>
      <c r="E690" s="150"/>
      <c r="F690" s="150"/>
      <c r="G690" s="145"/>
    </row>
    <row r="691" spans="1:7" ht="24.95" hidden="1" customHeight="1">
      <c r="A691" s="141"/>
      <c r="B691" s="141"/>
      <c r="C691" s="248"/>
      <c r="D691" s="256"/>
      <c r="E691" s="150"/>
      <c r="F691" s="150"/>
      <c r="G691" s="145"/>
    </row>
    <row r="692" spans="1:7" ht="24.95" hidden="1" customHeight="1">
      <c r="A692" s="141"/>
      <c r="B692" s="141"/>
      <c r="C692" s="248"/>
      <c r="D692" s="256"/>
      <c r="E692" s="150"/>
      <c r="F692" s="150"/>
      <c r="G692" s="145"/>
    </row>
    <row r="693" spans="1:7" ht="24.95" hidden="1" customHeight="1">
      <c r="A693" s="141"/>
      <c r="B693" s="141"/>
      <c r="C693" s="248"/>
      <c r="D693" s="256"/>
      <c r="E693" s="150"/>
      <c r="F693" s="150"/>
      <c r="G693" s="145"/>
    </row>
    <row r="694" spans="1:7" ht="24.95" hidden="1" customHeight="1">
      <c r="A694" s="141"/>
      <c r="B694" s="141"/>
      <c r="C694" s="248"/>
      <c r="D694" s="256"/>
      <c r="E694" s="150"/>
      <c r="F694" s="150"/>
      <c r="G694" s="145"/>
    </row>
    <row r="695" spans="1:7" ht="24.95" hidden="1" customHeight="1">
      <c r="A695" s="141"/>
      <c r="B695" s="141"/>
      <c r="C695" s="248"/>
      <c r="D695" s="256"/>
      <c r="E695" s="150"/>
      <c r="F695" s="150"/>
      <c r="G695" s="145"/>
    </row>
    <row r="696" spans="1:7" ht="24.95" hidden="1" customHeight="1">
      <c r="A696" s="141"/>
      <c r="B696" s="141"/>
      <c r="C696" s="248"/>
      <c r="D696" s="256"/>
      <c r="E696" s="150"/>
      <c r="F696" s="150"/>
      <c r="G696" s="145"/>
    </row>
    <row r="697" spans="1:7" ht="24.95" hidden="1" customHeight="1">
      <c r="A697" s="141"/>
      <c r="B697" s="141"/>
      <c r="C697" s="248"/>
      <c r="D697" s="256"/>
      <c r="E697" s="150"/>
      <c r="F697" s="150"/>
      <c r="G697" s="145"/>
    </row>
    <row r="698" spans="1:7" ht="24.95" hidden="1" customHeight="1">
      <c r="A698" s="141"/>
      <c r="B698" s="141"/>
      <c r="C698" s="248"/>
      <c r="D698" s="256"/>
      <c r="E698" s="150"/>
      <c r="F698" s="150"/>
      <c r="G698" s="145"/>
    </row>
    <row r="699" spans="1:7" ht="24.95" hidden="1" customHeight="1">
      <c r="A699" s="141"/>
      <c r="B699" s="141"/>
      <c r="C699" s="248"/>
      <c r="D699" s="256"/>
      <c r="E699" s="150"/>
      <c r="F699" s="150"/>
      <c r="G699" s="145"/>
    </row>
    <row r="700" spans="1:7" ht="24.95" hidden="1" customHeight="1">
      <c r="A700" s="141"/>
      <c r="B700" s="141"/>
      <c r="C700" s="248"/>
      <c r="D700" s="256"/>
      <c r="E700" s="150"/>
      <c r="F700" s="150"/>
      <c r="G700" s="145"/>
    </row>
    <row r="701" spans="1:7" ht="24.95" hidden="1" customHeight="1">
      <c r="A701" s="141"/>
      <c r="B701" s="141"/>
      <c r="C701" s="248"/>
      <c r="D701" s="256"/>
      <c r="E701" s="150"/>
      <c r="F701" s="150"/>
      <c r="G701" s="145"/>
    </row>
    <row r="702" spans="1:7" ht="24.95" hidden="1" customHeight="1">
      <c r="A702" s="141"/>
      <c r="B702" s="141"/>
      <c r="C702" s="248"/>
      <c r="D702" s="256"/>
      <c r="E702" s="150"/>
      <c r="F702" s="150"/>
      <c r="G702" s="145"/>
    </row>
    <row r="703" spans="1:7" ht="24.95" hidden="1" customHeight="1">
      <c r="A703" s="141"/>
      <c r="B703" s="141"/>
      <c r="C703" s="248"/>
      <c r="D703" s="256"/>
      <c r="E703" s="150"/>
      <c r="F703" s="150"/>
      <c r="G703" s="145"/>
    </row>
    <row r="704" spans="1:7" ht="24.95" hidden="1" customHeight="1">
      <c r="A704" s="141"/>
      <c r="B704" s="141"/>
      <c r="C704" s="248"/>
      <c r="D704" s="256"/>
      <c r="E704" s="150"/>
      <c r="F704" s="150"/>
      <c r="G704" s="145"/>
    </row>
    <row r="705" spans="1:7" ht="24.95" hidden="1" customHeight="1">
      <c r="A705" s="141"/>
      <c r="B705" s="141"/>
      <c r="C705" s="248"/>
      <c r="D705" s="256"/>
      <c r="E705" s="150"/>
      <c r="F705" s="150"/>
      <c r="G705" s="145"/>
    </row>
    <row r="706" spans="1:7" ht="24.95" hidden="1" customHeight="1">
      <c r="A706" s="141"/>
      <c r="B706" s="141"/>
      <c r="C706" s="248"/>
      <c r="D706" s="256"/>
      <c r="E706" s="150"/>
      <c r="F706" s="150"/>
      <c r="G706" s="145"/>
    </row>
    <row r="707" spans="1:7" ht="24.95" hidden="1" customHeight="1">
      <c r="A707" s="141"/>
      <c r="B707" s="141"/>
      <c r="C707" s="248"/>
      <c r="D707" s="256"/>
      <c r="E707" s="150"/>
      <c r="F707" s="150"/>
      <c r="G707" s="145"/>
    </row>
    <row r="708" spans="1:7" ht="24.95" hidden="1" customHeight="1">
      <c r="A708" s="141"/>
      <c r="B708" s="141"/>
      <c r="C708" s="248"/>
      <c r="D708" s="256"/>
      <c r="E708" s="150"/>
      <c r="F708" s="150"/>
      <c r="G708" s="145"/>
    </row>
    <row r="709" spans="1:7" ht="24.95" hidden="1" customHeight="1">
      <c r="A709" s="141"/>
      <c r="B709" s="141"/>
      <c r="C709" s="248"/>
      <c r="D709" s="256"/>
      <c r="E709" s="150"/>
      <c r="F709" s="150"/>
      <c r="G709" s="145"/>
    </row>
    <row r="710" spans="1:7" ht="24.95" hidden="1" customHeight="1">
      <c r="A710" s="141"/>
      <c r="B710" s="141"/>
      <c r="C710" s="248"/>
      <c r="D710" s="256"/>
      <c r="E710" s="150"/>
      <c r="F710" s="150"/>
      <c r="G710" s="145"/>
    </row>
    <row r="711" spans="1:7" ht="24.95" hidden="1" customHeight="1">
      <c r="A711" s="141"/>
      <c r="B711" s="141"/>
      <c r="C711" s="248"/>
      <c r="D711" s="256"/>
      <c r="E711" s="150"/>
      <c r="F711" s="150"/>
      <c r="G711" s="145"/>
    </row>
    <row r="712" spans="1:7" ht="24.95" hidden="1" customHeight="1">
      <c r="A712" s="141"/>
      <c r="B712" s="141"/>
      <c r="C712" s="248"/>
      <c r="D712" s="256"/>
      <c r="E712" s="150"/>
      <c r="F712" s="150"/>
      <c r="G712" s="145"/>
    </row>
    <row r="713" spans="1:7" ht="24.95" hidden="1" customHeight="1">
      <c r="A713" s="141"/>
      <c r="B713" s="141"/>
      <c r="C713" s="248"/>
      <c r="D713" s="256"/>
      <c r="E713" s="150"/>
      <c r="F713" s="150"/>
      <c r="G713" s="145"/>
    </row>
    <row r="714" spans="1:7" ht="24.95" hidden="1" customHeight="1">
      <c r="A714" s="141"/>
      <c r="B714" s="141"/>
      <c r="C714" s="248"/>
      <c r="D714" s="256"/>
      <c r="E714" s="150"/>
      <c r="F714" s="150"/>
      <c r="G714" s="145"/>
    </row>
    <row r="715" spans="1:7" ht="24.95" hidden="1" customHeight="1">
      <c r="A715" s="141"/>
      <c r="B715" s="141"/>
      <c r="C715" s="248"/>
      <c r="D715" s="256"/>
      <c r="E715" s="150"/>
      <c r="F715" s="150"/>
      <c r="G715" s="145"/>
    </row>
    <row r="716" spans="1:7" ht="24.95" hidden="1" customHeight="1">
      <c r="A716" s="141"/>
      <c r="B716" s="141"/>
      <c r="C716" s="248"/>
      <c r="D716" s="256"/>
      <c r="E716" s="150"/>
      <c r="F716" s="150"/>
      <c r="G716" s="145"/>
    </row>
    <row r="717" spans="1:7" ht="24.95" hidden="1" customHeight="1">
      <c r="A717" s="141"/>
      <c r="B717" s="141"/>
      <c r="C717" s="248"/>
      <c r="D717" s="256"/>
      <c r="E717" s="150"/>
      <c r="F717" s="150"/>
      <c r="G717" s="145"/>
    </row>
    <row r="718" spans="1:7" ht="24.95" hidden="1" customHeight="1">
      <c r="A718" s="141"/>
      <c r="B718" s="141"/>
      <c r="C718" s="248"/>
      <c r="D718" s="256"/>
      <c r="E718" s="150"/>
      <c r="F718" s="150"/>
      <c r="G718" s="145"/>
    </row>
    <row r="719" spans="1:7" ht="24.95" hidden="1" customHeight="1">
      <c r="A719" s="141"/>
      <c r="B719" s="141"/>
      <c r="C719" s="248"/>
      <c r="D719" s="256"/>
      <c r="E719" s="150"/>
      <c r="F719" s="150"/>
      <c r="G719" s="145"/>
    </row>
    <row r="720" spans="1:7" ht="24.95" hidden="1" customHeight="1">
      <c r="A720" s="141"/>
      <c r="B720" s="141"/>
      <c r="C720" s="248"/>
      <c r="D720" s="256"/>
      <c r="E720" s="150"/>
      <c r="F720" s="150"/>
      <c r="G720" s="145"/>
    </row>
    <row r="721" spans="1:7" ht="24.95" hidden="1" customHeight="1">
      <c r="A721" s="141"/>
      <c r="B721" s="141"/>
      <c r="C721" s="248"/>
      <c r="D721" s="256"/>
      <c r="E721" s="150"/>
      <c r="F721" s="150"/>
      <c r="G721" s="145"/>
    </row>
    <row r="722" spans="1:7" ht="24.95" hidden="1" customHeight="1">
      <c r="A722" s="141"/>
      <c r="B722" s="141"/>
      <c r="C722" s="248"/>
      <c r="D722" s="256"/>
      <c r="E722" s="150"/>
      <c r="F722" s="150"/>
      <c r="G722" s="145"/>
    </row>
    <row r="723" spans="1:7" ht="24.95" hidden="1" customHeight="1">
      <c r="A723" s="141"/>
      <c r="B723" s="141"/>
      <c r="C723" s="248"/>
      <c r="D723" s="256"/>
      <c r="E723" s="150"/>
      <c r="F723" s="150"/>
      <c r="G723" s="145"/>
    </row>
    <row r="724" spans="1:7" ht="24.95" hidden="1" customHeight="1">
      <c r="A724" s="141"/>
      <c r="B724" s="141"/>
      <c r="C724" s="248"/>
      <c r="D724" s="256"/>
      <c r="E724" s="150"/>
      <c r="F724" s="150"/>
      <c r="G724" s="145"/>
    </row>
    <row r="725" spans="1:7" ht="24.95" hidden="1" customHeight="1">
      <c r="A725" s="141"/>
      <c r="B725" s="141"/>
      <c r="C725" s="248"/>
      <c r="D725" s="256"/>
      <c r="E725" s="150"/>
      <c r="F725" s="150"/>
      <c r="G725" s="145"/>
    </row>
    <row r="726" spans="1:7" ht="24.95" hidden="1" customHeight="1">
      <c r="A726" s="141"/>
      <c r="B726" s="141"/>
      <c r="C726" s="248"/>
      <c r="D726" s="256"/>
      <c r="E726" s="150"/>
      <c r="F726" s="150"/>
      <c r="G726" s="145"/>
    </row>
    <row r="727" spans="1:7" ht="24.95" hidden="1" customHeight="1">
      <c r="A727" s="141"/>
      <c r="B727" s="141"/>
      <c r="C727" s="248"/>
      <c r="D727" s="256"/>
      <c r="E727" s="150"/>
      <c r="F727" s="150"/>
      <c r="G727" s="145"/>
    </row>
    <row r="728" spans="1:7" ht="24.95" hidden="1" customHeight="1">
      <c r="A728" s="141"/>
      <c r="B728" s="141"/>
      <c r="C728" s="248"/>
      <c r="D728" s="256"/>
      <c r="E728" s="150"/>
      <c r="F728" s="150"/>
      <c r="G728" s="145"/>
    </row>
    <row r="729" spans="1:7" ht="24.95" hidden="1" customHeight="1">
      <c r="A729" s="141"/>
      <c r="B729" s="141"/>
      <c r="C729" s="248"/>
      <c r="D729" s="256"/>
      <c r="E729" s="150"/>
      <c r="F729" s="150"/>
      <c r="G729" s="145"/>
    </row>
    <row r="730" spans="1:7" ht="24.95" hidden="1" customHeight="1">
      <c r="A730" s="141"/>
      <c r="B730" s="141"/>
      <c r="C730" s="248"/>
      <c r="D730" s="256"/>
      <c r="E730" s="150"/>
      <c r="F730" s="150"/>
      <c r="G730" s="145"/>
    </row>
    <row r="731" spans="1:7" ht="24.95" hidden="1" customHeight="1">
      <c r="A731" s="141"/>
      <c r="B731" s="141"/>
      <c r="C731" s="248"/>
      <c r="D731" s="256"/>
      <c r="E731" s="150"/>
      <c r="F731" s="150"/>
      <c r="G731" s="145"/>
    </row>
    <row r="732" spans="1:7" ht="24.95" hidden="1" customHeight="1">
      <c r="A732" s="141"/>
      <c r="B732" s="141"/>
      <c r="C732" s="248"/>
      <c r="D732" s="256"/>
      <c r="E732" s="150"/>
      <c r="F732" s="150"/>
      <c r="G732" s="145"/>
    </row>
    <row r="733" spans="1:7" ht="24.95" hidden="1" customHeight="1">
      <c r="A733" s="141"/>
      <c r="B733" s="141"/>
      <c r="C733" s="248"/>
      <c r="D733" s="256"/>
      <c r="E733" s="150"/>
      <c r="F733" s="150"/>
      <c r="G733" s="145"/>
    </row>
    <row r="734" spans="1:7" ht="24.95" hidden="1" customHeight="1">
      <c r="A734" s="141"/>
      <c r="B734" s="141"/>
      <c r="C734" s="248"/>
      <c r="D734" s="256"/>
      <c r="E734" s="150"/>
      <c r="F734" s="150"/>
      <c r="G734" s="145"/>
    </row>
    <row r="735" spans="1:7" ht="24.95" hidden="1" customHeight="1">
      <c r="A735" s="141"/>
      <c r="B735" s="141"/>
      <c r="C735" s="248"/>
      <c r="D735" s="256"/>
      <c r="E735" s="150"/>
      <c r="F735" s="150"/>
      <c r="G735" s="145"/>
    </row>
    <row r="736" spans="1:7" ht="24.95" hidden="1" customHeight="1">
      <c r="A736" s="141"/>
      <c r="B736" s="141"/>
      <c r="C736" s="248"/>
      <c r="D736" s="256"/>
      <c r="E736" s="150"/>
      <c r="F736" s="150"/>
      <c r="G736" s="145"/>
    </row>
    <row r="737" spans="1:7" ht="24.95" hidden="1" customHeight="1">
      <c r="A737" s="141"/>
      <c r="B737" s="141"/>
      <c r="C737" s="248"/>
      <c r="D737" s="256"/>
      <c r="E737" s="150"/>
      <c r="F737" s="150"/>
      <c r="G737" s="145"/>
    </row>
    <row r="738" spans="1:7" ht="24.95" hidden="1" customHeight="1">
      <c r="A738" s="141"/>
      <c r="B738" s="141"/>
      <c r="C738" s="248"/>
      <c r="D738" s="256"/>
      <c r="E738" s="150"/>
      <c r="F738" s="150"/>
      <c r="G738" s="145"/>
    </row>
    <row r="739" spans="1:7" ht="24.95" hidden="1" customHeight="1">
      <c r="A739" s="141"/>
      <c r="B739" s="141"/>
      <c r="C739" s="248"/>
      <c r="D739" s="256"/>
      <c r="E739" s="150"/>
      <c r="F739" s="150"/>
      <c r="G739" s="145"/>
    </row>
    <row r="740" spans="1:7" ht="24.95" hidden="1" customHeight="1">
      <c r="A740" s="141"/>
      <c r="B740" s="141"/>
      <c r="C740" s="248"/>
      <c r="D740" s="256"/>
      <c r="E740" s="150"/>
      <c r="F740" s="150"/>
      <c r="G740" s="145"/>
    </row>
    <row r="741" spans="1:7" ht="24.95" hidden="1" customHeight="1">
      <c r="A741" s="141"/>
      <c r="B741" s="141"/>
      <c r="C741" s="248"/>
      <c r="D741" s="256"/>
      <c r="E741" s="150"/>
      <c r="F741" s="150"/>
      <c r="G741" s="145"/>
    </row>
    <row r="742" spans="1:7" ht="24.95" hidden="1" customHeight="1">
      <c r="A742" s="141"/>
      <c r="B742" s="141"/>
      <c r="C742" s="248"/>
      <c r="D742" s="256"/>
      <c r="E742" s="150"/>
      <c r="F742" s="150"/>
      <c r="G742" s="145"/>
    </row>
    <row r="743" spans="1:7" ht="24.95" hidden="1" customHeight="1">
      <c r="A743" s="141"/>
      <c r="B743" s="141"/>
      <c r="C743" s="248"/>
      <c r="D743" s="256"/>
      <c r="E743" s="150"/>
      <c r="F743" s="150"/>
      <c r="G743" s="145"/>
    </row>
    <row r="744" spans="1:7" ht="24.95" hidden="1" customHeight="1">
      <c r="A744" s="141"/>
      <c r="B744" s="141"/>
      <c r="C744" s="248"/>
      <c r="D744" s="256"/>
      <c r="E744" s="150"/>
      <c r="F744" s="150"/>
      <c r="G744" s="145"/>
    </row>
    <row r="745" spans="1:7" ht="24.95" hidden="1" customHeight="1">
      <c r="A745" s="141"/>
      <c r="B745" s="141"/>
      <c r="C745" s="248"/>
      <c r="D745" s="256"/>
      <c r="E745" s="150"/>
      <c r="F745" s="150"/>
      <c r="G745" s="145"/>
    </row>
    <row r="746" spans="1:7" ht="24.95" hidden="1" customHeight="1">
      <c r="A746" s="141"/>
      <c r="B746" s="141"/>
      <c r="C746" s="248"/>
      <c r="D746" s="256"/>
      <c r="E746" s="150"/>
      <c r="F746" s="150"/>
      <c r="G746" s="145"/>
    </row>
    <row r="747" spans="1:7" ht="24.95" hidden="1" customHeight="1">
      <c r="A747" s="141"/>
      <c r="B747" s="141"/>
      <c r="C747" s="248"/>
      <c r="D747" s="256"/>
      <c r="E747" s="150"/>
      <c r="F747" s="150"/>
      <c r="G747" s="145"/>
    </row>
    <row r="748" spans="1:7" ht="24.95" hidden="1" customHeight="1">
      <c r="A748" s="141"/>
      <c r="B748" s="141"/>
      <c r="C748" s="248"/>
      <c r="D748" s="256"/>
      <c r="E748" s="150"/>
      <c r="F748" s="150"/>
      <c r="G748" s="145"/>
    </row>
    <row r="749" spans="1:7" ht="24.95" hidden="1" customHeight="1">
      <c r="A749" s="141"/>
      <c r="B749" s="141"/>
      <c r="C749" s="248"/>
      <c r="D749" s="256"/>
      <c r="E749" s="150"/>
      <c r="F749" s="150"/>
      <c r="G749" s="145"/>
    </row>
    <row r="750" spans="1:7" ht="24.95" hidden="1" customHeight="1">
      <c r="A750" s="141"/>
      <c r="B750" s="141"/>
      <c r="C750" s="248"/>
      <c r="D750" s="256"/>
      <c r="E750" s="150"/>
      <c r="F750" s="150"/>
      <c r="G750" s="145"/>
    </row>
    <row r="751" spans="1:7" ht="24.95" hidden="1" customHeight="1">
      <c r="A751" s="141"/>
      <c r="B751" s="141"/>
      <c r="C751" s="248"/>
      <c r="D751" s="256"/>
      <c r="E751" s="150"/>
      <c r="F751" s="150"/>
      <c r="G751" s="145"/>
    </row>
    <row r="752" spans="1:7" ht="24.95" hidden="1" customHeight="1">
      <c r="A752" s="141"/>
      <c r="B752" s="141"/>
      <c r="C752" s="248"/>
      <c r="D752" s="256"/>
      <c r="E752" s="150"/>
      <c r="F752" s="150"/>
      <c r="G752" s="145"/>
    </row>
    <row r="753" spans="1:7" ht="24.95" hidden="1" customHeight="1">
      <c r="A753" s="141"/>
      <c r="B753" s="141"/>
      <c r="C753" s="248"/>
      <c r="D753" s="256"/>
      <c r="E753" s="150"/>
      <c r="F753" s="150"/>
      <c r="G753" s="145"/>
    </row>
    <row r="754" spans="1:7" ht="24.95" hidden="1" customHeight="1">
      <c r="A754" s="141"/>
      <c r="B754" s="141"/>
      <c r="C754" s="248"/>
      <c r="D754" s="256"/>
      <c r="E754" s="150"/>
      <c r="F754" s="150"/>
      <c r="G754" s="145"/>
    </row>
    <row r="755" spans="1:7" ht="24.95" hidden="1" customHeight="1">
      <c r="A755" s="141"/>
      <c r="B755" s="141"/>
      <c r="C755" s="248"/>
      <c r="D755" s="256"/>
      <c r="E755" s="150"/>
      <c r="F755" s="150"/>
      <c r="G755" s="145"/>
    </row>
    <row r="756" spans="1:7" ht="24.95" hidden="1" customHeight="1">
      <c r="A756" s="141"/>
      <c r="B756" s="141"/>
      <c r="C756" s="248"/>
      <c r="D756" s="256"/>
      <c r="E756" s="150"/>
      <c r="F756" s="150"/>
      <c r="G756" s="145"/>
    </row>
    <row r="757" spans="1:7" ht="24.95" hidden="1" customHeight="1">
      <c r="A757" s="141"/>
      <c r="B757" s="141"/>
      <c r="C757" s="248"/>
      <c r="D757" s="256"/>
      <c r="E757" s="150"/>
      <c r="F757" s="150"/>
      <c r="G757" s="145"/>
    </row>
    <row r="758" spans="1:7" ht="24.95" hidden="1" customHeight="1">
      <c r="A758" s="141"/>
      <c r="B758" s="141"/>
      <c r="C758" s="248"/>
      <c r="D758" s="256"/>
      <c r="E758" s="150"/>
      <c r="F758" s="150"/>
      <c r="G758" s="145"/>
    </row>
    <row r="759" spans="1:7" ht="24.95" hidden="1" customHeight="1">
      <c r="A759" s="141"/>
      <c r="B759" s="141"/>
      <c r="C759" s="248"/>
      <c r="D759" s="256"/>
      <c r="E759" s="150"/>
      <c r="F759" s="150"/>
      <c r="G759" s="145"/>
    </row>
    <row r="760" spans="1:7" ht="24.95" hidden="1" customHeight="1">
      <c r="A760" s="141"/>
      <c r="B760" s="141"/>
      <c r="C760" s="248"/>
      <c r="D760" s="256"/>
      <c r="E760" s="150"/>
      <c r="F760" s="150"/>
      <c r="G760" s="145"/>
    </row>
    <row r="761" spans="1:7" ht="24.95" hidden="1" customHeight="1">
      <c r="A761" s="141"/>
      <c r="B761" s="141"/>
      <c r="C761" s="248"/>
      <c r="D761" s="256"/>
      <c r="E761" s="150"/>
      <c r="F761" s="150"/>
      <c r="G761" s="145"/>
    </row>
    <row r="762" spans="1:7" ht="24.95" hidden="1" customHeight="1">
      <c r="A762" s="141"/>
      <c r="B762" s="141"/>
      <c r="C762" s="248"/>
      <c r="D762" s="256"/>
      <c r="E762" s="150"/>
      <c r="F762" s="150"/>
      <c r="G762" s="145"/>
    </row>
    <row r="763" spans="1:7" ht="24.95" hidden="1" customHeight="1">
      <c r="A763" s="141"/>
      <c r="B763" s="141"/>
      <c r="C763" s="248"/>
      <c r="D763" s="256"/>
      <c r="E763" s="150"/>
      <c r="F763" s="150"/>
      <c r="G763" s="145"/>
    </row>
    <row r="764" spans="1:7" ht="24.95" hidden="1" customHeight="1">
      <c r="A764" s="141"/>
      <c r="B764" s="141"/>
      <c r="C764" s="248"/>
      <c r="D764" s="256"/>
      <c r="E764" s="150"/>
      <c r="F764" s="150"/>
      <c r="G764" s="145"/>
    </row>
    <row r="765" spans="1:7" ht="24.95" hidden="1" customHeight="1">
      <c r="A765" s="141"/>
      <c r="B765" s="141"/>
      <c r="C765" s="248"/>
      <c r="D765" s="256"/>
      <c r="E765" s="150"/>
      <c r="F765" s="150"/>
      <c r="G765" s="145"/>
    </row>
    <row r="766" spans="1:7" ht="24.95" hidden="1" customHeight="1">
      <c r="A766" s="141"/>
      <c r="B766" s="141"/>
      <c r="C766" s="248"/>
      <c r="D766" s="256"/>
      <c r="E766" s="150"/>
      <c r="F766" s="150"/>
      <c r="G766" s="145"/>
    </row>
    <row r="767" spans="1:7" ht="24.95" hidden="1" customHeight="1">
      <c r="A767" s="141"/>
      <c r="B767" s="141"/>
      <c r="C767" s="248"/>
      <c r="D767" s="256"/>
      <c r="E767" s="150"/>
      <c r="F767" s="150"/>
      <c r="G767" s="145"/>
    </row>
    <row r="768" spans="1:7" ht="24.95" hidden="1" customHeight="1">
      <c r="A768" s="141"/>
      <c r="B768" s="141"/>
      <c r="C768" s="248"/>
      <c r="D768" s="256"/>
      <c r="E768" s="150"/>
      <c r="F768" s="150"/>
      <c r="G768" s="145"/>
    </row>
    <row r="769" spans="1:7" ht="24.95" hidden="1" customHeight="1">
      <c r="A769" s="141"/>
      <c r="B769" s="141"/>
      <c r="C769" s="248"/>
      <c r="D769" s="256"/>
      <c r="E769" s="150"/>
      <c r="F769" s="150"/>
      <c r="G769" s="145"/>
    </row>
    <row r="770" spans="1:7" ht="24.95" hidden="1" customHeight="1">
      <c r="A770" s="141"/>
      <c r="B770" s="141"/>
      <c r="C770" s="248"/>
      <c r="D770" s="256"/>
      <c r="E770" s="150"/>
      <c r="F770" s="150"/>
      <c r="G770" s="145"/>
    </row>
    <row r="771" spans="1:7" ht="24.95" hidden="1" customHeight="1">
      <c r="A771" s="141"/>
      <c r="B771" s="141"/>
      <c r="C771" s="248"/>
      <c r="D771" s="256"/>
      <c r="E771" s="150"/>
      <c r="F771" s="150"/>
      <c r="G771" s="145"/>
    </row>
    <row r="772" spans="1:7" ht="24.95" hidden="1" customHeight="1">
      <c r="A772" s="141"/>
      <c r="B772" s="141"/>
      <c r="C772" s="248"/>
      <c r="D772" s="256"/>
      <c r="E772" s="150"/>
      <c r="F772" s="150"/>
      <c r="G772" s="145"/>
    </row>
    <row r="773" spans="1:7" ht="24.95" hidden="1" customHeight="1">
      <c r="A773" s="141"/>
      <c r="B773" s="141"/>
      <c r="C773" s="248"/>
      <c r="D773" s="256"/>
      <c r="E773" s="150"/>
      <c r="F773" s="150"/>
      <c r="G773" s="145"/>
    </row>
    <row r="774" spans="1:7" ht="24.95" hidden="1" customHeight="1">
      <c r="A774" s="141"/>
      <c r="B774" s="141"/>
      <c r="C774" s="248"/>
      <c r="D774" s="256"/>
      <c r="E774" s="150"/>
      <c r="F774" s="150"/>
      <c r="G774" s="145"/>
    </row>
    <row r="775" spans="1:7" ht="24.95" hidden="1" customHeight="1">
      <c r="A775" s="141"/>
      <c r="B775" s="141"/>
      <c r="C775" s="248"/>
      <c r="D775" s="256"/>
      <c r="E775" s="150"/>
      <c r="F775" s="150"/>
      <c r="G775" s="145"/>
    </row>
    <row r="776" spans="1:7" ht="24.95" hidden="1" customHeight="1">
      <c r="A776" s="141"/>
      <c r="B776" s="141"/>
      <c r="C776" s="248"/>
      <c r="D776" s="256"/>
      <c r="E776" s="150"/>
      <c r="F776" s="150"/>
      <c r="G776" s="145"/>
    </row>
    <row r="777" spans="1:7" ht="24.95" hidden="1" customHeight="1">
      <c r="A777" s="141"/>
      <c r="B777" s="141"/>
      <c r="C777" s="248"/>
      <c r="D777" s="256"/>
      <c r="E777" s="150"/>
      <c r="F777" s="150"/>
      <c r="G777" s="145"/>
    </row>
    <row r="778" spans="1:7" ht="24.95" hidden="1" customHeight="1">
      <c r="A778" s="141"/>
      <c r="B778" s="141"/>
      <c r="C778" s="248"/>
      <c r="D778" s="256"/>
      <c r="E778" s="150"/>
      <c r="F778" s="150"/>
      <c r="G778" s="145"/>
    </row>
    <row r="779" spans="1:7" ht="24.95" hidden="1" customHeight="1">
      <c r="A779" s="141"/>
      <c r="B779" s="141"/>
      <c r="C779" s="248"/>
      <c r="D779" s="256"/>
      <c r="E779" s="150"/>
      <c r="F779" s="150"/>
      <c r="G779" s="145"/>
    </row>
    <row r="780" spans="1:7" ht="24.95" hidden="1" customHeight="1">
      <c r="A780" s="141"/>
      <c r="B780" s="141"/>
      <c r="C780" s="248"/>
      <c r="D780" s="256"/>
      <c r="E780" s="150"/>
      <c r="F780" s="150"/>
      <c r="G780" s="145"/>
    </row>
    <row r="781" spans="1:7" ht="24.95" hidden="1" customHeight="1">
      <c r="A781" s="141"/>
      <c r="B781" s="141"/>
      <c r="C781" s="248"/>
      <c r="D781" s="256"/>
      <c r="E781" s="150"/>
      <c r="F781" s="150"/>
      <c r="G781" s="145"/>
    </row>
    <row r="782" spans="1:7" ht="24.95" hidden="1" customHeight="1">
      <c r="A782" s="141"/>
      <c r="B782" s="141"/>
      <c r="C782" s="248"/>
      <c r="D782" s="256"/>
      <c r="E782" s="150"/>
      <c r="F782" s="150"/>
      <c r="G782" s="145"/>
    </row>
    <row r="783" spans="1:7" ht="24.95" hidden="1" customHeight="1">
      <c r="A783" s="141"/>
      <c r="B783" s="141"/>
      <c r="C783" s="248"/>
      <c r="D783" s="256"/>
      <c r="E783" s="150"/>
      <c r="F783" s="150"/>
      <c r="G783" s="145"/>
    </row>
    <row r="784" spans="1:7" ht="24.95" hidden="1" customHeight="1">
      <c r="A784" s="141"/>
      <c r="B784" s="141"/>
      <c r="C784" s="248"/>
      <c r="D784" s="256"/>
      <c r="E784" s="150"/>
      <c r="F784" s="150"/>
      <c r="G784" s="145"/>
    </row>
    <row r="785" spans="1:7" ht="24.95" hidden="1" customHeight="1">
      <c r="A785" s="141"/>
      <c r="B785" s="141"/>
      <c r="C785" s="248"/>
      <c r="D785" s="256"/>
      <c r="E785" s="150"/>
      <c r="F785" s="150"/>
      <c r="G785" s="145"/>
    </row>
    <row r="786" spans="1:7" ht="24.95" hidden="1" customHeight="1">
      <c r="A786" s="141"/>
      <c r="B786" s="141"/>
      <c r="C786" s="248"/>
      <c r="D786" s="256"/>
      <c r="E786" s="150"/>
      <c r="F786" s="150"/>
      <c r="G786" s="145"/>
    </row>
    <row r="787" spans="1:7" ht="24.95" hidden="1" customHeight="1">
      <c r="A787" s="141"/>
      <c r="B787" s="141"/>
      <c r="C787" s="248"/>
      <c r="D787" s="256"/>
      <c r="E787" s="150"/>
      <c r="F787" s="150"/>
      <c r="G787" s="145"/>
    </row>
    <row r="788" spans="1:7" ht="24.95" hidden="1" customHeight="1">
      <c r="A788" s="141"/>
      <c r="B788" s="141"/>
      <c r="C788" s="248"/>
      <c r="D788" s="256"/>
      <c r="E788" s="150"/>
      <c r="F788" s="150"/>
      <c r="G788" s="145"/>
    </row>
    <row r="789" spans="1:7" ht="24.95" hidden="1" customHeight="1">
      <c r="A789" s="141"/>
      <c r="B789" s="141"/>
      <c r="C789" s="248"/>
      <c r="D789" s="256"/>
      <c r="E789" s="150"/>
      <c r="F789" s="150"/>
      <c r="G789" s="145"/>
    </row>
    <row r="790" spans="1:7" ht="24.95" hidden="1" customHeight="1">
      <c r="A790" s="141"/>
      <c r="B790" s="141"/>
      <c r="C790" s="248"/>
      <c r="D790" s="256"/>
      <c r="E790" s="150"/>
      <c r="F790" s="150"/>
      <c r="G790" s="145"/>
    </row>
    <row r="791" spans="1:7" ht="24.95" hidden="1" customHeight="1">
      <c r="A791" s="141"/>
      <c r="B791" s="141"/>
      <c r="C791" s="248"/>
      <c r="D791" s="256"/>
      <c r="E791" s="150"/>
      <c r="F791" s="150"/>
      <c r="G791" s="145"/>
    </row>
    <row r="792" spans="1:7" ht="24.95" hidden="1" customHeight="1">
      <c r="A792" s="141"/>
      <c r="B792" s="141"/>
      <c r="C792" s="248"/>
      <c r="D792" s="256"/>
      <c r="E792" s="150"/>
      <c r="F792" s="150"/>
      <c r="G792" s="145"/>
    </row>
    <row r="793" spans="1:7" ht="24.95" hidden="1" customHeight="1">
      <c r="A793" s="141"/>
      <c r="B793" s="141"/>
      <c r="C793" s="248"/>
      <c r="D793" s="256"/>
      <c r="E793" s="150"/>
      <c r="F793" s="150"/>
      <c r="G793" s="145"/>
    </row>
    <row r="794" spans="1:7" ht="24.95" hidden="1" customHeight="1">
      <c r="A794" s="141"/>
      <c r="B794" s="141"/>
      <c r="C794" s="248"/>
      <c r="D794" s="256"/>
      <c r="E794" s="150"/>
      <c r="F794" s="150"/>
      <c r="G794" s="145"/>
    </row>
    <row r="795" spans="1:7" ht="24.95" hidden="1" customHeight="1">
      <c r="A795" s="141"/>
      <c r="B795" s="141"/>
      <c r="C795" s="248"/>
      <c r="D795" s="256"/>
      <c r="E795" s="150"/>
      <c r="F795" s="150"/>
      <c r="G795" s="145"/>
    </row>
    <row r="796" spans="1:7" ht="24.95" hidden="1" customHeight="1">
      <c r="A796" s="141"/>
      <c r="B796" s="141"/>
      <c r="C796" s="248"/>
      <c r="D796" s="256"/>
      <c r="E796" s="150"/>
      <c r="F796" s="150"/>
      <c r="G796" s="145"/>
    </row>
    <row r="797" spans="1:7" ht="24.95" hidden="1" customHeight="1">
      <c r="A797" s="141"/>
      <c r="B797" s="141"/>
      <c r="C797" s="248"/>
      <c r="D797" s="256"/>
      <c r="E797" s="150"/>
      <c r="F797" s="150"/>
      <c r="G797" s="145"/>
    </row>
    <row r="798" spans="1:7" ht="24.95" hidden="1" customHeight="1">
      <c r="A798" s="141"/>
      <c r="B798" s="141"/>
      <c r="C798" s="248"/>
      <c r="D798" s="256"/>
      <c r="E798" s="150"/>
      <c r="F798" s="150"/>
      <c r="G798" s="145"/>
    </row>
    <row r="799" spans="1:7" ht="24.95" hidden="1" customHeight="1">
      <c r="A799" s="141"/>
      <c r="B799" s="141"/>
      <c r="C799" s="248"/>
      <c r="D799" s="256"/>
      <c r="E799" s="150"/>
      <c r="F799" s="150"/>
      <c r="G799" s="145"/>
    </row>
    <row r="800" spans="1:7" ht="24.95" hidden="1" customHeight="1">
      <c r="A800" s="141"/>
      <c r="B800" s="141"/>
      <c r="C800" s="248"/>
      <c r="D800" s="256"/>
      <c r="E800" s="150"/>
      <c r="F800" s="150"/>
      <c r="G800" s="145"/>
    </row>
    <row r="801" spans="1:7" ht="24.95" hidden="1" customHeight="1">
      <c r="A801" s="141"/>
      <c r="B801" s="141"/>
      <c r="C801" s="248"/>
      <c r="D801" s="256"/>
      <c r="E801" s="150"/>
      <c r="F801" s="150"/>
      <c r="G801" s="145"/>
    </row>
    <row r="802" spans="1:7" ht="24.95" hidden="1" customHeight="1">
      <c r="A802" s="141"/>
      <c r="B802" s="141"/>
      <c r="C802" s="248"/>
      <c r="D802" s="256"/>
      <c r="E802" s="150"/>
      <c r="F802" s="150"/>
      <c r="G802" s="145"/>
    </row>
    <row r="803" spans="1:7" ht="24.95" hidden="1" customHeight="1">
      <c r="A803" s="141"/>
      <c r="B803" s="141"/>
      <c r="C803" s="248"/>
      <c r="D803" s="256"/>
      <c r="E803" s="150"/>
      <c r="F803" s="150"/>
      <c r="G803" s="145"/>
    </row>
    <row r="804" spans="1:7" ht="24.95" hidden="1" customHeight="1">
      <c r="A804" s="141"/>
      <c r="B804" s="141"/>
      <c r="C804" s="248"/>
      <c r="D804" s="256"/>
      <c r="E804" s="150"/>
      <c r="F804" s="150"/>
      <c r="G804" s="145"/>
    </row>
    <row r="805" spans="1:7" ht="24.95" hidden="1" customHeight="1">
      <c r="A805" s="141"/>
      <c r="B805" s="141"/>
      <c r="C805" s="248"/>
      <c r="D805" s="256"/>
      <c r="E805" s="150"/>
      <c r="F805" s="150"/>
      <c r="G805" s="145"/>
    </row>
    <row r="806" spans="1:7" ht="24.95" hidden="1" customHeight="1">
      <c r="A806" s="141"/>
      <c r="B806" s="141"/>
      <c r="C806" s="248"/>
      <c r="D806" s="256"/>
      <c r="E806" s="150"/>
      <c r="F806" s="150"/>
      <c r="G806" s="145"/>
    </row>
    <row r="807" spans="1:7" ht="24.95" hidden="1" customHeight="1">
      <c r="A807" s="141"/>
      <c r="B807" s="141"/>
      <c r="C807" s="248"/>
      <c r="D807" s="256"/>
      <c r="E807" s="150"/>
      <c r="F807" s="150"/>
      <c r="G807" s="145"/>
    </row>
    <row r="808" spans="1:7" ht="24.95" hidden="1" customHeight="1">
      <c r="A808" s="141"/>
      <c r="B808" s="141"/>
      <c r="C808" s="248"/>
      <c r="D808" s="256"/>
      <c r="E808" s="150"/>
      <c r="F808" s="150"/>
      <c r="G808" s="145"/>
    </row>
    <row r="809" spans="1:7" ht="24.95" hidden="1" customHeight="1">
      <c r="A809" s="141"/>
      <c r="B809" s="141"/>
      <c r="C809" s="248"/>
      <c r="D809" s="256"/>
      <c r="E809" s="150"/>
      <c r="F809" s="150"/>
      <c r="G809" s="145"/>
    </row>
    <row r="810" spans="1:7" ht="24.95" hidden="1" customHeight="1">
      <c r="A810" s="141"/>
      <c r="B810" s="141"/>
      <c r="C810" s="248"/>
      <c r="D810" s="256"/>
      <c r="E810" s="150"/>
      <c r="F810" s="150"/>
      <c r="G810" s="145"/>
    </row>
    <row r="811" spans="1:7" ht="24.95" hidden="1" customHeight="1">
      <c r="A811" s="141"/>
      <c r="B811" s="141"/>
      <c r="C811" s="248"/>
      <c r="D811" s="256"/>
      <c r="E811" s="150"/>
      <c r="F811" s="150"/>
      <c r="G811" s="145"/>
    </row>
    <row r="812" spans="1:7" ht="24.95" hidden="1" customHeight="1">
      <c r="A812" s="141"/>
      <c r="B812" s="141"/>
      <c r="C812" s="248"/>
      <c r="D812" s="256"/>
      <c r="E812" s="150"/>
      <c r="F812" s="150"/>
      <c r="G812" s="145"/>
    </row>
    <row r="813" spans="1:7" ht="24.95" hidden="1" customHeight="1">
      <c r="A813" s="141"/>
      <c r="B813" s="141"/>
      <c r="C813" s="248"/>
      <c r="D813" s="256"/>
      <c r="E813" s="150"/>
      <c r="F813" s="150"/>
      <c r="G813" s="145"/>
    </row>
    <row r="814" spans="1:7" ht="24.95" hidden="1" customHeight="1">
      <c r="A814" s="141"/>
      <c r="B814" s="141"/>
      <c r="C814" s="248"/>
      <c r="D814" s="256"/>
      <c r="E814" s="150"/>
      <c r="F814" s="150"/>
      <c r="G814" s="145"/>
    </row>
    <row r="815" spans="1:7" ht="24.95" hidden="1" customHeight="1">
      <c r="A815" s="141"/>
      <c r="B815" s="141"/>
      <c r="C815" s="248"/>
      <c r="D815" s="256"/>
      <c r="E815" s="150"/>
      <c r="F815" s="150"/>
      <c r="G815" s="145"/>
    </row>
    <row r="816" spans="1:7" ht="24.95" hidden="1" customHeight="1">
      <c r="A816" s="141"/>
      <c r="B816" s="141"/>
      <c r="C816" s="248"/>
      <c r="D816" s="256"/>
      <c r="E816" s="150"/>
      <c r="F816" s="150"/>
      <c r="G816" s="145"/>
    </row>
    <row r="817" spans="1:7" ht="24.95" hidden="1" customHeight="1">
      <c r="A817" s="141"/>
      <c r="B817" s="141"/>
      <c r="C817" s="248"/>
      <c r="D817" s="256"/>
      <c r="E817" s="150"/>
      <c r="F817" s="150"/>
      <c r="G817" s="145"/>
    </row>
    <row r="818" spans="1:7" ht="24.95" hidden="1" customHeight="1">
      <c r="A818" s="141"/>
      <c r="B818" s="141"/>
      <c r="C818" s="248"/>
      <c r="D818" s="256"/>
      <c r="E818" s="150"/>
      <c r="F818" s="150"/>
      <c r="G818" s="145"/>
    </row>
    <row r="819" spans="1:7" ht="24.95" hidden="1" customHeight="1">
      <c r="A819" s="141"/>
      <c r="B819" s="141"/>
      <c r="C819" s="248"/>
      <c r="D819" s="256"/>
      <c r="E819" s="150"/>
      <c r="F819" s="150"/>
      <c r="G819" s="145"/>
    </row>
    <row r="820" spans="1:7" ht="24.95" hidden="1" customHeight="1">
      <c r="A820" s="141"/>
      <c r="B820" s="141"/>
      <c r="C820" s="248"/>
      <c r="D820" s="256"/>
      <c r="E820" s="150"/>
      <c r="F820" s="150"/>
      <c r="G820" s="145"/>
    </row>
    <row r="821" spans="1:7" ht="24.95" hidden="1" customHeight="1">
      <c r="A821" s="141"/>
      <c r="B821" s="141"/>
      <c r="C821" s="248"/>
      <c r="D821" s="256"/>
      <c r="E821" s="150"/>
      <c r="F821" s="150"/>
      <c r="G821" s="145"/>
    </row>
    <row r="822" spans="1:7" ht="24.95" hidden="1" customHeight="1">
      <c r="A822" s="141"/>
      <c r="B822" s="141"/>
      <c r="C822" s="248"/>
      <c r="D822" s="256"/>
      <c r="E822" s="150"/>
      <c r="F822" s="150"/>
      <c r="G822" s="145"/>
    </row>
    <row r="823" spans="1:7" ht="24.95" hidden="1" customHeight="1">
      <c r="A823" s="141"/>
      <c r="B823" s="141"/>
      <c r="C823" s="248"/>
      <c r="D823" s="256"/>
      <c r="E823" s="150"/>
      <c r="F823" s="150"/>
      <c r="G823" s="145"/>
    </row>
    <row r="824" spans="1:7" ht="24.95" hidden="1" customHeight="1">
      <c r="A824" s="141"/>
      <c r="B824" s="141"/>
      <c r="C824" s="248"/>
      <c r="D824" s="256"/>
      <c r="E824" s="150"/>
      <c r="F824" s="150"/>
      <c r="G824" s="145"/>
    </row>
    <row r="825" spans="1:7" ht="24.95" hidden="1" customHeight="1">
      <c r="A825" s="141"/>
      <c r="B825" s="141"/>
      <c r="C825" s="248"/>
      <c r="D825" s="256"/>
      <c r="E825" s="150"/>
      <c r="F825" s="150"/>
      <c r="G825" s="145"/>
    </row>
    <row r="826" spans="1:7" ht="24.95" hidden="1" customHeight="1">
      <c r="A826" s="141"/>
      <c r="B826" s="141"/>
      <c r="C826" s="248"/>
      <c r="D826" s="256"/>
      <c r="E826" s="150"/>
      <c r="F826" s="150"/>
      <c r="G826" s="145"/>
    </row>
    <row r="827" spans="1:7" ht="24.95" hidden="1" customHeight="1">
      <c r="A827" s="141"/>
      <c r="B827" s="141"/>
      <c r="C827" s="248"/>
      <c r="D827" s="256"/>
      <c r="E827" s="150"/>
      <c r="F827" s="150"/>
      <c r="G827" s="145"/>
    </row>
    <row r="828" spans="1:7" ht="24.95" hidden="1" customHeight="1">
      <c r="A828" s="141"/>
      <c r="B828" s="141"/>
      <c r="C828" s="248"/>
      <c r="D828" s="256"/>
      <c r="E828" s="150"/>
      <c r="F828" s="150"/>
      <c r="G828" s="145"/>
    </row>
    <row r="829" spans="1:7" ht="24.95" hidden="1" customHeight="1">
      <c r="A829" s="141"/>
      <c r="B829" s="141"/>
      <c r="C829" s="248"/>
      <c r="D829" s="256"/>
      <c r="E829" s="150"/>
      <c r="F829" s="150"/>
      <c r="G829" s="145"/>
    </row>
    <row r="830" spans="1:7" ht="24.95" hidden="1" customHeight="1">
      <c r="A830" s="141"/>
      <c r="B830" s="141"/>
      <c r="C830" s="248"/>
      <c r="D830" s="256"/>
      <c r="E830" s="150"/>
      <c r="F830" s="150"/>
      <c r="G830" s="145"/>
    </row>
    <row r="831" spans="1:7" ht="24.95" hidden="1" customHeight="1">
      <c r="A831" s="141"/>
      <c r="B831" s="141"/>
      <c r="C831" s="248"/>
      <c r="D831" s="256"/>
      <c r="E831" s="150"/>
      <c r="F831" s="150"/>
      <c r="G831" s="145"/>
    </row>
    <row r="832" spans="1:7" ht="24.95" hidden="1" customHeight="1">
      <c r="A832" s="141"/>
      <c r="B832" s="141"/>
      <c r="C832" s="248"/>
      <c r="D832" s="256"/>
      <c r="E832" s="150"/>
      <c r="F832" s="150"/>
      <c r="G832" s="145"/>
    </row>
    <row r="833" spans="1:7" ht="24.95" hidden="1" customHeight="1">
      <c r="A833" s="141"/>
      <c r="B833" s="141"/>
      <c r="C833" s="248"/>
      <c r="D833" s="256"/>
      <c r="E833" s="150"/>
      <c r="F833" s="150"/>
      <c r="G833" s="145"/>
    </row>
    <row r="834" spans="1:7" ht="24.95" hidden="1" customHeight="1">
      <c r="A834" s="141"/>
      <c r="B834" s="141"/>
      <c r="C834" s="248"/>
      <c r="D834" s="256"/>
      <c r="E834" s="150"/>
      <c r="F834" s="150"/>
      <c r="G834" s="145"/>
    </row>
    <row r="835" spans="1:7" ht="24.95" hidden="1" customHeight="1">
      <c r="A835" s="141"/>
      <c r="B835" s="141"/>
      <c r="C835" s="248"/>
      <c r="D835" s="256"/>
      <c r="E835" s="150"/>
      <c r="F835" s="150"/>
      <c r="G835" s="145"/>
    </row>
    <row r="836" spans="1:7" ht="24.95" hidden="1" customHeight="1">
      <c r="A836" s="141"/>
      <c r="B836" s="141"/>
      <c r="C836" s="248"/>
      <c r="D836" s="256"/>
      <c r="E836" s="150"/>
      <c r="F836" s="150"/>
      <c r="G836" s="145"/>
    </row>
    <row r="837" spans="1:7" ht="24.95" hidden="1" customHeight="1">
      <c r="A837" s="141"/>
      <c r="B837" s="141"/>
      <c r="C837" s="248"/>
      <c r="D837" s="256"/>
      <c r="E837" s="150"/>
      <c r="F837" s="150"/>
      <c r="G837" s="145"/>
    </row>
    <row r="838" spans="1:7" ht="24.95" hidden="1" customHeight="1">
      <c r="A838" s="141"/>
      <c r="B838" s="141"/>
      <c r="C838" s="248"/>
      <c r="D838" s="256"/>
      <c r="E838" s="150"/>
      <c r="F838" s="150"/>
      <c r="G838" s="145"/>
    </row>
    <row r="839" spans="1:7" ht="24.95" hidden="1" customHeight="1">
      <c r="A839" s="141"/>
      <c r="B839" s="141"/>
      <c r="C839" s="248"/>
      <c r="D839" s="256"/>
      <c r="E839" s="150"/>
      <c r="F839" s="150"/>
      <c r="G839" s="145"/>
    </row>
    <row r="840" spans="1:7" ht="24.95" hidden="1" customHeight="1">
      <c r="A840" s="141"/>
      <c r="B840" s="141"/>
      <c r="C840" s="248"/>
      <c r="D840" s="256"/>
      <c r="E840" s="150"/>
      <c r="F840" s="150"/>
      <c r="G840" s="145"/>
    </row>
    <row r="841" spans="1:7" ht="24.95" hidden="1" customHeight="1">
      <c r="A841" s="141"/>
      <c r="B841" s="141"/>
      <c r="C841" s="248"/>
      <c r="D841" s="256"/>
      <c r="E841" s="150"/>
      <c r="F841" s="150"/>
      <c r="G841" s="145"/>
    </row>
    <row r="842" spans="1:7" ht="24.95" hidden="1" customHeight="1">
      <c r="A842" s="141"/>
      <c r="B842" s="141"/>
      <c r="C842" s="248"/>
      <c r="D842" s="256"/>
      <c r="E842" s="150"/>
      <c r="F842" s="150"/>
      <c r="G842" s="145"/>
    </row>
    <row r="843" spans="1:7" ht="24.95" hidden="1" customHeight="1">
      <c r="A843" s="141"/>
      <c r="B843" s="141"/>
      <c r="C843" s="248"/>
      <c r="D843" s="256"/>
      <c r="E843" s="150"/>
      <c r="F843" s="150"/>
      <c r="G843" s="145"/>
    </row>
    <row r="844" spans="1:7" ht="24.95" hidden="1" customHeight="1">
      <c r="A844" s="141"/>
      <c r="B844" s="141"/>
      <c r="C844" s="248"/>
      <c r="D844" s="256"/>
      <c r="E844" s="150"/>
      <c r="F844" s="150"/>
      <c r="G844" s="145"/>
    </row>
    <row r="845" spans="1:7" ht="24.95" hidden="1" customHeight="1">
      <c r="A845" s="141"/>
      <c r="B845" s="141"/>
      <c r="C845" s="248"/>
      <c r="D845" s="256"/>
      <c r="E845" s="150"/>
      <c r="F845" s="150"/>
      <c r="G845" s="145"/>
    </row>
    <row r="846" spans="1:7" ht="24.95" hidden="1" customHeight="1">
      <c r="A846" s="141"/>
      <c r="B846" s="141"/>
      <c r="C846" s="248"/>
      <c r="D846" s="256"/>
      <c r="E846" s="150"/>
      <c r="F846" s="150"/>
      <c r="G846" s="145"/>
    </row>
    <row r="847" spans="1:7" ht="24.95" hidden="1" customHeight="1">
      <c r="A847" s="141"/>
      <c r="B847" s="141"/>
      <c r="C847" s="248"/>
      <c r="D847" s="256"/>
      <c r="E847" s="150"/>
      <c r="F847" s="150"/>
      <c r="G847" s="145"/>
    </row>
    <row r="848" spans="1:7" ht="24.95" hidden="1" customHeight="1">
      <c r="A848" s="141"/>
      <c r="B848" s="141"/>
      <c r="C848" s="248"/>
      <c r="D848" s="256"/>
      <c r="E848" s="150"/>
      <c r="F848" s="150"/>
      <c r="G848" s="145"/>
    </row>
    <row r="849" spans="1:7" ht="24.95" hidden="1" customHeight="1">
      <c r="A849" s="141"/>
      <c r="B849" s="141"/>
      <c r="C849" s="248"/>
      <c r="D849" s="256"/>
      <c r="E849" s="150"/>
      <c r="F849" s="150"/>
      <c r="G849" s="145"/>
    </row>
    <row r="850" spans="1:7" ht="24.95" hidden="1" customHeight="1">
      <c r="A850" s="141"/>
      <c r="B850" s="141"/>
      <c r="C850" s="248"/>
      <c r="D850" s="256"/>
      <c r="E850" s="150"/>
      <c r="F850" s="150"/>
      <c r="G850" s="145"/>
    </row>
    <row r="851" spans="1:7" ht="24.95" hidden="1" customHeight="1">
      <c r="A851" s="141"/>
      <c r="B851" s="141"/>
      <c r="C851" s="248"/>
      <c r="D851" s="256"/>
      <c r="E851" s="150"/>
      <c r="F851" s="150"/>
      <c r="G851" s="145"/>
    </row>
    <row r="852" spans="1:7" ht="24.95" hidden="1" customHeight="1">
      <c r="A852" s="141"/>
      <c r="B852" s="141"/>
      <c r="C852" s="248"/>
      <c r="D852" s="256"/>
      <c r="E852" s="150"/>
      <c r="F852" s="150"/>
      <c r="G852" s="145"/>
    </row>
    <row r="853" spans="1:7" ht="24.95" hidden="1" customHeight="1">
      <c r="A853" s="141"/>
      <c r="B853" s="141"/>
      <c r="C853" s="248"/>
      <c r="D853" s="256"/>
      <c r="E853" s="150"/>
      <c r="F853" s="150"/>
      <c r="G853" s="145"/>
    </row>
    <row r="854" spans="1:7" ht="24.95" hidden="1" customHeight="1">
      <c r="A854" s="141"/>
      <c r="B854" s="141"/>
      <c r="C854" s="248"/>
      <c r="D854" s="256"/>
      <c r="E854" s="150"/>
      <c r="F854" s="150"/>
      <c r="G854" s="145"/>
    </row>
    <row r="855" spans="1:7" ht="24.95" hidden="1" customHeight="1">
      <c r="A855" s="141"/>
      <c r="B855" s="141"/>
      <c r="C855" s="248"/>
      <c r="D855" s="256"/>
      <c r="E855" s="150"/>
      <c r="F855" s="150"/>
      <c r="G855" s="145"/>
    </row>
    <row r="856" spans="1:7" ht="24.95" hidden="1" customHeight="1">
      <c r="A856" s="141"/>
      <c r="B856" s="141"/>
      <c r="C856" s="248"/>
      <c r="D856" s="256"/>
      <c r="E856" s="150"/>
      <c r="F856" s="150"/>
      <c r="G856" s="145"/>
    </row>
    <row r="857" spans="1:7" ht="24.95" hidden="1" customHeight="1">
      <c r="A857" s="141"/>
      <c r="B857" s="141"/>
      <c r="C857" s="248"/>
      <c r="D857" s="256"/>
      <c r="E857" s="150"/>
      <c r="F857" s="150"/>
      <c r="G857" s="145"/>
    </row>
    <row r="858" spans="1:7" ht="24.95" hidden="1" customHeight="1">
      <c r="A858" s="141"/>
      <c r="B858" s="141"/>
      <c r="C858" s="248"/>
      <c r="D858" s="256"/>
      <c r="E858" s="150"/>
      <c r="F858" s="150"/>
      <c r="G858" s="145"/>
    </row>
    <row r="859" spans="1:7" ht="24.95" hidden="1" customHeight="1">
      <c r="A859" s="141"/>
      <c r="B859" s="141"/>
      <c r="C859" s="248"/>
      <c r="D859" s="256"/>
      <c r="E859" s="150"/>
      <c r="F859" s="150"/>
      <c r="G859" s="145"/>
    </row>
    <row r="860" spans="1:7" ht="24.95" hidden="1" customHeight="1">
      <c r="A860" s="141"/>
      <c r="B860" s="141"/>
      <c r="C860" s="248"/>
      <c r="D860" s="256"/>
      <c r="E860" s="150"/>
      <c r="F860" s="150"/>
      <c r="G860" s="145"/>
    </row>
    <row r="861" spans="1:7" ht="24.95" hidden="1" customHeight="1">
      <c r="A861" s="141"/>
      <c r="B861" s="141"/>
      <c r="C861" s="248"/>
      <c r="D861" s="256"/>
      <c r="E861" s="150"/>
      <c r="F861" s="150"/>
      <c r="G861" s="145"/>
    </row>
    <row r="862" spans="1:7" ht="24.95" hidden="1" customHeight="1">
      <c r="A862" s="141"/>
      <c r="B862" s="141"/>
      <c r="C862" s="248"/>
      <c r="D862" s="256"/>
      <c r="E862" s="150"/>
      <c r="F862" s="150"/>
      <c r="G862" s="145"/>
    </row>
    <row r="863" spans="1:7" ht="24.95" hidden="1" customHeight="1">
      <c r="A863" s="141"/>
      <c r="B863" s="141"/>
      <c r="C863" s="248"/>
      <c r="D863" s="256"/>
      <c r="E863" s="150"/>
      <c r="F863" s="150"/>
      <c r="G863" s="145"/>
    </row>
    <row r="864" spans="1:7" ht="24.95" hidden="1" customHeight="1">
      <c r="A864" s="141"/>
      <c r="B864" s="141"/>
      <c r="C864" s="248"/>
      <c r="D864" s="256"/>
      <c r="E864" s="150"/>
      <c r="F864" s="150"/>
      <c r="G864" s="145"/>
    </row>
    <row r="865" spans="1:7" ht="24.95" hidden="1" customHeight="1">
      <c r="A865" s="141"/>
      <c r="B865" s="141"/>
      <c r="C865" s="248"/>
      <c r="D865" s="256"/>
      <c r="E865" s="150"/>
      <c r="F865" s="150"/>
      <c r="G865" s="145"/>
    </row>
    <row r="866" spans="1:7" ht="24.95" hidden="1" customHeight="1">
      <c r="A866" s="141"/>
      <c r="B866" s="141"/>
      <c r="C866" s="248"/>
      <c r="D866" s="256"/>
      <c r="E866" s="150"/>
      <c r="F866" s="150"/>
      <c r="G866" s="145"/>
    </row>
    <row r="867" spans="1:7" ht="24.95" hidden="1" customHeight="1">
      <c r="A867" s="141"/>
      <c r="B867" s="141"/>
      <c r="C867" s="248"/>
      <c r="D867" s="256"/>
      <c r="E867" s="150"/>
      <c r="F867" s="150"/>
      <c r="G867" s="145"/>
    </row>
    <row r="868" spans="1:7" ht="24.95" hidden="1" customHeight="1">
      <c r="A868" s="141"/>
      <c r="B868" s="141"/>
      <c r="C868" s="248"/>
      <c r="D868" s="256"/>
      <c r="E868" s="150"/>
      <c r="F868" s="150"/>
      <c r="G868" s="145"/>
    </row>
    <row r="869" spans="1:7" ht="24.95" hidden="1" customHeight="1">
      <c r="A869" s="141"/>
      <c r="B869" s="141"/>
      <c r="C869" s="248"/>
      <c r="D869" s="256"/>
      <c r="E869" s="150"/>
      <c r="F869" s="150"/>
      <c r="G869" s="145"/>
    </row>
    <row r="870" spans="1:7" ht="24.95" hidden="1" customHeight="1">
      <c r="A870" s="141"/>
      <c r="B870" s="141"/>
      <c r="C870" s="248"/>
      <c r="D870" s="256"/>
      <c r="E870" s="150"/>
      <c r="F870" s="150"/>
      <c r="G870" s="145"/>
    </row>
    <row r="871" spans="1:7" ht="24.95" hidden="1" customHeight="1">
      <c r="A871" s="141"/>
      <c r="B871" s="141"/>
      <c r="C871" s="248"/>
      <c r="D871" s="256"/>
      <c r="E871" s="150"/>
      <c r="F871" s="150"/>
      <c r="G871" s="145"/>
    </row>
    <row r="872" spans="1:7" ht="24.95" hidden="1" customHeight="1">
      <c r="A872" s="141"/>
      <c r="B872" s="141"/>
      <c r="C872" s="248"/>
      <c r="D872" s="256"/>
      <c r="E872" s="150"/>
      <c r="F872" s="150"/>
      <c r="G872" s="145"/>
    </row>
    <row r="873" spans="1:7" ht="24.95" hidden="1" customHeight="1">
      <c r="A873" s="141"/>
      <c r="B873" s="141"/>
      <c r="C873" s="248"/>
      <c r="D873" s="256"/>
      <c r="E873" s="150"/>
      <c r="F873" s="150"/>
      <c r="G873" s="145"/>
    </row>
    <row r="874" spans="1:7" ht="24.95" hidden="1" customHeight="1">
      <c r="A874" s="141"/>
      <c r="B874" s="141"/>
      <c r="C874" s="248"/>
      <c r="D874" s="256"/>
      <c r="E874" s="150"/>
      <c r="F874" s="150"/>
      <c r="G874" s="145"/>
    </row>
    <row r="875" spans="1:7" ht="24.95" hidden="1" customHeight="1">
      <c r="A875" s="141"/>
      <c r="B875" s="141"/>
      <c r="C875" s="248"/>
      <c r="D875" s="256"/>
      <c r="E875" s="150"/>
      <c r="F875" s="150"/>
      <c r="G875" s="145"/>
    </row>
    <row r="876" spans="1:7" ht="24.95" hidden="1" customHeight="1">
      <c r="A876" s="141"/>
      <c r="B876" s="141"/>
      <c r="C876" s="248"/>
      <c r="D876" s="256"/>
      <c r="E876" s="150"/>
      <c r="F876" s="150"/>
      <c r="G876" s="145"/>
    </row>
    <row r="877" spans="1:7" ht="24.95" hidden="1" customHeight="1">
      <c r="A877" s="141"/>
      <c r="B877" s="141"/>
      <c r="C877" s="248"/>
      <c r="D877" s="256"/>
      <c r="E877" s="150"/>
      <c r="F877" s="150"/>
      <c r="G877" s="145"/>
    </row>
    <row r="878" spans="1:7" ht="24.95" hidden="1" customHeight="1">
      <c r="A878" s="141"/>
      <c r="B878" s="141"/>
      <c r="C878" s="248"/>
      <c r="D878" s="256"/>
      <c r="E878" s="150"/>
      <c r="F878" s="150"/>
      <c r="G878" s="145"/>
    </row>
    <row r="879" spans="1:7" ht="24.95" hidden="1" customHeight="1">
      <c r="A879" s="141"/>
      <c r="B879" s="141"/>
      <c r="C879" s="248"/>
      <c r="D879" s="256"/>
      <c r="E879" s="150"/>
      <c r="F879" s="150"/>
      <c r="G879" s="145"/>
    </row>
    <row r="880" spans="1:7" ht="24.95" hidden="1" customHeight="1">
      <c r="A880" s="141"/>
      <c r="B880" s="141"/>
      <c r="C880" s="248"/>
      <c r="D880" s="256"/>
      <c r="E880" s="150"/>
      <c r="F880" s="150"/>
      <c r="G880" s="145"/>
    </row>
    <row r="881" spans="1:7" ht="24.95" hidden="1" customHeight="1">
      <c r="A881" s="141"/>
      <c r="B881" s="141"/>
      <c r="C881" s="248"/>
      <c r="D881" s="256"/>
      <c r="E881" s="150"/>
      <c r="F881" s="150"/>
      <c r="G881" s="145"/>
    </row>
    <row r="882" spans="1:7" ht="24.95" hidden="1" customHeight="1">
      <c r="A882" s="141"/>
      <c r="B882" s="141"/>
      <c r="C882" s="248"/>
      <c r="D882" s="256"/>
      <c r="E882" s="150"/>
      <c r="F882" s="150"/>
      <c r="G882" s="145"/>
    </row>
    <row r="883" spans="1:7" ht="24.95" hidden="1" customHeight="1">
      <c r="A883" s="141"/>
      <c r="B883" s="141"/>
      <c r="C883" s="248"/>
      <c r="D883" s="256"/>
      <c r="E883" s="150"/>
      <c r="F883" s="150"/>
      <c r="G883" s="145"/>
    </row>
    <row r="884" spans="1:7" ht="24.95" hidden="1" customHeight="1">
      <c r="A884" s="141"/>
      <c r="B884" s="141"/>
      <c r="C884" s="248"/>
      <c r="D884" s="256"/>
      <c r="E884" s="150"/>
      <c r="F884" s="150"/>
      <c r="G884" s="145"/>
    </row>
    <row r="885" spans="1:7" ht="24.95" hidden="1" customHeight="1">
      <c r="A885" s="141"/>
      <c r="B885" s="141"/>
      <c r="C885" s="248"/>
      <c r="D885" s="256"/>
      <c r="E885" s="150"/>
      <c r="F885" s="150"/>
      <c r="G885" s="145"/>
    </row>
    <row r="886" spans="1:7" ht="24.95" hidden="1" customHeight="1">
      <c r="A886" s="141"/>
      <c r="B886" s="141"/>
      <c r="C886" s="248"/>
      <c r="D886" s="256"/>
      <c r="E886" s="150"/>
      <c r="F886" s="150"/>
      <c r="G886" s="145"/>
    </row>
    <row r="887" spans="1:7" ht="24.95" hidden="1" customHeight="1">
      <c r="A887" s="141"/>
      <c r="B887" s="141"/>
      <c r="C887" s="248"/>
      <c r="D887" s="256"/>
      <c r="E887" s="150"/>
      <c r="F887" s="150"/>
      <c r="G887" s="145"/>
    </row>
    <row r="888" spans="1:7" ht="24.95" hidden="1" customHeight="1">
      <c r="A888" s="141"/>
      <c r="B888" s="141"/>
      <c r="C888" s="248"/>
      <c r="D888" s="256"/>
      <c r="E888" s="150"/>
      <c r="F888" s="150"/>
      <c r="G888" s="145"/>
    </row>
    <row r="889" spans="1:7" ht="24.95" hidden="1" customHeight="1">
      <c r="A889" s="141"/>
      <c r="B889" s="141"/>
      <c r="C889" s="248"/>
      <c r="D889" s="256"/>
      <c r="E889" s="150"/>
      <c r="F889" s="150"/>
      <c r="G889" s="145"/>
    </row>
    <row r="890" spans="1:7" ht="24.95" hidden="1" customHeight="1">
      <c r="A890" s="141"/>
      <c r="B890" s="141"/>
      <c r="C890" s="248"/>
      <c r="D890" s="256"/>
      <c r="E890" s="150"/>
      <c r="F890" s="150"/>
      <c r="G890" s="145"/>
    </row>
    <row r="891" spans="1:7" ht="24.95" hidden="1" customHeight="1">
      <c r="A891" s="141"/>
      <c r="B891" s="141"/>
      <c r="C891" s="248"/>
      <c r="D891" s="256"/>
      <c r="E891" s="150"/>
      <c r="F891" s="150"/>
      <c r="G891" s="145"/>
    </row>
    <row r="892" spans="1:7" ht="24.95" hidden="1" customHeight="1">
      <c r="A892" s="141"/>
      <c r="B892" s="141"/>
      <c r="C892" s="248"/>
      <c r="D892" s="256"/>
      <c r="E892" s="150"/>
      <c r="F892" s="150"/>
      <c r="G892" s="145"/>
    </row>
    <row r="893" spans="1:7" ht="24.95" hidden="1" customHeight="1">
      <c r="A893" s="141"/>
      <c r="B893" s="141"/>
      <c r="C893" s="248"/>
      <c r="D893" s="256"/>
      <c r="E893" s="150"/>
      <c r="F893" s="150"/>
      <c r="G893" s="145"/>
    </row>
    <row r="894" spans="1:7" ht="24.95" hidden="1" customHeight="1">
      <c r="A894" s="141"/>
      <c r="B894" s="141"/>
      <c r="C894" s="248"/>
      <c r="D894" s="256"/>
      <c r="E894" s="150"/>
      <c r="F894" s="150"/>
      <c r="G894" s="145"/>
    </row>
    <row r="895" spans="1:7" ht="24.95" hidden="1" customHeight="1">
      <c r="A895" s="141"/>
      <c r="B895" s="141"/>
      <c r="C895" s="248"/>
      <c r="D895" s="256"/>
      <c r="E895" s="150"/>
      <c r="F895" s="150"/>
      <c r="G895" s="145"/>
    </row>
    <row r="896" spans="1:7" ht="24.95" hidden="1" customHeight="1">
      <c r="A896" s="141"/>
      <c r="B896" s="141"/>
      <c r="C896" s="248"/>
      <c r="D896" s="256"/>
      <c r="E896" s="150"/>
      <c r="F896" s="150"/>
      <c r="G896" s="145"/>
    </row>
    <row r="897" spans="1:7" ht="24.95" hidden="1" customHeight="1">
      <c r="A897" s="141"/>
      <c r="B897" s="141"/>
      <c r="C897" s="248"/>
      <c r="D897" s="256"/>
      <c r="E897" s="150"/>
      <c r="F897" s="150"/>
      <c r="G897" s="145"/>
    </row>
    <row r="898" spans="1:7" ht="24.95" hidden="1" customHeight="1">
      <c r="A898" s="141"/>
      <c r="B898" s="141"/>
      <c r="C898" s="248"/>
      <c r="D898" s="256"/>
      <c r="E898" s="150"/>
      <c r="F898" s="150"/>
      <c r="G898" s="145"/>
    </row>
    <row r="899" spans="1:7" ht="24.95" hidden="1" customHeight="1">
      <c r="A899" s="141"/>
      <c r="B899" s="141"/>
      <c r="C899" s="248"/>
      <c r="D899" s="256"/>
      <c r="E899" s="150"/>
      <c r="F899" s="150"/>
      <c r="G899" s="145"/>
    </row>
    <row r="900" spans="1:7" ht="24.95" hidden="1" customHeight="1">
      <c r="A900" s="141"/>
      <c r="B900" s="141"/>
      <c r="C900" s="248"/>
      <c r="D900" s="256"/>
      <c r="E900" s="150"/>
      <c r="F900" s="150"/>
      <c r="G900" s="145"/>
    </row>
    <row r="901" spans="1:7" ht="24.95" hidden="1" customHeight="1">
      <c r="A901" s="141"/>
      <c r="B901" s="141"/>
      <c r="C901" s="248"/>
      <c r="D901" s="256"/>
      <c r="E901" s="150"/>
      <c r="F901" s="150"/>
      <c r="G901" s="145"/>
    </row>
    <row r="902" spans="1:7" ht="24.95" hidden="1" customHeight="1">
      <c r="A902" s="141"/>
      <c r="B902" s="141"/>
      <c r="C902" s="248"/>
      <c r="D902" s="256"/>
      <c r="E902" s="150"/>
      <c r="F902" s="150"/>
      <c r="G902" s="145"/>
    </row>
    <row r="903" spans="1:7" ht="24.95" hidden="1" customHeight="1">
      <c r="A903" s="141"/>
      <c r="B903" s="141"/>
      <c r="C903" s="248"/>
      <c r="D903" s="256"/>
      <c r="E903" s="150"/>
      <c r="F903" s="150"/>
      <c r="G903" s="145"/>
    </row>
    <row r="904" spans="1:7" ht="24.95" hidden="1" customHeight="1">
      <c r="A904" s="141"/>
      <c r="B904" s="141"/>
      <c r="C904" s="248"/>
      <c r="D904" s="256"/>
      <c r="E904" s="150"/>
      <c r="F904" s="150"/>
      <c r="G904" s="145"/>
    </row>
    <row r="905" spans="1:7" ht="24.95" hidden="1" customHeight="1">
      <c r="A905" s="141"/>
      <c r="B905" s="141"/>
      <c r="C905" s="248"/>
      <c r="D905" s="256"/>
      <c r="E905" s="150"/>
      <c r="F905" s="150"/>
      <c r="G905" s="145"/>
    </row>
    <row r="906" spans="1:7" ht="24.95" hidden="1" customHeight="1">
      <c r="A906" s="141"/>
      <c r="B906" s="141"/>
      <c r="C906" s="248"/>
      <c r="D906" s="256"/>
      <c r="E906" s="150"/>
      <c r="F906" s="150"/>
      <c r="G906" s="145"/>
    </row>
    <row r="907" spans="1:7" ht="24.95" hidden="1" customHeight="1">
      <c r="A907" s="141"/>
      <c r="B907" s="141"/>
      <c r="C907" s="248"/>
      <c r="D907" s="256"/>
      <c r="E907" s="150"/>
      <c r="F907" s="150"/>
      <c r="G907" s="145"/>
    </row>
    <row r="908" spans="1:7" ht="24.95" hidden="1" customHeight="1">
      <c r="A908" s="141"/>
      <c r="B908" s="141"/>
      <c r="C908" s="248"/>
      <c r="D908" s="256"/>
      <c r="E908" s="150"/>
      <c r="F908" s="150"/>
      <c r="G908" s="145"/>
    </row>
    <row r="909" spans="1:7" ht="24.95" hidden="1" customHeight="1">
      <c r="A909" s="141"/>
      <c r="B909" s="141"/>
      <c r="C909" s="248"/>
      <c r="D909" s="256"/>
      <c r="E909" s="150"/>
      <c r="F909" s="150"/>
      <c r="G909" s="145"/>
    </row>
    <row r="910" spans="1:7" ht="24.95" hidden="1" customHeight="1">
      <c r="A910" s="141"/>
      <c r="B910" s="141"/>
      <c r="C910" s="248"/>
      <c r="D910" s="256"/>
      <c r="E910" s="150"/>
      <c r="F910" s="150"/>
      <c r="G910" s="145"/>
    </row>
    <row r="911" spans="1:7" ht="24.95" hidden="1" customHeight="1">
      <c r="A911" s="141"/>
      <c r="B911" s="141"/>
      <c r="C911" s="248"/>
      <c r="D911" s="256"/>
      <c r="E911" s="150"/>
      <c r="F911" s="150"/>
      <c r="G911" s="145"/>
    </row>
    <row r="912" spans="1:7" ht="24.95" hidden="1" customHeight="1">
      <c r="A912" s="141"/>
      <c r="B912" s="141"/>
      <c r="C912" s="248"/>
      <c r="D912" s="256"/>
      <c r="E912" s="150"/>
      <c r="F912" s="150"/>
      <c r="G912" s="145"/>
    </row>
    <row r="913" spans="1:7" ht="24.95" hidden="1" customHeight="1">
      <c r="A913" s="141"/>
      <c r="B913" s="141"/>
      <c r="C913" s="248"/>
      <c r="D913" s="256"/>
      <c r="E913" s="150"/>
      <c r="F913" s="150"/>
      <c r="G913" s="145"/>
    </row>
    <row r="914" spans="1:7" ht="24.95" hidden="1" customHeight="1">
      <c r="A914" s="141"/>
      <c r="B914" s="141"/>
      <c r="C914" s="248"/>
      <c r="D914" s="256"/>
      <c r="E914" s="150"/>
      <c r="F914" s="150"/>
      <c r="G914" s="145"/>
    </row>
    <row r="915" spans="1:7" ht="24.95" hidden="1" customHeight="1">
      <c r="A915" s="141"/>
      <c r="B915" s="141"/>
      <c r="C915" s="248"/>
      <c r="D915" s="256"/>
      <c r="E915" s="150"/>
      <c r="F915" s="150"/>
      <c r="G915" s="145"/>
    </row>
    <row r="916" spans="1:7" ht="24.95" hidden="1" customHeight="1">
      <c r="A916" s="141"/>
      <c r="B916" s="141"/>
      <c r="C916" s="248"/>
      <c r="D916" s="256"/>
      <c r="E916" s="150"/>
      <c r="F916" s="150"/>
      <c r="G916" s="145"/>
    </row>
    <row r="917" spans="1:7" ht="24.95" hidden="1" customHeight="1">
      <c r="A917" s="141"/>
      <c r="B917" s="141"/>
      <c r="C917" s="248"/>
      <c r="D917" s="256"/>
      <c r="E917" s="150"/>
      <c r="F917" s="150"/>
      <c r="G917" s="145"/>
    </row>
    <row r="918" spans="1:7" ht="24.95" hidden="1" customHeight="1">
      <c r="A918" s="141"/>
      <c r="B918" s="141"/>
      <c r="C918" s="248"/>
      <c r="D918" s="256"/>
      <c r="E918" s="150"/>
      <c r="F918" s="150"/>
      <c r="G918" s="145"/>
    </row>
    <row r="919" spans="1:7" ht="24.95" hidden="1" customHeight="1">
      <c r="A919" s="141"/>
      <c r="B919" s="141"/>
      <c r="C919" s="248"/>
      <c r="D919" s="256"/>
      <c r="E919" s="150"/>
      <c r="F919" s="150"/>
      <c r="G919" s="145"/>
    </row>
    <row r="920" spans="1:7" ht="24.95" hidden="1" customHeight="1">
      <c r="A920" s="141"/>
      <c r="B920" s="141"/>
      <c r="C920" s="248"/>
      <c r="D920" s="256"/>
      <c r="E920" s="150"/>
      <c r="F920" s="150"/>
      <c r="G920" s="145"/>
    </row>
    <row r="921" spans="1:7" ht="24.95" hidden="1" customHeight="1">
      <c r="A921" s="141"/>
      <c r="B921" s="141"/>
      <c r="C921" s="248"/>
      <c r="D921" s="256"/>
      <c r="E921" s="150"/>
      <c r="F921" s="150"/>
      <c r="G921" s="145"/>
    </row>
    <row r="922" spans="1:7" ht="24.95" hidden="1" customHeight="1">
      <c r="A922" s="141"/>
      <c r="B922" s="141"/>
      <c r="C922" s="248"/>
      <c r="D922" s="256"/>
      <c r="E922" s="150"/>
      <c r="F922" s="150"/>
      <c r="G922" s="145"/>
    </row>
    <row r="923" spans="1:7" ht="24.95" hidden="1" customHeight="1">
      <c r="A923" s="141"/>
      <c r="B923" s="141"/>
      <c r="C923" s="248"/>
      <c r="D923" s="256"/>
      <c r="E923" s="150"/>
      <c r="F923" s="150"/>
      <c r="G923" s="145"/>
    </row>
    <row r="924" spans="1:7" ht="24.95" hidden="1" customHeight="1">
      <c r="A924" s="141"/>
      <c r="B924" s="141"/>
      <c r="C924" s="248"/>
      <c r="D924" s="256"/>
      <c r="E924" s="150"/>
      <c r="F924" s="150"/>
      <c r="G924" s="145"/>
    </row>
    <row r="925" spans="1:7" ht="24.95" hidden="1" customHeight="1">
      <c r="A925" s="141"/>
      <c r="B925" s="141"/>
      <c r="C925" s="248"/>
      <c r="D925" s="256"/>
      <c r="E925" s="150"/>
      <c r="F925" s="150"/>
      <c r="G925" s="145"/>
    </row>
    <row r="926" spans="1:7" ht="24.95" hidden="1" customHeight="1">
      <c r="A926" s="141"/>
      <c r="B926" s="141"/>
      <c r="C926" s="248"/>
      <c r="D926" s="256"/>
      <c r="E926" s="150"/>
      <c r="F926" s="150"/>
      <c r="G926" s="145"/>
    </row>
    <row r="927" spans="1:7" ht="24.95" hidden="1" customHeight="1">
      <c r="A927" s="141"/>
      <c r="B927" s="141"/>
      <c r="C927" s="248"/>
      <c r="D927" s="256"/>
      <c r="E927" s="150"/>
      <c r="F927" s="150"/>
      <c r="G927" s="145"/>
    </row>
    <row r="928" spans="1:7" ht="24.95" hidden="1" customHeight="1">
      <c r="A928" s="141"/>
      <c r="B928" s="141"/>
      <c r="C928" s="248"/>
      <c r="D928" s="256"/>
      <c r="E928" s="150"/>
      <c r="F928" s="150"/>
      <c r="G928" s="145"/>
    </row>
    <row r="929" spans="1:7" ht="24.95" hidden="1" customHeight="1">
      <c r="A929" s="141"/>
      <c r="B929" s="141"/>
      <c r="C929" s="248"/>
      <c r="D929" s="256"/>
      <c r="E929" s="150"/>
      <c r="F929" s="150"/>
      <c r="G929" s="145"/>
    </row>
    <row r="930" spans="1:7" ht="24.95" hidden="1" customHeight="1">
      <c r="A930" s="141"/>
      <c r="B930" s="141"/>
      <c r="C930" s="248"/>
      <c r="D930" s="256"/>
      <c r="E930" s="150"/>
      <c r="F930" s="150"/>
      <c r="G930" s="145"/>
    </row>
    <row r="931" spans="1:7" ht="24.95" hidden="1" customHeight="1">
      <c r="A931" s="141"/>
      <c r="B931" s="141"/>
      <c r="C931" s="248"/>
      <c r="D931" s="256"/>
      <c r="E931" s="150"/>
      <c r="F931" s="150"/>
      <c r="G931" s="145"/>
    </row>
    <row r="932" spans="1:7" ht="24.95" hidden="1" customHeight="1">
      <c r="A932" s="141"/>
      <c r="B932" s="141"/>
      <c r="C932" s="248"/>
      <c r="D932" s="256"/>
      <c r="E932" s="150"/>
      <c r="F932" s="150"/>
      <c r="G932" s="145"/>
    </row>
    <row r="933" spans="1:7" ht="24.95" hidden="1" customHeight="1">
      <c r="A933" s="141"/>
      <c r="B933" s="141"/>
      <c r="C933" s="248"/>
      <c r="D933" s="256"/>
      <c r="E933" s="150"/>
      <c r="F933" s="150"/>
      <c r="G933" s="145"/>
    </row>
    <row r="934" spans="1:7" ht="24.95" hidden="1" customHeight="1">
      <c r="A934" s="141"/>
      <c r="B934" s="141"/>
      <c r="C934" s="248"/>
      <c r="D934" s="256"/>
      <c r="E934" s="150"/>
      <c r="F934" s="150"/>
      <c r="G934" s="145"/>
    </row>
    <row r="935" spans="1:7" ht="24.95" hidden="1" customHeight="1">
      <c r="A935" s="141"/>
      <c r="B935" s="141"/>
      <c r="C935" s="248"/>
      <c r="D935" s="256"/>
      <c r="E935" s="150"/>
      <c r="F935" s="150"/>
      <c r="G935" s="145"/>
    </row>
    <row r="936" spans="1:7" ht="24.95" hidden="1" customHeight="1">
      <c r="A936" s="141"/>
      <c r="B936" s="141"/>
      <c r="C936" s="248"/>
      <c r="D936" s="256"/>
      <c r="E936" s="150"/>
      <c r="F936" s="150"/>
      <c r="G936" s="145"/>
    </row>
    <row r="937" spans="1:7" ht="24.95" hidden="1" customHeight="1">
      <c r="A937" s="141"/>
      <c r="B937" s="141"/>
      <c r="C937" s="248"/>
      <c r="D937" s="256"/>
      <c r="E937" s="150"/>
      <c r="F937" s="150"/>
      <c r="G937" s="145"/>
    </row>
    <row r="938" spans="1:7" ht="24.95" hidden="1" customHeight="1">
      <c r="A938" s="141"/>
      <c r="B938" s="141"/>
      <c r="C938" s="248"/>
      <c r="D938" s="256"/>
      <c r="E938" s="150"/>
      <c r="F938" s="150"/>
      <c r="G938" s="145"/>
    </row>
    <row r="939" spans="1:7" ht="24.95" hidden="1" customHeight="1">
      <c r="A939" s="141"/>
      <c r="B939" s="141"/>
      <c r="C939" s="248"/>
      <c r="D939" s="256"/>
      <c r="E939" s="150"/>
      <c r="F939" s="150"/>
      <c r="G939" s="145"/>
    </row>
    <row r="940" spans="1:7" ht="24.95" hidden="1" customHeight="1">
      <c r="A940" s="141"/>
      <c r="B940" s="141"/>
      <c r="C940" s="248"/>
      <c r="D940" s="256"/>
      <c r="E940" s="150"/>
      <c r="F940" s="150"/>
      <c r="G940" s="145"/>
    </row>
    <row r="941" spans="1:7" ht="24.95" hidden="1" customHeight="1">
      <c r="A941" s="141"/>
      <c r="B941" s="141"/>
      <c r="C941" s="248"/>
      <c r="D941" s="256"/>
      <c r="E941" s="150"/>
      <c r="F941" s="150"/>
      <c r="G941" s="145"/>
    </row>
    <row r="942" spans="1:7" ht="24.95" hidden="1" customHeight="1">
      <c r="A942" s="141"/>
      <c r="B942" s="141"/>
      <c r="C942" s="248"/>
      <c r="D942" s="256"/>
      <c r="E942" s="150"/>
      <c r="F942" s="150"/>
      <c r="G942" s="145"/>
    </row>
    <row r="943" spans="1:7" ht="24.95" hidden="1" customHeight="1">
      <c r="A943" s="141"/>
      <c r="B943" s="141"/>
      <c r="C943" s="248"/>
      <c r="D943" s="256"/>
      <c r="E943" s="150"/>
      <c r="F943" s="150"/>
      <c r="G943" s="145"/>
    </row>
    <row r="944" spans="1:7" ht="24.95" hidden="1" customHeight="1">
      <c r="A944" s="141"/>
      <c r="B944" s="141"/>
      <c r="C944" s="248"/>
      <c r="D944" s="256"/>
      <c r="E944" s="150"/>
      <c r="F944" s="150"/>
      <c r="G944" s="145"/>
    </row>
    <row r="945" spans="1:7" ht="24.95" hidden="1" customHeight="1">
      <c r="A945" s="141"/>
      <c r="B945" s="141"/>
      <c r="C945" s="248"/>
      <c r="D945" s="256"/>
      <c r="E945" s="150"/>
      <c r="F945" s="150"/>
      <c r="G945" s="145"/>
    </row>
    <row r="946" spans="1:7" ht="24.95" hidden="1" customHeight="1">
      <c r="A946" s="141"/>
      <c r="B946" s="141"/>
      <c r="C946" s="248"/>
      <c r="D946" s="256"/>
      <c r="E946" s="150"/>
      <c r="F946" s="150"/>
      <c r="G946" s="145"/>
    </row>
    <row r="947" spans="1:7" ht="24.95" hidden="1" customHeight="1">
      <c r="A947" s="141"/>
      <c r="B947" s="141"/>
      <c r="C947" s="248"/>
      <c r="D947" s="256"/>
      <c r="E947" s="150"/>
      <c r="F947" s="150"/>
      <c r="G947" s="145"/>
    </row>
    <row r="948" spans="1:7" ht="24.95" hidden="1" customHeight="1">
      <c r="A948" s="141"/>
      <c r="B948" s="141"/>
      <c r="C948" s="248"/>
      <c r="D948" s="256"/>
      <c r="E948" s="150"/>
      <c r="F948" s="150"/>
      <c r="G948" s="145"/>
    </row>
    <row r="949" spans="1:7" ht="24.95" hidden="1" customHeight="1">
      <c r="A949" s="141"/>
      <c r="B949" s="141"/>
      <c r="C949" s="248"/>
      <c r="D949" s="256"/>
      <c r="E949" s="150"/>
      <c r="F949" s="150"/>
      <c r="G949" s="145"/>
    </row>
    <row r="950" spans="1:7" ht="24.95" hidden="1" customHeight="1">
      <c r="A950" s="141"/>
      <c r="B950" s="141"/>
      <c r="C950" s="248"/>
      <c r="D950" s="256"/>
      <c r="E950" s="150"/>
      <c r="F950" s="150"/>
      <c r="G950" s="145"/>
    </row>
    <row r="951" spans="1:7" ht="24.95" hidden="1" customHeight="1">
      <c r="A951" s="141"/>
      <c r="B951" s="141"/>
      <c r="C951" s="248"/>
      <c r="D951" s="256"/>
      <c r="E951" s="150"/>
      <c r="F951" s="150"/>
      <c r="G951" s="145"/>
    </row>
    <row r="952" spans="1:7" ht="24.95" hidden="1" customHeight="1">
      <c r="A952" s="141"/>
      <c r="B952" s="141"/>
      <c r="C952" s="248"/>
      <c r="D952" s="256"/>
      <c r="E952" s="150"/>
      <c r="F952" s="150"/>
      <c r="G952" s="145"/>
    </row>
    <row r="953" spans="1:7" ht="24.95" hidden="1" customHeight="1">
      <c r="A953" s="141"/>
      <c r="B953" s="141"/>
      <c r="C953" s="248"/>
      <c r="D953" s="256"/>
      <c r="E953" s="150"/>
      <c r="F953" s="150"/>
      <c r="G953" s="145"/>
    </row>
    <row r="954" spans="1:7" ht="24.95" hidden="1" customHeight="1">
      <c r="A954" s="141"/>
      <c r="B954" s="141"/>
      <c r="C954" s="248"/>
      <c r="D954" s="256"/>
      <c r="E954" s="150"/>
      <c r="F954" s="150"/>
      <c r="G954" s="145"/>
    </row>
    <row r="955" spans="1:7" ht="24.95" hidden="1" customHeight="1">
      <c r="A955" s="141"/>
      <c r="B955" s="141"/>
      <c r="C955" s="248"/>
      <c r="D955" s="256"/>
      <c r="E955" s="150"/>
      <c r="F955" s="150"/>
      <c r="G955" s="145"/>
    </row>
    <row r="956" spans="1:7" ht="24.95" hidden="1" customHeight="1">
      <c r="A956" s="141"/>
      <c r="B956" s="141"/>
      <c r="C956" s="248"/>
      <c r="D956" s="256"/>
      <c r="E956" s="150"/>
      <c r="F956" s="150"/>
      <c r="G956" s="145"/>
    </row>
    <row r="957" spans="1:7" ht="24.95" hidden="1" customHeight="1">
      <c r="A957" s="141"/>
      <c r="B957" s="141"/>
      <c r="C957" s="248"/>
      <c r="D957" s="256"/>
      <c r="E957" s="150"/>
      <c r="F957" s="150"/>
      <c r="G957" s="145"/>
    </row>
    <row r="958" spans="1:7" ht="24.95" hidden="1" customHeight="1">
      <c r="A958" s="141"/>
      <c r="B958" s="141"/>
      <c r="C958" s="248"/>
      <c r="D958" s="256"/>
      <c r="E958" s="150"/>
      <c r="F958" s="150"/>
      <c r="G958" s="145"/>
    </row>
    <row r="959" spans="1:7" ht="24.95" hidden="1" customHeight="1">
      <c r="A959" s="141"/>
      <c r="B959" s="141"/>
      <c r="C959" s="248"/>
      <c r="D959" s="256"/>
      <c r="E959" s="150"/>
      <c r="F959" s="150"/>
      <c r="G959" s="145"/>
    </row>
    <row r="960" spans="1:7" ht="24.95" hidden="1" customHeight="1">
      <c r="A960" s="141"/>
      <c r="B960" s="141"/>
      <c r="C960" s="248"/>
      <c r="D960" s="256"/>
      <c r="E960" s="150"/>
      <c r="F960" s="150"/>
      <c r="G960" s="145"/>
    </row>
    <row r="961" spans="1:7" ht="24.95" hidden="1" customHeight="1">
      <c r="A961" s="141"/>
      <c r="B961" s="141"/>
      <c r="C961" s="248"/>
      <c r="D961" s="256"/>
      <c r="E961" s="150"/>
      <c r="F961" s="150"/>
      <c r="G961" s="145"/>
    </row>
    <row r="962" spans="1:7" ht="24.95" hidden="1" customHeight="1">
      <c r="A962" s="141"/>
      <c r="B962" s="141"/>
      <c r="C962" s="248"/>
      <c r="D962" s="256"/>
      <c r="E962" s="150"/>
      <c r="F962" s="150"/>
      <c r="G962" s="145"/>
    </row>
    <row r="963" spans="1:7" ht="24.95" hidden="1" customHeight="1">
      <c r="A963" s="141"/>
      <c r="B963" s="141"/>
      <c r="C963" s="248"/>
      <c r="D963" s="256"/>
      <c r="E963" s="150"/>
      <c r="F963" s="150"/>
      <c r="G963" s="145"/>
    </row>
    <row r="964" spans="1:7" ht="24.95" hidden="1" customHeight="1">
      <c r="A964" s="141"/>
      <c r="B964" s="141"/>
      <c r="C964" s="248"/>
      <c r="D964" s="256"/>
      <c r="E964" s="150"/>
      <c r="F964" s="150"/>
      <c r="G964" s="145"/>
    </row>
    <row r="965" spans="1:7" ht="24.95" hidden="1" customHeight="1">
      <c r="A965" s="141"/>
      <c r="B965" s="141"/>
      <c r="C965" s="248"/>
      <c r="D965" s="256"/>
      <c r="E965" s="150"/>
      <c r="F965" s="150"/>
      <c r="G965" s="145"/>
    </row>
    <row r="966" spans="1:7" ht="24.95" hidden="1" customHeight="1">
      <c r="A966" s="141"/>
      <c r="B966" s="141"/>
      <c r="C966" s="248"/>
      <c r="D966" s="256"/>
      <c r="E966" s="150"/>
      <c r="F966" s="150"/>
      <c r="G966" s="145"/>
    </row>
    <row r="967" spans="1:7" ht="24.95" hidden="1" customHeight="1">
      <c r="A967" s="141"/>
      <c r="B967" s="141"/>
      <c r="C967" s="248"/>
      <c r="D967" s="256"/>
      <c r="E967" s="150"/>
      <c r="F967" s="150"/>
      <c r="G967" s="145"/>
    </row>
    <row r="968" spans="1:7" ht="24.95" hidden="1" customHeight="1">
      <c r="A968" s="141"/>
      <c r="B968" s="141"/>
      <c r="C968" s="248"/>
      <c r="D968" s="256"/>
      <c r="E968" s="150"/>
      <c r="F968" s="150"/>
      <c r="G968" s="145"/>
    </row>
    <row r="969" spans="1:7" ht="24.95" hidden="1" customHeight="1">
      <c r="A969" s="141"/>
      <c r="B969" s="141"/>
      <c r="C969" s="248"/>
      <c r="D969" s="256"/>
      <c r="E969" s="150"/>
      <c r="F969" s="150"/>
      <c r="G969" s="145"/>
    </row>
    <row r="970" spans="1:7" ht="24.95" hidden="1" customHeight="1">
      <c r="A970" s="141"/>
      <c r="B970" s="141"/>
      <c r="C970" s="248"/>
      <c r="D970" s="256"/>
      <c r="E970" s="150"/>
      <c r="F970" s="150"/>
      <c r="G970" s="145"/>
    </row>
    <row r="971" spans="1:7" ht="24.95" hidden="1" customHeight="1">
      <c r="A971" s="141"/>
      <c r="B971" s="141"/>
      <c r="C971" s="248"/>
      <c r="D971" s="256"/>
      <c r="E971" s="150"/>
      <c r="F971" s="150"/>
      <c r="G971" s="145"/>
    </row>
    <row r="972" spans="1:7" ht="24.95" hidden="1" customHeight="1">
      <c r="A972" s="141"/>
      <c r="B972" s="141"/>
      <c r="C972" s="248"/>
      <c r="D972" s="256"/>
      <c r="E972" s="150"/>
      <c r="F972" s="150"/>
      <c r="G972" s="145"/>
    </row>
    <row r="973" spans="1:7" ht="24.95" hidden="1" customHeight="1">
      <c r="A973" s="141"/>
      <c r="B973" s="141"/>
      <c r="C973" s="248"/>
      <c r="D973" s="256"/>
      <c r="E973" s="150"/>
      <c r="F973" s="150"/>
      <c r="G973" s="145"/>
    </row>
    <row r="974" spans="1:7" ht="24.95" hidden="1" customHeight="1">
      <c r="A974" s="141"/>
      <c r="B974" s="141"/>
      <c r="C974" s="248"/>
      <c r="D974" s="256"/>
      <c r="E974" s="150"/>
      <c r="F974" s="150"/>
      <c r="G974" s="145"/>
    </row>
    <row r="975" spans="1:7" ht="24.95" hidden="1" customHeight="1">
      <c r="A975" s="141"/>
      <c r="B975" s="141"/>
      <c r="C975" s="248"/>
      <c r="D975" s="256"/>
      <c r="E975" s="150"/>
      <c r="F975" s="150"/>
      <c r="G975" s="145"/>
    </row>
    <row r="976" spans="1:7" ht="24.95" hidden="1" customHeight="1">
      <c r="A976" s="141"/>
      <c r="B976" s="141"/>
      <c r="C976" s="248"/>
      <c r="D976" s="256"/>
      <c r="E976" s="150"/>
      <c r="F976" s="150"/>
      <c r="G976" s="145"/>
    </row>
    <row r="977" spans="1:7" ht="24.95" hidden="1" customHeight="1">
      <c r="A977" s="141"/>
      <c r="B977" s="141"/>
      <c r="C977" s="248"/>
      <c r="D977" s="256"/>
      <c r="E977" s="150"/>
      <c r="F977" s="150"/>
      <c r="G977" s="145"/>
    </row>
    <row r="978" spans="1:7" ht="24.95" hidden="1" customHeight="1">
      <c r="A978" s="141"/>
      <c r="B978" s="141"/>
      <c r="C978" s="248"/>
      <c r="D978" s="256"/>
      <c r="E978" s="150"/>
      <c r="F978" s="150"/>
      <c r="G978" s="145"/>
    </row>
    <row r="979" spans="1:7" ht="24.95" hidden="1" customHeight="1">
      <c r="A979" s="141"/>
      <c r="B979" s="141"/>
      <c r="C979" s="248"/>
      <c r="D979" s="256"/>
      <c r="E979" s="150"/>
      <c r="F979" s="150"/>
      <c r="G979" s="145"/>
    </row>
    <row r="980" spans="1:7" ht="24.95" hidden="1" customHeight="1">
      <c r="A980" s="141"/>
      <c r="B980" s="141"/>
      <c r="C980" s="248"/>
      <c r="D980" s="256"/>
      <c r="E980" s="150"/>
      <c r="F980" s="150"/>
      <c r="G980" s="145"/>
    </row>
    <row r="981" spans="1:7" ht="24.95" hidden="1" customHeight="1">
      <c r="A981" s="141"/>
      <c r="B981" s="141"/>
      <c r="C981" s="248"/>
      <c r="D981" s="256"/>
      <c r="E981" s="150"/>
      <c r="F981" s="150"/>
      <c r="G981" s="145"/>
    </row>
    <row r="982" spans="1:7" ht="24.95" hidden="1" customHeight="1">
      <c r="A982" s="141"/>
      <c r="B982" s="141"/>
      <c r="C982" s="248"/>
      <c r="D982" s="256"/>
      <c r="E982" s="150"/>
      <c r="F982" s="150"/>
      <c r="G982" s="145"/>
    </row>
    <row r="983" spans="1:7" ht="24.95" hidden="1" customHeight="1">
      <c r="A983" s="141"/>
      <c r="B983" s="141"/>
      <c r="C983" s="248"/>
      <c r="D983" s="256"/>
      <c r="E983" s="150"/>
      <c r="F983" s="150"/>
      <c r="G983" s="145"/>
    </row>
    <row r="984" spans="1:7" ht="24.95" hidden="1" customHeight="1">
      <c r="A984" s="141"/>
      <c r="B984" s="141"/>
      <c r="C984" s="248"/>
      <c r="D984" s="256"/>
      <c r="E984" s="150"/>
      <c r="F984" s="150"/>
      <c r="G984" s="145"/>
    </row>
    <row r="985" spans="1:7" ht="24.95" hidden="1" customHeight="1">
      <c r="A985" s="141"/>
      <c r="B985" s="141"/>
      <c r="C985" s="248"/>
      <c r="D985" s="256"/>
      <c r="E985" s="150"/>
      <c r="F985" s="150"/>
      <c r="G985" s="145"/>
    </row>
    <row r="986" spans="1:7" ht="24.95" hidden="1" customHeight="1">
      <c r="A986" s="141"/>
      <c r="B986" s="141"/>
      <c r="C986" s="248"/>
      <c r="D986" s="256"/>
      <c r="E986" s="150"/>
      <c r="F986" s="150"/>
      <c r="G986" s="145"/>
    </row>
    <row r="987" spans="1:7" ht="24.95" hidden="1" customHeight="1">
      <c r="A987" s="141"/>
      <c r="B987" s="141"/>
      <c r="C987" s="248"/>
      <c r="D987" s="256"/>
      <c r="E987" s="150"/>
      <c r="F987" s="150"/>
      <c r="G987" s="145"/>
    </row>
    <row r="988" spans="1:7" ht="24.95" hidden="1" customHeight="1">
      <c r="A988" s="141"/>
      <c r="B988" s="141"/>
      <c r="C988" s="248"/>
      <c r="D988" s="256"/>
      <c r="E988" s="150"/>
      <c r="F988" s="150"/>
      <c r="G988" s="145"/>
    </row>
    <row r="989" spans="1:7" ht="24.95" hidden="1" customHeight="1">
      <c r="A989" s="141"/>
      <c r="B989" s="141"/>
      <c r="C989" s="248"/>
      <c r="D989" s="256"/>
      <c r="E989" s="150"/>
      <c r="F989" s="150"/>
      <c r="G989" s="145"/>
    </row>
    <row r="990" spans="1:7" ht="24.95" hidden="1" customHeight="1">
      <c r="A990" s="141"/>
      <c r="B990" s="141"/>
      <c r="C990" s="248"/>
      <c r="D990" s="256"/>
      <c r="E990" s="150"/>
      <c r="F990" s="150"/>
      <c r="G990" s="145"/>
    </row>
    <row r="991" spans="1:7" ht="24.95" hidden="1" customHeight="1">
      <c r="A991" s="141"/>
      <c r="B991" s="141"/>
      <c r="C991" s="248"/>
      <c r="D991" s="256"/>
      <c r="E991" s="150"/>
      <c r="F991" s="150"/>
      <c r="G991" s="145"/>
    </row>
    <row r="992" spans="1:7" ht="24.95" hidden="1" customHeight="1">
      <c r="A992" s="141"/>
      <c r="B992" s="141"/>
      <c r="C992" s="248"/>
      <c r="D992" s="256"/>
      <c r="E992" s="150"/>
      <c r="F992" s="150"/>
      <c r="G992" s="145"/>
    </row>
    <row r="993" spans="1:7" ht="24.95" hidden="1" customHeight="1">
      <c r="A993" s="141"/>
      <c r="B993" s="141"/>
      <c r="C993" s="248"/>
      <c r="D993" s="256"/>
      <c r="E993" s="150"/>
      <c r="F993" s="150"/>
      <c r="G993" s="145"/>
    </row>
    <row r="994" spans="1:7" ht="24.95" hidden="1" customHeight="1">
      <c r="A994" s="141"/>
      <c r="B994" s="141"/>
      <c r="C994" s="248"/>
      <c r="D994" s="256"/>
      <c r="E994" s="150"/>
      <c r="F994" s="150"/>
      <c r="G994" s="145"/>
    </row>
    <row r="995" spans="1:7" ht="24.95" hidden="1" customHeight="1">
      <c r="A995" s="141"/>
      <c r="B995" s="141"/>
      <c r="C995" s="248"/>
      <c r="D995" s="256"/>
      <c r="E995" s="150"/>
      <c r="F995" s="150"/>
      <c r="G995" s="145"/>
    </row>
    <row r="996" spans="1:7" ht="24.95" hidden="1" customHeight="1">
      <c r="A996" s="141"/>
      <c r="B996" s="141"/>
      <c r="C996" s="248"/>
      <c r="D996" s="256"/>
      <c r="E996" s="150"/>
      <c r="F996" s="150"/>
      <c r="G996" s="145"/>
    </row>
    <row r="997" spans="1:7" ht="24.95" hidden="1" customHeight="1">
      <c r="A997" s="141"/>
      <c r="B997" s="141"/>
      <c r="C997" s="248"/>
      <c r="D997" s="256"/>
      <c r="E997" s="150"/>
      <c r="F997" s="150"/>
      <c r="G997" s="145"/>
    </row>
    <row r="998" spans="1:7" ht="24.95" hidden="1" customHeight="1">
      <c r="A998" s="141"/>
      <c r="B998" s="141"/>
      <c r="C998" s="248"/>
      <c r="D998" s="256"/>
      <c r="E998" s="150"/>
      <c r="F998" s="150"/>
      <c r="G998" s="145"/>
    </row>
    <row r="999" spans="1:7" ht="24.95" hidden="1" customHeight="1">
      <c r="A999" s="141"/>
      <c r="B999" s="141"/>
      <c r="C999" s="248"/>
      <c r="D999" s="256"/>
      <c r="E999" s="150"/>
      <c r="F999" s="150"/>
      <c r="G999" s="145"/>
    </row>
    <row r="1000" spans="1:7" ht="24.95" hidden="1" customHeight="1">
      <c r="A1000" s="141"/>
      <c r="B1000" s="141"/>
      <c r="C1000" s="248"/>
      <c r="D1000" s="256"/>
      <c r="E1000" s="150"/>
      <c r="F1000" s="150"/>
      <c r="G1000" s="145"/>
    </row>
    <row r="1001" spans="1:7" ht="24.95" hidden="1" customHeight="1">
      <c r="A1001" s="141"/>
      <c r="B1001" s="141"/>
      <c r="C1001" s="248"/>
      <c r="D1001" s="256"/>
      <c r="E1001" s="150"/>
      <c r="F1001" s="150"/>
      <c r="G1001" s="145"/>
    </row>
    <row r="1002" spans="1:7" ht="24.95" hidden="1" customHeight="1">
      <c r="A1002" s="141"/>
      <c r="B1002" s="141"/>
      <c r="C1002" s="248"/>
      <c r="D1002" s="256"/>
      <c r="E1002" s="150"/>
      <c r="F1002" s="150"/>
      <c r="G1002" s="145"/>
    </row>
    <row r="1003" spans="1:7" ht="24.95" hidden="1" customHeight="1">
      <c r="A1003" s="141"/>
      <c r="B1003" s="141"/>
      <c r="C1003" s="248"/>
      <c r="D1003" s="256"/>
      <c r="E1003" s="150"/>
      <c r="F1003" s="150"/>
      <c r="G1003" s="145"/>
    </row>
    <row r="1004" spans="1:7" ht="24.95" hidden="1" customHeight="1">
      <c r="A1004" s="141"/>
      <c r="B1004" s="141"/>
      <c r="C1004" s="248"/>
      <c r="D1004" s="256"/>
      <c r="E1004" s="150"/>
      <c r="F1004" s="150"/>
      <c r="G1004" s="145"/>
    </row>
    <row r="1005" spans="1:7" ht="24.95" hidden="1" customHeight="1">
      <c r="A1005" s="141"/>
      <c r="B1005" s="141"/>
      <c r="C1005" s="248"/>
      <c r="D1005" s="256"/>
      <c r="E1005" s="150"/>
      <c r="F1005" s="150"/>
      <c r="G1005" s="145"/>
    </row>
    <row r="1006" spans="1:7" ht="24.95" hidden="1" customHeight="1">
      <c r="A1006" s="141"/>
      <c r="B1006" s="141"/>
      <c r="C1006" s="248"/>
      <c r="D1006" s="256"/>
      <c r="E1006" s="150"/>
      <c r="F1006" s="150"/>
      <c r="G1006" s="145"/>
    </row>
    <row r="1007" spans="1:7" ht="24.95" hidden="1" customHeight="1">
      <c r="A1007" s="141"/>
      <c r="B1007" s="141"/>
      <c r="C1007" s="248"/>
      <c r="D1007" s="256"/>
      <c r="E1007" s="150"/>
      <c r="F1007" s="150"/>
      <c r="G1007" s="145"/>
    </row>
    <row r="1008" spans="1:7" ht="24.95" hidden="1" customHeight="1">
      <c r="A1008" s="141"/>
      <c r="B1008" s="141"/>
      <c r="C1008" s="248"/>
      <c r="D1008" s="256"/>
      <c r="E1008" s="150"/>
      <c r="F1008" s="150"/>
      <c r="G1008" s="145"/>
    </row>
    <row r="1009" spans="1:7" ht="24.95" hidden="1" customHeight="1">
      <c r="A1009" s="141"/>
      <c r="B1009" s="141"/>
      <c r="C1009" s="248"/>
      <c r="D1009" s="256"/>
      <c r="E1009" s="150"/>
      <c r="F1009" s="150"/>
      <c r="G1009" s="145"/>
    </row>
    <row r="1010" spans="1:7" ht="24.95" hidden="1" customHeight="1">
      <c r="A1010" s="141"/>
      <c r="B1010" s="141"/>
      <c r="C1010" s="248"/>
      <c r="D1010" s="256"/>
      <c r="E1010" s="150"/>
      <c r="F1010" s="150"/>
      <c r="G1010" s="145"/>
    </row>
    <row r="1011" spans="1:7" ht="24.95" hidden="1" customHeight="1">
      <c r="A1011" s="141"/>
      <c r="B1011" s="141"/>
      <c r="C1011" s="248"/>
      <c r="D1011" s="256"/>
      <c r="E1011" s="150"/>
      <c r="F1011" s="150"/>
      <c r="G1011" s="145"/>
    </row>
    <row r="1012" spans="1:7" ht="24.95" hidden="1" customHeight="1">
      <c r="A1012" s="141"/>
      <c r="B1012" s="141"/>
      <c r="C1012" s="248"/>
      <c r="D1012" s="256"/>
      <c r="E1012" s="150"/>
      <c r="F1012" s="150"/>
      <c r="G1012" s="145"/>
    </row>
    <row r="1013" spans="1:7" ht="24.95" hidden="1" customHeight="1">
      <c r="A1013" s="141"/>
      <c r="B1013" s="141"/>
      <c r="C1013" s="248"/>
      <c r="D1013" s="256"/>
      <c r="E1013" s="150"/>
      <c r="F1013" s="150"/>
      <c r="G1013" s="145"/>
    </row>
    <row r="1014" spans="1:7" ht="24.95" hidden="1" customHeight="1">
      <c r="A1014" s="141"/>
      <c r="B1014" s="141"/>
      <c r="C1014" s="248"/>
      <c r="D1014" s="256"/>
      <c r="E1014" s="150"/>
      <c r="F1014" s="150"/>
      <c r="G1014" s="145"/>
    </row>
    <row r="1015" spans="1:7" ht="24.95" hidden="1" customHeight="1">
      <c r="A1015" s="141"/>
      <c r="B1015" s="141"/>
      <c r="C1015" s="248"/>
      <c r="D1015" s="256"/>
      <c r="E1015" s="150"/>
      <c r="F1015" s="150"/>
      <c r="G1015" s="145"/>
    </row>
    <row r="1016" spans="1:7" ht="24.95" hidden="1" customHeight="1">
      <c r="A1016" s="141"/>
      <c r="B1016" s="141"/>
      <c r="C1016" s="248"/>
      <c r="D1016" s="256"/>
      <c r="E1016" s="150"/>
      <c r="F1016" s="150"/>
      <c r="G1016" s="145"/>
    </row>
    <row r="1017" spans="1:7" ht="24.95" hidden="1" customHeight="1">
      <c r="A1017" s="141"/>
      <c r="B1017" s="141"/>
      <c r="C1017" s="248"/>
      <c r="D1017" s="256"/>
      <c r="E1017" s="150"/>
      <c r="F1017" s="150"/>
      <c r="G1017" s="145"/>
    </row>
    <row r="1018" spans="1:7" ht="24.95" hidden="1" customHeight="1">
      <c r="A1018" s="141"/>
      <c r="B1018" s="141"/>
      <c r="C1018" s="248"/>
      <c r="D1018" s="256"/>
      <c r="E1018" s="150"/>
      <c r="F1018" s="150"/>
      <c r="G1018" s="145"/>
    </row>
    <row r="1019" spans="1:7" ht="24.95" hidden="1" customHeight="1">
      <c r="A1019" s="141"/>
      <c r="B1019" s="141"/>
      <c r="C1019" s="248"/>
      <c r="D1019" s="256"/>
      <c r="E1019" s="150"/>
      <c r="F1019" s="150"/>
      <c r="G1019" s="145"/>
    </row>
    <row r="1020" spans="1:7" ht="24.95" hidden="1" customHeight="1">
      <c r="A1020" s="141"/>
      <c r="B1020" s="141"/>
      <c r="C1020" s="248"/>
      <c r="D1020" s="256"/>
      <c r="E1020" s="150"/>
      <c r="F1020" s="150"/>
      <c r="G1020" s="145"/>
    </row>
    <row r="1021" spans="1:7" ht="24.95" hidden="1" customHeight="1">
      <c r="A1021" s="141"/>
      <c r="B1021" s="141"/>
      <c r="C1021" s="248"/>
      <c r="D1021" s="256"/>
      <c r="E1021" s="150"/>
      <c r="F1021" s="150"/>
      <c r="G1021" s="145"/>
    </row>
    <row r="1022" spans="1:7" ht="24.95" hidden="1" customHeight="1">
      <c r="A1022" s="141"/>
      <c r="B1022" s="141"/>
      <c r="C1022" s="248"/>
      <c r="D1022" s="256"/>
      <c r="E1022" s="150"/>
      <c r="F1022" s="150"/>
      <c r="G1022" s="145"/>
    </row>
    <row r="1023" spans="1:7" ht="24.95" hidden="1" customHeight="1">
      <c r="A1023" s="141"/>
      <c r="B1023" s="141"/>
      <c r="C1023" s="248"/>
      <c r="D1023" s="256"/>
      <c r="E1023" s="150"/>
      <c r="F1023" s="150"/>
      <c r="G1023" s="145"/>
    </row>
    <row r="1024" spans="1:7" ht="24.95" hidden="1" customHeight="1">
      <c r="A1024" s="141"/>
      <c r="B1024" s="141"/>
      <c r="C1024" s="248"/>
      <c r="D1024" s="256"/>
      <c r="E1024" s="150"/>
      <c r="F1024" s="150"/>
      <c r="G1024" s="145"/>
    </row>
    <row r="1025" spans="1:7" ht="24.95" hidden="1" customHeight="1">
      <c r="A1025" s="141"/>
      <c r="B1025" s="141"/>
      <c r="C1025" s="248"/>
      <c r="D1025" s="256"/>
      <c r="E1025" s="150"/>
      <c r="F1025" s="150"/>
      <c r="G1025" s="145"/>
    </row>
    <row r="1026" spans="1:7" ht="24.95" hidden="1" customHeight="1">
      <c r="A1026" s="141"/>
      <c r="B1026" s="141"/>
      <c r="C1026" s="248"/>
      <c r="D1026" s="256"/>
      <c r="E1026" s="150"/>
      <c r="F1026" s="150"/>
      <c r="G1026" s="145"/>
    </row>
    <row r="1027" spans="1:7" ht="24.95" hidden="1" customHeight="1">
      <c r="A1027" s="141"/>
      <c r="B1027" s="141"/>
      <c r="C1027" s="248"/>
      <c r="D1027" s="256"/>
      <c r="E1027" s="150"/>
      <c r="F1027" s="150"/>
      <c r="G1027" s="145"/>
    </row>
    <row r="1028" spans="1:7" ht="24.95" hidden="1" customHeight="1">
      <c r="A1028" s="141"/>
      <c r="B1028" s="141"/>
      <c r="C1028" s="248"/>
      <c r="D1028" s="256"/>
      <c r="E1028" s="150"/>
      <c r="F1028" s="150"/>
      <c r="G1028" s="145"/>
    </row>
    <row r="1029" spans="1:7" ht="24.95" hidden="1" customHeight="1">
      <c r="A1029" s="141"/>
      <c r="B1029" s="141"/>
      <c r="C1029" s="248"/>
      <c r="D1029" s="256"/>
      <c r="E1029" s="150"/>
      <c r="F1029" s="150"/>
      <c r="G1029" s="145"/>
    </row>
    <row r="1030" spans="1:7" ht="24.95" hidden="1" customHeight="1">
      <c r="A1030" s="141"/>
      <c r="B1030" s="141"/>
      <c r="C1030" s="248"/>
      <c r="D1030" s="256"/>
      <c r="E1030" s="150"/>
      <c r="F1030" s="150"/>
      <c r="G1030" s="145"/>
    </row>
    <row r="1031" spans="1:7" ht="24.95" hidden="1" customHeight="1">
      <c r="A1031" s="141"/>
      <c r="B1031" s="141"/>
      <c r="C1031" s="248"/>
      <c r="D1031" s="256"/>
      <c r="E1031" s="150"/>
      <c r="F1031" s="150"/>
      <c r="G1031" s="145"/>
    </row>
    <row r="1032" spans="1:7" ht="24.95" hidden="1" customHeight="1">
      <c r="A1032" s="141"/>
      <c r="B1032" s="141"/>
      <c r="C1032" s="248"/>
      <c r="D1032" s="256"/>
      <c r="E1032" s="150"/>
      <c r="F1032" s="150"/>
      <c r="G1032" s="145"/>
    </row>
    <row r="1033" spans="1:7" ht="24.95" hidden="1" customHeight="1">
      <c r="A1033" s="141"/>
      <c r="B1033" s="141"/>
      <c r="C1033" s="248"/>
      <c r="D1033" s="256"/>
      <c r="E1033" s="150"/>
      <c r="F1033" s="150"/>
      <c r="G1033" s="145"/>
    </row>
    <row r="1034" spans="1:7" ht="24.95" hidden="1" customHeight="1">
      <c r="A1034" s="141"/>
      <c r="B1034" s="141"/>
      <c r="C1034" s="248"/>
      <c r="D1034" s="256"/>
      <c r="E1034" s="150"/>
      <c r="F1034" s="150"/>
      <c r="G1034" s="145"/>
    </row>
    <row r="1035" spans="1:7" ht="24.95" hidden="1" customHeight="1">
      <c r="A1035" s="141"/>
      <c r="B1035" s="141"/>
      <c r="C1035" s="248"/>
      <c r="D1035" s="256"/>
      <c r="E1035" s="150"/>
      <c r="F1035" s="150"/>
      <c r="G1035" s="145"/>
    </row>
    <row r="1036" spans="1:7" ht="24.95" hidden="1" customHeight="1">
      <c r="A1036" s="141"/>
      <c r="B1036" s="141"/>
      <c r="C1036" s="248"/>
      <c r="D1036" s="256"/>
      <c r="E1036" s="150"/>
      <c r="F1036" s="150"/>
      <c r="G1036" s="145"/>
    </row>
    <row r="1037" spans="1:7" ht="24.95" hidden="1" customHeight="1">
      <c r="A1037" s="141"/>
      <c r="B1037" s="141"/>
      <c r="C1037" s="248"/>
      <c r="D1037" s="256"/>
      <c r="E1037" s="150"/>
      <c r="F1037" s="150"/>
      <c r="G1037" s="145"/>
    </row>
    <row r="1038" spans="1:7" ht="24.95" hidden="1" customHeight="1">
      <c r="A1038" s="141"/>
      <c r="B1038" s="141"/>
      <c r="C1038" s="248"/>
      <c r="D1038" s="256"/>
      <c r="E1038" s="150"/>
      <c r="F1038" s="150"/>
      <c r="G1038" s="145"/>
    </row>
    <row r="1039" spans="1:7" ht="24.95" hidden="1" customHeight="1">
      <c r="A1039" s="141"/>
      <c r="B1039" s="141"/>
      <c r="C1039" s="248"/>
      <c r="D1039" s="256"/>
      <c r="E1039" s="150"/>
      <c r="F1039" s="150"/>
      <c r="G1039" s="145"/>
    </row>
    <row r="1040" spans="1:7" ht="24.95" hidden="1" customHeight="1">
      <c r="A1040" s="141"/>
      <c r="B1040" s="141"/>
      <c r="C1040" s="248"/>
      <c r="D1040" s="256"/>
      <c r="E1040" s="150"/>
      <c r="F1040" s="150"/>
      <c r="G1040" s="145"/>
    </row>
    <row r="1041" spans="1:7" ht="24.95" hidden="1" customHeight="1">
      <c r="A1041" s="141"/>
      <c r="B1041" s="141"/>
      <c r="C1041" s="248"/>
      <c r="D1041" s="256"/>
      <c r="E1041" s="150"/>
      <c r="F1041" s="150"/>
      <c r="G1041" s="145"/>
    </row>
    <row r="1042" spans="1:7" ht="24.95" hidden="1" customHeight="1">
      <c r="A1042" s="141"/>
      <c r="B1042" s="141"/>
      <c r="C1042" s="248"/>
      <c r="D1042" s="256"/>
      <c r="E1042" s="150"/>
      <c r="F1042" s="150"/>
      <c r="G1042" s="145"/>
    </row>
    <row r="1043" spans="1:7" ht="24.95" hidden="1" customHeight="1">
      <c r="A1043" s="141"/>
      <c r="B1043" s="141"/>
      <c r="C1043" s="248"/>
      <c r="D1043" s="256"/>
      <c r="E1043" s="150"/>
      <c r="F1043" s="150"/>
      <c r="G1043" s="145"/>
    </row>
    <row r="1044" spans="1:7" ht="24.95" hidden="1" customHeight="1">
      <c r="A1044" s="141"/>
      <c r="B1044" s="141"/>
      <c r="C1044" s="248"/>
      <c r="D1044" s="256"/>
      <c r="E1044" s="150"/>
      <c r="F1044" s="150"/>
      <c r="G1044" s="145"/>
    </row>
    <row r="1045" spans="1:7" ht="24.95" hidden="1" customHeight="1">
      <c r="A1045" s="141"/>
      <c r="B1045" s="141"/>
      <c r="C1045" s="248"/>
      <c r="D1045" s="256"/>
      <c r="E1045" s="150"/>
      <c r="F1045" s="150"/>
      <c r="G1045" s="145"/>
    </row>
    <row r="1046" spans="1:7" ht="24.95" hidden="1" customHeight="1">
      <c r="A1046" s="141"/>
      <c r="B1046" s="141"/>
      <c r="C1046" s="248"/>
      <c r="D1046" s="256"/>
      <c r="E1046" s="150"/>
      <c r="F1046" s="150"/>
      <c r="G1046" s="145"/>
    </row>
    <row r="1047" spans="1:7" ht="24.95" hidden="1" customHeight="1">
      <c r="A1047" s="141"/>
      <c r="B1047" s="141"/>
      <c r="C1047" s="248"/>
      <c r="D1047" s="256"/>
      <c r="E1047" s="150"/>
      <c r="F1047" s="150"/>
      <c r="G1047" s="145"/>
    </row>
    <row r="1048" spans="1:7" ht="24.95" hidden="1" customHeight="1">
      <c r="A1048" s="141"/>
      <c r="B1048" s="141"/>
      <c r="C1048" s="248"/>
      <c r="D1048" s="256"/>
      <c r="E1048" s="150"/>
      <c r="F1048" s="150"/>
      <c r="G1048" s="145"/>
    </row>
    <row r="1049" spans="1:7" ht="24.95" hidden="1" customHeight="1">
      <c r="A1049" s="141"/>
      <c r="B1049" s="141"/>
      <c r="C1049" s="248"/>
      <c r="D1049" s="256"/>
      <c r="E1049" s="150"/>
      <c r="F1049" s="150"/>
      <c r="G1049" s="145"/>
    </row>
    <row r="1050" spans="1:7" ht="24.95" hidden="1" customHeight="1">
      <c r="A1050" s="141"/>
      <c r="B1050" s="141"/>
      <c r="C1050" s="248"/>
      <c r="D1050" s="256"/>
      <c r="E1050" s="150"/>
      <c r="F1050" s="150"/>
      <c r="G1050" s="145"/>
    </row>
    <row r="1051" spans="1:7" ht="24.95" hidden="1" customHeight="1">
      <c r="A1051" s="141"/>
      <c r="B1051" s="141"/>
      <c r="C1051" s="248"/>
      <c r="D1051" s="256"/>
      <c r="E1051" s="150"/>
      <c r="F1051" s="150"/>
      <c r="G1051" s="145"/>
    </row>
    <row r="1052" spans="1:7" ht="24.95" hidden="1" customHeight="1">
      <c r="A1052" s="141"/>
      <c r="B1052" s="141"/>
      <c r="C1052" s="248"/>
      <c r="D1052" s="256"/>
      <c r="E1052" s="150"/>
      <c r="F1052" s="150"/>
      <c r="G1052" s="145"/>
    </row>
    <row r="1053" spans="1:7" ht="24.95" hidden="1" customHeight="1">
      <c r="A1053" s="141"/>
      <c r="B1053" s="141"/>
      <c r="C1053" s="248"/>
      <c r="D1053" s="256"/>
      <c r="E1053" s="150"/>
      <c r="F1053" s="150"/>
      <c r="G1053" s="145"/>
    </row>
    <row r="1054" spans="1:7" ht="24.95" hidden="1" customHeight="1">
      <c r="A1054" s="141"/>
      <c r="B1054" s="141"/>
      <c r="C1054" s="248"/>
      <c r="D1054" s="256"/>
      <c r="E1054" s="150"/>
      <c r="F1054" s="150"/>
      <c r="G1054" s="145"/>
    </row>
    <row r="1055" spans="1:7" ht="24.95" hidden="1" customHeight="1">
      <c r="A1055" s="141"/>
      <c r="B1055" s="141"/>
      <c r="C1055" s="248"/>
      <c r="D1055" s="256"/>
      <c r="E1055" s="150"/>
      <c r="F1055" s="150"/>
      <c r="G1055" s="145"/>
    </row>
    <row r="1056" spans="1:7" ht="24.95" hidden="1" customHeight="1">
      <c r="A1056" s="141"/>
      <c r="B1056" s="141"/>
      <c r="C1056" s="248"/>
      <c r="D1056" s="256"/>
      <c r="E1056" s="150"/>
      <c r="F1056" s="150"/>
      <c r="G1056" s="145"/>
    </row>
    <row r="1057" spans="1:7" ht="24.95" hidden="1" customHeight="1">
      <c r="A1057" s="141"/>
      <c r="B1057" s="141"/>
      <c r="C1057" s="248"/>
      <c r="D1057" s="256"/>
      <c r="E1057" s="150"/>
      <c r="F1057" s="150"/>
      <c r="G1057" s="145"/>
    </row>
    <row r="1058" spans="1:7" ht="24.95" hidden="1" customHeight="1">
      <c r="A1058" s="141"/>
      <c r="B1058" s="141"/>
      <c r="C1058" s="248"/>
      <c r="D1058" s="256"/>
      <c r="E1058" s="150"/>
      <c r="F1058" s="150"/>
      <c r="G1058" s="145"/>
    </row>
    <row r="1059" spans="1:7" ht="24.95" hidden="1" customHeight="1">
      <c r="A1059" s="141"/>
      <c r="B1059" s="141"/>
      <c r="C1059" s="248"/>
      <c r="D1059" s="256"/>
      <c r="E1059" s="150"/>
      <c r="F1059" s="150"/>
      <c r="G1059" s="145"/>
    </row>
    <row r="1060" spans="1:7" ht="24.95" hidden="1" customHeight="1">
      <c r="A1060" s="141"/>
      <c r="B1060" s="141"/>
      <c r="C1060" s="248"/>
      <c r="D1060" s="256"/>
      <c r="E1060" s="150"/>
      <c r="F1060" s="150"/>
      <c r="G1060" s="145"/>
    </row>
    <row r="1061" spans="1:7" ht="24.95" hidden="1" customHeight="1">
      <c r="A1061" s="141"/>
      <c r="B1061" s="141"/>
      <c r="C1061" s="248"/>
      <c r="D1061" s="256"/>
      <c r="E1061" s="150"/>
      <c r="F1061" s="150"/>
      <c r="G1061" s="145"/>
    </row>
    <row r="1062" spans="1:7" ht="24.95" hidden="1" customHeight="1">
      <c r="A1062" s="141"/>
      <c r="B1062" s="141"/>
      <c r="C1062" s="248"/>
      <c r="D1062" s="256"/>
      <c r="E1062" s="150"/>
      <c r="F1062" s="150"/>
      <c r="G1062" s="145"/>
    </row>
    <row r="1063" spans="1:7" ht="24.95" hidden="1" customHeight="1">
      <c r="A1063" s="141"/>
      <c r="B1063" s="141"/>
      <c r="C1063" s="248"/>
      <c r="D1063" s="256"/>
      <c r="E1063" s="150"/>
      <c r="F1063" s="150"/>
      <c r="G1063" s="145"/>
    </row>
    <row r="1064" spans="1:7" ht="24.95" hidden="1" customHeight="1">
      <c r="A1064" s="141"/>
      <c r="B1064" s="141"/>
      <c r="C1064" s="248"/>
      <c r="D1064" s="256"/>
      <c r="E1064" s="150"/>
      <c r="F1064" s="150"/>
      <c r="G1064" s="145"/>
    </row>
    <row r="1065" spans="1:7" ht="24.95" hidden="1" customHeight="1">
      <c r="A1065" s="141"/>
      <c r="B1065" s="141"/>
      <c r="C1065" s="248"/>
      <c r="D1065" s="256"/>
      <c r="E1065" s="150"/>
      <c r="F1065" s="150"/>
      <c r="G1065" s="145"/>
    </row>
    <row r="1066" spans="1:7" ht="24.95" hidden="1" customHeight="1">
      <c r="A1066" s="141"/>
      <c r="B1066" s="141"/>
      <c r="C1066" s="248"/>
      <c r="D1066" s="256"/>
      <c r="E1066" s="150"/>
      <c r="F1066" s="150"/>
      <c r="G1066" s="145"/>
    </row>
    <row r="1067" spans="1:7" ht="24.95" hidden="1" customHeight="1">
      <c r="A1067" s="141"/>
      <c r="B1067" s="141"/>
      <c r="C1067" s="248"/>
      <c r="D1067" s="256"/>
      <c r="E1067" s="150"/>
      <c r="F1067" s="150"/>
      <c r="G1067" s="145"/>
    </row>
    <row r="1068" spans="1:7" ht="24.95" hidden="1" customHeight="1">
      <c r="A1068" s="141"/>
      <c r="B1068" s="141"/>
      <c r="C1068" s="248"/>
      <c r="D1068" s="256"/>
      <c r="E1068" s="150"/>
      <c r="F1068" s="150"/>
      <c r="G1068" s="145"/>
    </row>
    <row r="1069" spans="1:7" ht="24.95" hidden="1" customHeight="1">
      <c r="A1069" s="141"/>
      <c r="B1069" s="141"/>
      <c r="C1069" s="248"/>
      <c r="D1069" s="256"/>
      <c r="E1069" s="150"/>
      <c r="F1069" s="150"/>
      <c r="G1069" s="145"/>
    </row>
    <row r="1070" spans="1:7" ht="24.95" hidden="1" customHeight="1">
      <c r="A1070" s="141"/>
      <c r="B1070" s="141"/>
      <c r="C1070" s="248"/>
      <c r="D1070" s="256"/>
      <c r="E1070" s="150"/>
      <c r="F1070" s="150"/>
      <c r="G1070" s="145"/>
    </row>
    <row r="1071" spans="1:7" ht="24.95" hidden="1" customHeight="1">
      <c r="A1071" s="141"/>
      <c r="B1071" s="141"/>
      <c r="C1071" s="248"/>
      <c r="D1071" s="256"/>
      <c r="E1071" s="150"/>
      <c r="F1071" s="150"/>
      <c r="G1071" s="145"/>
    </row>
    <row r="1072" spans="1:7" ht="24.95" hidden="1" customHeight="1">
      <c r="A1072" s="141"/>
      <c r="B1072" s="141"/>
      <c r="C1072" s="248"/>
      <c r="D1072" s="256"/>
      <c r="E1072" s="150"/>
      <c r="F1072" s="150"/>
      <c r="G1072" s="145"/>
    </row>
    <row r="1073" spans="1:7" ht="24.95" hidden="1" customHeight="1">
      <c r="A1073" s="141"/>
      <c r="B1073" s="141"/>
      <c r="C1073" s="248"/>
      <c r="D1073" s="256"/>
      <c r="E1073" s="150"/>
      <c r="F1073" s="150"/>
      <c r="G1073" s="145"/>
    </row>
    <row r="1074" spans="1:7" ht="24.95" hidden="1" customHeight="1">
      <c r="A1074" s="141"/>
      <c r="B1074" s="141"/>
      <c r="C1074" s="248"/>
      <c r="D1074" s="256"/>
      <c r="E1074" s="150"/>
      <c r="F1074" s="150"/>
      <c r="G1074" s="145"/>
    </row>
    <row r="1075" spans="1:7" ht="24.95" hidden="1" customHeight="1">
      <c r="A1075" s="141"/>
      <c r="B1075" s="141"/>
      <c r="C1075" s="248"/>
      <c r="D1075" s="256"/>
      <c r="E1075" s="150"/>
      <c r="F1075" s="150"/>
      <c r="G1075" s="145"/>
    </row>
    <row r="1076" spans="1:7" ht="24.95" hidden="1" customHeight="1">
      <c r="A1076" s="141"/>
      <c r="B1076" s="141"/>
      <c r="C1076" s="248"/>
      <c r="D1076" s="256"/>
      <c r="E1076" s="150"/>
      <c r="F1076" s="150"/>
      <c r="G1076" s="145"/>
    </row>
    <row r="1077" spans="1:7" ht="24.95" hidden="1" customHeight="1">
      <c r="A1077" s="141"/>
      <c r="B1077" s="141"/>
      <c r="C1077" s="248"/>
      <c r="D1077" s="256"/>
      <c r="E1077" s="150"/>
      <c r="F1077" s="150"/>
      <c r="G1077" s="145"/>
    </row>
    <row r="1078" spans="1:7" ht="24.95" hidden="1" customHeight="1">
      <c r="A1078" s="141"/>
      <c r="B1078" s="141"/>
      <c r="C1078" s="248"/>
      <c r="D1078" s="256"/>
      <c r="E1078" s="150"/>
      <c r="F1078" s="150"/>
      <c r="G1078" s="145"/>
    </row>
    <row r="1079" spans="1:7" ht="24.95" hidden="1" customHeight="1">
      <c r="A1079" s="141"/>
      <c r="B1079" s="141"/>
      <c r="C1079" s="248"/>
      <c r="D1079" s="256"/>
      <c r="E1079" s="150"/>
      <c r="F1079" s="150"/>
      <c r="G1079" s="145"/>
    </row>
    <row r="1080" spans="1:7" ht="24.95" hidden="1" customHeight="1">
      <c r="A1080" s="141"/>
      <c r="B1080" s="141"/>
      <c r="C1080" s="248"/>
      <c r="D1080" s="256"/>
      <c r="E1080" s="150"/>
      <c r="F1080" s="150"/>
      <c r="G1080" s="145"/>
    </row>
    <row r="1081" spans="1:7" ht="24.95" hidden="1" customHeight="1">
      <c r="A1081" s="141"/>
      <c r="B1081" s="141"/>
      <c r="C1081" s="248"/>
      <c r="D1081" s="256"/>
      <c r="E1081" s="150"/>
      <c r="F1081" s="150"/>
      <c r="G1081" s="145"/>
    </row>
    <row r="1082" spans="1:7" ht="24.95" hidden="1" customHeight="1">
      <c r="A1082" s="141"/>
      <c r="B1082" s="141"/>
      <c r="C1082" s="248"/>
      <c r="D1082" s="256"/>
      <c r="E1082" s="150"/>
      <c r="F1082" s="150"/>
      <c r="G1082" s="145"/>
    </row>
    <row r="1083" spans="1:7" ht="24.95" hidden="1" customHeight="1">
      <c r="A1083" s="141"/>
      <c r="B1083" s="141"/>
      <c r="C1083" s="248"/>
      <c r="D1083" s="256"/>
      <c r="E1083" s="150"/>
      <c r="F1083" s="150"/>
      <c r="G1083" s="145"/>
    </row>
    <row r="1084" spans="1:7" ht="24.95" hidden="1" customHeight="1">
      <c r="A1084" s="141"/>
      <c r="B1084" s="141"/>
      <c r="C1084" s="248"/>
      <c r="D1084" s="256"/>
      <c r="E1084" s="150"/>
      <c r="F1084" s="150"/>
      <c r="G1084" s="145"/>
    </row>
    <row r="1085" spans="1:7" ht="24.95" hidden="1" customHeight="1">
      <c r="A1085" s="141"/>
      <c r="B1085" s="141"/>
      <c r="C1085" s="248"/>
      <c r="D1085" s="256"/>
      <c r="E1085" s="150"/>
      <c r="F1085" s="150"/>
      <c r="G1085" s="145"/>
    </row>
    <row r="1086" spans="1:7" ht="24.95" hidden="1" customHeight="1">
      <c r="A1086" s="141"/>
      <c r="B1086" s="141"/>
      <c r="C1086" s="248"/>
      <c r="D1086" s="256"/>
      <c r="E1086" s="150"/>
      <c r="F1086" s="150"/>
      <c r="G1086" s="145"/>
    </row>
    <row r="1087" spans="1:7" ht="24.95" hidden="1" customHeight="1">
      <c r="A1087" s="141"/>
      <c r="B1087" s="141"/>
      <c r="C1087" s="248"/>
      <c r="D1087" s="256"/>
      <c r="E1087" s="150"/>
      <c r="F1087" s="150"/>
      <c r="G1087" s="145"/>
    </row>
    <row r="1088" spans="1:7" ht="24.95" hidden="1" customHeight="1">
      <c r="A1088" s="141"/>
      <c r="B1088" s="141"/>
      <c r="C1088" s="248"/>
      <c r="D1088" s="256"/>
      <c r="E1088" s="150"/>
      <c r="F1088" s="150"/>
      <c r="G1088" s="145"/>
    </row>
    <row r="1089" spans="1:7" ht="24.95" hidden="1" customHeight="1">
      <c r="A1089" s="141"/>
      <c r="B1089" s="141"/>
      <c r="C1089" s="248"/>
      <c r="D1089" s="256"/>
      <c r="E1089" s="150"/>
      <c r="F1089" s="150"/>
      <c r="G1089" s="145"/>
    </row>
    <row r="1090" spans="1:7" ht="24.95" hidden="1" customHeight="1">
      <c r="A1090" s="141"/>
      <c r="B1090" s="141"/>
      <c r="C1090" s="248"/>
      <c r="D1090" s="256"/>
      <c r="E1090" s="150"/>
      <c r="F1090" s="150"/>
      <c r="G1090" s="145"/>
    </row>
    <row r="1091" spans="1:7" ht="24.95" hidden="1" customHeight="1">
      <c r="A1091" s="141"/>
      <c r="B1091" s="141"/>
      <c r="C1091" s="248"/>
      <c r="D1091" s="256"/>
      <c r="E1091" s="150"/>
      <c r="F1091" s="150"/>
      <c r="G1091" s="145"/>
    </row>
    <row r="1092" spans="1:7" ht="24.95" hidden="1" customHeight="1">
      <c r="A1092" s="141"/>
      <c r="B1092" s="141"/>
      <c r="C1092" s="248"/>
      <c r="D1092" s="256"/>
      <c r="E1092" s="150"/>
      <c r="F1092" s="150"/>
      <c r="G1092" s="145"/>
    </row>
    <row r="1093" spans="1:7" ht="24.95" hidden="1" customHeight="1">
      <c r="A1093" s="141"/>
      <c r="B1093" s="141"/>
      <c r="C1093" s="248"/>
      <c r="D1093" s="256"/>
      <c r="E1093" s="150"/>
      <c r="F1093" s="150"/>
      <c r="G1093" s="145"/>
    </row>
    <row r="1094" spans="1:7" ht="24.95" hidden="1" customHeight="1">
      <c r="A1094" s="141"/>
      <c r="B1094" s="141"/>
      <c r="C1094" s="248"/>
      <c r="D1094" s="256"/>
      <c r="E1094" s="150"/>
      <c r="F1094" s="150"/>
      <c r="G1094" s="145"/>
    </row>
    <row r="1095" spans="1:7" ht="24.95" hidden="1" customHeight="1">
      <c r="A1095" s="141"/>
      <c r="B1095" s="141"/>
      <c r="C1095" s="248"/>
      <c r="D1095" s="256"/>
      <c r="E1095" s="150"/>
      <c r="F1095" s="150"/>
      <c r="G1095" s="145"/>
    </row>
    <row r="1096" spans="1:7" ht="24.95" hidden="1" customHeight="1">
      <c r="A1096" s="141"/>
      <c r="B1096" s="141"/>
      <c r="C1096" s="248"/>
      <c r="D1096" s="256"/>
      <c r="E1096" s="150"/>
      <c r="F1096" s="150"/>
      <c r="G1096" s="145"/>
    </row>
    <row r="1097" spans="1:7" ht="24.95" hidden="1" customHeight="1">
      <c r="A1097" s="141"/>
      <c r="B1097" s="141"/>
      <c r="C1097" s="248"/>
      <c r="D1097" s="256"/>
      <c r="E1097" s="150"/>
      <c r="F1097" s="150"/>
      <c r="G1097" s="145"/>
    </row>
    <row r="1098" spans="1:7" ht="24.95" hidden="1" customHeight="1">
      <c r="A1098" s="141"/>
      <c r="B1098" s="141"/>
      <c r="C1098" s="248"/>
      <c r="D1098" s="256"/>
      <c r="E1098" s="150"/>
      <c r="F1098" s="150"/>
      <c r="G1098" s="145"/>
    </row>
    <row r="1099" spans="1:7" ht="24.95" hidden="1" customHeight="1">
      <c r="A1099" s="141"/>
      <c r="B1099" s="141"/>
      <c r="C1099" s="248"/>
      <c r="D1099" s="256"/>
      <c r="E1099" s="150"/>
      <c r="F1099" s="150"/>
      <c r="G1099" s="145"/>
    </row>
    <row r="1100" spans="1:7" ht="24.95" hidden="1" customHeight="1">
      <c r="A1100" s="141"/>
      <c r="B1100" s="141"/>
      <c r="C1100" s="248"/>
      <c r="D1100" s="256"/>
      <c r="E1100" s="150"/>
      <c r="F1100" s="150"/>
      <c r="G1100" s="145"/>
    </row>
    <row r="1101" spans="1:7" ht="24.95" hidden="1" customHeight="1">
      <c r="A1101" s="141"/>
      <c r="B1101" s="141"/>
      <c r="C1101" s="248"/>
      <c r="D1101" s="256"/>
      <c r="E1101" s="150"/>
      <c r="F1101" s="150"/>
      <c r="G1101" s="145"/>
    </row>
    <row r="1102" spans="1:7" ht="24.95" hidden="1" customHeight="1">
      <c r="A1102" s="141"/>
      <c r="B1102" s="141"/>
      <c r="C1102" s="248"/>
      <c r="D1102" s="256"/>
      <c r="E1102" s="150"/>
      <c r="F1102" s="150"/>
      <c r="G1102" s="145"/>
    </row>
    <row r="1103" spans="1:7" ht="24.95" hidden="1" customHeight="1">
      <c r="A1103" s="141"/>
      <c r="B1103" s="141"/>
      <c r="C1103" s="248"/>
      <c r="D1103" s="256"/>
      <c r="E1103" s="150"/>
      <c r="F1103" s="150"/>
      <c r="G1103" s="145"/>
    </row>
    <row r="1104" spans="1:7" ht="24.95" hidden="1" customHeight="1">
      <c r="A1104" s="141"/>
      <c r="B1104" s="141"/>
      <c r="C1104" s="248"/>
      <c r="D1104" s="256"/>
      <c r="E1104" s="150"/>
      <c r="F1104" s="150"/>
      <c r="G1104" s="145"/>
    </row>
    <row r="1105" spans="1:7" ht="24.95" hidden="1" customHeight="1">
      <c r="A1105" s="141"/>
      <c r="B1105" s="141"/>
      <c r="C1105" s="248"/>
      <c r="D1105" s="256"/>
      <c r="E1105" s="150"/>
      <c r="F1105" s="150"/>
      <c r="G1105" s="145"/>
    </row>
    <row r="1106" spans="1:7" ht="24.95" hidden="1" customHeight="1">
      <c r="A1106" s="141"/>
      <c r="B1106" s="141"/>
      <c r="C1106" s="248"/>
      <c r="D1106" s="256"/>
      <c r="E1106" s="150"/>
      <c r="F1106" s="150"/>
      <c r="G1106" s="145"/>
    </row>
    <row r="1107" spans="1:7" ht="24.95" hidden="1" customHeight="1">
      <c r="A1107" s="141"/>
      <c r="B1107" s="141"/>
      <c r="C1107" s="248"/>
      <c r="D1107" s="256"/>
      <c r="E1107" s="150"/>
      <c r="F1107" s="150"/>
      <c r="G1107" s="145"/>
    </row>
    <row r="1108" spans="1:7" ht="24.95" hidden="1" customHeight="1">
      <c r="A1108" s="141"/>
      <c r="B1108" s="141"/>
      <c r="C1108" s="248"/>
      <c r="D1108" s="256"/>
      <c r="E1108" s="150"/>
      <c r="F1108" s="150"/>
      <c r="G1108" s="145"/>
    </row>
    <row r="1109" spans="1:7" ht="24.95" hidden="1" customHeight="1">
      <c r="A1109" s="141"/>
      <c r="B1109" s="141"/>
      <c r="C1109" s="248"/>
      <c r="D1109" s="256"/>
      <c r="E1109" s="150"/>
      <c r="F1109" s="150"/>
      <c r="G1109" s="145"/>
    </row>
    <row r="1110" spans="1:7" ht="24.95" hidden="1" customHeight="1">
      <c r="A1110" s="141"/>
      <c r="B1110" s="141"/>
      <c r="C1110" s="248"/>
      <c r="D1110" s="256"/>
      <c r="E1110" s="150"/>
      <c r="F1110" s="150"/>
      <c r="G1110" s="145"/>
    </row>
    <row r="1111" spans="1:7" ht="24.95" hidden="1" customHeight="1">
      <c r="A1111" s="141"/>
      <c r="B1111" s="141"/>
      <c r="C1111" s="248"/>
      <c r="D1111" s="256"/>
      <c r="E1111" s="150"/>
      <c r="F1111" s="150"/>
      <c r="G1111" s="145"/>
    </row>
    <row r="1112" spans="1:7" ht="24.95" hidden="1" customHeight="1">
      <c r="A1112" s="141"/>
      <c r="B1112" s="141"/>
      <c r="C1112" s="248"/>
      <c r="D1112" s="256"/>
      <c r="E1112" s="150"/>
      <c r="F1112" s="150"/>
      <c r="G1112" s="145"/>
    </row>
    <row r="1113" spans="1:7" ht="24.95" hidden="1" customHeight="1">
      <c r="A1113" s="141"/>
      <c r="B1113" s="141"/>
      <c r="C1113" s="248"/>
      <c r="D1113" s="256"/>
      <c r="E1113" s="150"/>
      <c r="F1113" s="150"/>
      <c r="G1113" s="145"/>
    </row>
    <row r="1114" spans="1:7" ht="24.95" hidden="1" customHeight="1">
      <c r="A1114" s="141"/>
      <c r="B1114" s="141"/>
      <c r="C1114" s="248"/>
      <c r="D1114" s="256"/>
      <c r="E1114" s="150"/>
      <c r="F1114" s="150"/>
      <c r="G1114" s="145"/>
    </row>
    <row r="1115" spans="1:7" ht="24.95" hidden="1" customHeight="1">
      <c r="A1115" s="141"/>
      <c r="B1115" s="141"/>
      <c r="C1115" s="248"/>
      <c r="D1115" s="256"/>
      <c r="E1115" s="150"/>
      <c r="F1115" s="150"/>
      <c r="G1115" s="145"/>
    </row>
    <row r="1116" spans="1:7" ht="24.95" hidden="1" customHeight="1">
      <c r="A1116" s="141"/>
      <c r="B1116" s="141"/>
      <c r="C1116" s="248"/>
      <c r="D1116" s="256"/>
      <c r="E1116" s="150"/>
      <c r="F1116" s="150"/>
      <c r="G1116" s="145"/>
    </row>
    <row r="1117" spans="1:7" ht="24.95" hidden="1" customHeight="1">
      <c r="A1117" s="141"/>
      <c r="B1117" s="141"/>
      <c r="C1117" s="248"/>
      <c r="D1117" s="256"/>
      <c r="E1117" s="150"/>
      <c r="F1117" s="150"/>
      <c r="G1117" s="145"/>
    </row>
    <row r="1118" spans="1:7" ht="24.95" hidden="1" customHeight="1">
      <c r="A1118" s="141"/>
      <c r="B1118" s="141"/>
      <c r="C1118" s="248"/>
      <c r="D1118" s="256"/>
      <c r="E1118" s="150"/>
      <c r="F1118" s="150"/>
      <c r="G1118" s="145"/>
    </row>
    <row r="1119" spans="1:7" ht="24.95" hidden="1" customHeight="1">
      <c r="A1119" s="141"/>
      <c r="B1119" s="141"/>
      <c r="C1119" s="248"/>
      <c r="D1119" s="256"/>
      <c r="E1119" s="150"/>
      <c r="F1119" s="150"/>
      <c r="G1119" s="145"/>
    </row>
    <row r="1120" spans="1:7" ht="24.95" hidden="1" customHeight="1">
      <c r="A1120" s="141"/>
      <c r="B1120" s="141"/>
      <c r="C1120" s="248"/>
      <c r="D1120" s="256"/>
      <c r="E1120" s="150"/>
      <c r="F1120" s="150"/>
      <c r="G1120" s="145"/>
    </row>
    <row r="1121" spans="1:7" ht="24.95" hidden="1" customHeight="1">
      <c r="A1121" s="141"/>
      <c r="B1121" s="141"/>
      <c r="C1121" s="248"/>
      <c r="D1121" s="256"/>
      <c r="E1121" s="150"/>
      <c r="F1121" s="150"/>
      <c r="G1121" s="145"/>
    </row>
    <row r="1122" spans="1:7" ht="24.95" hidden="1" customHeight="1">
      <c r="A1122" s="141"/>
      <c r="B1122" s="141"/>
      <c r="C1122" s="248"/>
      <c r="D1122" s="256"/>
      <c r="E1122" s="150"/>
      <c r="F1122" s="150"/>
      <c r="G1122" s="145"/>
    </row>
    <row r="1123" spans="1:7" ht="24.95" hidden="1" customHeight="1">
      <c r="A1123" s="141"/>
      <c r="B1123" s="141"/>
      <c r="C1123" s="248"/>
      <c r="D1123" s="256"/>
      <c r="E1123" s="150"/>
      <c r="F1123" s="150"/>
      <c r="G1123" s="145"/>
    </row>
    <row r="1124" spans="1:7" ht="24.95" hidden="1" customHeight="1">
      <c r="A1124" s="141"/>
      <c r="B1124" s="141"/>
      <c r="C1124" s="248"/>
      <c r="D1124" s="256"/>
      <c r="E1124" s="150"/>
      <c r="F1124" s="150"/>
      <c r="G1124" s="145"/>
    </row>
    <row r="1125" spans="1:7" ht="24.95" hidden="1" customHeight="1">
      <c r="A1125" s="141"/>
      <c r="B1125" s="141"/>
      <c r="C1125" s="248"/>
      <c r="D1125" s="256"/>
      <c r="E1125" s="150"/>
      <c r="F1125" s="150"/>
      <c r="G1125" s="145"/>
    </row>
    <row r="1126" spans="1:7" ht="24.95" hidden="1" customHeight="1">
      <c r="A1126" s="141"/>
      <c r="B1126" s="141"/>
      <c r="C1126" s="248"/>
      <c r="D1126" s="256"/>
      <c r="E1126" s="150"/>
      <c r="F1126" s="150"/>
      <c r="G1126" s="145"/>
    </row>
    <row r="1127" spans="1:7" ht="24.95" hidden="1" customHeight="1">
      <c r="A1127" s="141"/>
      <c r="B1127" s="141"/>
      <c r="C1127" s="248"/>
      <c r="D1127" s="256"/>
      <c r="E1127" s="150"/>
      <c r="F1127" s="150"/>
      <c r="G1127" s="145"/>
    </row>
    <row r="1128" spans="1:7" ht="24.95" hidden="1" customHeight="1">
      <c r="A1128" s="141"/>
      <c r="B1128" s="141"/>
      <c r="C1128" s="248"/>
      <c r="D1128" s="256"/>
      <c r="E1128" s="150"/>
      <c r="F1128" s="150"/>
      <c r="G1128" s="145"/>
    </row>
    <row r="1129" spans="1:7" ht="24.95" hidden="1" customHeight="1">
      <c r="A1129" s="141"/>
      <c r="B1129" s="141"/>
      <c r="C1129" s="248"/>
      <c r="D1129" s="256"/>
      <c r="E1129" s="150"/>
      <c r="F1129" s="150"/>
      <c r="G1129" s="145"/>
    </row>
    <row r="1130" spans="1:7" ht="24.95" hidden="1" customHeight="1">
      <c r="A1130" s="141"/>
      <c r="B1130" s="141"/>
      <c r="C1130" s="248"/>
      <c r="D1130" s="256"/>
      <c r="E1130" s="150"/>
      <c r="F1130" s="150"/>
      <c r="G1130" s="145"/>
    </row>
    <row r="1131" spans="1:7" ht="24.95" hidden="1" customHeight="1">
      <c r="A1131" s="141"/>
      <c r="B1131" s="141"/>
      <c r="C1131" s="248"/>
      <c r="D1131" s="256"/>
      <c r="E1131" s="150"/>
      <c r="F1131" s="150"/>
      <c r="G1131" s="145"/>
    </row>
    <row r="1132" spans="1:7" ht="24.95" hidden="1" customHeight="1">
      <c r="A1132" s="141"/>
      <c r="B1132" s="141"/>
      <c r="C1132" s="248"/>
      <c r="D1132" s="256"/>
      <c r="E1132" s="150"/>
      <c r="F1132" s="150"/>
      <c r="G1132" s="145"/>
    </row>
    <row r="1133" spans="1:7" ht="24.95" hidden="1" customHeight="1">
      <c r="A1133" s="141"/>
      <c r="B1133" s="141"/>
      <c r="C1133" s="248"/>
      <c r="D1133" s="256"/>
      <c r="E1133" s="150"/>
      <c r="F1133" s="150"/>
      <c r="G1133" s="145"/>
    </row>
    <row r="1134" spans="1:7" ht="24.95" hidden="1" customHeight="1">
      <c r="A1134" s="141"/>
      <c r="B1134" s="141"/>
      <c r="C1134" s="248"/>
      <c r="D1134" s="256"/>
      <c r="E1134" s="150"/>
      <c r="F1134" s="150"/>
      <c r="G1134" s="145"/>
    </row>
    <row r="1135" spans="1:7" ht="24.95" hidden="1" customHeight="1">
      <c r="A1135" s="141"/>
      <c r="B1135" s="141"/>
      <c r="C1135" s="248"/>
      <c r="D1135" s="256"/>
      <c r="E1135" s="150"/>
      <c r="F1135" s="150"/>
      <c r="G1135" s="145"/>
    </row>
    <row r="1136" spans="1:7" ht="24.95" hidden="1" customHeight="1">
      <c r="A1136" s="141"/>
      <c r="B1136" s="141"/>
      <c r="C1136" s="248"/>
      <c r="D1136" s="256"/>
      <c r="E1136" s="150"/>
      <c r="F1136" s="150"/>
      <c r="G1136" s="145"/>
    </row>
    <row r="1137" spans="1:7" ht="24.95" hidden="1" customHeight="1">
      <c r="A1137" s="141"/>
      <c r="B1137" s="141"/>
      <c r="C1137" s="248"/>
      <c r="D1137" s="256"/>
      <c r="E1137" s="150"/>
      <c r="F1137" s="150"/>
      <c r="G1137" s="145"/>
    </row>
    <row r="1138" spans="1:7" ht="24.95" hidden="1" customHeight="1">
      <c r="A1138" s="141"/>
      <c r="B1138" s="141"/>
      <c r="C1138" s="248"/>
      <c r="D1138" s="256"/>
      <c r="E1138" s="150"/>
      <c r="F1138" s="150"/>
      <c r="G1138" s="145"/>
    </row>
    <row r="1139" spans="1:7" ht="24.95" hidden="1" customHeight="1">
      <c r="A1139" s="141"/>
      <c r="B1139" s="141"/>
      <c r="C1139" s="248"/>
      <c r="D1139" s="256"/>
      <c r="E1139" s="150"/>
      <c r="F1139" s="150"/>
      <c r="G1139" s="145"/>
    </row>
    <row r="1140" spans="1:7" ht="24.95" hidden="1" customHeight="1">
      <c r="A1140" s="141"/>
      <c r="B1140" s="141"/>
      <c r="C1140" s="248"/>
      <c r="D1140" s="256"/>
      <c r="E1140" s="150"/>
      <c r="F1140" s="150"/>
      <c r="G1140" s="145"/>
    </row>
    <row r="1141" spans="1:7" ht="24.95" hidden="1" customHeight="1">
      <c r="A1141" s="141"/>
      <c r="B1141" s="141"/>
      <c r="C1141" s="248"/>
      <c r="D1141" s="256"/>
      <c r="E1141" s="150"/>
      <c r="F1141" s="150"/>
      <c r="G1141" s="145"/>
    </row>
    <row r="1142" spans="1:7" ht="24.95" hidden="1" customHeight="1">
      <c r="A1142" s="141"/>
      <c r="B1142" s="141"/>
      <c r="C1142" s="248"/>
      <c r="D1142" s="256"/>
      <c r="E1142" s="150"/>
      <c r="F1142" s="150"/>
      <c r="G1142" s="145"/>
    </row>
    <row r="1143" spans="1:7" ht="24.95" hidden="1" customHeight="1">
      <c r="A1143" s="141"/>
      <c r="B1143" s="141"/>
      <c r="C1143" s="248"/>
      <c r="D1143" s="256"/>
      <c r="E1143" s="150"/>
      <c r="F1143" s="150"/>
      <c r="G1143" s="145"/>
    </row>
    <row r="1144" spans="1:7" ht="24.95" hidden="1" customHeight="1">
      <c r="A1144" s="141"/>
      <c r="B1144" s="141"/>
      <c r="C1144" s="248"/>
      <c r="D1144" s="256"/>
      <c r="E1144" s="150"/>
      <c r="F1144" s="150"/>
      <c r="G1144" s="145"/>
    </row>
    <row r="1145" spans="1:7" ht="24.95" hidden="1" customHeight="1">
      <c r="A1145" s="141"/>
      <c r="B1145" s="141"/>
      <c r="C1145" s="248"/>
      <c r="D1145" s="256"/>
      <c r="E1145" s="150"/>
      <c r="F1145" s="150"/>
      <c r="G1145" s="145"/>
    </row>
    <row r="1146" spans="1:7" ht="24.95" hidden="1" customHeight="1">
      <c r="A1146" s="141"/>
      <c r="B1146" s="141"/>
      <c r="C1146" s="248"/>
      <c r="D1146" s="256"/>
      <c r="E1146" s="150"/>
      <c r="F1146" s="150"/>
      <c r="G1146" s="145"/>
    </row>
    <row r="1147" spans="1:7" ht="24.95" hidden="1" customHeight="1">
      <c r="A1147" s="141"/>
      <c r="B1147" s="141"/>
      <c r="C1147" s="248"/>
      <c r="D1147" s="256"/>
      <c r="E1147" s="150"/>
      <c r="F1147" s="150"/>
      <c r="G1147" s="145"/>
    </row>
    <row r="1148" spans="1:7" ht="24.95" hidden="1" customHeight="1">
      <c r="A1148" s="141"/>
      <c r="B1148" s="141"/>
      <c r="C1148" s="248"/>
      <c r="D1148" s="256"/>
      <c r="E1148" s="150"/>
      <c r="F1148" s="150"/>
      <c r="G1148" s="145"/>
    </row>
    <row r="1149" spans="1:7" ht="24.95" hidden="1" customHeight="1">
      <c r="A1149" s="141"/>
      <c r="B1149" s="141"/>
      <c r="C1149" s="248"/>
      <c r="D1149" s="256"/>
      <c r="E1149" s="150"/>
      <c r="F1149" s="150"/>
      <c r="G1149" s="145"/>
    </row>
    <row r="1150" spans="1:7" ht="24.95" hidden="1" customHeight="1">
      <c r="A1150" s="141"/>
      <c r="B1150" s="141"/>
      <c r="C1150" s="248"/>
      <c r="D1150" s="256"/>
      <c r="E1150" s="150"/>
      <c r="F1150" s="150"/>
      <c r="G1150" s="145"/>
    </row>
    <row r="1151" spans="1:7" ht="24.95" hidden="1" customHeight="1">
      <c r="A1151" s="141"/>
      <c r="B1151" s="141"/>
      <c r="C1151" s="248"/>
      <c r="D1151" s="256"/>
      <c r="E1151" s="150"/>
      <c r="F1151" s="150"/>
      <c r="G1151" s="145"/>
    </row>
    <row r="1152" spans="1:7" ht="24.95" hidden="1" customHeight="1">
      <c r="A1152" s="141"/>
      <c r="B1152" s="141"/>
      <c r="C1152" s="248"/>
      <c r="D1152" s="256"/>
      <c r="E1152" s="150"/>
      <c r="F1152" s="150"/>
      <c r="G1152" s="145"/>
    </row>
    <row r="1153" spans="1:7" ht="24.95" hidden="1" customHeight="1">
      <c r="A1153" s="141"/>
      <c r="B1153" s="141"/>
      <c r="C1153" s="248"/>
      <c r="D1153" s="256"/>
      <c r="E1153" s="150"/>
      <c r="F1153" s="150"/>
      <c r="G1153" s="145"/>
    </row>
    <row r="1154" spans="1:7" ht="24.95" hidden="1" customHeight="1">
      <c r="A1154" s="141"/>
      <c r="B1154" s="141"/>
      <c r="C1154" s="248"/>
      <c r="D1154" s="256"/>
      <c r="E1154" s="150"/>
      <c r="F1154" s="150"/>
      <c r="G1154" s="145"/>
    </row>
    <row r="1155" spans="1:7" ht="24.95" hidden="1" customHeight="1">
      <c r="A1155" s="141"/>
      <c r="B1155" s="141"/>
      <c r="C1155" s="248"/>
      <c r="D1155" s="256"/>
      <c r="E1155" s="150"/>
      <c r="F1155" s="150"/>
      <c r="G1155" s="145"/>
    </row>
    <row r="1156" spans="1:7" ht="24.95" hidden="1" customHeight="1">
      <c r="A1156" s="141"/>
      <c r="B1156" s="141"/>
      <c r="C1156" s="248"/>
      <c r="D1156" s="256"/>
      <c r="E1156" s="150"/>
      <c r="F1156" s="150"/>
      <c r="G1156" s="145"/>
    </row>
    <row r="1157" spans="1:7" ht="24.95" hidden="1" customHeight="1">
      <c r="A1157" s="141"/>
      <c r="B1157" s="141"/>
      <c r="C1157" s="248"/>
      <c r="D1157" s="256"/>
      <c r="E1157" s="150"/>
      <c r="F1157" s="150"/>
      <c r="G1157" s="145"/>
    </row>
    <row r="1158" spans="1:7" ht="24.95" hidden="1" customHeight="1">
      <c r="A1158" s="141"/>
      <c r="B1158" s="141"/>
      <c r="C1158" s="248"/>
      <c r="D1158" s="256"/>
      <c r="E1158" s="150"/>
      <c r="F1158" s="150"/>
      <c r="G1158" s="145"/>
    </row>
    <row r="1159" spans="1:7" ht="24.95" hidden="1" customHeight="1">
      <c r="A1159" s="141"/>
      <c r="B1159" s="141"/>
      <c r="C1159" s="248"/>
      <c r="D1159" s="256"/>
      <c r="E1159" s="150"/>
      <c r="F1159" s="150"/>
      <c r="G1159" s="145"/>
    </row>
    <row r="1160" spans="1:7" ht="24.95" hidden="1" customHeight="1">
      <c r="A1160" s="141"/>
      <c r="B1160" s="141"/>
      <c r="C1160" s="248"/>
      <c r="D1160" s="256"/>
      <c r="E1160" s="150"/>
      <c r="F1160" s="150"/>
      <c r="G1160" s="145"/>
    </row>
    <row r="1161" spans="1:7" ht="24.95" hidden="1" customHeight="1">
      <c r="A1161" s="141"/>
      <c r="B1161" s="141"/>
      <c r="C1161" s="248"/>
      <c r="D1161" s="256"/>
      <c r="E1161" s="150"/>
      <c r="F1161" s="150"/>
      <c r="G1161" s="145"/>
    </row>
    <row r="1162" spans="1:7" ht="24.95" hidden="1" customHeight="1">
      <c r="A1162" s="141"/>
      <c r="B1162" s="141"/>
      <c r="C1162" s="248"/>
      <c r="D1162" s="256"/>
      <c r="E1162" s="150"/>
      <c r="F1162" s="150"/>
      <c r="G1162" s="145"/>
    </row>
    <row r="1163" spans="1:7" ht="24.95" hidden="1" customHeight="1">
      <c r="A1163" s="141"/>
      <c r="B1163" s="141"/>
      <c r="C1163" s="248"/>
      <c r="D1163" s="256"/>
      <c r="E1163" s="150"/>
      <c r="F1163" s="150"/>
      <c r="G1163" s="145"/>
    </row>
    <row r="1164" spans="1:7" ht="24.95" hidden="1" customHeight="1">
      <c r="A1164" s="141"/>
      <c r="B1164" s="141"/>
      <c r="C1164" s="248"/>
      <c r="D1164" s="256"/>
      <c r="E1164" s="150"/>
      <c r="F1164" s="150"/>
      <c r="G1164" s="145"/>
    </row>
    <row r="1165" spans="1:7" ht="24.95" hidden="1" customHeight="1">
      <c r="A1165" s="141"/>
      <c r="B1165" s="141"/>
      <c r="C1165" s="248"/>
      <c r="D1165" s="256"/>
      <c r="E1165" s="150"/>
      <c r="F1165" s="150"/>
      <c r="G1165" s="145"/>
    </row>
    <row r="1166" spans="1:7" ht="24.95" hidden="1" customHeight="1">
      <c r="A1166" s="141"/>
      <c r="B1166" s="141"/>
      <c r="C1166" s="248"/>
      <c r="D1166" s="256"/>
      <c r="E1166" s="150"/>
      <c r="F1166" s="150"/>
      <c r="G1166" s="145"/>
    </row>
    <row r="1167" spans="1:7" ht="24.95" hidden="1" customHeight="1">
      <c r="A1167" s="141"/>
      <c r="B1167" s="141"/>
      <c r="C1167" s="248"/>
      <c r="D1167" s="256"/>
      <c r="E1167" s="150"/>
      <c r="F1167" s="150"/>
      <c r="G1167" s="145"/>
    </row>
    <row r="1168" spans="1:7" ht="24.95" hidden="1" customHeight="1">
      <c r="A1168" s="141"/>
      <c r="B1168" s="141"/>
      <c r="C1168" s="248"/>
      <c r="D1168" s="256"/>
      <c r="E1168" s="150"/>
      <c r="F1168" s="150"/>
      <c r="G1168" s="145"/>
    </row>
    <row r="1169" spans="1:7" ht="24.95" hidden="1" customHeight="1">
      <c r="A1169" s="141"/>
      <c r="B1169" s="141"/>
      <c r="C1169" s="248"/>
      <c r="D1169" s="256"/>
      <c r="E1169" s="150"/>
      <c r="F1169" s="150"/>
      <c r="G1169" s="145"/>
    </row>
    <row r="1170" spans="1:7" ht="24.95" hidden="1" customHeight="1">
      <c r="A1170" s="141"/>
      <c r="B1170" s="141"/>
      <c r="C1170" s="248"/>
      <c r="D1170" s="256"/>
      <c r="E1170" s="150"/>
      <c r="F1170" s="150"/>
      <c r="G1170" s="145"/>
    </row>
    <row r="1171" spans="1:7" ht="24.95" hidden="1" customHeight="1">
      <c r="A1171" s="141"/>
      <c r="B1171" s="141"/>
      <c r="C1171" s="248"/>
      <c r="D1171" s="256"/>
      <c r="E1171" s="150"/>
      <c r="F1171" s="150"/>
      <c r="G1171" s="145"/>
    </row>
    <row r="1172" spans="1:7" ht="24.95" hidden="1" customHeight="1">
      <c r="A1172" s="141"/>
      <c r="B1172" s="141"/>
      <c r="C1172" s="248"/>
      <c r="D1172" s="256"/>
      <c r="E1172" s="150"/>
      <c r="F1172" s="150"/>
      <c r="G1172" s="145"/>
    </row>
    <row r="1173" spans="1:7" ht="24.95" hidden="1" customHeight="1">
      <c r="A1173" s="141"/>
      <c r="B1173" s="141"/>
      <c r="C1173" s="248"/>
      <c r="D1173" s="256"/>
      <c r="E1173" s="150"/>
      <c r="F1173" s="150"/>
      <c r="G1173" s="145"/>
    </row>
    <row r="1174" spans="1:7" ht="24.95" hidden="1" customHeight="1">
      <c r="A1174" s="141"/>
      <c r="B1174" s="141"/>
      <c r="C1174" s="248"/>
      <c r="D1174" s="256"/>
      <c r="E1174" s="150"/>
      <c r="F1174" s="150"/>
      <c r="G1174" s="145"/>
    </row>
    <row r="1175" spans="1:7" ht="24.95" hidden="1" customHeight="1">
      <c r="A1175" s="141"/>
      <c r="B1175" s="141"/>
      <c r="C1175" s="248"/>
      <c r="D1175" s="256"/>
      <c r="E1175" s="150"/>
      <c r="F1175" s="150"/>
      <c r="G1175" s="145"/>
    </row>
    <row r="1176" spans="1:7" ht="24.95" hidden="1" customHeight="1">
      <c r="A1176" s="141"/>
      <c r="B1176" s="141"/>
      <c r="C1176" s="248"/>
      <c r="D1176" s="256"/>
      <c r="E1176" s="150"/>
      <c r="F1176" s="150"/>
      <c r="G1176" s="145"/>
    </row>
    <row r="1177" spans="1:7" ht="24.95" hidden="1" customHeight="1">
      <c r="A1177" s="141"/>
      <c r="B1177" s="141"/>
      <c r="C1177" s="248"/>
      <c r="D1177" s="256"/>
      <c r="E1177" s="150"/>
      <c r="F1177" s="150"/>
      <c r="G1177" s="145"/>
    </row>
    <row r="1178" spans="1:7" ht="24.95" hidden="1" customHeight="1">
      <c r="A1178" s="141"/>
      <c r="B1178" s="141"/>
      <c r="C1178" s="248"/>
      <c r="D1178" s="256"/>
      <c r="E1178" s="150"/>
      <c r="F1178" s="150"/>
      <c r="G1178" s="145"/>
    </row>
    <row r="1179" spans="1:7" ht="24.95" hidden="1" customHeight="1">
      <c r="A1179" s="141"/>
      <c r="B1179" s="141"/>
      <c r="C1179" s="248"/>
      <c r="D1179" s="256"/>
      <c r="E1179" s="150"/>
      <c r="F1179" s="150"/>
      <c r="G1179" s="145"/>
    </row>
    <row r="1180" spans="1:7" ht="24.95" hidden="1" customHeight="1">
      <c r="A1180" s="141"/>
      <c r="B1180" s="141"/>
      <c r="C1180" s="248"/>
      <c r="D1180" s="256"/>
      <c r="E1180" s="150"/>
      <c r="F1180" s="150"/>
      <c r="G1180" s="145"/>
    </row>
    <row r="1181" spans="1:7" ht="24.95" hidden="1" customHeight="1">
      <c r="A1181" s="141"/>
      <c r="B1181" s="141"/>
      <c r="C1181" s="248"/>
      <c r="D1181" s="256"/>
      <c r="E1181" s="150"/>
      <c r="F1181" s="150"/>
      <c r="G1181" s="145"/>
    </row>
    <row r="1182" spans="1:7" ht="24.95" hidden="1" customHeight="1">
      <c r="A1182" s="141"/>
      <c r="B1182" s="141"/>
      <c r="C1182" s="248"/>
      <c r="D1182" s="256"/>
      <c r="E1182" s="150"/>
      <c r="F1182" s="150"/>
      <c r="G1182" s="145"/>
    </row>
    <row r="1183" spans="1:7" ht="24.95" hidden="1" customHeight="1">
      <c r="A1183" s="141"/>
      <c r="B1183" s="141"/>
      <c r="C1183" s="248"/>
      <c r="D1183" s="256"/>
      <c r="E1183" s="150"/>
      <c r="F1183" s="150"/>
      <c r="G1183" s="145"/>
    </row>
    <row r="1184" spans="1:7" ht="24.95" hidden="1" customHeight="1">
      <c r="A1184" s="141"/>
      <c r="B1184" s="141"/>
      <c r="C1184" s="248"/>
      <c r="D1184" s="256"/>
      <c r="E1184" s="150"/>
      <c r="F1184" s="150"/>
      <c r="G1184" s="145"/>
    </row>
    <row r="1185" spans="1:7" ht="24.95" hidden="1" customHeight="1">
      <c r="A1185" s="141"/>
      <c r="B1185" s="141"/>
      <c r="C1185" s="248"/>
      <c r="D1185" s="256"/>
      <c r="E1185" s="150"/>
      <c r="F1185" s="150"/>
      <c r="G1185" s="145"/>
    </row>
    <row r="1186" spans="1:7" ht="24.95" hidden="1" customHeight="1">
      <c r="A1186" s="141"/>
      <c r="B1186" s="141"/>
      <c r="C1186" s="248"/>
      <c r="D1186" s="256"/>
      <c r="E1186" s="150"/>
      <c r="F1186" s="150"/>
      <c r="G1186" s="145"/>
    </row>
    <row r="1187" spans="1:7" ht="24.95" hidden="1" customHeight="1">
      <c r="A1187" s="141"/>
      <c r="B1187" s="141"/>
      <c r="C1187" s="248"/>
      <c r="D1187" s="256"/>
      <c r="E1187" s="150"/>
      <c r="F1187" s="150"/>
      <c r="G1187" s="145"/>
    </row>
    <row r="1188" spans="1:7" ht="24.95" hidden="1" customHeight="1">
      <c r="A1188" s="141"/>
      <c r="B1188" s="141"/>
      <c r="C1188" s="248"/>
      <c r="D1188" s="256"/>
      <c r="E1188" s="150"/>
      <c r="F1188" s="150"/>
      <c r="G1188" s="145"/>
    </row>
    <row r="1189" spans="1:7" ht="24.95" hidden="1" customHeight="1">
      <c r="A1189" s="141"/>
      <c r="B1189" s="141"/>
      <c r="C1189" s="248"/>
      <c r="D1189" s="256"/>
      <c r="E1189" s="150"/>
      <c r="F1189" s="150"/>
      <c r="G1189" s="145"/>
    </row>
    <row r="1190" spans="1:7" ht="24.95" hidden="1" customHeight="1">
      <c r="A1190" s="141"/>
      <c r="B1190" s="141"/>
      <c r="C1190" s="248"/>
      <c r="D1190" s="256"/>
      <c r="E1190" s="150"/>
      <c r="F1190" s="150"/>
      <c r="G1190" s="145"/>
    </row>
    <row r="1191" spans="1:7" ht="24.95" hidden="1" customHeight="1">
      <c r="A1191" s="141"/>
      <c r="B1191" s="141"/>
      <c r="C1191" s="248"/>
      <c r="D1191" s="256"/>
      <c r="E1191" s="150"/>
      <c r="F1191" s="150"/>
      <c r="G1191" s="145"/>
    </row>
    <row r="1192" spans="1:7" ht="24.95" hidden="1" customHeight="1">
      <c r="A1192" s="141"/>
      <c r="B1192" s="141"/>
      <c r="C1192" s="248"/>
      <c r="D1192" s="256"/>
      <c r="E1192" s="150"/>
      <c r="F1192" s="150"/>
      <c r="G1192" s="145"/>
    </row>
    <row r="1193" spans="1:7" ht="24.95" hidden="1" customHeight="1">
      <c r="A1193" s="141"/>
      <c r="B1193" s="141"/>
      <c r="C1193" s="248"/>
      <c r="D1193" s="256"/>
      <c r="E1193" s="150"/>
      <c r="F1193" s="150"/>
      <c r="G1193" s="145"/>
    </row>
    <row r="1194" spans="1:7" ht="24.95" hidden="1" customHeight="1">
      <c r="A1194" s="141"/>
      <c r="B1194" s="141"/>
      <c r="C1194" s="248"/>
      <c r="D1194" s="256"/>
      <c r="E1194" s="150"/>
      <c r="F1194" s="150"/>
      <c r="G1194" s="145"/>
    </row>
    <row r="1195" spans="1:7" ht="24.95" hidden="1" customHeight="1">
      <c r="A1195" s="141"/>
      <c r="B1195" s="141"/>
      <c r="C1195" s="248"/>
      <c r="D1195" s="256"/>
      <c r="E1195" s="150"/>
      <c r="F1195" s="150"/>
      <c r="G1195" s="145"/>
    </row>
    <row r="1196" spans="1:7" ht="24.95" hidden="1" customHeight="1">
      <c r="A1196" s="141"/>
      <c r="B1196" s="141"/>
      <c r="C1196" s="248"/>
      <c r="D1196" s="256"/>
      <c r="E1196" s="150"/>
      <c r="F1196" s="150"/>
      <c r="G1196" s="145"/>
    </row>
    <row r="1197" spans="1:7" ht="24.95" hidden="1" customHeight="1">
      <c r="A1197" s="141"/>
      <c r="B1197" s="141"/>
      <c r="C1197" s="248"/>
      <c r="D1197" s="256"/>
      <c r="E1197" s="150"/>
      <c r="F1197" s="150"/>
      <c r="G1197" s="145"/>
    </row>
    <row r="1198" spans="1:7" ht="24.95" hidden="1" customHeight="1">
      <c r="A1198" s="141"/>
      <c r="B1198" s="141"/>
      <c r="C1198" s="248"/>
      <c r="D1198" s="256"/>
      <c r="E1198" s="150"/>
      <c r="F1198" s="150"/>
      <c r="G1198" s="145"/>
    </row>
    <row r="1199" spans="1:7" ht="24.95" hidden="1" customHeight="1">
      <c r="A1199" s="141"/>
      <c r="B1199" s="141"/>
      <c r="C1199" s="248"/>
      <c r="D1199" s="256"/>
      <c r="E1199" s="150"/>
      <c r="F1199" s="150"/>
      <c r="G1199" s="145"/>
    </row>
    <row r="1200" spans="1:7" ht="24.95" hidden="1" customHeight="1">
      <c r="A1200" s="141"/>
      <c r="B1200" s="141"/>
      <c r="C1200" s="248"/>
      <c r="D1200" s="256"/>
      <c r="E1200" s="150"/>
      <c r="F1200" s="150"/>
      <c r="G1200" s="145"/>
    </row>
    <row r="1201" spans="1:7" ht="24.95" hidden="1" customHeight="1">
      <c r="A1201" s="141"/>
      <c r="B1201" s="141"/>
      <c r="C1201" s="248"/>
      <c r="D1201" s="256"/>
      <c r="E1201" s="150"/>
      <c r="F1201" s="150"/>
      <c r="G1201" s="145"/>
    </row>
    <row r="1202" spans="1:7" ht="24.95" hidden="1" customHeight="1">
      <c r="A1202" s="141"/>
      <c r="B1202" s="141"/>
      <c r="C1202" s="248"/>
      <c r="D1202" s="256"/>
      <c r="E1202" s="150"/>
      <c r="F1202" s="150"/>
      <c r="G1202" s="145"/>
    </row>
    <row r="1203" spans="1:7" ht="24.95" hidden="1" customHeight="1">
      <c r="A1203" s="141"/>
      <c r="B1203" s="141"/>
      <c r="C1203" s="248"/>
      <c r="D1203" s="256"/>
      <c r="E1203" s="150"/>
      <c r="F1203" s="150"/>
      <c r="G1203" s="145"/>
    </row>
    <row r="1204" spans="1:7" ht="24.95" hidden="1" customHeight="1">
      <c r="A1204" s="141"/>
      <c r="B1204" s="141"/>
      <c r="C1204" s="248"/>
      <c r="D1204" s="256"/>
      <c r="E1204" s="150"/>
      <c r="F1204" s="150"/>
      <c r="G1204" s="145"/>
    </row>
    <row r="1205" spans="1:7" ht="24.95" hidden="1" customHeight="1">
      <c r="A1205" s="141"/>
      <c r="B1205" s="141"/>
      <c r="C1205" s="248"/>
      <c r="D1205" s="256"/>
      <c r="E1205" s="150"/>
      <c r="F1205" s="150"/>
      <c r="G1205" s="145"/>
    </row>
    <row r="1206" spans="1:7" ht="24.95" hidden="1" customHeight="1">
      <c r="A1206" s="141"/>
      <c r="B1206" s="141"/>
      <c r="C1206" s="248"/>
      <c r="D1206" s="256"/>
      <c r="E1206" s="150"/>
      <c r="F1206" s="150"/>
      <c r="G1206" s="145"/>
    </row>
    <row r="1207" spans="1:7" ht="24.95" hidden="1" customHeight="1">
      <c r="A1207" s="141"/>
      <c r="B1207" s="141"/>
      <c r="C1207" s="248"/>
      <c r="D1207" s="256"/>
      <c r="E1207" s="150"/>
      <c r="F1207" s="150"/>
      <c r="G1207" s="145"/>
    </row>
    <row r="1208" spans="1:7" ht="24.95" hidden="1" customHeight="1">
      <c r="A1208" s="141"/>
      <c r="B1208" s="141"/>
      <c r="C1208" s="248"/>
      <c r="D1208" s="256"/>
      <c r="E1208" s="150"/>
      <c r="F1208" s="150"/>
      <c r="G1208" s="145"/>
    </row>
    <row r="1209" spans="1:7" ht="24.95" hidden="1" customHeight="1">
      <c r="A1209" s="141"/>
      <c r="B1209" s="141"/>
      <c r="C1209" s="248"/>
      <c r="D1209" s="256"/>
      <c r="E1209" s="150"/>
      <c r="F1209" s="150"/>
      <c r="G1209" s="145"/>
    </row>
    <row r="1210" spans="1:7" ht="24.95" hidden="1" customHeight="1">
      <c r="A1210" s="141"/>
      <c r="B1210" s="141"/>
      <c r="C1210" s="248"/>
      <c r="D1210" s="256"/>
      <c r="E1210" s="150"/>
      <c r="F1210" s="150"/>
      <c r="G1210" s="145"/>
    </row>
    <row r="1211" spans="1:7" ht="24.95" hidden="1" customHeight="1">
      <c r="A1211" s="141"/>
      <c r="B1211" s="141"/>
      <c r="C1211" s="248"/>
      <c r="D1211" s="256"/>
      <c r="E1211" s="150"/>
      <c r="F1211" s="150"/>
      <c r="G1211" s="145"/>
    </row>
    <row r="1212" spans="1:7" ht="24.95" hidden="1" customHeight="1">
      <c r="A1212" s="141"/>
      <c r="B1212" s="141"/>
      <c r="C1212" s="248"/>
      <c r="D1212" s="256"/>
      <c r="E1212" s="150"/>
      <c r="F1212" s="150"/>
      <c r="G1212" s="145"/>
    </row>
    <row r="1213" spans="1:7" ht="24.95" hidden="1" customHeight="1">
      <c r="A1213" s="141"/>
      <c r="B1213" s="141"/>
      <c r="C1213" s="248"/>
      <c r="D1213" s="256"/>
      <c r="E1213" s="150"/>
      <c r="F1213" s="150"/>
      <c r="G1213" s="145"/>
    </row>
    <row r="1214" spans="1:7" ht="24.95" hidden="1" customHeight="1">
      <c r="A1214" s="141"/>
      <c r="B1214" s="141"/>
      <c r="C1214" s="248"/>
      <c r="D1214" s="256"/>
      <c r="E1214" s="150"/>
      <c r="F1214" s="150"/>
      <c r="G1214" s="145"/>
    </row>
    <row r="1215" spans="1:7" ht="24.95" hidden="1" customHeight="1">
      <c r="A1215" s="141"/>
      <c r="B1215" s="141"/>
      <c r="C1215" s="248"/>
      <c r="D1215" s="256"/>
      <c r="E1215" s="150"/>
      <c r="F1215" s="150"/>
      <c r="G1215" s="145"/>
    </row>
    <row r="1216" spans="1:7" ht="24.95" hidden="1" customHeight="1">
      <c r="A1216" s="141"/>
      <c r="B1216" s="141"/>
      <c r="C1216" s="248"/>
      <c r="D1216" s="256"/>
      <c r="E1216" s="150"/>
      <c r="F1216" s="150"/>
      <c r="G1216" s="145"/>
    </row>
    <row r="1217" spans="1:7" ht="24.95" hidden="1" customHeight="1">
      <c r="A1217" s="141"/>
      <c r="B1217" s="141"/>
      <c r="C1217" s="248"/>
      <c r="D1217" s="256"/>
      <c r="E1217" s="150"/>
      <c r="F1217" s="150"/>
      <c r="G1217" s="145"/>
    </row>
    <row r="1218" spans="1:7" ht="24.95" hidden="1" customHeight="1">
      <c r="A1218" s="141"/>
      <c r="B1218" s="141"/>
      <c r="C1218" s="248"/>
      <c r="D1218" s="256"/>
      <c r="E1218" s="150"/>
      <c r="F1218" s="150"/>
      <c r="G1218" s="145"/>
    </row>
    <row r="1219" spans="1:7" ht="24.95" hidden="1" customHeight="1">
      <c r="A1219" s="141"/>
      <c r="B1219" s="141"/>
      <c r="C1219" s="248"/>
      <c r="D1219" s="256"/>
      <c r="E1219" s="150"/>
      <c r="F1219" s="150"/>
      <c r="G1219" s="145"/>
    </row>
    <row r="1220" spans="1:7" ht="24.95" hidden="1" customHeight="1">
      <c r="A1220" s="141"/>
      <c r="B1220" s="141"/>
      <c r="C1220" s="248"/>
      <c r="D1220" s="256"/>
      <c r="E1220" s="150"/>
      <c r="F1220" s="150"/>
      <c r="G1220" s="145"/>
    </row>
    <row r="1221" spans="1:7" ht="24.95" hidden="1" customHeight="1">
      <c r="A1221" s="141"/>
      <c r="B1221" s="141"/>
      <c r="C1221" s="248"/>
      <c r="D1221" s="256"/>
      <c r="E1221" s="150"/>
      <c r="F1221" s="150"/>
      <c r="G1221" s="145"/>
    </row>
    <row r="1222" spans="1:7" ht="24.95" hidden="1" customHeight="1">
      <c r="A1222" s="141"/>
      <c r="B1222" s="141"/>
      <c r="C1222" s="248"/>
      <c r="D1222" s="256"/>
      <c r="E1222" s="150"/>
      <c r="F1222" s="150"/>
      <c r="G1222" s="145"/>
    </row>
    <row r="1223" spans="1:7" ht="24.95" hidden="1" customHeight="1">
      <c r="A1223" s="141"/>
      <c r="B1223" s="141"/>
      <c r="C1223" s="248"/>
      <c r="D1223" s="256"/>
      <c r="E1223" s="150"/>
      <c r="F1223" s="150"/>
      <c r="G1223" s="145"/>
    </row>
    <row r="1224" spans="1:7" ht="24.95" hidden="1" customHeight="1">
      <c r="A1224" s="141"/>
      <c r="B1224" s="141"/>
      <c r="C1224" s="248"/>
      <c r="D1224" s="256"/>
      <c r="E1224" s="150"/>
      <c r="F1224" s="150"/>
      <c r="G1224" s="145"/>
    </row>
    <row r="1225" spans="1:7" ht="24.95" hidden="1" customHeight="1">
      <c r="A1225" s="141"/>
      <c r="B1225" s="141"/>
      <c r="C1225" s="248"/>
      <c r="D1225" s="256"/>
      <c r="E1225" s="150"/>
      <c r="F1225" s="150"/>
      <c r="G1225" s="145"/>
    </row>
    <row r="1226" spans="1:7" ht="24.95" hidden="1" customHeight="1">
      <c r="A1226" s="141"/>
      <c r="B1226" s="141"/>
      <c r="C1226" s="248"/>
      <c r="D1226" s="256"/>
      <c r="E1226" s="150"/>
      <c r="F1226" s="150"/>
      <c r="G1226" s="145"/>
    </row>
    <row r="1227" spans="1:7" ht="24.95" hidden="1" customHeight="1">
      <c r="A1227" s="141"/>
      <c r="B1227" s="141"/>
      <c r="C1227" s="248"/>
      <c r="D1227" s="256"/>
      <c r="E1227" s="150"/>
      <c r="F1227" s="150"/>
      <c r="G1227" s="145"/>
    </row>
    <row r="1228" spans="1:7" ht="24.95" hidden="1" customHeight="1">
      <c r="A1228" s="141"/>
      <c r="B1228" s="141"/>
      <c r="C1228" s="248"/>
      <c r="D1228" s="256"/>
      <c r="E1228" s="150"/>
      <c r="F1228" s="150"/>
      <c r="G1228" s="145"/>
    </row>
    <row r="1229" spans="1:7" ht="24.95" hidden="1" customHeight="1">
      <c r="A1229" s="141"/>
      <c r="B1229" s="141"/>
      <c r="C1229" s="248"/>
      <c r="D1229" s="256"/>
      <c r="E1229" s="150"/>
      <c r="F1229" s="150"/>
      <c r="G1229" s="145"/>
    </row>
    <row r="1230" spans="1:7" ht="24.95" hidden="1" customHeight="1">
      <c r="A1230" s="141"/>
      <c r="B1230" s="141"/>
      <c r="C1230" s="248"/>
      <c r="D1230" s="256"/>
      <c r="E1230" s="150"/>
      <c r="F1230" s="150"/>
      <c r="G1230" s="145"/>
    </row>
    <row r="1231" spans="1:7" ht="24.95" hidden="1" customHeight="1">
      <c r="A1231" s="141"/>
      <c r="B1231" s="141"/>
      <c r="C1231" s="248"/>
      <c r="D1231" s="256"/>
      <c r="E1231" s="150"/>
      <c r="F1231" s="150"/>
      <c r="G1231" s="145"/>
    </row>
    <row r="1232" spans="1:7" ht="24.95" hidden="1" customHeight="1">
      <c r="A1232" s="141"/>
      <c r="B1232" s="141"/>
      <c r="C1232" s="248"/>
      <c r="D1232" s="256"/>
      <c r="E1232" s="150"/>
      <c r="F1232" s="150"/>
      <c r="G1232" s="145"/>
    </row>
    <row r="1233" spans="1:7" ht="24.95" hidden="1" customHeight="1">
      <c r="A1233" s="141"/>
      <c r="B1233" s="141"/>
      <c r="C1233" s="248"/>
      <c r="D1233" s="256"/>
      <c r="E1233" s="150"/>
      <c r="F1233" s="150"/>
      <c r="G1233" s="145"/>
    </row>
    <row r="1234" spans="1:7" ht="24.95" hidden="1" customHeight="1">
      <c r="A1234" s="141"/>
      <c r="B1234" s="141"/>
      <c r="C1234" s="248"/>
      <c r="D1234" s="256"/>
      <c r="E1234" s="150"/>
      <c r="F1234" s="150"/>
      <c r="G1234" s="145"/>
    </row>
    <row r="1235" spans="1:7" ht="24.95" hidden="1" customHeight="1">
      <c r="A1235" s="141"/>
      <c r="B1235" s="141"/>
      <c r="C1235" s="248"/>
      <c r="D1235" s="256"/>
      <c r="E1235" s="150"/>
      <c r="F1235" s="150"/>
      <c r="G1235" s="145"/>
    </row>
    <row r="1236" spans="1:7" ht="24.95" hidden="1" customHeight="1">
      <c r="A1236" s="141"/>
      <c r="B1236" s="141"/>
      <c r="C1236" s="248"/>
      <c r="D1236" s="256"/>
      <c r="E1236" s="150"/>
      <c r="F1236" s="150"/>
      <c r="G1236" s="145"/>
    </row>
    <row r="1237" spans="1:7" ht="24.95" hidden="1" customHeight="1">
      <c r="A1237" s="141"/>
      <c r="B1237" s="141"/>
      <c r="C1237" s="248"/>
      <c r="D1237" s="256"/>
      <c r="E1237" s="150"/>
      <c r="F1237" s="150"/>
      <c r="G1237" s="145"/>
    </row>
    <row r="1238" spans="1:7" ht="24.95" hidden="1" customHeight="1">
      <c r="A1238" s="141"/>
      <c r="B1238" s="141"/>
      <c r="C1238" s="248"/>
      <c r="D1238" s="256"/>
      <c r="E1238" s="150"/>
      <c r="F1238" s="150"/>
      <c r="G1238" s="145"/>
    </row>
    <row r="1239" spans="1:7" ht="24.95" hidden="1" customHeight="1">
      <c r="A1239" s="141"/>
      <c r="B1239" s="141"/>
      <c r="C1239" s="248"/>
      <c r="D1239" s="256"/>
      <c r="E1239" s="150"/>
      <c r="F1239" s="150"/>
      <c r="G1239" s="145"/>
    </row>
    <row r="1240" spans="1:7" ht="24.95" hidden="1" customHeight="1">
      <c r="A1240" s="141"/>
      <c r="B1240" s="141"/>
      <c r="C1240" s="248"/>
      <c r="D1240" s="256"/>
      <c r="E1240" s="150"/>
      <c r="F1240" s="150"/>
      <c r="G1240" s="145"/>
    </row>
    <row r="1241" spans="1:7" ht="24.95" hidden="1" customHeight="1">
      <c r="A1241" s="141"/>
      <c r="B1241" s="141"/>
      <c r="C1241" s="248"/>
      <c r="D1241" s="256"/>
      <c r="E1241" s="150"/>
      <c r="F1241" s="150"/>
      <c r="G1241" s="145"/>
    </row>
    <row r="1242" spans="1:7" ht="24.95" hidden="1" customHeight="1">
      <c r="A1242" s="141"/>
      <c r="B1242" s="141"/>
      <c r="C1242" s="248"/>
      <c r="D1242" s="256"/>
      <c r="E1242" s="150"/>
      <c r="F1242" s="150"/>
      <c r="G1242" s="145"/>
    </row>
    <row r="1243" spans="1:7" ht="24.95" hidden="1" customHeight="1">
      <c r="A1243" s="141"/>
      <c r="B1243" s="141"/>
      <c r="C1243" s="248"/>
      <c r="D1243" s="256"/>
      <c r="E1243" s="150"/>
      <c r="F1243" s="150"/>
      <c r="G1243" s="145"/>
    </row>
    <row r="1244" spans="1:7" ht="24.95" hidden="1" customHeight="1">
      <c r="A1244" s="141"/>
      <c r="B1244" s="141"/>
      <c r="C1244" s="248"/>
      <c r="D1244" s="256"/>
      <c r="E1244" s="150"/>
      <c r="F1244" s="150"/>
      <c r="G1244" s="145"/>
    </row>
    <row r="1245" spans="1:7" ht="24.95" hidden="1" customHeight="1">
      <c r="A1245" s="141"/>
      <c r="B1245" s="141"/>
      <c r="C1245" s="248"/>
      <c r="D1245" s="256"/>
      <c r="E1245" s="150"/>
      <c r="F1245" s="150"/>
      <c r="G1245" s="145"/>
    </row>
    <row r="1246" spans="1:7" ht="24.95" hidden="1" customHeight="1">
      <c r="A1246" s="141"/>
      <c r="B1246" s="141"/>
      <c r="C1246" s="248"/>
      <c r="D1246" s="256"/>
      <c r="E1246" s="150"/>
      <c r="F1246" s="150"/>
      <c r="G1246" s="145"/>
    </row>
    <row r="1247" spans="1:7" ht="24.95" hidden="1" customHeight="1">
      <c r="A1247" s="141"/>
      <c r="B1247" s="141"/>
      <c r="C1247" s="248"/>
      <c r="D1247" s="256"/>
      <c r="E1247" s="150"/>
      <c r="F1247" s="150"/>
      <c r="G1247" s="145"/>
    </row>
    <row r="1248" spans="1:7" ht="24.95" hidden="1" customHeight="1">
      <c r="A1248" s="141"/>
      <c r="B1248" s="141"/>
      <c r="C1248" s="248"/>
      <c r="D1248" s="256"/>
      <c r="E1248" s="150"/>
      <c r="F1248" s="150"/>
      <c r="G1248" s="145"/>
    </row>
    <row r="1249" spans="1:7" ht="24.95" hidden="1" customHeight="1">
      <c r="A1249" s="141"/>
      <c r="B1249" s="141"/>
      <c r="C1249" s="248"/>
      <c r="D1249" s="256"/>
      <c r="E1249" s="150"/>
      <c r="F1249" s="150"/>
      <c r="G1249" s="145"/>
    </row>
    <row r="1250" spans="1:7" ht="24.95" hidden="1" customHeight="1">
      <c r="A1250" s="141"/>
      <c r="B1250" s="141"/>
      <c r="C1250" s="248"/>
      <c r="D1250" s="256"/>
      <c r="E1250" s="150"/>
      <c r="F1250" s="150"/>
      <c r="G1250" s="145"/>
    </row>
    <row r="1251" spans="1:7" ht="24.95" hidden="1" customHeight="1">
      <c r="A1251" s="141"/>
      <c r="B1251" s="141"/>
      <c r="C1251" s="248"/>
      <c r="D1251" s="256"/>
      <c r="E1251" s="150"/>
      <c r="F1251" s="150"/>
      <c r="G1251" s="145"/>
    </row>
    <row r="1252" spans="1:7" ht="24.95" hidden="1" customHeight="1">
      <c r="A1252" s="141"/>
      <c r="B1252" s="141"/>
      <c r="C1252" s="248"/>
      <c r="D1252" s="256"/>
      <c r="E1252" s="150"/>
      <c r="F1252" s="150"/>
      <c r="G1252" s="145"/>
    </row>
    <row r="1253" spans="1:7" ht="24.95" hidden="1" customHeight="1">
      <c r="A1253" s="141"/>
      <c r="B1253" s="141"/>
      <c r="C1253" s="248"/>
      <c r="D1253" s="256"/>
      <c r="E1253" s="150"/>
      <c r="F1253" s="150"/>
      <c r="G1253" s="145"/>
    </row>
    <row r="1254" spans="1:7" ht="24.95" hidden="1" customHeight="1">
      <c r="A1254" s="141"/>
      <c r="B1254" s="141"/>
      <c r="C1254" s="248"/>
      <c r="D1254" s="256"/>
      <c r="E1254" s="150"/>
      <c r="F1254" s="150"/>
      <c r="G1254" s="145"/>
    </row>
    <row r="1255" spans="1:7" ht="24.95" hidden="1" customHeight="1">
      <c r="A1255" s="141"/>
      <c r="B1255" s="141"/>
      <c r="C1255" s="248"/>
      <c r="D1255" s="256"/>
      <c r="E1255" s="150"/>
      <c r="F1255" s="150"/>
      <c r="G1255" s="145"/>
    </row>
    <row r="1256" spans="1:7" ht="24.95" hidden="1" customHeight="1">
      <c r="A1256" s="141"/>
      <c r="B1256" s="141"/>
      <c r="C1256" s="248"/>
      <c r="D1256" s="256"/>
      <c r="E1256" s="150"/>
      <c r="F1256" s="150"/>
      <c r="G1256" s="145"/>
    </row>
    <row r="1257" spans="1:7" ht="24.95" hidden="1" customHeight="1">
      <c r="A1257" s="141"/>
      <c r="B1257" s="141"/>
      <c r="C1257" s="248"/>
      <c r="D1257" s="256"/>
      <c r="E1257" s="150"/>
      <c r="F1257" s="150"/>
      <c r="G1257" s="145"/>
    </row>
    <row r="1258" spans="1:7" ht="24.95" hidden="1" customHeight="1">
      <c r="A1258" s="141"/>
      <c r="B1258" s="141"/>
      <c r="C1258" s="248"/>
      <c r="D1258" s="256"/>
      <c r="E1258" s="150"/>
      <c r="F1258" s="150"/>
      <c r="G1258" s="145"/>
    </row>
    <row r="1259" spans="1:7" ht="24.95" hidden="1" customHeight="1">
      <c r="A1259" s="141"/>
      <c r="B1259" s="141"/>
      <c r="C1259" s="248"/>
      <c r="D1259" s="256"/>
      <c r="E1259" s="150"/>
      <c r="F1259" s="150"/>
      <c r="G1259" s="145"/>
    </row>
    <row r="1260" spans="1:7" ht="24.95" hidden="1" customHeight="1">
      <c r="A1260" s="141"/>
      <c r="B1260" s="141"/>
      <c r="C1260" s="248"/>
      <c r="D1260" s="256"/>
      <c r="E1260" s="150"/>
      <c r="F1260" s="150"/>
      <c r="G1260" s="145"/>
    </row>
    <row r="1261" spans="1:7" ht="24.95" hidden="1" customHeight="1">
      <c r="A1261" s="141"/>
      <c r="B1261" s="141"/>
      <c r="C1261" s="248"/>
      <c r="D1261" s="256"/>
      <c r="E1261" s="150"/>
      <c r="F1261" s="150"/>
      <c r="G1261" s="145"/>
    </row>
    <row r="1262" spans="1:7" ht="24.95" hidden="1" customHeight="1">
      <c r="A1262" s="141"/>
      <c r="B1262" s="141"/>
      <c r="C1262" s="248"/>
      <c r="D1262" s="256"/>
      <c r="E1262" s="150"/>
      <c r="F1262" s="150"/>
      <c r="G1262" s="145"/>
    </row>
    <row r="1263" spans="1:7" ht="24.95" hidden="1" customHeight="1">
      <c r="A1263" s="141"/>
      <c r="B1263" s="141"/>
      <c r="C1263" s="248"/>
      <c r="D1263" s="256"/>
      <c r="E1263" s="150"/>
      <c r="F1263" s="150"/>
      <c r="G1263" s="145"/>
    </row>
    <row r="1264" spans="1:7" ht="24.95" hidden="1" customHeight="1">
      <c r="A1264" s="141"/>
      <c r="B1264" s="141"/>
      <c r="C1264" s="248"/>
      <c r="D1264" s="256"/>
      <c r="E1264" s="150"/>
      <c r="F1264" s="150"/>
      <c r="G1264" s="145"/>
    </row>
    <row r="1265" spans="1:7" ht="24.95" hidden="1" customHeight="1">
      <c r="A1265" s="141"/>
      <c r="B1265" s="141"/>
      <c r="C1265" s="248"/>
      <c r="D1265" s="256"/>
      <c r="E1265" s="150"/>
      <c r="F1265" s="150"/>
      <c r="G1265" s="145"/>
    </row>
    <row r="1266" spans="1:7" ht="24.95" hidden="1" customHeight="1">
      <c r="A1266" s="141"/>
      <c r="B1266" s="141"/>
      <c r="C1266" s="248"/>
      <c r="D1266" s="256"/>
      <c r="E1266" s="150"/>
      <c r="F1266" s="150"/>
      <c r="G1266" s="145"/>
    </row>
    <row r="1267" spans="1:7" ht="24.95" hidden="1" customHeight="1">
      <c r="A1267" s="141"/>
      <c r="B1267" s="141"/>
      <c r="C1267" s="248"/>
      <c r="D1267" s="256"/>
      <c r="E1267" s="150"/>
      <c r="F1267" s="150"/>
      <c r="G1267" s="145"/>
    </row>
    <row r="1268" spans="1:7" ht="24.95" hidden="1" customHeight="1">
      <c r="A1268" s="141"/>
      <c r="B1268" s="141"/>
      <c r="C1268" s="248"/>
      <c r="D1268" s="256"/>
      <c r="E1268" s="150"/>
      <c r="F1268" s="150"/>
      <c r="G1268" s="145"/>
    </row>
    <row r="1269" spans="1:7" ht="24.95" hidden="1" customHeight="1">
      <c r="A1269" s="141"/>
      <c r="B1269" s="141"/>
      <c r="C1269" s="248"/>
      <c r="D1269" s="256"/>
      <c r="E1269" s="150"/>
      <c r="F1269" s="150"/>
      <c r="G1269" s="145"/>
    </row>
    <row r="1270" spans="1:7" ht="24.95" hidden="1" customHeight="1">
      <c r="A1270" s="141"/>
      <c r="B1270" s="141"/>
      <c r="C1270" s="248"/>
      <c r="D1270" s="256"/>
      <c r="E1270" s="150"/>
      <c r="F1270" s="150"/>
      <c r="G1270" s="145"/>
    </row>
    <row r="1271" spans="1:7" ht="24.95" hidden="1" customHeight="1">
      <c r="A1271" s="141"/>
      <c r="B1271" s="141"/>
      <c r="C1271" s="248"/>
      <c r="D1271" s="256"/>
      <c r="E1271" s="150"/>
      <c r="F1271" s="150"/>
      <c r="G1271" s="145"/>
    </row>
    <row r="1272" spans="1:7" ht="24.95" hidden="1" customHeight="1">
      <c r="A1272" s="141"/>
      <c r="B1272" s="141"/>
      <c r="C1272" s="248"/>
      <c r="D1272" s="256"/>
      <c r="E1272" s="150"/>
      <c r="F1272" s="150"/>
      <c r="G1272" s="145"/>
    </row>
    <row r="1273" spans="1:7" ht="24.95" hidden="1" customHeight="1">
      <c r="A1273" s="141"/>
      <c r="B1273" s="141"/>
      <c r="C1273" s="248"/>
      <c r="D1273" s="256"/>
      <c r="E1273" s="150"/>
      <c r="F1273" s="150"/>
      <c r="G1273" s="145"/>
    </row>
    <row r="1274" spans="1:7" ht="24.95" hidden="1" customHeight="1">
      <c r="A1274" s="141"/>
      <c r="B1274" s="141"/>
      <c r="C1274" s="248"/>
      <c r="D1274" s="256"/>
      <c r="E1274" s="150"/>
      <c r="F1274" s="150"/>
      <c r="G1274" s="145"/>
    </row>
    <row r="1275" spans="1:7" ht="24.95" hidden="1" customHeight="1">
      <c r="A1275" s="141"/>
      <c r="B1275" s="141"/>
      <c r="C1275" s="248"/>
      <c r="D1275" s="256"/>
      <c r="E1275" s="150"/>
      <c r="F1275" s="150"/>
      <c r="G1275" s="145"/>
    </row>
    <row r="1276" spans="1:7" ht="24.95" hidden="1" customHeight="1">
      <c r="A1276" s="141"/>
      <c r="B1276" s="141"/>
      <c r="C1276" s="248"/>
      <c r="D1276" s="256"/>
      <c r="E1276" s="150"/>
      <c r="F1276" s="150"/>
      <c r="G1276" s="145"/>
    </row>
    <row r="1277" spans="1:7" ht="24.95" hidden="1" customHeight="1">
      <c r="A1277" s="141"/>
      <c r="B1277" s="141"/>
      <c r="C1277" s="248"/>
      <c r="D1277" s="256"/>
      <c r="E1277" s="150"/>
      <c r="F1277" s="150"/>
      <c r="G1277" s="145"/>
    </row>
    <row r="1278" spans="1:7" ht="24.95" hidden="1" customHeight="1">
      <c r="A1278" s="141"/>
      <c r="B1278" s="141"/>
      <c r="C1278" s="248"/>
      <c r="D1278" s="256"/>
      <c r="E1278" s="150"/>
      <c r="F1278" s="150"/>
      <c r="G1278" s="145"/>
    </row>
    <row r="1279" spans="1:7" ht="24.95" hidden="1" customHeight="1">
      <c r="A1279" s="141"/>
      <c r="B1279" s="141"/>
      <c r="C1279" s="248"/>
      <c r="D1279" s="256"/>
      <c r="E1279" s="150"/>
      <c r="F1279" s="150"/>
      <c r="G1279" s="145"/>
    </row>
    <row r="1280" spans="1:7" ht="24.95" hidden="1" customHeight="1">
      <c r="A1280" s="141"/>
      <c r="B1280" s="141"/>
      <c r="C1280" s="248"/>
      <c r="D1280" s="256"/>
      <c r="E1280" s="150"/>
      <c r="F1280" s="150"/>
      <c r="G1280" s="145"/>
    </row>
    <row r="1281" spans="1:7" ht="24.95" hidden="1" customHeight="1">
      <c r="A1281" s="141"/>
      <c r="B1281" s="141"/>
      <c r="C1281" s="248"/>
      <c r="D1281" s="256"/>
      <c r="E1281" s="150"/>
      <c r="F1281" s="150"/>
      <c r="G1281" s="145"/>
    </row>
    <row r="1282" spans="1:7" ht="24.95" hidden="1" customHeight="1">
      <c r="A1282" s="141"/>
      <c r="B1282" s="141"/>
      <c r="C1282" s="248"/>
      <c r="D1282" s="256"/>
      <c r="E1282" s="150"/>
      <c r="F1282" s="150"/>
      <c r="G1282" s="145"/>
    </row>
    <row r="1283" spans="1:7" ht="24.95" hidden="1" customHeight="1">
      <c r="A1283" s="141"/>
      <c r="B1283" s="141"/>
      <c r="C1283" s="248"/>
      <c r="D1283" s="256"/>
      <c r="E1283" s="150"/>
      <c r="F1283" s="150"/>
      <c r="G1283" s="145"/>
    </row>
    <row r="1284" spans="1:7" ht="24.95" hidden="1" customHeight="1">
      <c r="A1284" s="141"/>
      <c r="B1284" s="141"/>
      <c r="C1284" s="248"/>
      <c r="D1284" s="256"/>
      <c r="E1284" s="150"/>
      <c r="F1284" s="150"/>
      <c r="G1284" s="145"/>
    </row>
    <row r="1285" spans="1:7" ht="24.95" hidden="1" customHeight="1">
      <c r="A1285" s="141"/>
      <c r="B1285" s="141"/>
      <c r="C1285" s="248"/>
      <c r="D1285" s="256"/>
      <c r="E1285" s="150"/>
      <c r="F1285" s="150"/>
      <c r="G1285" s="145"/>
    </row>
    <row r="1286" spans="1:7" ht="24.95" hidden="1" customHeight="1">
      <c r="A1286" s="141"/>
      <c r="B1286" s="141"/>
      <c r="C1286" s="248"/>
      <c r="D1286" s="256"/>
      <c r="E1286" s="150"/>
      <c r="F1286" s="150"/>
      <c r="G1286" s="145"/>
    </row>
    <row r="1287" spans="1:7" ht="24.95" hidden="1" customHeight="1">
      <c r="A1287" s="141"/>
      <c r="B1287" s="141"/>
      <c r="C1287" s="248"/>
      <c r="D1287" s="256"/>
      <c r="E1287" s="150"/>
      <c r="F1287" s="150"/>
      <c r="G1287" s="145"/>
    </row>
    <row r="1288" spans="1:7" ht="24.95" hidden="1" customHeight="1">
      <c r="A1288" s="141"/>
      <c r="B1288" s="141"/>
      <c r="C1288" s="248"/>
      <c r="D1288" s="256"/>
      <c r="E1288" s="150"/>
      <c r="F1288" s="150"/>
      <c r="G1288" s="145"/>
    </row>
    <row r="1289" spans="1:7" ht="24.95" hidden="1" customHeight="1">
      <c r="A1289" s="141"/>
      <c r="B1289" s="141"/>
      <c r="C1289" s="248"/>
      <c r="D1289" s="256"/>
      <c r="E1289" s="150"/>
      <c r="F1289" s="150"/>
      <c r="G1289" s="145"/>
    </row>
    <row r="1290" spans="1:7" ht="24.95" hidden="1" customHeight="1">
      <c r="A1290" s="141"/>
      <c r="B1290" s="141"/>
      <c r="C1290" s="248"/>
      <c r="D1290" s="256"/>
      <c r="E1290" s="150"/>
      <c r="F1290" s="150"/>
      <c r="G1290" s="145"/>
    </row>
    <row r="1291" spans="1:7" ht="24.95" hidden="1" customHeight="1">
      <c r="A1291" s="141"/>
      <c r="B1291" s="141"/>
      <c r="C1291" s="248"/>
      <c r="D1291" s="256"/>
      <c r="E1291" s="150"/>
      <c r="F1291" s="150"/>
      <c r="G1291" s="145"/>
    </row>
    <row r="1292" spans="1:7" ht="24.95" hidden="1" customHeight="1">
      <c r="A1292" s="141"/>
      <c r="B1292" s="141"/>
      <c r="C1292" s="248"/>
      <c r="D1292" s="256"/>
      <c r="E1292" s="150"/>
      <c r="F1292" s="150"/>
      <c r="G1292" s="145"/>
    </row>
    <row r="1293" spans="1:7" ht="24.95" hidden="1" customHeight="1">
      <c r="A1293" s="141"/>
      <c r="B1293" s="141"/>
      <c r="C1293" s="248"/>
      <c r="D1293" s="256"/>
      <c r="E1293" s="150"/>
      <c r="F1293" s="150"/>
      <c r="G1293" s="145"/>
    </row>
    <row r="1294" spans="1:7" ht="24.95" hidden="1" customHeight="1">
      <c r="A1294" s="141"/>
      <c r="B1294" s="141"/>
      <c r="C1294" s="248"/>
      <c r="D1294" s="256"/>
      <c r="E1294" s="150"/>
      <c r="F1294" s="150"/>
      <c r="G1294" s="145"/>
    </row>
    <row r="1295" spans="1:7" ht="24.95" hidden="1" customHeight="1">
      <c r="A1295" s="141"/>
      <c r="B1295" s="141"/>
      <c r="C1295" s="248"/>
      <c r="D1295" s="256"/>
      <c r="E1295" s="150"/>
      <c r="F1295" s="150"/>
      <c r="G1295" s="145"/>
    </row>
    <row r="1296" spans="1:7" ht="24.95" hidden="1" customHeight="1">
      <c r="A1296" s="141"/>
      <c r="B1296" s="141"/>
      <c r="C1296" s="248"/>
      <c r="D1296" s="256"/>
      <c r="E1296" s="150"/>
      <c r="F1296" s="150"/>
      <c r="G1296" s="145"/>
    </row>
    <row r="1297" spans="1:7" ht="24.95" hidden="1" customHeight="1">
      <c r="A1297" s="141"/>
      <c r="B1297" s="141"/>
      <c r="C1297" s="248"/>
      <c r="D1297" s="256"/>
      <c r="E1297" s="150"/>
      <c r="F1297" s="150"/>
      <c r="G1297" s="145"/>
    </row>
    <row r="1298" spans="1:7" ht="24.95" hidden="1" customHeight="1">
      <c r="A1298" s="141"/>
      <c r="B1298" s="141"/>
      <c r="C1298" s="248"/>
      <c r="D1298" s="256"/>
      <c r="E1298" s="150"/>
      <c r="F1298" s="150"/>
      <c r="G1298" s="145"/>
    </row>
    <row r="1299" spans="1:7" ht="24.95" hidden="1" customHeight="1">
      <c r="A1299" s="141"/>
      <c r="B1299" s="141"/>
      <c r="C1299" s="248"/>
      <c r="D1299" s="256"/>
      <c r="E1299" s="150"/>
      <c r="F1299" s="150"/>
      <c r="G1299" s="145"/>
    </row>
    <row r="1300" spans="1:7" ht="24.95" hidden="1" customHeight="1">
      <c r="A1300" s="141"/>
      <c r="B1300" s="141"/>
      <c r="C1300" s="248"/>
      <c r="D1300" s="256"/>
      <c r="E1300" s="150"/>
      <c r="F1300" s="150"/>
      <c r="G1300" s="145"/>
    </row>
    <row r="1301" spans="1:7" ht="24.95" hidden="1" customHeight="1">
      <c r="A1301" s="141"/>
      <c r="B1301" s="141"/>
      <c r="C1301" s="248"/>
      <c r="D1301" s="256"/>
      <c r="E1301" s="150"/>
      <c r="F1301" s="150"/>
      <c r="G1301" s="145"/>
    </row>
    <row r="1302" spans="1:7" ht="24.95" hidden="1" customHeight="1">
      <c r="A1302" s="141"/>
      <c r="B1302" s="141"/>
      <c r="C1302" s="248"/>
      <c r="D1302" s="256"/>
      <c r="E1302" s="150"/>
      <c r="F1302" s="150"/>
      <c r="G1302" s="145"/>
    </row>
    <row r="1303" spans="1:7" ht="24.95" hidden="1" customHeight="1">
      <c r="A1303" s="141"/>
      <c r="B1303" s="141"/>
      <c r="C1303" s="248"/>
      <c r="D1303" s="256"/>
      <c r="E1303" s="150"/>
      <c r="F1303" s="150"/>
      <c r="G1303" s="145"/>
    </row>
    <row r="1304" spans="1:7" ht="24.95" hidden="1" customHeight="1">
      <c r="A1304" s="141"/>
      <c r="B1304" s="141"/>
      <c r="C1304" s="248"/>
      <c r="D1304" s="256"/>
      <c r="E1304" s="150"/>
      <c r="F1304" s="150"/>
      <c r="G1304" s="145"/>
    </row>
    <row r="1305" spans="1:7" ht="24.95" hidden="1" customHeight="1">
      <c r="A1305" s="141"/>
      <c r="B1305" s="141"/>
      <c r="C1305" s="248"/>
      <c r="D1305" s="256"/>
      <c r="E1305" s="150"/>
      <c r="F1305" s="150"/>
      <c r="G1305" s="145"/>
    </row>
    <row r="1306" spans="1:7" ht="24.95" hidden="1" customHeight="1">
      <c r="A1306" s="141"/>
      <c r="B1306" s="141"/>
      <c r="C1306" s="248"/>
      <c r="D1306" s="256"/>
      <c r="E1306" s="150"/>
      <c r="F1306" s="150"/>
      <c r="G1306" s="145"/>
    </row>
    <row r="1307" spans="1:7" ht="24.95" hidden="1" customHeight="1">
      <c r="A1307" s="141"/>
      <c r="B1307" s="141"/>
      <c r="C1307" s="248"/>
      <c r="D1307" s="256"/>
      <c r="E1307" s="150"/>
      <c r="F1307" s="150"/>
      <c r="G1307" s="145"/>
    </row>
    <row r="1308" spans="1:7" ht="24.95" hidden="1" customHeight="1">
      <c r="A1308" s="141"/>
      <c r="B1308" s="141"/>
      <c r="C1308" s="248"/>
      <c r="D1308" s="256"/>
      <c r="E1308" s="150"/>
      <c r="F1308" s="150"/>
      <c r="G1308" s="145"/>
    </row>
    <row r="1309" spans="1:7" ht="24.95" hidden="1" customHeight="1">
      <c r="A1309" s="141"/>
      <c r="B1309" s="141"/>
      <c r="C1309" s="248"/>
      <c r="D1309" s="256"/>
      <c r="E1309" s="150"/>
      <c r="F1309" s="150"/>
      <c r="G1309" s="145"/>
    </row>
    <row r="1310" spans="1:7" ht="24.95" hidden="1" customHeight="1">
      <c r="A1310" s="141"/>
      <c r="B1310" s="141"/>
      <c r="C1310" s="248"/>
      <c r="D1310" s="256"/>
      <c r="E1310" s="150"/>
      <c r="F1310" s="150"/>
      <c r="G1310" s="145"/>
    </row>
    <row r="1311" spans="1:7" ht="24.95" hidden="1" customHeight="1">
      <c r="A1311" s="141"/>
      <c r="B1311" s="141"/>
      <c r="C1311" s="248"/>
      <c r="D1311" s="256"/>
      <c r="E1311" s="150"/>
      <c r="F1311" s="150"/>
      <c r="G1311" s="145"/>
    </row>
    <row r="1312" spans="1:7" ht="24.95" hidden="1" customHeight="1">
      <c r="A1312" s="141"/>
      <c r="B1312" s="141"/>
      <c r="C1312" s="248"/>
      <c r="D1312" s="256"/>
      <c r="E1312" s="150"/>
      <c r="F1312" s="150"/>
      <c r="G1312" s="145"/>
    </row>
    <row r="1313" spans="1:7" ht="24.95" hidden="1" customHeight="1">
      <c r="A1313" s="141"/>
      <c r="B1313" s="141"/>
      <c r="C1313" s="248"/>
      <c r="D1313" s="256"/>
      <c r="E1313" s="150"/>
      <c r="F1313" s="150"/>
      <c r="G1313" s="145"/>
    </row>
    <row r="1314" spans="1:7" ht="24.95" hidden="1" customHeight="1">
      <c r="A1314" s="141"/>
      <c r="B1314" s="141"/>
      <c r="C1314" s="248"/>
      <c r="D1314" s="256"/>
      <c r="E1314" s="150"/>
      <c r="F1314" s="150"/>
      <c r="G1314" s="145"/>
    </row>
    <row r="1315" spans="1:7" ht="24.95" hidden="1" customHeight="1">
      <c r="A1315" s="141"/>
      <c r="B1315" s="141"/>
      <c r="C1315" s="248"/>
      <c r="D1315" s="256"/>
      <c r="E1315" s="150"/>
      <c r="F1315" s="150"/>
      <c r="G1315" s="145"/>
    </row>
    <row r="1316" spans="1:7" ht="24.95" hidden="1" customHeight="1">
      <c r="A1316" s="141"/>
      <c r="B1316" s="141"/>
      <c r="C1316" s="248"/>
      <c r="D1316" s="256"/>
      <c r="E1316" s="150"/>
      <c r="F1316" s="150"/>
      <c r="G1316" s="145"/>
    </row>
    <row r="1317" spans="1:7" ht="24.95" hidden="1" customHeight="1">
      <c r="A1317" s="141"/>
      <c r="B1317" s="141"/>
      <c r="C1317" s="248"/>
      <c r="D1317" s="256"/>
      <c r="E1317" s="150"/>
      <c r="F1317" s="150"/>
      <c r="G1317" s="145"/>
    </row>
    <row r="1318" spans="1:7" ht="24.95" hidden="1" customHeight="1">
      <c r="A1318" s="141"/>
      <c r="B1318" s="141"/>
      <c r="C1318" s="248"/>
      <c r="D1318" s="256"/>
      <c r="E1318" s="150"/>
      <c r="F1318" s="150"/>
      <c r="G1318" s="145"/>
    </row>
    <row r="1319" spans="1:7" ht="24.95" hidden="1" customHeight="1">
      <c r="A1319" s="141"/>
      <c r="B1319" s="141"/>
      <c r="C1319" s="248"/>
      <c r="D1319" s="256"/>
      <c r="E1319" s="150"/>
      <c r="F1319" s="150"/>
      <c r="G1319" s="145"/>
    </row>
    <row r="1320" spans="1:7" ht="24.95" hidden="1" customHeight="1">
      <c r="A1320" s="141"/>
      <c r="B1320" s="141"/>
      <c r="C1320" s="248"/>
      <c r="D1320" s="256"/>
      <c r="E1320" s="150"/>
      <c r="F1320" s="150"/>
      <c r="G1320" s="145"/>
    </row>
    <row r="1321" spans="1:7" ht="24.95" hidden="1" customHeight="1">
      <c r="A1321" s="141"/>
      <c r="B1321" s="141"/>
      <c r="C1321" s="248"/>
      <c r="D1321" s="256"/>
      <c r="E1321" s="150"/>
      <c r="F1321" s="150"/>
      <c r="G1321" s="145"/>
    </row>
    <row r="1322" spans="1:7" ht="24.95" hidden="1" customHeight="1">
      <c r="A1322" s="141"/>
      <c r="B1322" s="141"/>
      <c r="C1322" s="248"/>
      <c r="D1322" s="256"/>
      <c r="E1322" s="150"/>
      <c r="F1322" s="150"/>
      <c r="G1322" s="145"/>
    </row>
    <row r="1323" spans="1:7" ht="24.95" hidden="1" customHeight="1">
      <c r="A1323" s="141"/>
      <c r="B1323" s="141"/>
      <c r="C1323" s="248"/>
      <c r="D1323" s="256"/>
      <c r="E1323" s="150"/>
      <c r="F1323" s="150"/>
      <c r="G1323" s="145"/>
    </row>
    <row r="1324" spans="1:7" ht="24.95" hidden="1" customHeight="1">
      <c r="A1324" s="141"/>
      <c r="B1324" s="141"/>
      <c r="C1324" s="248"/>
      <c r="D1324" s="256"/>
      <c r="E1324" s="150"/>
      <c r="F1324" s="150"/>
      <c r="G1324" s="145"/>
    </row>
    <row r="1325" spans="1:7" ht="24.95" hidden="1" customHeight="1">
      <c r="A1325" s="141"/>
      <c r="B1325" s="141"/>
      <c r="C1325" s="248"/>
      <c r="D1325" s="256"/>
      <c r="E1325" s="150"/>
      <c r="F1325" s="150"/>
      <c r="G1325" s="145"/>
    </row>
    <row r="1326" spans="1:7" ht="24.95" hidden="1" customHeight="1">
      <c r="A1326" s="141"/>
      <c r="B1326" s="141"/>
      <c r="C1326" s="248"/>
      <c r="D1326" s="256"/>
      <c r="E1326" s="150"/>
      <c r="F1326" s="150"/>
      <c r="G1326" s="145"/>
    </row>
    <row r="1327" spans="1:7" ht="24.95" hidden="1" customHeight="1">
      <c r="A1327" s="141"/>
      <c r="B1327" s="141"/>
      <c r="C1327" s="248"/>
      <c r="D1327" s="256"/>
      <c r="E1327" s="150"/>
      <c r="F1327" s="150"/>
      <c r="G1327" s="145"/>
    </row>
    <row r="1328" spans="1:7" ht="24.95" hidden="1" customHeight="1">
      <c r="A1328" s="141"/>
      <c r="B1328" s="141"/>
      <c r="C1328" s="248"/>
      <c r="D1328" s="256"/>
      <c r="E1328" s="150"/>
      <c r="F1328" s="150"/>
      <c r="G1328" s="145"/>
    </row>
    <row r="1329" spans="1:7" ht="24.95" hidden="1" customHeight="1">
      <c r="A1329" s="141"/>
      <c r="B1329" s="141"/>
      <c r="C1329" s="248"/>
      <c r="D1329" s="256"/>
      <c r="E1329" s="150"/>
      <c r="F1329" s="150"/>
      <c r="G1329" s="145"/>
    </row>
    <row r="1330" spans="1:7" ht="24.95" hidden="1" customHeight="1">
      <c r="A1330" s="141"/>
      <c r="B1330" s="141"/>
      <c r="C1330" s="248"/>
      <c r="D1330" s="256"/>
      <c r="E1330" s="150"/>
      <c r="F1330" s="150"/>
      <c r="G1330" s="145"/>
    </row>
    <row r="1331" spans="1:7" ht="24.95" hidden="1" customHeight="1">
      <c r="A1331" s="141"/>
      <c r="B1331" s="141"/>
      <c r="C1331" s="248"/>
      <c r="D1331" s="256"/>
      <c r="E1331" s="150"/>
      <c r="F1331" s="150"/>
      <c r="G1331" s="145"/>
    </row>
    <row r="1332" spans="1:7" ht="24.95" hidden="1" customHeight="1">
      <c r="A1332" s="141"/>
      <c r="B1332" s="141"/>
      <c r="C1332" s="248"/>
      <c r="D1332" s="256"/>
      <c r="E1332" s="150"/>
      <c r="F1332" s="150"/>
      <c r="G1332" s="145"/>
    </row>
    <row r="1333" spans="1:7" ht="24.95" hidden="1" customHeight="1">
      <c r="A1333" s="141"/>
      <c r="B1333" s="141"/>
      <c r="C1333" s="248"/>
      <c r="D1333" s="256"/>
      <c r="E1333" s="150"/>
      <c r="F1333" s="150"/>
      <c r="G1333" s="145"/>
    </row>
    <row r="1334" spans="1:7" ht="24.95" hidden="1" customHeight="1">
      <c r="A1334" s="141"/>
      <c r="B1334" s="141"/>
      <c r="C1334" s="248"/>
      <c r="D1334" s="256"/>
      <c r="E1334" s="150"/>
      <c r="F1334" s="150"/>
      <c r="G1334" s="145"/>
    </row>
    <row r="1335" spans="1:7" ht="24.95" hidden="1" customHeight="1">
      <c r="A1335" s="141"/>
      <c r="B1335" s="141"/>
      <c r="C1335" s="248"/>
      <c r="D1335" s="256"/>
      <c r="E1335" s="150"/>
      <c r="F1335" s="150"/>
      <c r="G1335" s="145"/>
    </row>
    <row r="1336" spans="1:7" ht="24.95" hidden="1" customHeight="1">
      <c r="A1336" s="141"/>
      <c r="B1336" s="141"/>
      <c r="C1336" s="248"/>
      <c r="D1336" s="256"/>
      <c r="E1336" s="150"/>
      <c r="F1336" s="150"/>
      <c r="G1336" s="145"/>
    </row>
    <row r="1337" spans="1:7" ht="24.95" hidden="1" customHeight="1">
      <c r="A1337" s="141"/>
      <c r="B1337" s="141"/>
      <c r="C1337" s="248"/>
      <c r="D1337" s="256"/>
      <c r="E1337" s="150"/>
      <c r="F1337" s="150"/>
      <c r="G1337" s="145"/>
    </row>
    <row r="1338" spans="1:7" ht="24.95" hidden="1" customHeight="1">
      <c r="A1338" s="141"/>
      <c r="B1338" s="141"/>
      <c r="C1338" s="248"/>
      <c r="D1338" s="256"/>
      <c r="E1338" s="150"/>
      <c r="F1338" s="150"/>
      <c r="G1338" s="145"/>
    </row>
    <row r="1339" spans="1:7" ht="24.95" hidden="1" customHeight="1">
      <c r="A1339" s="141"/>
      <c r="B1339" s="141"/>
      <c r="C1339" s="248"/>
      <c r="D1339" s="256"/>
      <c r="E1339" s="150"/>
      <c r="F1339" s="150"/>
      <c r="G1339" s="145"/>
    </row>
    <row r="1340" spans="1:7" ht="24.95" hidden="1" customHeight="1">
      <c r="A1340" s="141"/>
      <c r="B1340" s="141"/>
      <c r="C1340" s="248"/>
      <c r="D1340" s="256"/>
      <c r="E1340" s="150"/>
      <c r="F1340" s="150"/>
      <c r="G1340" s="145"/>
    </row>
    <row r="1341" spans="1:7" ht="24.95" hidden="1" customHeight="1">
      <c r="A1341" s="141"/>
      <c r="B1341" s="141"/>
      <c r="C1341" s="248"/>
      <c r="D1341" s="256"/>
      <c r="E1341" s="150"/>
      <c r="F1341" s="150"/>
      <c r="G1341" s="145"/>
    </row>
    <row r="1342" spans="1:7" ht="24.95" hidden="1" customHeight="1">
      <c r="A1342" s="141"/>
      <c r="B1342" s="141"/>
      <c r="C1342" s="248"/>
      <c r="D1342" s="256"/>
      <c r="E1342" s="150"/>
      <c r="F1342" s="150"/>
      <c r="G1342" s="145"/>
    </row>
    <row r="1343" spans="1:7" ht="24.95" hidden="1" customHeight="1">
      <c r="A1343" s="141"/>
      <c r="B1343" s="141"/>
      <c r="C1343" s="248"/>
      <c r="D1343" s="256"/>
      <c r="E1343" s="150"/>
      <c r="F1343" s="150"/>
      <c r="G1343" s="145"/>
    </row>
    <row r="1344" spans="1:7" ht="24.95" hidden="1" customHeight="1">
      <c r="A1344" s="141"/>
      <c r="B1344" s="141"/>
      <c r="C1344" s="248"/>
      <c r="D1344" s="256"/>
      <c r="E1344" s="150"/>
      <c r="F1344" s="150"/>
      <c r="G1344" s="145"/>
    </row>
    <row r="1345" spans="1:7" ht="24.95" hidden="1" customHeight="1">
      <c r="A1345" s="141"/>
      <c r="B1345" s="141"/>
      <c r="C1345" s="248"/>
      <c r="D1345" s="256"/>
      <c r="E1345" s="150"/>
      <c r="F1345" s="150"/>
      <c r="G1345" s="145"/>
    </row>
    <row r="1346" spans="1:7" ht="24.95" hidden="1" customHeight="1">
      <c r="A1346" s="141"/>
      <c r="B1346" s="141"/>
      <c r="C1346" s="248"/>
      <c r="D1346" s="256"/>
      <c r="E1346" s="150"/>
      <c r="F1346" s="150"/>
      <c r="G1346" s="145"/>
    </row>
    <row r="1347" spans="1:7" ht="24.95" hidden="1" customHeight="1">
      <c r="A1347" s="141"/>
      <c r="B1347" s="141"/>
      <c r="C1347" s="248"/>
      <c r="D1347" s="256"/>
      <c r="E1347" s="150"/>
      <c r="F1347" s="150"/>
      <c r="G1347" s="145"/>
    </row>
    <row r="1348" spans="1:7" ht="24.95" hidden="1" customHeight="1">
      <c r="A1348" s="141"/>
      <c r="B1348" s="141"/>
      <c r="C1348" s="248"/>
      <c r="D1348" s="256"/>
      <c r="E1348" s="150"/>
      <c r="F1348" s="150"/>
      <c r="G1348" s="145"/>
    </row>
    <row r="1349" spans="1:7" ht="24.95" hidden="1" customHeight="1">
      <c r="A1349" s="141"/>
      <c r="B1349" s="141"/>
      <c r="C1349" s="248"/>
      <c r="D1349" s="256"/>
      <c r="E1349" s="150"/>
      <c r="F1349" s="150"/>
      <c r="G1349" s="145"/>
    </row>
    <row r="1350" spans="1:7" ht="24.95" hidden="1" customHeight="1">
      <c r="A1350" s="141"/>
      <c r="B1350" s="141"/>
      <c r="C1350" s="248"/>
      <c r="D1350" s="256"/>
      <c r="E1350" s="150"/>
      <c r="F1350" s="150"/>
      <c r="G1350" s="145"/>
    </row>
    <row r="1351" spans="1:7" ht="24.95" hidden="1" customHeight="1">
      <c r="A1351" s="141"/>
      <c r="B1351" s="141"/>
      <c r="C1351" s="248"/>
      <c r="D1351" s="256"/>
      <c r="E1351" s="150"/>
      <c r="F1351" s="150"/>
      <c r="G1351" s="145"/>
    </row>
    <row r="1352" spans="1:7" ht="24.95" hidden="1" customHeight="1">
      <c r="A1352" s="141"/>
      <c r="B1352" s="141"/>
      <c r="C1352" s="248"/>
      <c r="D1352" s="256"/>
      <c r="E1352" s="150"/>
      <c r="F1352" s="150"/>
      <c r="G1352" s="145"/>
    </row>
    <row r="1353" spans="1:7" ht="24.95" hidden="1" customHeight="1">
      <c r="A1353" s="141"/>
      <c r="B1353" s="141"/>
      <c r="C1353" s="248"/>
      <c r="D1353" s="256"/>
      <c r="E1353" s="150"/>
      <c r="F1353" s="150"/>
      <c r="G1353" s="145"/>
    </row>
    <row r="1354" spans="1:7" ht="24.95" hidden="1" customHeight="1">
      <c r="A1354" s="141"/>
      <c r="B1354" s="141"/>
      <c r="C1354" s="248"/>
      <c r="D1354" s="256"/>
      <c r="E1354" s="150"/>
      <c r="F1354" s="150"/>
      <c r="G1354" s="145"/>
    </row>
    <row r="1355" spans="1:7" ht="24.95" hidden="1" customHeight="1">
      <c r="A1355" s="141"/>
      <c r="B1355" s="141"/>
      <c r="C1355" s="248"/>
      <c r="D1355" s="256"/>
      <c r="E1355" s="150"/>
      <c r="F1355" s="150"/>
      <c r="G1355" s="145"/>
    </row>
    <row r="1356" spans="1:7" ht="24.95" hidden="1" customHeight="1">
      <c r="A1356" s="141"/>
      <c r="B1356" s="141"/>
      <c r="C1356" s="248"/>
      <c r="D1356" s="256"/>
      <c r="E1356" s="150"/>
      <c r="F1356" s="150"/>
      <c r="G1356" s="145"/>
    </row>
    <row r="1357" spans="1:7" ht="24.95" hidden="1" customHeight="1">
      <c r="A1357" s="141"/>
      <c r="B1357" s="141"/>
      <c r="C1357" s="248"/>
      <c r="D1357" s="256"/>
      <c r="E1357" s="150"/>
      <c r="F1357" s="150"/>
      <c r="G1357" s="145"/>
    </row>
    <row r="1358" spans="1:7" ht="24.95" hidden="1" customHeight="1">
      <c r="A1358" s="141"/>
      <c r="B1358" s="141"/>
      <c r="C1358" s="248"/>
      <c r="D1358" s="256"/>
      <c r="E1358" s="150"/>
      <c r="F1358" s="150"/>
      <c r="G1358" s="145"/>
    </row>
    <row r="1359" spans="1:7" ht="24.95" hidden="1" customHeight="1">
      <c r="A1359" s="141"/>
      <c r="B1359" s="141"/>
      <c r="C1359" s="248"/>
      <c r="D1359" s="256"/>
      <c r="E1359" s="150"/>
      <c r="F1359" s="150"/>
      <c r="G1359" s="145"/>
    </row>
    <row r="1360" spans="1:7" ht="24.95" hidden="1" customHeight="1">
      <c r="A1360" s="141"/>
      <c r="B1360" s="141"/>
      <c r="C1360" s="248"/>
      <c r="D1360" s="256"/>
      <c r="E1360" s="150"/>
      <c r="F1360" s="150"/>
      <c r="G1360" s="145"/>
    </row>
    <row r="1361" spans="1:7" ht="24.95" hidden="1" customHeight="1">
      <c r="A1361" s="141"/>
      <c r="B1361" s="141"/>
      <c r="C1361" s="248"/>
      <c r="D1361" s="256"/>
      <c r="E1361" s="150"/>
      <c r="F1361" s="150"/>
      <c r="G1361" s="145"/>
    </row>
    <row r="1362" spans="1:7" ht="24.95" hidden="1" customHeight="1">
      <c r="A1362" s="141"/>
      <c r="B1362" s="141"/>
      <c r="C1362" s="248"/>
      <c r="D1362" s="256"/>
      <c r="E1362" s="150"/>
      <c r="F1362" s="150"/>
      <c r="G1362" s="145"/>
    </row>
    <row r="1363" spans="1:7" ht="24.95" hidden="1" customHeight="1">
      <c r="A1363" s="141"/>
      <c r="B1363" s="141"/>
      <c r="C1363" s="248"/>
      <c r="D1363" s="256"/>
      <c r="E1363" s="150"/>
      <c r="F1363" s="150"/>
      <c r="G1363" s="145"/>
    </row>
    <row r="1364" spans="1:7" ht="24.95" hidden="1" customHeight="1">
      <c r="A1364" s="141"/>
      <c r="B1364" s="141"/>
      <c r="C1364" s="248"/>
      <c r="D1364" s="256"/>
      <c r="E1364" s="150"/>
      <c r="F1364" s="150"/>
      <c r="G1364" s="145"/>
    </row>
    <row r="1365" spans="1:7" ht="24.95" hidden="1" customHeight="1">
      <c r="A1365" s="141"/>
      <c r="B1365" s="141"/>
      <c r="C1365" s="248"/>
      <c r="D1365" s="256"/>
      <c r="E1365" s="150"/>
      <c r="F1365" s="150"/>
      <c r="G1365" s="145"/>
    </row>
    <row r="1366" spans="1:7" ht="24.95" hidden="1" customHeight="1">
      <c r="A1366" s="141"/>
      <c r="B1366" s="141"/>
      <c r="C1366" s="248"/>
      <c r="D1366" s="256"/>
      <c r="E1366" s="150"/>
      <c r="F1366" s="150"/>
      <c r="G1366" s="145"/>
    </row>
    <row r="1367" spans="1:7" ht="24.95" hidden="1" customHeight="1">
      <c r="A1367" s="141"/>
      <c r="B1367" s="141"/>
      <c r="C1367" s="248"/>
      <c r="D1367" s="256"/>
      <c r="E1367" s="150"/>
      <c r="F1367" s="150"/>
      <c r="G1367" s="145"/>
    </row>
    <row r="1368" spans="1:7" ht="24.95" hidden="1" customHeight="1">
      <c r="A1368" s="141"/>
      <c r="B1368" s="141"/>
      <c r="C1368" s="248"/>
      <c r="D1368" s="256"/>
      <c r="E1368" s="150"/>
      <c r="F1368" s="150"/>
      <c r="G1368" s="145"/>
    </row>
    <row r="1369" spans="1:7" ht="24.95" hidden="1" customHeight="1">
      <c r="A1369" s="141"/>
      <c r="B1369" s="141"/>
      <c r="C1369" s="248"/>
      <c r="D1369" s="256"/>
      <c r="E1369" s="150"/>
      <c r="F1369" s="150"/>
      <c r="G1369" s="145"/>
    </row>
    <row r="1370" spans="1:7" ht="24.95" hidden="1" customHeight="1">
      <c r="A1370" s="141"/>
      <c r="B1370" s="141"/>
      <c r="C1370" s="248"/>
      <c r="D1370" s="256"/>
      <c r="E1370" s="150"/>
      <c r="F1370" s="150"/>
      <c r="G1370" s="145"/>
    </row>
    <row r="1371" spans="1:7" ht="24.95" hidden="1" customHeight="1">
      <c r="A1371" s="141"/>
      <c r="B1371" s="141"/>
      <c r="C1371" s="248"/>
      <c r="D1371" s="256"/>
      <c r="E1371" s="150"/>
      <c r="F1371" s="150"/>
      <c r="G1371" s="145"/>
    </row>
    <row r="1372" spans="1:7" ht="24.95" hidden="1" customHeight="1">
      <c r="A1372" s="141"/>
      <c r="B1372" s="141"/>
      <c r="C1372" s="248"/>
      <c r="D1372" s="256"/>
      <c r="E1372" s="150"/>
      <c r="F1372" s="150"/>
      <c r="G1372" s="145"/>
    </row>
    <row r="1373" spans="1:7" ht="24.95" hidden="1" customHeight="1">
      <c r="A1373" s="141"/>
      <c r="B1373" s="141"/>
      <c r="C1373" s="248"/>
      <c r="D1373" s="256"/>
      <c r="E1373" s="150"/>
      <c r="F1373" s="150"/>
      <c r="G1373" s="145"/>
    </row>
    <row r="1374" spans="1:7" ht="24.95" hidden="1" customHeight="1">
      <c r="A1374" s="141"/>
      <c r="B1374" s="141"/>
      <c r="C1374" s="248"/>
      <c r="D1374" s="256"/>
      <c r="E1374" s="150"/>
      <c r="F1374" s="150"/>
      <c r="G1374" s="145"/>
    </row>
    <row r="1375" spans="1:7" ht="24.95" hidden="1" customHeight="1">
      <c r="A1375" s="141"/>
      <c r="B1375" s="141"/>
      <c r="C1375" s="248"/>
      <c r="D1375" s="256"/>
      <c r="E1375" s="150"/>
      <c r="F1375" s="150"/>
      <c r="G1375" s="145"/>
    </row>
    <row r="1376" spans="1:7" ht="24.95" hidden="1" customHeight="1">
      <c r="A1376" s="141"/>
      <c r="B1376" s="141"/>
      <c r="C1376" s="248"/>
      <c r="D1376" s="256"/>
      <c r="E1376" s="150"/>
      <c r="F1376" s="150"/>
      <c r="G1376" s="145"/>
    </row>
    <row r="1377" spans="1:7" ht="24.95" hidden="1" customHeight="1">
      <c r="A1377" s="141"/>
      <c r="B1377" s="141"/>
      <c r="C1377" s="248"/>
      <c r="D1377" s="256"/>
      <c r="E1377" s="150"/>
      <c r="F1377" s="150"/>
      <c r="G1377" s="145"/>
    </row>
    <row r="1378" spans="1:7" ht="24.95" hidden="1" customHeight="1">
      <c r="A1378" s="141"/>
      <c r="B1378" s="141"/>
      <c r="C1378" s="248"/>
      <c r="D1378" s="256"/>
      <c r="E1378" s="150"/>
      <c r="F1378" s="150"/>
      <c r="G1378" s="145"/>
    </row>
    <row r="1379" spans="1:7" ht="24.95" hidden="1" customHeight="1">
      <c r="A1379" s="141"/>
      <c r="B1379" s="141"/>
      <c r="C1379" s="248"/>
      <c r="D1379" s="256"/>
      <c r="E1379" s="150"/>
      <c r="F1379" s="150"/>
      <c r="G1379" s="145"/>
    </row>
    <row r="1380" spans="1:7" ht="24.95" hidden="1" customHeight="1">
      <c r="A1380" s="141"/>
      <c r="B1380" s="141"/>
      <c r="C1380" s="248"/>
      <c r="D1380" s="256"/>
      <c r="E1380" s="150"/>
      <c r="F1380" s="150"/>
      <c r="G1380" s="145"/>
    </row>
    <row r="1381" spans="1:7" ht="24.95" hidden="1" customHeight="1">
      <c r="A1381" s="141"/>
      <c r="B1381" s="141"/>
      <c r="C1381" s="248"/>
      <c r="D1381" s="256"/>
      <c r="E1381" s="150"/>
      <c r="F1381" s="150"/>
      <c r="G1381" s="145"/>
    </row>
    <row r="1382" spans="1:7" ht="24.95" hidden="1" customHeight="1">
      <c r="A1382" s="141"/>
      <c r="B1382" s="141"/>
      <c r="C1382" s="248"/>
      <c r="D1382" s="256"/>
      <c r="E1382" s="150"/>
      <c r="F1382" s="150"/>
      <c r="G1382" s="145"/>
    </row>
    <row r="1383" spans="1:7" ht="24.95" hidden="1" customHeight="1">
      <c r="A1383" s="141"/>
      <c r="B1383" s="141"/>
      <c r="C1383" s="248"/>
      <c r="D1383" s="256"/>
      <c r="E1383" s="150"/>
      <c r="F1383" s="150"/>
      <c r="G1383" s="145"/>
    </row>
    <row r="1384" spans="1:7" ht="24.95" hidden="1" customHeight="1">
      <c r="A1384" s="141"/>
      <c r="B1384" s="141"/>
      <c r="C1384" s="248"/>
      <c r="D1384" s="256"/>
      <c r="E1384" s="150"/>
      <c r="F1384" s="150"/>
      <c r="G1384" s="145"/>
    </row>
    <row r="1385" spans="1:7" ht="24.95" hidden="1" customHeight="1">
      <c r="A1385" s="141"/>
      <c r="B1385" s="141"/>
      <c r="C1385" s="248"/>
      <c r="D1385" s="256"/>
      <c r="E1385" s="150"/>
      <c r="F1385" s="150"/>
      <c r="G1385" s="145"/>
    </row>
    <row r="1386" spans="1:7" ht="24.95" hidden="1" customHeight="1">
      <c r="A1386" s="141"/>
      <c r="B1386" s="141"/>
      <c r="C1386" s="248"/>
      <c r="D1386" s="256"/>
      <c r="E1386" s="150"/>
      <c r="F1386" s="150"/>
      <c r="G1386" s="145"/>
    </row>
    <row r="1387" spans="1:7" ht="24.95" hidden="1" customHeight="1">
      <c r="A1387" s="141"/>
      <c r="B1387" s="141"/>
      <c r="C1387" s="248"/>
      <c r="D1387" s="256"/>
      <c r="E1387" s="150"/>
      <c r="F1387" s="150"/>
      <c r="G1387" s="145"/>
    </row>
    <row r="1388" spans="1:7" ht="24.95" hidden="1" customHeight="1">
      <c r="A1388" s="141"/>
      <c r="B1388" s="141"/>
      <c r="C1388" s="248"/>
      <c r="D1388" s="256"/>
      <c r="E1388" s="150"/>
      <c r="F1388" s="150"/>
      <c r="G1388" s="145"/>
    </row>
    <row r="1389" spans="1:7" ht="24.95" hidden="1" customHeight="1">
      <c r="A1389" s="141"/>
      <c r="B1389" s="141"/>
      <c r="C1389" s="248"/>
      <c r="D1389" s="256"/>
      <c r="E1389" s="150"/>
      <c r="F1389" s="150"/>
      <c r="G1389" s="145"/>
    </row>
    <row r="1390" spans="1:7" ht="24.95" hidden="1" customHeight="1">
      <c r="A1390" s="141"/>
      <c r="B1390" s="141"/>
      <c r="C1390" s="248"/>
      <c r="D1390" s="256"/>
      <c r="E1390" s="150"/>
      <c r="F1390" s="150"/>
      <c r="G1390" s="145"/>
    </row>
    <row r="1391" spans="1:7" ht="24.95" hidden="1" customHeight="1">
      <c r="A1391" s="141"/>
      <c r="B1391" s="141"/>
      <c r="C1391" s="248"/>
      <c r="D1391" s="256"/>
      <c r="E1391" s="150"/>
      <c r="F1391" s="150"/>
      <c r="G1391" s="145"/>
    </row>
    <row r="1392" spans="1:7" ht="24.95" hidden="1" customHeight="1">
      <c r="A1392" s="141"/>
      <c r="B1392" s="141"/>
      <c r="C1392" s="248"/>
      <c r="D1392" s="256"/>
      <c r="E1392" s="150"/>
      <c r="F1392" s="150"/>
      <c r="G1392" s="145"/>
    </row>
    <row r="1393" spans="1:7" ht="24.95" hidden="1" customHeight="1">
      <c r="A1393" s="141"/>
      <c r="B1393" s="141"/>
      <c r="C1393" s="248"/>
      <c r="D1393" s="256"/>
      <c r="E1393" s="150"/>
      <c r="F1393" s="150"/>
      <c r="G1393" s="145"/>
    </row>
    <row r="1394" spans="1:7" ht="24.95" hidden="1" customHeight="1">
      <c r="A1394" s="141"/>
      <c r="B1394" s="141"/>
      <c r="C1394" s="248"/>
      <c r="D1394" s="256"/>
      <c r="E1394" s="150"/>
      <c r="F1394" s="150"/>
      <c r="G1394" s="145"/>
    </row>
    <row r="1395" spans="1:7" ht="24.95" hidden="1" customHeight="1">
      <c r="A1395" s="141"/>
      <c r="B1395" s="141"/>
      <c r="C1395" s="248"/>
      <c r="D1395" s="256"/>
      <c r="E1395" s="150"/>
      <c r="F1395" s="150"/>
      <c r="G1395" s="145"/>
    </row>
    <row r="1396" spans="1:7" ht="24.95" hidden="1" customHeight="1">
      <c r="A1396" s="141"/>
      <c r="B1396" s="141"/>
      <c r="C1396" s="248"/>
      <c r="D1396" s="256"/>
      <c r="E1396" s="150"/>
      <c r="F1396" s="150"/>
      <c r="G1396" s="145"/>
    </row>
    <row r="1397" spans="1:7" ht="24.95" hidden="1" customHeight="1">
      <c r="A1397" s="141"/>
      <c r="B1397" s="141"/>
      <c r="C1397" s="248"/>
      <c r="D1397" s="256"/>
      <c r="E1397" s="150"/>
      <c r="F1397" s="150"/>
      <c r="G1397" s="145"/>
    </row>
    <row r="1398" spans="1:7" ht="24.95" hidden="1" customHeight="1">
      <c r="A1398" s="141"/>
      <c r="B1398" s="141"/>
      <c r="C1398" s="248"/>
      <c r="D1398" s="256"/>
      <c r="E1398" s="150"/>
      <c r="F1398" s="150"/>
      <c r="G1398" s="145"/>
    </row>
    <row r="1399" spans="1:7" ht="24.95" hidden="1" customHeight="1">
      <c r="A1399" s="141"/>
      <c r="B1399" s="141"/>
      <c r="C1399" s="248"/>
      <c r="D1399" s="256"/>
      <c r="E1399" s="150"/>
      <c r="F1399" s="150"/>
      <c r="G1399" s="145"/>
    </row>
    <row r="1400" spans="1:7" ht="24.95" hidden="1" customHeight="1">
      <c r="A1400" s="141"/>
      <c r="B1400" s="141"/>
      <c r="C1400" s="248"/>
      <c r="D1400" s="256"/>
      <c r="E1400" s="150"/>
      <c r="F1400" s="150"/>
      <c r="G1400" s="145"/>
    </row>
    <row r="1401" spans="1:7" ht="24.95" hidden="1" customHeight="1">
      <c r="A1401" s="141"/>
      <c r="B1401" s="141"/>
      <c r="C1401" s="248"/>
      <c r="D1401" s="256"/>
      <c r="E1401" s="150"/>
      <c r="F1401" s="150"/>
      <c r="G1401" s="145"/>
    </row>
    <row r="1402" spans="1:7" ht="24.95" hidden="1" customHeight="1">
      <c r="A1402" s="141"/>
      <c r="B1402" s="141"/>
      <c r="C1402" s="248"/>
      <c r="D1402" s="256"/>
      <c r="E1402" s="150"/>
      <c r="F1402" s="150"/>
      <c r="G1402" s="145"/>
    </row>
    <row r="1403" spans="1:7" ht="24.95" hidden="1" customHeight="1">
      <c r="A1403" s="141"/>
      <c r="B1403" s="141"/>
      <c r="C1403" s="248"/>
      <c r="D1403" s="256"/>
      <c r="E1403" s="150"/>
      <c r="F1403" s="150"/>
      <c r="G1403" s="145"/>
    </row>
    <row r="1404" spans="1:7" ht="24.95" hidden="1" customHeight="1">
      <c r="A1404" s="141"/>
      <c r="B1404" s="141"/>
      <c r="C1404" s="248"/>
      <c r="D1404" s="256"/>
      <c r="E1404" s="150"/>
      <c r="F1404" s="150"/>
      <c r="G1404" s="145"/>
    </row>
    <row r="1405" spans="1:7" ht="24.95" hidden="1" customHeight="1">
      <c r="A1405" s="141"/>
      <c r="B1405" s="141"/>
      <c r="C1405" s="248"/>
      <c r="D1405" s="256"/>
      <c r="E1405" s="150"/>
      <c r="F1405" s="150"/>
      <c r="G1405" s="145"/>
    </row>
    <row r="1406" spans="1:7" ht="24.95" hidden="1" customHeight="1">
      <c r="A1406" s="141"/>
      <c r="B1406" s="141"/>
      <c r="C1406" s="248"/>
      <c r="D1406" s="256"/>
      <c r="E1406" s="150"/>
      <c r="F1406" s="150"/>
      <c r="G1406" s="145"/>
    </row>
    <row r="1407" spans="1:7" ht="24.95" hidden="1" customHeight="1">
      <c r="A1407" s="141"/>
      <c r="B1407" s="141"/>
      <c r="C1407" s="248"/>
      <c r="D1407" s="256"/>
      <c r="E1407" s="150"/>
      <c r="F1407" s="150"/>
      <c r="G1407" s="145"/>
    </row>
    <row r="1408" spans="1:7" ht="24.95" hidden="1" customHeight="1">
      <c r="A1408" s="141"/>
      <c r="B1408" s="141"/>
      <c r="C1408" s="248"/>
      <c r="D1408" s="256"/>
      <c r="E1408" s="150"/>
      <c r="F1408" s="150"/>
      <c r="G1408" s="145"/>
    </row>
    <row r="1409" spans="1:7" ht="24.95" hidden="1" customHeight="1">
      <c r="A1409" s="141"/>
      <c r="B1409" s="141"/>
      <c r="C1409" s="248"/>
      <c r="D1409" s="256"/>
      <c r="E1409" s="150"/>
      <c r="F1409" s="150"/>
      <c r="G1409" s="145"/>
    </row>
    <row r="1410" spans="1:7" ht="24.95" hidden="1" customHeight="1">
      <c r="A1410" s="141"/>
      <c r="B1410" s="141"/>
      <c r="C1410" s="248"/>
      <c r="D1410" s="256"/>
      <c r="E1410" s="150"/>
      <c r="F1410" s="150"/>
      <c r="G1410" s="145"/>
    </row>
    <row r="1411" spans="1:7" ht="24.95" hidden="1" customHeight="1">
      <c r="A1411" s="141"/>
      <c r="B1411" s="141"/>
      <c r="C1411" s="248"/>
      <c r="D1411" s="256"/>
      <c r="E1411" s="150"/>
      <c r="F1411" s="150"/>
      <c r="G1411" s="145"/>
    </row>
    <row r="1412" spans="1:7" ht="24.95" hidden="1" customHeight="1">
      <c r="A1412" s="141"/>
      <c r="B1412" s="141"/>
      <c r="C1412" s="248"/>
      <c r="D1412" s="256"/>
      <c r="E1412" s="150"/>
      <c r="F1412" s="150"/>
      <c r="G1412" s="145"/>
    </row>
    <row r="1413" spans="1:7" ht="24.95" hidden="1" customHeight="1">
      <c r="A1413" s="141"/>
      <c r="B1413" s="141"/>
      <c r="C1413" s="248"/>
      <c r="D1413" s="256"/>
      <c r="E1413" s="150"/>
      <c r="F1413" s="150"/>
      <c r="G1413" s="145"/>
    </row>
    <row r="1414" spans="1:7" ht="24.95" hidden="1" customHeight="1">
      <c r="A1414" s="141"/>
      <c r="B1414" s="141"/>
      <c r="C1414" s="248"/>
      <c r="D1414" s="256"/>
      <c r="E1414" s="150"/>
      <c r="F1414" s="150"/>
      <c r="G1414" s="145"/>
    </row>
    <row r="1415" spans="1:7" ht="24.95" hidden="1" customHeight="1">
      <c r="A1415" s="141"/>
      <c r="B1415" s="141"/>
      <c r="C1415" s="248"/>
      <c r="D1415" s="256"/>
      <c r="E1415" s="150"/>
      <c r="F1415" s="150"/>
      <c r="G1415" s="145"/>
    </row>
    <row r="1416" spans="1:7" ht="24.95" hidden="1" customHeight="1">
      <c r="A1416" s="141"/>
      <c r="B1416" s="141"/>
      <c r="C1416" s="248"/>
      <c r="D1416" s="256"/>
      <c r="E1416" s="150"/>
      <c r="F1416" s="150"/>
      <c r="G1416" s="145"/>
    </row>
    <row r="1417" spans="1:7" ht="24.95" hidden="1" customHeight="1">
      <c r="A1417" s="141"/>
      <c r="B1417" s="141"/>
      <c r="C1417" s="248"/>
      <c r="D1417" s="256"/>
      <c r="E1417" s="150"/>
      <c r="F1417" s="150"/>
      <c r="G1417" s="145"/>
    </row>
    <row r="1418" spans="1:7" ht="24.95" hidden="1" customHeight="1">
      <c r="A1418" s="141"/>
      <c r="B1418" s="141"/>
      <c r="C1418" s="248"/>
      <c r="D1418" s="256"/>
      <c r="E1418" s="150"/>
      <c r="F1418" s="150"/>
      <c r="G1418" s="145"/>
    </row>
    <row r="1419" spans="1:7" ht="24.95" hidden="1" customHeight="1">
      <c r="A1419" s="141"/>
      <c r="B1419" s="141"/>
      <c r="C1419" s="248"/>
      <c r="D1419" s="256"/>
      <c r="E1419" s="150"/>
      <c r="F1419" s="150"/>
      <c r="G1419" s="145"/>
    </row>
    <row r="1420" spans="1:7" ht="24.95" hidden="1" customHeight="1">
      <c r="A1420" s="141"/>
      <c r="B1420" s="141"/>
      <c r="C1420" s="248"/>
      <c r="D1420" s="256"/>
      <c r="E1420" s="150"/>
      <c r="F1420" s="150"/>
      <c r="G1420" s="145"/>
    </row>
    <row r="1421" spans="1:7" ht="24.95" hidden="1" customHeight="1">
      <c r="A1421" s="141"/>
      <c r="B1421" s="141"/>
      <c r="C1421" s="248"/>
      <c r="D1421" s="256"/>
      <c r="E1421" s="150"/>
      <c r="F1421" s="150"/>
      <c r="G1421" s="145"/>
    </row>
    <row r="1422" spans="1:7" ht="24.95" hidden="1" customHeight="1">
      <c r="A1422" s="141"/>
      <c r="B1422" s="141"/>
      <c r="C1422" s="248"/>
      <c r="D1422" s="256"/>
      <c r="E1422" s="150"/>
      <c r="F1422" s="150"/>
      <c r="G1422" s="145"/>
    </row>
    <row r="1423" spans="1:7" ht="24.95" hidden="1" customHeight="1">
      <c r="A1423" s="141"/>
      <c r="B1423" s="141"/>
      <c r="C1423" s="248"/>
      <c r="D1423" s="256"/>
      <c r="E1423" s="150"/>
      <c r="F1423" s="150"/>
      <c r="G1423" s="145"/>
    </row>
    <row r="1424" spans="1:7" ht="24.95" hidden="1" customHeight="1">
      <c r="A1424" s="141"/>
      <c r="B1424" s="141"/>
      <c r="C1424" s="248"/>
      <c r="D1424" s="256"/>
      <c r="E1424" s="150"/>
      <c r="F1424" s="150"/>
      <c r="G1424" s="145"/>
    </row>
    <row r="1425" spans="1:7" ht="24.95" hidden="1" customHeight="1">
      <c r="A1425" s="141"/>
      <c r="B1425" s="141"/>
      <c r="C1425" s="248"/>
      <c r="D1425" s="256"/>
      <c r="E1425" s="150"/>
      <c r="F1425" s="150"/>
      <c r="G1425" s="145"/>
    </row>
    <row r="1426" spans="1:7" ht="24.95" hidden="1" customHeight="1">
      <c r="A1426" s="141"/>
      <c r="B1426" s="141"/>
      <c r="C1426" s="248"/>
      <c r="D1426" s="256"/>
      <c r="E1426" s="150"/>
      <c r="F1426" s="150"/>
      <c r="G1426" s="145"/>
    </row>
    <row r="1427" spans="1:7" ht="24.95" hidden="1" customHeight="1">
      <c r="A1427" s="141"/>
      <c r="B1427" s="141"/>
      <c r="C1427" s="248"/>
      <c r="D1427" s="256"/>
      <c r="E1427" s="150"/>
      <c r="F1427" s="150"/>
      <c r="G1427" s="145"/>
    </row>
    <row r="1428" spans="1:7" ht="24.95" hidden="1" customHeight="1">
      <c r="A1428" s="141"/>
      <c r="B1428" s="141"/>
      <c r="C1428" s="248"/>
      <c r="D1428" s="256"/>
      <c r="E1428" s="150"/>
      <c r="F1428" s="150"/>
      <c r="G1428" s="145"/>
    </row>
    <row r="1429" spans="1:7" ht="24.95" hidden="1" customHeight="1">
      <c r="A1429" s="141"/>
      <c r="B1429" s="141"/>
      <c r="C1429" s="248"/>
      <c r="D1429" s="256"/>
      <c r="E1429" s="150"/>
      <c r="F1429" s="150"/>
      <c r="G1429" s="145"/>
    </row>
    <row r="1430" spans="1:7" ht="24.95" hidden="1" customHeight="1">
      <c r="A1430" s="141"/>
      <c r="B1430" s="141"/>
      <c r="C1430" s="248"/>
      <c r="D1430" s="256"/>
      <c r="E1430" s="150"/>
      <c r="F1430" s="150"/>
      <c r="G1430" s="145"/>
    </row>
    <row r="1431" spans="1:7" ht="24.95" hidden="1" customHeight="1">
      <c r="A1431" s="141"/>
      <c r="B1431" s="141"/>
      <c r="C1431" s="248"/>
      <c r="D1431" s="256"/>
      <c r="E1431" s="150"/>
      <c r="F1431" s="150"/>
      <c r="G1431" s="145"/>
    </row>
    <row r="1432" spans="1:7" ht="24.95" hidden="1" customHeight="1">
      <c r="A1432" s="141"/>
      <c r="B1432" s="141"/>
      <c r="C1432" s="248"/>
      <c r="D1432" s="256"/>
      <c r="E1432" s="150"/>
      <c r="F1432" s="150"/>
      <c r="G1432" s="145"/>
    </row>
    <row r="1433" spans="1:7" ht="24.95" hidden="1" customHeight="1">
      <c r="A1433" s="141"/>
      <c r="B1433" s="141"/>
      <c r="C1433" s="248"/>
      <c r="D1433" s="256"/>
      <c r="E1433" s="150"/>
      <c r="F1433" s="150"/>
      <c r="G1433" s="145"/>
    </row>
    <row r="1434" spans="1:7" ht="24.95" hidden="1" customHeight="1">
      <c r="A1434" s="141"/>
      <c r="B1434" s="141"/>
      <c r="C1434" s="248"/>
      <c r="D1434" s="256"/>
      <c r="E1434" s="150"/>
      <c r="F1434" s="150"/>
      <c r="G1434" s="145"/>
    </row>
    <row r="1435" spans="1:7" ht="24.95" hidden="1" customHeight="1">
      <c r="A1435" s="141"/>
      <c r="B1435" s="141"/>
      <c r="C1435" s="248"/>
      <c r="D1435" s="256"/>
      <c r="E1435" s="150"/>
      <c r="F1435" s="150"/>
      <c r="G1435" s="145"/>
    </row>
    <row r="1436" spans="1:7" ht="24.95" hidden="1" customHeight="1">
      <c r="A1436" s="141"/>
      <c r="B1436" s="141"/>
      <c r="C1436" s="248"/>
      <c r="D1436" s="256"/>
      <c r="E1436" s="150"/>
      <c r="F1436" s="150"/>
      <c r="G1436" s="145"/>
    </row>
    <row r="1437" spans="1:7" ht="24.95" hidden="1" customHeight="1">
      <c r="A1437" s="141"/>
      <c r="B1437" s="141"/>
      <c r="C1437" s="248"/>
      <c r="D1437" s="256"/>
      <c r="E1437" s="150"/>
      <c r="F1437" s="150"/>
      <c r="G1437" s="145"/>
    </row>
    <row r="1438" spans="1:7" ht="24.95" hidden="1" customHeight="1">
      <c r="A1438" s="141"/>
      <c r="B1438" s="141"/>
      <c r="C1438" s="248"/>
      <c r="D1438" s="256"/>
      <c r="E1438" s="150"/>
      <c r="F1438" s="150"/>
      <c r="G1438" s="145"/>
    </row>
    <row r="1439" spans="1:7" ht="24.95" hidden="1" customHeight="1">
      <c r="A1439" s="141"/>
      <c r="B1439" s="141"/>
      <c r="C1439" s="248"/>
      <c r="D1439" s="256"/>
      <c r="E1439" s="150"/>
      <c r="F1439" s="150"/>
      <c r="G1439" s="145"/>
    </row>
    <row r="1440" spans="1:7" ht="24.95" hidden="1" customHeight="1">
      <c r="A1440" s="141"/>
      <c r="B1440" s="141"/>
      <c r="C1440" s="248"/>
      <c r="D1440" s="256"/>
      <c r="E1440" s="150"/>
      <c r="F1440" s="150"/>
      <c r="G1440" s="145"/>
    </row>
    <row r="1441" spans="1:7" ht="24.95" hidden="1" customHeight="1">
      <c r="A1441" s="141"/>
      <c r="B1441" s="141"/>
      <c r="C1441" s="248"/>
      <c r="D1441" s="256"/>
      <c r="E1441" s="150"/>
      <c r="F1441" s="150"/>
      <c r="G1441" s="145"/>
    </row>
    <row r="1442" spans="1:7" ht="24.95" hidden="1" customHeight="1">
      <c r="A1442" s="141"/>
      <c r="B1442" s="141"/>
      <c r="C1442" s="248"/>
      <c r="D1442" s="256"/>
      <c r="E1442" s="150"/>
      <c r="F1442" s="150"/>
      <c r="G1442" s="145"/>
    </row>
    <row r="1443" spans="1:7" ht="24.95" hidden="1" customHeight="1">
      <c r="A1443" s="141"/>
      <c r="B1443" s="141"/>
      <c r="C1443" s="248"/>
      <c r="D1443" s="256"/>
      <c r="E1443" s="150"/>
      <c r="F1443" s="150"/>
      <c r="G1443" s="145"/>
    </row>
    <row r="1444" spans="1:7" ht="24.95" hidden="1" customHeight="1">
      <c r="A1444" s="141"/>
      <c r="B1444" s="141"/>
      <c r="C1444" s="248"/>
      <c r="D1444" s="256"/>
      <c r="E1444" s="150"/>
      <c r="F1444" s="150"/>
      <c r="G1444" s="145"/>
    </row>
    <row r="1445" spans="1:7" ht="24.95" hidden="1" customHeight="1">
      <c r="A1445" s="141"/>
      <c r="B1445" s="141"/>
      <c r="C1445" s="248"/>
      <c r="D1445" s="256"/>
      <c r="E1445" s="150"/>
      <c r="F1445" s="150"/>
      <c r="G1445" s="145"/>
    </row>
    <row r="1446" spans="1:7" ht="24.95" hidden="1" customHeight="1">
      <c r="A1446" s="141"/>
      <c r="B1446" s="141"/>
      <c r="C1446" s="248"/>
      <c r="D1446" s="256"/>
      <c r="E1446" s="150"/>
      <c r="F1446" s="150"/>
      <c r="G1446" s="145"/>
    </row>
    <row r="1447" spans="1:7" ht="24.95" hidden="1" customHeight="1">
      <c r="A1447" s="141"/>
      <c r="B1447" s="141"/>
      <c r="C1447" s="248"/>
      <c r="D1447" s="256"/>
      <c r="E1447" s="150"/>
      <c r="F1447" s="150"/>
      <c r="G1447" s="145"/>
    </row>
    <row r="1448" spans="1:7" ht="24.95" hidden="1" customHeight="1">
      <c r="A1448" s="141"/>
      <c r="B1448" s="141"/>
      <c r="C1448" s="248"/>
      <c r="D1448" s="256"/>
      <c r="E1448" s="150"/>
      <c r="F1448" s="150"/>
      <c r="G1448" s="145"/>
    </row>
    <row r="1449" spans="1:7" ht="24.95" hidden="1" customHeight="1">
      <c r="A1449" s="141"/>
      <c r="B1449" s="141"/>
      <c r="C1449" s="248"/>
      <c r="D1449" s="256"/>
      <c r="E1449" s="150"/>
      <c r="F1449" s="150"/>
      <c r="G1449" s="145"/>
    </row>
    <row r="1450" spans="1:7" ht="24.95" hidden="1" customHeight="1">
      <c r="A1450" s="141"/>
      <c r="B1450" s="141"/>
      <c r="C1450" s="248"/>
      <c r="D1450" s="256"/>
      <c r="E1450" s="150"/>
      <c r="F1450" s="150"/>
      <c r="G1450" s="145"/>
    </row>
    <row r="1451" spans="1:7" ht="24.95" hidden="1" customHeight="1">
      <c r="A1451" s="141"/>
      <c r="B1451" s="141"/>
      <c r="C1451" s="248"/>
      <c r="D1451" s="256"/>
      <c r="E1451" s="150"/>
      <c r="F1451" s="150"/>
      <c r="G1451" s="145"/>
    </row>
    <row r="1452" spans="1:7" ht="24.95" hidden="1" customHeight="1">
      <c r="A1452" s="141"/>
      <c r="B1452" s="141"/>
      <c r="C1452" s="248"/>
      <c r="D1452" s="256"/>
      <c r="E1452" s="150"/>
      <c r="F1452" s="150"/>
      <c r="G1452" s="145"/>
    </row>
    <row r="1453" spans="1:7" ht="24.95" hidden="1" customHeight="1">
      <c r="A1453" s="141"/>
      <c r="B1453" s="141"/>
      <c r="C1453" s="248"/>
      <c r="D1453" s="256"/>
      <c r="E1453" s="150"/>
      <c r="F1453" s="150"/>
      <c r="G1453" s="145"/>
    </row>
    <row r="1454" spans="1:7" ht="24.95" hidden="1" customHeight="1">
      <c r="A1454" s="141"/>
      <c r="B1454" s="141"/>
      <c r="C1454" s="248"/>
      <c r="D1454" s="256"/>
      <c r="E1454" s="150"/>
      <c r="F1454" s="150"/>
      <c r="G1454" s="145"/>
    </row>
    <row r="1455" spans="1:7" ht="24.95" hidden="1" customHeight="1">
      <c r="A1455" s="141"/>
      <c r="B1455" s="141"/>
      <c r="C1455" s="248"/>
      <c r="D1455" s="256"/>
      <c r="E1455" s="150"/>
      <c r="F1455" s="150"/>
      <c r="G1455" s="145"/>
    </row>
    <row r="1456" spans="1:7" ht="24.95" hidden="1" customHeight="1">
      <c r="A1456" s="141"/>
      <c r="B1456" s="141"/>
      <c r="C1456" s="248"/>
      <c r="D1456" s="256"/>
      <c r="E1456" s="150"/>
      <c r="F1456" s="150"/>
      <c r="G1456" s="145"/>
    </row>
    <row r="1457" spans="1:7" ht="24.95" hidden="1" customHeight="1">
      <c r="A1457" s="141"/>
      <c r="B1457" s="141"/>
      <c r="C1457" s="248"/>
      <c r="D1457" s="256"/>
      <c r="E1457" s="150"/>
      <c r="F1457" s="150"/>
      <c r="G1457" s="145"/>
    </row>
    <row r="1458" spans="1:7" ht="24.95" hidden="1" customHeight="1">
      <c r="A1458" s="141"/>
      <c r="B1458" s="141"/>
      <c r="C1458" s="248"/>
      <c r="D1458" s="256"/>
      <c r="E1458" s="150"/>
      <c r="F1458" s="150"/>
      <c r="G1458" s="145"/>
    </row>
    <row r="1459" spans="1:7" ht="24.95" hidden="1" customHeight="1">
      <c r="A1459" s="141"/>
      <c r="B1459" s="141"/>
      <c r="C1459" s="248"/>
      <c r="D1459" s="256"/>
      <c r="E1459" s="150"/>
      <c r="F1459" s="150"/>
      <c r="G1459" s="145"/>
    </row>
    <row r="1460" spans="1:7" ht="24.95" hidden="1" customHeight="1">
      <c r="A1460" s="141"/>
      <c r="B1460" s="141"/>
      <c r="C1460" s="248"/>
      <c r="D1460" s="256"/>
      <c r="E1460" s="150"/>
      <c r="F1460" s="150"/>
      <c r="G1460" s="145"/>
    </row>
    <row r="1461" spans="1:7" ht="24.95" hidden="1" customHeight="1">
      <c r="A1461" s="141"/>
      <c r="B1461" s="141"/>
      <c r="C1461" s="248"/>
      <c r="D1461" s="256"/>
      <c r="E1461" s="150"/>
      <c r="F1461" s="150"/>
      <c r="G1461" s="145"/>
    </row>
    <row r="1462" spans="1:7" ht="24.95" hidden="1" customHeight="1">
      <c r="A1462" s="141"/>
      <c r="B1462" s="141"/>
      <c r="C1462" s="248"/>
      <c r="D1462" s="256"/>
      <c r="E1462" s="150"/>
      <c r="F1462" s="150"/>
      <c r="G1462" s="145"/>
    </row>
    <row r="1463" spans="1:7" ht="24.95" hidden="1" customHeight="1">
      <c r="A1463" s="141"/>
      <c r="B1463" s="141"/>
      <c r="C1463" s="248"/>
      <c r="D1463" s="256"/>
      <c r="E1463" s="150"/>
      <c r="F1463" s="150"/>
      <c r="G1463" s="145"/>
    </row>
    <row r="1464" spans="1:7" ht="24.95" hidden="1" customHeight="1">
      <c r="A1464" s="141"/>
      <c r="B1464" s="141"/>
      <c r="C1464" s="248"/>
      <c r="D1464" s="256"/>
      <c r="E1464" s="150"/>
      <c r="F1464" s="150"/>
      <c r="G1464" s="145"/>
    </row>
    <row r="1465" spans="1:7" ht="24.95" hidden="1" customHeight="1">
      <c r="A1465" s="141"/>
      <c r="B1465" s="141"/>
      <c r="C1465" s="248"/>
      <c r="D1465" s="256"/>
      <c r="E1465" s="150"/>
      <c r="F1465" s="150"/>
      <c r="G1465" s="145"/>
    </row>
    <row r="1466" spans="1:7" ht="24.95" hidden="1" customHeight="1">
      <c r="A1466" s="141"/>
      <c r="B1466" s="141"/>
      <c r="C1466" s="248"/>
      <c r="D1466" s="256"/>
      <c r="E1466" s="150"/>
      <c r="F1466" s="150"/>
      <c r="G1466" s="145"/>
    </row>
    <row r="1467" spans="1:7" ht="24.95" hidden="1" customHeight="1">
      <c r="A1467" s="141"/>
      <c r="B1467" s="141"/>
      <c r="C1467" s="248"/>
      <c r="D1467" s="256"/>
      <c r="E1467" s="150"/>
      <c r="F1467" s="150"/>
      <c r="G1467" s="145"/>
    </row>
    <row r="1468" spans="1:7" ht="24.95" hidden="1" customHeight="1">
      <c r="A1468" s="141"/>
      <c r="B1468" s="141"/>
      <c r="C1468" s="248"/>
      <c r="D1468" s="256"/>
      <c r="E1468" s="150"/>
      <c r="F1468" s="150"/>
      <c r="G1468" s="145"/>
    </row>
    <row r="1469" spans="1:7" ht="24.95" hidden="1" customHeight="1">
      <c r="A1469" s="141"/>
      <c r="B1469" s="141"/>
      <c r="C1469" s="248"/>
      <c r="D1469" s="256"/>
      <c r="E1469" s="150"/>
      <c r="F1469" s="150"/>
      <c r="G1469" s="145"/>
    </row>
    <row r="1470" spans="1:7" ht="24.95" hidden="1" customHeight="1">
      <c r="A1470" s="141"/>
      <c r="B1470" s="141"/>
      <c r="C1470" s="248"/>
      <c r="D1470" s="256"/>
      <c r="E1470" s="150"/>
      <c r="F1470" s="150"/>
      <c r="G1470" s="145"/>
    </row>
    <row r="1471" spans="1:7" ht="24.95" hidden="1" customHeight="1">
      <c r="A1471" s="141"/>
      <c r="B1471" s="141"/>
      <c r="C1471" s="248"/>
      <c r="D1471" s="256"/>
      <c r="E1471" s="150"/>
      <c r="F1471" s="150"/>
      <c r="G1471" s="145"/>
    </row>
    <row r="1472" spans="1:7" ht="24.95" hidden="1" customHeight="1">
      <c r="A1472" s="141"/>
      <c r="B1472" s="141"/>
      <c r="C1472" s="248"/>
      <c r="D1472" s="256"/>
      <c r="E1472" s="150"/>
      <c r="F1472" s="150"/>
      <c r="G1472" s="145"/>
    </row>
    <row r="1473" spans="1:7" ht="24.95" hidden="1" customHeight="1">
      <c r="A1473" s="141"/>
      <c r="B1473" s="141"/>
      <c r="C1473" s="248"/>
      <c r="D1473" s="256"/>
      <c r="E1473" s="150"/>
      <c r="F1473" s="150"/>
      <c r="G1473" s="145"/>
    </row>
    <row r="1474" spans="1:7" ht="24.95" hidden="1" customHeight="1">
      <c r="A1474" s="141"/>
      <c r="B1474" s="141"/>
      <c r="C1474" s="248"/>
      <c r="D1474" s="256"/>
      <c r="E1474" s="150"/>
      <c r="F1474" s="150"/>
      <c r="G1474" s="145"/>
    </row>
    <row r="1475" spans="1:7" ht="24.95" hidden="1" customHeight="1">
      <c r="A1475" s="141"/>
      <c r="B1475" s="141"/>
      <c r="C1475" s="248"/>
      <c r="D1475" s="256"/>
      <c r="E1475" s="150"/>
      <c r="F1475" s="150"/>
      <c r="G1475" s="145"/>
    </row>
    <row r="1476" spans="1:7" ht="24.95" hidden="1" customHeight="1">
      <c r="A1476" s="141"/>
      <c r="B1476" s="141"/>
      <c r="C1476" s="248"/>
      <c r="D1476" s="256"/>
      <c r="E1476" s="150"/>
      <c r="F1476" s="150"/>
      <c r="G1476" s="145"/>
    </row>
    <row r="1477" spans="1:7" ht="24.95" hidden="1" customHeight="1">
      <c r="A1477" s="141"/>
      <c r="B1477" s="141"/>
      <c r="C1477" s="248"/>
      <c r="D1477" s="256"/>
      <c r="E1477" s="150"/>
      <c r="F1477" s="150"/>
      <c r="G1477" s="145"/>
    </row>
    <row r="1478" spans="1:7" ht="24.95" hidden="1" customHeight="1">
      <c r="A1478" s="141"/>
      <c r="B1478" s="141"/>
      <c r="C1478" s="248"/>
      <c r="D1478" s="256"/>
      <c r="E1478" s="150"/>
      <c r="F1478" s="150"/>
      <c r="G1478" s="145"/>
    </row>
    <row r="1479" spans="1:7" ht="24.95" hidden="1" customHeight="1">
      <c r="A1479" s="141"/>
      <c r="B1479" s="141"/>
      <c r="C1479" s="248"/>
      <c r="D1479" s="256"/>
      <c r="E1479" s="150"/>
      <c r="F1479" s="150"/>
      <c r="G1479" s="145"/>
    </row>
    <row r="1480" spans="1:7" ht="24.95" hidden="1" customHeight="1">
      <c r="A1480" s="141"/>
      <c r="B1480" s="141"/>
      <c r="C1480" s="248"/>
      <c r="D1480" s="256"/>
      <c r="E1480" s="150"/>
      <c r="F1480" s="150"/>
      <c r="G1480" s="145"/>
    </row>
    <row r="1481" spans="1:7" ht="24.95" hidden="1" customHeight="1">
      <c r="A1481" s="141"/>
      <c r="B1481" s="141"/>
      <c r="C1481" s="248"/>
      <c r="D1481" s="256"/>
      <c r="E1481" s="150"/>
      <c r="F1481" s="150"/>
      <c r="G1481" s="145"/>
    </row>
    <row r="1482" spans="1:7" ht="24.95" hidden="1" customHeight="1">
      <c r="A1482" s="141"/>
      <c r="B1482" s="141"/>
      <c r="C1482" s="248"/>
      <c r="D1482" s="256"/>
      <c r="E1482" s="150"/>
      <c r="F1482" s="150"/>
      <c r="G1482" s="145"/>
    </row>
    <row r="1483" spans="1:7" ht="24.95" hidden="1" customHeight="1">
      <c r="A1483" s="141"/>
      <c r="B1483" s="141"/>
      <c r="C1483" s="248"/>
      <c r="D1483" s="256"/>
      <c r="E1483" s="150"/>
      <c r="F1483" s="150"/>
      <c r="G1483" s="145"/>
    </row>
    <row r="1484" spans="1:7" ht="24.95" hidden="1" customHeight="1">
      <c r="A1484" s="141"/>
      <c r="B1484" s="141"/>
      <c r="C1484" s="248"/>
      <c r="D1484" s="256"/>
      <c r="E1484" s="150"/>
      <c r="F1484" s="150"/>
      <c r="G1484" s="145"/>
    </row>
    <row r="1485" spans="1:7" ht="24.95" hidden="1" customHeight="1">
      <c r="A1485" s="141"/>
      <c r="B1485" s="141"/>
      <c r="C1485" s="248"/>
      <c r="D1485" s="256"/>
      <c r="E1485" s="150"/>
      <c r="F1485" s="150"/>
      <c r="G1485" s="145"/>
    </row>
    <row r="1486" spans="1:7" ht="24.95" hidden="1" customHeight="1">
      <c r="A1486" s="141"/>
      <c r="B1486" s="141"/>
      <c r="C1486" s="248"/>
      <c r="D1486" s="256"/>
      <c r="E1486" s="150"/>
      <c r="F1486" s="150"/>
      <c r="G1486" s="145"/>
    </row>
    <row r="1487" spans="1:7" ht="24.95" hidden="1" customHeight="1">
      <c r="A1487" s="141"/>
      <c r="B1487" s="141"/>
      <c r="C1487" s="248"/>
      <c r="D1487" s="256"/>
      <c r="E1487" s="150"/>
      <c r="F1487" s="150"/>
      <c r="G1487" s="145"/>
    </row>
    <row r="1488" spans="1:7" ht="24.95" hidden="1" customHeight="1">
      <c r="A1488" s="141"/>
      <c r="B1488" s="141"/>
      <c r="C1488" s="248"/>
      <c r="D1488" s="256"/>
      <c r="E1488" s="150"/>
      <c r="F1488" s="150"/>
      <c r="G1488" s="145"/>
    </row>
    <row r="1489" spans="1:7" ht="24.95" hidden="1" customHeight="1">
      <c r="A1489" s="141"/>
      <c r="B1489" s="141"/>
      <c r="C1489" s="248"/>
      <c r="D1489" s="256"/>
      <c r="E1489" s="150"/>
      <c r="F1489" s="150"/>
      <c r="G1489" s="145"/>
    </row>
    <row r="1490" spans="1:7" ht="24.95" hidden="1" customHeight="1">
      <c r="A1490" s="141"/>
      <c r="B1490" s="141"/>
      <c r="C1490" s="248"/>
      <c r="D1490" s="256"/>
      <c r="E1490" s="150"/>
      <c r="F1490" s="150"/>
      <c r="G1490" s="145"/>
    </row>
    <row r="1491" spans="1:7" ht="24.95" hidden="1" customHeight="1">
      <c r="A1491" s="141"/>
      <c r="B1491" s="141"/>
      <c r="C1491" s="248"/>
      <c r="D1491" s="256"/>
      <c r="E1491" s="150"/>
      <c r="F1491" s="150"/>
      <c r="G1491" s="145"/>
    </row>
    <row r="1492" spans="1:7" ht="24.95" hidden="1" customHeight="1">
      <c r="A1492" s="141"/>
      <c r="B1492" s="141"/>
      <c r="C1492" s="248"/>
      <c r="D1492" s="256"/>
      <c r="E1492" s="150"/>
      <c r="F1492" s="150"/>
      <c r="G1492" s="145"/>
    </row>
    <row r="1493" spans="1:7" ht="24.95" hidden="1" customHeight="1">
      <c r="A1493" s="141"/>
      <c r="B1493" s="141"/>
      <c r="C1493" s="248"/>
      <c r="D1493" s="256"/>
      <c r="E1493" s="150"/>
      <c r="F1493" s="150"/>
      <c r="G1493" s="145"/>
    </row>
    <row r="1494" spans="1:7" ht="24.95" hidden="1" customHeight="1">
      <c r="A1494" s="141"/>
      <c r="B1494" s="141"/>
      <c r="C1494" s="248"/>
      <c r="D1494" s="256"/>
      <c r="E1494" s="150"/>
      <c r="F1494" s="150"/>
      <c r="G1494" s="145"/>
    </row>
    <row r="1495" spans="1:7" ht="24.95" hidden="1" customHeight="1">
      <c r="A1495" s="141"/>
      <c r="B1495" s="141"/>
      <c r="C1495" s="248"/>
      <c r="D1495" s="256"/>
      <c r="E1495" s="150"/>
      <c r="F1495" s="150"/>
      <c r="G1495" s="145"/>
    </row>
    <row r="1496" spans="1:7" ht="24.95" hidden="1" customHeight="1">
      <c r="A1496" s="141"/>
      <c r="B1496" s="141"/>
      <c r="C1496" s="248"/>
      <c r="D1496" s="256"/>
      <c r="E1496" s="150"/>
      <c r="F1496" s="150"/>
      <c r="G1496" s="145"/>
    </row>
    <row r="1497" spans="1:7" ht="24.95" hidden="1" customHeight="1">
      <c r="A1497" s="141"/>
      <c r="B1497" s="141"/>
      <c r="C1497" s="248"/>
      <c r="D1497" s="256"/>
      <c r="E1497" s="150"/>
      <c r="F1497" s="150"/>
      <c r="G1497" s="145"/>
    </row>
    <row r="1498" spans="1:7" ht="24.95" hidden="1" customHeight="1">
      <c r="A1498" s="141"/>
      <c r="B1498" s="141"/>
      <c r="C1498" s="248"/>
      <c r="D1498" s="256"/>
      <c r="E1498" s="150"/>
      <c r="F1498" s="150"/>
      <c r="G1498" s="145"/>
    </row>
    <row r="1499" spans="1:7" ht="24.95" hidden="1" customHeight="1">
      <c r="A1499" s="141"/>
      <c r="B1499" s="141"/>
      <c r="C1499" s="248"/>
      <c r="D1499" s="256"/>
      <c r="E1499" s="150"/>
      <c r="F1499" s="150"/>
      <c r="G1499" s="145"/>
    </row>
    <row r="1500" spans="1:7" ht="24.95" hidden="1" customHeight="1">
      <c r="A1500" s="141"/>
      <c r="B1500" s="141"/>
      <c r="C1500" s="248"/>
      <c r="D1500" s="256"/>
      <c r="E1500" s="150"/>
      <c r="F1500" s="150"/>
      <c r="G1500" s="145"/>
    </row>
    <row r="1501" spans="1:7" ht="24.95" hidden="1" customHeight="1">
      <c r="A1501" s="141"/>
      <c r="B1501" s="141"/>
      <c r="C1501" s="248"/>
      <c r="D1501" s="256"/>
      <c r="E1501" s="150"/>
      <c r="F1501" s="150"/>
      <c r="G1501" s="145"/>
    </row>
    <row r="1502" spans="1:7" ht="24.95" hidden="1" customHeight="1">
      <c r="A1502" s="141"/>
      <c r="B1502" s="141"/>
      <c r="C1502" s="248"/>
      <c r="D1502" s="256"/>
      <c r="E1502" s="150"/>
      <c r="F1502" s="150"/>
      <c r="G1502" s="145"/>
    </row>
    <row r="1503" spans="1:7" ht="24.95" hidden="1" customHeight="1">
      <c r="A1503" s="141"/>
      <c r="B1503" s="141"/>
      <c r="C1503" s="248"/>
      <c r="D1503" s="256"/>
      <c r="E1503" s="150"/>
      <c r="F1503" s="150"/>
      <c r="G1503" s="145"/>
    </row>
    <row r="1504" spans="1:7" ht="24.95" hidden="1" customHeight="1">
      <c r="A1504" s="141"/>
      <c r="B1504" s="141"/>
      <c r="C1504" s="248"/>
      <c r="D1504" s="256"/>
      <c r="E1504" s="150"/>
      <c r="F1504" s="150"/>
      <c r="G1504" s="145"/>
    </row>
    <row r="1505" spans="1:7" ht="24.95" hidden="1" customHeight="1">
      <c r="A1505" s="141"/>
      <c r="B1505" s="141"/>
      <c r="C1505" s="248"/>
      <c r="D1505" s="256"/>
      <c r="E1505" s="150"/>
      <c r="F1505" s="150"/>
      <c r="G1505" s="145"/>
    </row>
    <row r="1506" spans="1:7" ht="24.95" hidden="1" customHeight="1">
      <c r="A1506" s="141"/>
      <c r="B1506" s="141"/>
      <c r="C1506" s="248"/>
      <c r="D1506" s="256"/>
      <c r="E1506" s="150"/>
      <c r="F1506" s="150"/>
      <c r="G1506" s="145"/>
    </row>
    <row r="1507" spans="1:7" ht="24.95" hidden="1" customHeight="1">
      <c r="A1507" s="141"/>
      <c r="B1507" s="141"/>
      <c r="C1507" s="248"/>
      <c r="D1507" s="256"/>
      <c r="E1507" s="150"/>
      <c r="F1507" s="150"/>
      <c r="G1507" s="145"/>
    </row>
    <row r="1508" spans="1:7" ht="24.95" hidden="1" customHeight="1">
      <c r="A1508" s="141"/>
      <c r="B1508" s="141"/>
      <c r="C1508" s="248"/>
      <c r="D1508" s="256"/>
      <c r="E1508" s="150"/>
      <c r="F1508" s="150"/>
      <c r="G1508" s="145"/>
    </row>
    <row r="1509" spans="1:7" ht="24.95" hidden="1" customHeight="1">
      <c r="A1509" s="141"/>
      <c r="B1509" s="141"/>
      <c r="C1509" s="248"/>
      <c r="D1509" s="256"/>
      <c r="E1509" s="150"/>
      <c r="F1509" s="150"/>
      <c r="G1509" s="145"/>
    </row>
    <row r="1510" spans="1:7" ht="24.95" hidden="1" customHeight="1">
      <c r="A1510" s="141"/>
      <c r="B1510" s="141"/>
      <c r="C1510" s="248"/>
      <c r="D1510" s="256"/>
      <c r="E1510" s="150"/>
      <c r="F1510" s="150"/>
      <c r="G1510" s="145"/>
    </row>
    <row r="1511" spans="1:7" ht="24.95" hidden="1" customHeight="1">
      <c r="A1511" s="141"/>
      <c r="B1511" s="141"/>
      <c r="C1511" s="248"/>
      <c r="D1511" s="256"/>
      <c r="E1511" s="150"/>
      <c r="F1511" s="150"/>
      <c r="G1511" s="145"/>
    </row>
    <row r="1512" spans="1:7" ht="24.95" hidden="1" customHeight="1">
      <c r="A1512" s="141"/>
      <c r="B1512" s="141"/>
      <c r="C1512" s="248"/>
      <c r="D1512" s="256"/>
      <c r="E1512" s="150"/>
      <c r="F1512" s="150"/>
      <c r="G1512" s="145"/>
    </row>
    <row r="1513" spans="1:7" ht="24.95" hidden="1" customHeight="1">
      <c r="A1513" s="141"/>
      <c r="B1513" s="141"/>
      <c r="C1513" s="248"/>
      <c r="D1513" s="256"/>
      <c r="E1513" s="150"/>
      <c r="F1513" s="150"/>
      <c r="G1513" s="145"/>
    </row>
    <row r="1514" spans="1:7" ht="24.95" hidden="1" customHeight="1">
      <c r="A1514" s="141"/>
      <c r="B1514" s="141"/>
      <c r="C1514" s="248"/>
      <c r="D1514" s="256"/>
      <c r="E1514" s="150"/>
      <c r="F1514" s="150"/>
      <c r="G1514" s="145"/>
    </row>
    <row r="1515" spans="1:7" ht="24.95" hidden="1" customHeight="1">
      <c r="A1515" s="141"/>
      <c r="B1515" s="141"/>
      <c r="C1515" s="248"/>
      <c r="D1515" s="256"/>
      <c r="E1515" s="150"/>
      <c r="F1515" s="150"/>
      <c r="G1515" s="145"/>
    </row>
    <row r="1516" spans="1:7" ht="24.95" hidden="1" customHeight="1">
      <c r="A1516" s="141"/>
      <c r="B1516" s="141"/>
      <c r="C1516" s="248"/>
      <c r="D1516" s="256"/>
      <c r="E1516" s="150"/>
      <c r="F1516" s="150"/>
      <c r="G1516" s="145"/>
    </row>
    <row r="1517" spans="1:7" ht="24.95" hidden="1" customHeight="1">
      <c r="A1517" s="141"/>
      <c r="B1517" s="141"/>
      <c r="C1517" s="248"/>
      <c r="D1517" s="256"/>
      <c r="E1517" s="150"/>
      <c r="F1517" s="150"/>
      <c r="G1517" s="145"/>
    </row>
    <row r="1518" spans="1:7" ht="24.95" hidden="1" customHeight="1">
      <c r="A1518" s="141"/>
      <c r="B1518" s="141"/>
      <c r="C1518" s="248"/>
      <c r="D1518" s="256"/>
      <c r="E1518" s="150"/>
      <c r="F1518" s="150"/>
      <c r="G1518" s="145"/>
    </row>
    <row r="1519" spans="1:7" ht="24.95" hidden="1" customHeight="1">
      <c r="A1519" s="141"/>
      <c r="B1519" s="141"/>
      <c r="C1519" s="248"/>
      <c r="D1519" s="256"/>
      <c r="E1519" s="150"/>
      <c r="F1519" s="150"/>
      <c r="G1519" s="145"/>
    </row>
    <row r="1520" spans="1:7" ht="24.95" hidden="1" customHeight="1">
      <c r="A1520" s="141"/>
      <c r="B1520" s="141"/>
      <c r="C1520" s="248"/>
      <c r="D1520" s="256"/>
      <c r="E1520" s="150"/>
      <c r="F1520" s="150"/>
      <c r="G1520" s="145"/>
    </row>
    <row r="1521" spans="1:7" ht="24.95" hidden="1" customHeight="1">
      <c r="A1521" s="141"/>
      <c r="B1521" s="141"/>
      <c r="C1521" s="248"/>
      <c r="D1521" s="256"/>
      <c r="E1521" s="150"/>
      <c r="F1521" s="150"/>
      <c r="G1521" s="145"/>
    </row>
    <row r="1522" spans="1:7" ht="24.95" hidden="1" customHeight="1">
      <c r="A1522" s="141"/>
      <c r="B1522" s="141"/>
      <c r="C1522" s="248"/>
      <c r="D1522" s="256"/>
      <c r="E1522" s="150"/>
      <c r="F1522" s="150"/>
      <c r="G1522" s="145"/>
    </row>
    <row r="1523" spans="1:7" ht="24.95" hidden="1" customHeight="1">
      <c r="A1523" s="141"/>
      <c r="B1523" s="141"/>
      <c r="C1523" s="248"/>
      <c r="D1523" s="256"/>
      <c r="E1523" s="150"/>
      <c r="F1523" s="150"/>
      <c r="G1523" s="145"/>
    </row>
    <row r="1524" spans="1:7" ht="24.95" hidden="1" customHeight="1">
      <c r="A1524" s="141"/>
      <c r="B1524" s="141"/>
      <c r="C1524" s="248"/>
      <c r="D1524" s="256"/>
      <c r="E1524" s="150"/>
      <c r="F1524" s="150"/>
      <c r="G1524" s="145"/>
    </row>
    <row r="1525" spans="1:7" ht="24.95" hidden="1" customHeight="1">
      <c r="A1525" s="141"/>
      <c r="B1525" s="141"/>
      <c r="C1525" s="248"/>
      <c r="D1525" s="256"/>
      <c r="E1525" s="150"/>
      <c r="F1525" s="150"/>
      <c r="G1525" s="145"/>
    </row>
    <row r="1526" spans="1:7" ht="24.95" hidden="1" customHeight="1">
      <c r="A1526" s="141"/>
      <c r="B1526" s="141"/>
      <c r="C1526" s="248"/>
      <c r="D1526" s="256"/>
      <c r="E1526" s="150"/>
      <c r="F1526" s="150"/>
      <c r="G1526" s="145"/>
    </row>
    <row r="1527" spans="1:7" ht="24.95" hidden="1" customHeight="1">
      <c r="A1527" s="141"/>
      <c r="B1527" s="141"/>
      <c r="C1527" s="248"/>
      <c r="D1527" s="256"/>
      <c r="E1527" s="150"/>
      <c r="F1527" s="150"/>
      <c r="G1527" s="145"/>
    </row>
    <row r="1528" spans="1:7" ht="24.95" hidden="1" customHeight="1">
      <c r="A1528" s="141"/>
      <c r="B1528" s="141"/>
      <c r="C1528" s="248"/>
      <c r="D1528" s="256"/>
      <c r="E1528" s="150"/>
      <c r="F1528" s="150"/>
      <c r="G1528" s="145"/>
    </row>
    <row r="1529" spans="1:7" ht="24.95" hidden="1" customHeight="1">
      <c r="A1529" s="141"/>
      <c r="B1529" s="141"/>
      <c r="C1529" s="248"/>
      <c r="D1529" s="256"/>
      <c r="E1529" s="150"/>
      <c r="F1529" s="150"/>
      <c r="G1529" s="145"/>
    </row>
    <row r="1530" spans="1:7" ht="24.95" hidden="1" customHeight="1">
      <c r="A1530" s="141"/>
      <c r="B1530" s="141"/>
      <c r="C1530" s="248"/>
      <c r="D1530" s="256"/>
      <c r="E1530" s="150"/>
      <c r="F1530" s="150"/>
      <c r="G1530" s="145"/>
    </row>
    <row r="1531" spans="1:7" ht="24.95" hidden="1" customHeight="1">
      <c r="A1531" s="141"/>
      <c r="B1531" s="141"/>
      <c r="C1531" s="248"/>
      <c r="D1531" s="256"/>
      <c r="E1531" s="150"/>
      <c r="F1531" s="150"/>
      <c r="G1531" s="145"/>
    </row>
    <row r="1532" spans="1:7" ht="24.95" hidden="1" customHeight="1">
      <c r="A1532" s="141"/>
      <c r="B1532" s="141"/>
      <c r="C1532" s="248"/>
      <c r="D1532" s="256"/>
      <c r="E1532" s="150"/>
      <c r="F1532" s="150"/>
      <c r="G1532" s="145"/>
    </row>
    <row r="1533" spans="1:7" ht="24.95" hidden="1" customHeight="1">
      <c r="A1533" s="141"/>
      <c r="B1533" s="141"/>
      <c r="C1533" s="248"/>
      <c r="D1533" s="256"/>
      <c r="E1533" s="150"/>
      <c r="F1533" s="150"/>
      <c r="G1533" s="145"/>
    </row>
    <row r="1534" spans="1:7" ht="24.95" hidden="1" customHeight="1">
      <c r="A1534" s="141"/>
      <c r="B1534" s="141"/>
      <c r="C1534" s="248"/>
      <c r="D1534" s="256"/>
      <c r="E1534" s="150"/>
      <c r="F1534" s="150"/>
      <c r="G1534" s="145"/>
    </row>
    <row r="1535" spans="1:7" ht="24.95" hidden="1" customHeight="1">
      <c r="A1535" s="141"/>
      <c r="B1535" s="141"/>
      <c r="C1535" s="248"/>
      <c r="D1535" s="256"/>
      <c r="E1535" s="150"/>
      <c r="F1535" s="150"/>
      <c r="G1535" s="145"/>
    </row>
    <row r="1536" spans="1:7" ht="24.95" hidden="1" customHeight="1">
      <c r="A1536" s="141"/>
      <c r="B1536" s="141"/>
      <c r="C1536" s="248"/>
      <c r="D1536" s="256"/>
      <c r="E1536" s="150"/>
      <c r="F1536" s="150"/>
      <c r="G1536" s="145"/>
    </row>
    <row r="1537" spans="1:7" ht="24.95" hidden="1" customHeight="1">
      <c r="A1537" s="141"/>
      <c r="B1537" s="141"/>
      <c r="C1537" s="248"/>
      <c r="D1537" s="256"/>
      <c r="E1537" s="150"/>
      <c r="F1537" s="150"/>
      <c r="G1537" s="145"/>
    </row>
    <row r="1538" spans="1:7" ht="24.95" hidden="1" customHeight="1">
      <c r="A1538" s="141"/>
      <c r="B1538" s="141"/>
      <c r="C1538" s="248"/>
      <c r="D1538" s="256"/>
      <c r="E1538" s="150"/>
      <c r="F1538" s="150"/>
      <c r="G1538" s="145"/>
    </row>
    <row r="1539" spans="1:7" ht="24.95" hidden="1" customHeight="1">
      <c r="A1539" s="141"/>
      <c r="B1539" s="141"/>
      <c r="C1539" s="248"/>
      <c r="D1539" s="256"/>
      <c r="E1539" s="150"/>
      <c r="F1539" s="150"/>
      <c r="G1539" s="145"/>
    </row>
    <row r="1540" spans="1:7" ht="24.95" hidden="1" customHeight="1">
      <c r="A1540" s="141"/>
      <c r="B1540" s="141"/>
      <c r="C1540" s="248"/>
      <c r="D1540" s="256"/>
      <c r="E1540" s="150"/>
      <c r="F1540" s="150"/>
      <c r="G1540" s="145"/>
    </row>
    <row r="1541" spans="1:7" ht="24.95" hidden="1" customHeight="1">
      <c r="A1541" s="141"/>
      <c r="B1541" s="141"/>
      <c r="C1541" s="248"/>
      <c r="D1541" s="256"/>
      <c r="E1541" s="150"/>
      <c r="F1541" s="150"/>
      <c r="G1541" s="145"/>
    </row>
    <row r="1542" spans="1:7" ht="24.95" hidden="1" customHeight="1">
      <c r="A1542" s="141"/>
      <c r="B1542" s="141"/>
      <c r="C1542" s="248"/>
      <c r="D1542" s="256"/>
      <c r="E1542" s="150"/>
      <c r="F1542" s="150"/>
      <c r="G1542" s="145"/>
    </row>
    <row r="1543" spans="1:7" ht="24.95" hidden="1" customHeight="1">
      <c r="A1543" s="141"/>
      <c r="B1543" s="141"/>
      <c r="C1543" s="248"/>
      <c r="D1543" s="256"/>
      <c r="E1543" s="150"/>
      <c r="F1543" s="150"/>
      <c r="G1543" s="145"/>
    </row>
    <row r="1544" spans="1:7" ht="24.95" hidden="1" customHeight="1">
      <c r="A1544" s="141"/>
      <c r="B1544" s="141"/>
      <c r="C1544" s="248"/>
      <c r="D1544" s="256"/>
      <c r="E1544" s="150"/>
      <c r="F1544" s="150"/>
      <c r="G1544" s="145"/>
    </row>
    <row r="1545" spans="1:7" ht="24.95" hidden="1" customHeight="1">
      <c r="A1545" s="141"/>
      <c r="B1545" s="141"/>
      <c r="C1545" s="248"/>
      <c r="D1545" s="256"/>
      <c r="E1545" s="150"/>
      <c r="F1545" s="150"/>
      <c r="G1545" s="145"/>
    </row>
    <row r="1546" spans="1:7" ht="24.95" hidden="1" customHeight="1">
      <c r="A1546" s="141"/>
      <c r="B1546" s="141"/>
      <c r="C1546" s="248"/>
      <c r="D1546" s="256"/>
      <c r="E1546" s="150"/>
      <c r="F1546" s="150"/>
      <c r="G1546" s="145"/>
    </row>
    <row r="1547" spans="1:7" ht="24.95" hidden="1" customHeight="1">
      <c r="A1547" s="141"/>
      <c r="B1547" s="141"/>
      <c r="C1547" s="248"/>
      <c r="D1547" s="256"/>
      <c r="E1547" s="150"/>
      <c r="F1547" s="150"/>
      <c r="G1547" s="145"/>
    </row>
    <row r="1548" spans="1:7" ht="24.95" hidden="1" customHeight="1">
      <c r="A1548" s="141"/>
      <c r="B1548" s="141"/>
      <c r="C1548" s="248"/>
      <c r="D1548" s="256"/>
      <c r="E1548" s="150"/>
      <c r="F1548" s="150"/>
      <c r="G1548" s="145"/>
    </row>
    <row r="1549" spans="1:7" ht="24.95" hidden="1" customHeight="1">
      <c r="A1549" s="141"/>
      <c r="B1549" s="141"/>
      <c r="C1549" s="248"/>
      <c r="D1549" s="256"/>
      <c r="E1549" s="150"/>
      <c r="F1549" s="150"/>
      <c r="G1549" s="145"/>
    </row>
    <row r="1550" spans="1:7" ht="24.95" hidden="1" customHeight="1">
      <c r="A1550" s="141"/>
      <c r="B1550" s="141"/>
      <c r="C1550" s="248"/>
      <c r="D1550" s="256"/>
      <c r="E1550" s="150"/>
      <c r="F1550" s="150"/>
      <c r="G1550" s="145"/>
    </row>
    <row r="1551" spans="1:7" ht="24.95" hidden="1" customHeight="1">
      <c r="A1551" s="141"/>
      <c r="B1551" s="141"/>
      <c r="C1551" s="248"/>
      <c r="D1551" s="256"/>
      <c r="E1551" s="150"/>
      <c r="F1551" s="150"/>
      <c r="G1551" s="145"/>
    </row>
    <row r="1552" spans="1:7" ht="24.95" hidden="1" customHeight="1">
      <c r="A1552" s="141"/>
      <c r="B1552" s="141"/>
      <c r="C1552" s="248"/>
      <c r="D1552" s="256"/>
      <c r="E1552" s="150"/>
      <c r="F1552" s="150"/>
      <c r="G1552" s="145"/>
    </row>
    <row r="1553" spans="1:7" ht="24.95" hidden="1" customHeight="1">
      <c r="A1553" s="141"/>
      <c r="B1553" s="141"/>
      <c r="C1553" s="248"/>
      <c r="D1553" s="256"/>
      <c r="E1553" s="150"/>
      <c r="F1553" s="150"/>
      <c r="G1553" s="145"/>
    </row>
    <row r="1554" spans="1:7" ht="24.95" hidden="1" customHeight="1">
      <c r="A1554" s="141"/>
      <c r="B1554" s="141"/>
      <c r="C1554" s="248"/>
      <c r="D1554" s="256"/>
      <c r="E1554" s="150"/>
      <c r="F1554" s="150"/>
      <c r="G1554" s="145"/>
    </row>
    <row r="1555" spans="1:7" ht="24.95" hidden="1" customHeight="1">
      <c r="A1555" s="141"/>
      <c r="B1555" s="141"/>
      <c r="C1555" s="248"/>
      <c r="D1555" s="256"/>
      <c r="E1555" s="150"/>
      <c r="F1555" s="150"/>
      <c r="G1555" s="145"/>
    </row>
    <row r="1556" spans="1:7" ht="24.95" hidden="1" customHeight="1">
      <c r="A1556" s="141"/>
      <c r="B1556" s="141"/>
      <c r="C1556" s="248"/>
      <c r="D1556" s="256"/>
      <c r="E1556" s="150"/>
      <c r="F1556" s="150"/>
      <c r="G1556" s="145"/>
    </row>
    <row r="1557" spans="1:7" ht="24.95" hidden="1" customHeight="1">
      <c r="A1557" s="141"/>
      <c r="B1557" s="141"/>
      <c r="C1557" s="248"/>
      <c r="D1557" s="256"/>
      <c r="E1557" s="150"/>
      <c r="F1557" s="150"/>
      <c r="G1557" s="145"/>
    </row>
    <row r="1558" spans="1:7" ht="24.95" hidden="1" customHeight="1">
      <c r="A1558" s="141"/>
      <c r="B1558" s="141"/>
      <c r="C1558" s="248"/>
      <c r="D1558" s="256"/>
      <c r="E1558" s="150"/>
      <c r="F1558" s="150"/>
      <c r="G1558" s="145"/>
    </row>
    <row r="1559" spans="1:7" ht="24.95" hidden="1" customHeight="1">
      <c r="A1559" s="141"/>
      <c r="B1559" s="141"/>
      <c r="C1559" s="248"/>
      <c r="D1559" s="256"/>
      <c r="E1559" s="150"/>
      <c r="F1559" s="150"/>
      <c r="G1559" s="145"/>
    </row>
    <row r="1560" spans="1:7" ht="24.95" hidden="1" customHeight="1">
      <c r="A1560" s="141"/>
      <c r="B1560" s="141"/>
      <c r="C1560" s="248"/>
      <c r="D1560" s="256"/>
      <c r="E1560" s="150"/>
      <c r="F1560" s="150"/>
      <c r="G1560" s="145"/>
    </row>
    <row r="1561" spans="1:7" ht="24.95" hidden="1" customHeight="1">
      <c r="A1561" s="141"/>
      <c r="B1561" s="141"/>
      <c r="C1561" s="248"/>
      <c r="D1561" s="256"/>
      <c r="E1561" s="150"/>
      <c r="F1561" s="150"/>
      <c r="G1561" s="145"/>
    </row>
    <row r="1562" spans="1:7" ht="24.95" hidden="1" customHeight="1">
      <c r="A1562" s="141"/>
      <c r="B1562" s="141"/>
      <c r="C1562" s="248"/>
      <c r="D1562" s="256"/>
      <c r="E1562" s="150"/>
      <c r="F1562" s="150"/>
      <c r="G1562" s="145"/>
    </row>
    <row r="1563" spans="1:7" ht="24.95" hidden="1" customHeight="1">
      <c r="A1563" s="141"/>
      <c r="B1563" s="141"/>
      <c r="C1563" s="248"/>
      <c r="D1563" s="256"/>
      <c r="E1563" s="150"/>
      <c r="F1563" s="150"/>
      <c r="G1563" s="145"/>
    </row>
    <row r="1564" spans="1:7" ht="24.95" hidden="1" customHeight="1">
      <c r="A1564" s="141"/>
      <c r="B1564" s="141"/>
      <c r="C1564" s="248"/>
      <c r="D1564" s="256"/>
      <c r="E1564" s="150"/>
      <c r="F1564" s="150"/>
      <c r="G1564" s="145"/>
    </row>
    <row r="1565" spans="1:7" ht="24.95" hidden="1" customHeight="1">
      <c r="A1565" s="141"/>
      <c r="B1565" s="141"/>
      <c r="C1565" s="248"/>
      <c r="D1565" s="256"/>
      <c r="E1565" s="150"/>
      <c r="F1565" s="150"/>
      <c r="G1565" s="145"/>
    </row>
    <row r="1566" spans="1:7" ht="24.95" hidden="1" customHeight="1">
      <c r="A1566" s="141"/>
      <c r="B1566" s="141"/>
      <c r="C1566" s="248"/>
      <c r="D1566" s="256"/>
      <c r="E1566" s="150"/>
      <c r="F1566" s="150"/>
      <c r="G1566" s="145"/>
    </row>
    <row r="1567" spans="1:7" ht="24.95" hidden="1" customHeight="1">
      <c r="A1567" s="141"/>
      <c r="B1567" s="141"/>
      <c r="C1567" s="248"/>
      <c r="D1567" s="256"/>
      <c r="E1567" s="150"/>
      <c r="F1567" s="150"/>
      <c r="G1567" s="145"/>
    </row>
    <row r="1568" spans="1:7" ht="24.95" hidden="1" customHeight="1">
      <c r="A1568" s="141"/>
      <c r="B1568" s="141"/>
      <c r="C1568" s="248"/>
      <c r="D1568" s="256"/>
      <c r="E1568" s="150"/>
      <c r="F1568" s="150"/>
      <c r="G1568" s="145"/>
    </row>
    <row r="1569" spans="1:7" ht="24.95" hidden="1" customHeight="1">
      <c r="A1569" s="141"/>
      <c r="B1569" s="141"/>
      <c r="C1569" s="248"/>
      <c r="D1569" s="256"/>
      <c r="E1569" s="150"/>
      <c r="F1569" s="150"/>
      <c r="G1569" s="145"/>
    </row>
    <row r="1570" spans="1:7" ht="24.95" hidden="1" customHeight="1">
      <c r="A1570" s="141"/>
      <c r="B1570" s="141"/>
      <c r="C1570" s="248"/>
      <c r="D1570" s="256"/>
      <c r="E1570" s="150"/>
      <c r="F1570" s="150"/>
      <c r="G1570" s="145"/>
    </row>
    <row r="1571" spans="1:7" ht="24.95" hidden="1" customHeight="1">
      <c r="A1571" s="141"/>
      <c r="B1571" s="141"/>
      <c r="C1571" s="248"/>
      <c r="D1571" s="256"/>
      <c r="E1571" s="150"/>
      <c r="F1571" s="150"/>
      <c r="G1571" s="145"/>
    </row>
    <row r="1572" spans="1:7" ht="24.95" hidden="1" customHeight="1">
      <c r="A1572" s="141"/>
      <c r="B1572" s="141"/>
      <c r="C1572" s="248"/>
      <c r="D1572" s="256"/>
      <c r="E1572" s="150"/>
      <c r="F1572" s="150"/>
      <c r="G1572" s="145"/>
    </row>
    <row r="1573" spans="1:7" ht="24.95" hidden="1" customHeight="1">
      <c r="A1573" s="141"/>
      <c r="B1573" s="141"/>
      <c r="C1573" s="248"/>
      <c r="D1573" s="256"/>
      <c r="E1573" s="150"/>
      <c r="F1573" s="150"/>
      <c r="G1573" s="145"/>
    </row>
    <row r="1574" spans="1:7" ht="24.95" hidden="1" customHeight="1">
      <c r="A1574" s="141"/>
      <c r="B1574" s="141"/>
      <c r="C1574" s="248"/>
      <c r="D1574" s="256"/>
      <c r="E1574" s="150"/>
      <c r="F1574" s="150"/>
      <c r="G1574" s="145"/>
    </row>
    <row r="1575" spans="1:7" ht="24.95" hidden="1" customHeight="1">
      <c r="A1575" s="141"/>
      <c r="B1575" s="141"/>
      <c r="C1575" s="248"/>
      <c r="D1575" s="256"/>
      <c r="E1575" s="150"/>
      <c r="F1575" s="150"/>
      <c r="G1575" s="145"/>
    </row>
    <row r="1576" spans="1:7" ht="24.95" hidden="1" customHeight="1">
      <c r="A1576" s="141"/>
      <c r="B1576" s="141"/>
      <c r="C1576" s="248"/>
      <c r="D1576" s="256"/>
      <c r="E1576" s="150"/>
      <c r="F1576" s="150"/>
      <c r="G1576" s="145"/>
    </row>
    <row r="1577" spans="1:7" ht="24.95" hidden="1" customHeight="1">
      <c r="A1577" s="141"/>
      <c r="B1577" s="141"/>
      <c r="C1577" s="248"/>
      <c r="D1577" s="256"/>
      <c r="E1577" s="150"/>
      <c r="F1577" s="150"/>
      <c r="G1577" s="145"/>
    </row>
    <row r="1578" spans="1:7" ht="24.95" hidden="1" customHeight="1">
      <c r="A1578" s="141"/>
      <c r="B1578" s="141"/>
      <c r="C1578" s="248"/>
      <c r="D1578" s="256"/>
      <c r="E1578" s="150"/>
      <c r="F1578" s="150"/>
      <c r="G1578" s="145"/>
    </row>
    <row r="1579" spans="1:7" ht="24.95" hidden="1" customHeight="1">
      <c r="A1579" s="141"/>
      <c r="B1579" s="141"/>
      <c r="C1579" s="248"/>
      <c r="D1579" s="256"/>
      <c r="E1579" s="150"/>
      <c r="F1579" s="150"/>
      <c r="G1579" s="145"/>
    </row>
    <row r="1580" spans="1:7" ht="24.95" hidden="1" customHeight="1">
      <c r="A1580" s="141"/>
      <c r="B1580" s="141"/>
      <c r="C1580" s="248"/>
      <c r="D1580" s="256"/>
      <c r="E1580" s="150"/>
      <c r="F1580" s="150"/>
      <c r="G1580" s="145"/>
    </row>
    <row r="1581" spans="1:7" ht="24.95" hidden="1" customHeight="1">
      <c r="A1581" s="141"/>
      <c r="B1581" s="141"/>
      <c r="C1581" s="248"/>
      <c r="D1581" s="256"/>
      <c r="E1581" s="150"/>
      <c r="F1581" s="150"/>
      <c r="G1581" s="145"/>
    </row>
    <row r="1582" spans="1:7" ht="24.95" hidden="1" customHeight="1">
      <c r="A1582" s="141"/>
      <c r="B1582" s="141"/>
      <c r="C1582" s="248"/>
      <c r="D1582" s="256"/>
      <c r="E1582" s="150"/>
      <c r="F1582" s="150"/>
      <c r="G1582" s="145"/>
    </row>
    <row r="1583" spans="1:7" ht="24.95" hidden="1" customHeight="1">
      <c r="A1583" s="141"/>
      <c r="B1583" s="141"/>
      <c r="C1583" s="248"/>
      <c r="D1583" s="256"/>
      <c r="E1583" s="150"/>
      <c r="F1583" s="150"/>
      <c r="G1583" s="145"/>
    </row>
    <row r="1584" spans="1:7" ht="24.95" hidden="1" customHeight="1">
      <c r="A1584" s="141"/>
      <c r="B1584" s="141"/>
      <c r="C1584" s="248"/>
      <c r="D1584" s="256"/>
      <c r="E1584" s="150"/>
      <c r="F1584" s="150"/>
      <c r="G1584" s="145"/>
    </row>
    <row r="1585" spans="1:7" ht="24.95" hidden="1" customHeight="1">
      <c r="A1585" s="141"/>
      <c r="B1585" s="141"/>
      <c r="C1585" s="248"/>
      <c r="D1585" s="256"/>
      <c r="E1585" s="150"/>
      <c r="F1585" s="150"/>
      <c r="G1585" s="145"/>
    </row>
    <row r="1586" spans="1:7" ht="24.95" hidden="1" customHeight="1">
      <c r="A1586" s="141"/>
      <c r="B1586" s="141"/>
      <c r="C1586" s="248"/>
      <c r="D1586" s="256"/>
      <c r="E1586" s="150"/>
      <c r="F1586" s="150"/>
      <c r="G1586" s="145"/>
    </row>
    <row r="1587" spans="1:7" ht="24.95" hidden="1" customHeight="1">
      <c r="A1587" s="141"/>
      <c r="B1587" s="141"/>
      <c r="C1587" s="248"/>
      <c r="D1587" s="256"/>
      <c r="E1587" s="150"/>
      <c r="F1587" s="150"/>
      <c r="G1587" s="145"/>
    </row>
    <row r="1588" spans="1:7" ht="24.95" hidden="1" customHeight="1">
      <c r="A1588" s="141"/>
      <c r="B1588" s="141"/>
      <c r="C1588" s="248"/>
      <c r="D1588" s="256"/>
      <c r="E1588" s="150"/>
      <c r="F1588" s="150"/>
      <c r="G1588" s="145"/>
    </row>
    <row r="1589" spans="1:7" ht="24.95" hidden="1" customHeight="1">
      <c r="A1589" s="141"/>
      <c r="B1589" s="141"/>
      <c r="C1589" s="248"/>
      <c r="D1589" s="256"/>
      <c r="E1589" s="150"/>
      <c r="F1589" s="150"/>
      <c r="G1589" s="145"/>
    </row>
    <row r="1590" spans="1:7" ht="24.95" hidden="1" customHeight="1">
      <c r="A1590" s="141"/>
      <c r="B1590" s="141"/>
      <c r="C1590" s="248"/>
      <c r="D1590" s="256"/>
      <c r="E1590" s="150"/>
      <c r="F1590" s="150"/>
      <c r="G1590" s="145"/>
    </row>
    <row r="1591" spans="1:7" ht="24.95" hidden="1" customHeight="1">
      <c r="A1591" s="141"/>
      <c r="B1591" s="141"/>
      <c r="C1591" s="248"/>
      <c r="D1591" s="256"/>
      <c r="E1591" s="150"/>
      <c r="F1591" s="150"/>
      <c r="G1591" s="145"/>
    </row>
    <row r="1592" spans="1:7" ht="24.95" hidden="1" customHeight="1">
      <c r="A1592" s="141"/>
      <c r="B1592" s="141"/>
      <c r="C1592" s="248"/>
      <c r="D1592" s="256"/>
      <c r="E1592" s="150"/>
      <c r="F1592" s="150"/>
      <c r="G1592" s="145"/>
    </row>
    <row r="1593" spans="1:7" ht="24.95" hidden="1" customHeight="1">
      <c r="A1593" s="141"/>
      <c r="B1593" s="141"/>
      <c r="C1593" s="248"/>
      <c r="D1593" s="256"/>
      <c r="E1593" s="150"/>
      <c r="F1593" s="150"/>
      <c r="G1593" s="145"/>
    </row>
    <row r="1594" spans="1:7" ht="24.95" hidden="1" customHeight="1">
      <c r="A1594" s="141"/>
      <c r="B1594" s="141"/>
      <c r="C1594" s="248"/>
      <c r="D1594" s="256"/>
      <c r="E1594" s="150"/>
      <c r="F1594" s="150"/>
      <c r="G1594" s="145"/>
    </row>
    <row r="1595" spans="1:7" ht="24.95" hidden="1" customHeight="1">
      <c r="A1595" s="141"/>
      <c r="B1595" s="141"/>
      <c r="C1595" s="248"/>
      <c r="D1595" s="256"/>
      <c r="E1595" s="150"/>
      <c r="F1595" s="150"/>
      <c r="G1595" s="145"/>
    </row>
    <row r="1596" spans="1:7" ht="24.95" hidden="1" customHeight="1">
      <c r="A1596" s="141"/>
      <c r="B1596" s="141"/>
      <c r="C1596" s="248"/>
      <c r="D1596" s="256"/>
      <c r="E1596" s="150"/>
      <c r="F1596" s="150"/>
      <c r="G1596" s="145"/>
    </row>
    <row r="1597" spans="1:7" ht="24.95" hidden="1" customHeight="1">
      <c r="A1597" s="141"/>
      <c r="B1597" s="141"/>
      <c r="C1597" s="248"/>
      <c r="D1597" s="256"/>
      <c r="E1597" s="150"/>
      <c r="F1597" s="150"/>
      <c r="G1597" s="145"/>
    </row>
    <row r="1598" spans="1:7" ht="24.95" hidden="1" customHeight="1">
      <c r="A1598" s="141"/>
      <c r="B1598" s="141"/>
      <c r="C1598" s="248"/>
      <c r="D1598" s="256"/>
      <c r="E1598" s="150"/>
      <c r="F1598" s="150"/>
      <c r="G1598" s="145"/>
    </row>
    <row r="1599" spans="1:7" ht="24.95" hidden="1" customHeight="1">
      <c r="A1599" s="141"/>
      <c r="B1599" s="141"/>
      <c r="C1599" s="248"/>
      <c r="D1599" s="256"/>
      <c r="E1599" s="150"/>
      <c r="F1599" s="150"/>
      <c r="G1599" s="145"/>
    </row>
    <row r="1600" spans="1:7" ht="24.95" hidden="1" customHeight="1">
      <c r="A1600" s="141"/>
      <c r="B1600" s="141"/>
      <c r="C1600" s="248"/>
      <c r="D1600" s="256"/>
      <c r="E1600" s="150"/>
      <c r="F1600" s="150"/>
      <c r="G1600" s="145"/>
    </row>
    <row r="1601" spans="1:7" ht="24.95" hidden="1" customHeight="1">
      <c r="A1601" s="141"/>
      <c r="B1601" s="141"/>
      <c r="C1601" s="248"/>
      <c r="D1601" s="256"/>
      <c r="E1601" s="150"/>
      <c r="F1601" s="150"/>
      <c r="G1601" s="145"/>
    </row>
    <row r="1602" spans="1:7" ht="24.95" hidden="1" customHeight="1">
      <c r="A1602" s="141"/>
      <c r="B1602" s="141"/>
      <c r="C1602" s="248"/>
      <c r="D1602" s="256"/>
      <c r="E1602" s="150"/>
      <c r="F1602" s="150"/>
      <c r="G1602" s="145"/>
    </row>
    <row r="1603" spans="1:7" ht="24.95" hidden="1" customHeight="1">
      <c r="A1603" s="141"/>
      <c r="B1603" s="141"/>
      <c r="C1603" s="248"/>
      <c r="D1603" s="256"/>
      <c r="E1603" s="150"/>
      <c r="F1603" s="150"/>
      <c r="G1603" s="145"/>
    </row>
    <row r="1604" spans="1:7" ht="24.95" hidden="1" customHeight="1">
      <c r="A1604" s="141"/>
      <c r="B1604" s="141"/>
      <c r="C1604" s="248"/>
      <c r="D1604" s="256"/>
      <c r="E1604" s="150"/>
      <c r="F1604" s="150"/>
      <c r="G1604" s="145"/>
    </row>
    <row r="1605" spans="1:7" ht="24.95" hidden="1" customHeight="1">
      <c r="A1605" s="141"/>
      <c r="B1605" s="141"/>
      <c r="C1605" s="248"/>
      <c r="D1605" s="256"/>
      <c r="E1605" s="150"/>
      <c r="F1605" s="150"/>
      <c r="G1605" s="145"/>
    </row>
    <row r="1606" spans="1:7" ht="24.95" hidden="1" customHeight="1">
      <c r="A1606" s="141"/>
      <c r="B1606" s="141"/>
      <c r="C1606" s="248"/>
      <c r="D1606" s="256"/>
      <c r="E1606" s="150"/>
      <c r="F1606" s="150"/>
      <c r="G1606" s="145"/>
    </row>
    <row r="1607" spans="1:7" ht="24.95" hidden="1" customHeight="1">
      <c r="A1607" s="141"/>
      <c r="B1607" s="141"/>
      <c r="C1607" s="248"/>
      <c r="D1607" s="256"/>
      <c r="E1607" s="150"/>
      <c r="F1607" s="150"/>
      <c r="G1607" s="145"/>
    </row>
    <row r="1608" spans="1:7" ht="24.95" hidden="1" customHeight="1">
      <c r="A1608" s="141"/>
      <c r="B1608" s="141"/>
      <c r="C1608" s="248"/>
      <c r="D1608" s="256"/>
      <c r="E1608" s="150"/>
      <c r="F1608" s="150"/>
      <c r="G1608" s="145"/>
    </row>
    <row r="1609" spans="1:7" ht="24.95" hidden="1" customHeight="1">
      <c r="A1609" s="141"/>
      <c r="B1609" s="141"/>
      <c r="C1609" s="248"/>
      <c r="D1609" s="256"/>
      <c r="E1609" s="150"/>
      <c r="F1609" s="150"/>
      <c r="G1609" s="145"/>
    </row>
    <row r="1610" spans="1:7" ht="24.95" hidden="1" customHeight="1">
      <c r="A1610" s="141"/>
      <c r="B1610" s="141"/>
      <c r="C1610" s="248"/>
      <c r="D1610" s="256"/>
      <c r="E1610" s="150"/>
      <c r="F1610" s="150"/>
      <c r="G1610" s="145"/>
    </row>
    <row r="1611" spans="1:7" ht="24.95" hidden="1" customHeight="1">
      <c r="A1611" s="141"/>
      <c r="B1611" s="141"/>
      <c r="C1611" s="248"/>
      <c r="D1611" s="256"/>
      <c r="E1611" s="150"/>
      <c r="F1611" s="150"/>
      <c r="G1611" s="145"/>
    </row>
    <row r="1612" spans="1:7" ht="24.95" hidden="1" customHeight="1">
      <c r="A1612" s="141"/>
      <c r="B1612" s="141"/>
      <c r="C1612" s="248"/>
      <c r="D1612" s="256"/>
      <c r="E1612" s="150"/>
      <c r="F1612" s="150"/>
      <c r="G1612" s="145"/>
    </row>
    <row r="1613" spans="1:7" ht="24.95" hidden="1" customHeight="1">
      <c r="A1613" s="141"/>
      <c r="B1613" s="141"/>
      <c r="C1613" s="248"/>
      <c r="D1613" s="256"/>
      <c r="E1613" s="150"/>
      <c r="F1613" s="150"/>
      <c r="G1613" s="145"/>
    </row>
    <row r="1614" spans="1:7" ht="24.95" hidden="1" customHeight="1">
      <c r="A1614" s="141"/>
      <c r="B1614" s="141"/>
      <c r="C1614" s="248"/>
      <c r="D1614" s="256"/>
      <c r="E1614" s="150"/>
      <c r="F1614" s="150"/>
      <c r="G1614" s="145"/>
    </row>
    <row r="1615" spans="1:7" ht="24.95" hidden="1" customHeight="1">
      <c r="A1615" s="141"/>
      <c r="B1615" s="141"/>
      <c r="C1615" s="248"/>
      <c r="D1615" s="256"/>
      <c r="E1615" s="150"/>
      <c r="F1615" s="150"/>
      <c r="G1615" s="145"/>
    </row>
    <row r="1616" spans="1:7" ht="24.95" hidden="1" customHeight="1">
      <c r="A1616" s="141"/>
      <c r="B1616" s="141"/>
      <c r="C1616" s="248"/>
      <c r="D1616" s="256"/>
      <c r="E1616" s="150"/>
      <c r="F1616" s="150"/>
      <c r="G1616" s="145"/>
    </row>
    <row r="1617" spans="1:7" ht="24.95" hidden="1" customHeight="1">
      <c r="A1617" s="141"/>
      <c r="B1617" s="141"/>
      <c r="C1617" s="248"/>
      <c r="D1617" s="256"/>
      <c r="E1617" s="150"/>
      <c r="F1617" s="150"/>
      <c r="G1617" s="145"/>
    </row>
    <row r="1618" spans="1:7" ht="24.95" hidden="1" customHeight="1">
      <c r="A1618" s="141"/>
      <c r="B1618" s="141"/>
      <c r="C1618" s="248"/>
      <c r="D1618" s="256"/>
      <c r="E1618" s="150"/>
      <c r="F1618" s="150"/>
      <c r="G1618" s="145"/>
    </row>
    <row r="1619" spans="1:7" ht="24.95" hidden="1" customHeight="1">
      <c r="A1619" s="141"/>
      <c r="B1619" s="141"/>
      <c r="C1619" s="248"/>
      <c r="D1619" s="256"/>
      <c r="E1619" s="150"/>
      <c r="F1619" s="150"/>
      <c r="G1619" s="145"/>
    </row>
    <row r="1620" spans="1:7" ht="24.95" hidden="1" customHeight="1">
      <c r="A1620" s="141"/>
      <c r="B1620" s="141"/>
      <c r="C1620" s="248"/>
      <c r="D1620" s="256"/>
      <c r="E1620" s="150"/>
      <c r="F1620" s="150"/>
      <c r="G1620" s="145"/>
    </row>
    <row r="1621" spans="1:7" ht="24.95" hidden="1" customHeight="1">
      <c r="A1621" s="141"/>
      <c r="B1621" s="141"/>
      <c r="C1621" s="248"/>
      <c r="D1621" s="256"/>
      <c r="E1621" s="150"/>
      <c r="F1621" s="150"/>
      <c r="G1621" s="145"/>
    </row>
    <row r="1622" spans="1:7" ht="24.95" hidden="1" customHeight="1">
      <c r="A1622" s="141"/>
      <c r="B1622" s="141"/>
      <c r="C1622" s="248"/>
      <c r="D1622" s="256"/>
      <c r="E1622" s="150"/>
      <c r="F1622" s="150"/>
      <c r="G1622" s="145"/>
    </row>
    <row r="1623" spans="1:7" ht="24.95" hidden="1" customHeight="1">
      <c r="A1623" s="141"/>
      <c r="B1623" s="141"/>
      <c r="C1623" s="248"/>
      <c r="D1623" s="256"/>
      <c r="E1623" s="150"/>
      <c r="F1623" s="150"/>
      <c r="G1623" s="145"/>
    </row>
    <row r="1624" spans="1:7" ht="24.95" hidden="1" customHeight="1">
      <c r="A1624" s="141"/>
      <c r="B1624" s="141"/>
      <c r="C1624" s="248"/>
      <c r="D1624" s="256"/>
      <c r="E1624" s="150"/>
      <c r="F1624" s="150"/>
      <c r="G1624" s="145"/>
    </row>
    <row r="1625" spans="1:7" ht="24.95" hidden="1" customHeight="1">
      <c r="A1625" s="141"/>
      <c r="B1625" s="141"/>
      <c r="C1625" s="248"/>
      <c r="D1625" s="256"/>
      <c r="E1625" s="150"/>
      <c r="F1625" s="150"/>
      <c r="G1625" s="145"/>
    </row>
    <row r="1626" spans="1:7" ht="24.95" hidden="1" customHeight="1">
      <c r="A1626" s="141"/>
      <c r="B1626" s="141"/>
      <c r="C1626" s="248"/>
      <c r="D1626" s="256"/>
      <c r="E1626" s="150"/>
      <c r="F1626" s="150"/>
      <c r="G1626" s="145"/>
    </row>
    <row r="1627" spans="1:7" ht="24.95" hidden="1" customHeight="1">
      <c r="A1627" s="141"/>
      <c r="B1627" s="141"/>
      <c r="C1627" s="248"/>
      <c r="D1627" s="256"/>
      <c r="E1627" s="150"/>
      <c r="F1627" s="150"/>
      <c r="G1627" s="145"/>
    </row>
    <row r="1628" spans="1:7" ht="24.95" hidden="1" customHeight="1">
      <c r="A1628" s="141"/>
      <c r="B1628" s="141"/>
      <c r="C1628" s="248"/>
      <c r="D1628" s="256"/>
      <c r="E1628" s="150"/>
      <c r="F1628" s="150"/>
      <c r="G1628" s="145"/>
    </row>
    <row r="1629" spans="1:7" ht="24.95" hidden="1" customHeight="1">
      <c r="A1629" s="141"/>
      <c r="B1629" s="141"/>
      <c r="C1629" s="248"/>
      <c r="D1629" s="256"/>
      <c r="E1629" s="150"/>
      <c r="F1629" s="150"/>
      <c r="G1629" s="145"/>
    </row>
    <row r="1630" spans="1:7" ht="24.95" hidden="1" customHeight="1">
      <c r="A1630" s="141"/>
      <c r="B1630" s="141"/>
      <c r="C1630" s="248"/>
      <c r="D1630" s="256"/>
      <c r="E1630" s="150"/>
      <c r="F1630" s="150"/>
      <c r="G1630" s="145"/>
    </row>
    <row r="1631" spans="1:7" ht="24.95" hidden="1" customHeight="1">
      <c r="A1631" s="141"/>
      <c r="B1631" s="141"/>
      <c r="C1631" s="248"/>
      <c r="D1631" s="256"/>
      <c r="E1631" s="150"/>
      <c r="F1631" s="150"/>
      <c r="G1631" s="145"/>
    </row>
    <row r="1632" spans="1:7" ht="24.95" hidden="1" customHeight="1">
      <c r="A1632" s="141"/>
      <c r="B1632" s="141"/>
      <c r="C1632" s="248"/>
      <c r="D1632" s="256"/>
      <c r="E1632" s="150"/>
      <c r="F1632" s="150"/>
      <c r="G1632" s="145"/>
    </row>
    <row r="1633" spans="1:7" ht="24.95" hidden="1" customHeight="1">
      <c r="A1633" s="141"/>
      <c r="B1633" s="141"/>
      <c r="C1633" s="248"/>
      <c r="D1633" s="256"/>
      <c r="E1633" s="150"/>
      <c r="F1633" s="150"/>
      <c r="G1633" s="145"/>
    </row>
    <row r="1634" spans="1:7" ht="24.95" hidden="1" customHeight="1">
      <c r="A1634" s="141"/>
      <c r="B1634" s="141"/>
      <c r="C1634" s="248"/>
      <c r="D1634" s="256"/>
      <c r="E1634" s="150"/>
      <c r="F1634" s="150"/>
      <c r="G1634" s="145"/>
    </row>
    <row r="1635" spans="1:7" ht="24.95" hidden="1" customHeight="1">
      <c r="A1635" s="141"/>
      <c r="B1635" s="141"/>
      <c r="C1635" s="248"/>
      <c r="D1635" s="256"/>
      <c r="E1635" s="150"/>
      <c r="F1635" s="150"/>
      <c r="G1635" s="145"/>
    </row>
    <row r="1636" spans="1:7" ht="24.95" hidden="1" customHeight="1">
      <c r="A1636" s="141"/>
      <c r="B1636" s="141"/>
      <c r="C1636" s="248"/>
      <c r="D1636" s="256"/>
      <c r="E1636" s="150"/>
      <c r="F1636" s="150"/>
      <c r="G1636" s="145"/>
    </row>
    <row r="1637" spans="1:7" ht="24.95" hidden="1" customHeight="1">
      <c r="A1637" s="141"/>
      <c r="B1637" s="141"/>
      <c r="C1637" s="248"/>
      <c r="D1637" s="256"/>
      <c r="E1637" s="150"/>
      <c r="F1637" s="150"/>
      <c r="G1637" s="145"/>
    </row>
    <row r="1638" spans="1:7" ht="24.95" hidden="1" customHeight="1">
      <c r="A1638" s="141"/>
      <c r="B1638" s="141"/>
      <c r="C1638" s="248"/>
      <c r="D1638" s="256"/>
      <c r="E1638" s="150"/>
      <c r="F1638" s="150"/>
      <c r="G1638" s="145"/>
    </row>
    <row r="1639" spans="1:7" ht="24.95" hidden="1" customHeight="1">
      <c r="A1639" s="141"/>
      <c r="B1639" s="141"/>
      <c r="C1639" s="248"/>
      <c r="D1639" s="256"/>
      <c r="E1639" s="150"/>
      <c r="F1639" s="150"/>
      <c r="G1639" s="145"/>
    </row>
    <row r="1640" spans="1:7" ht="24.95" hidden="1" customHeight="1">
      <c r="A1640" s="141"/>
      <c r="B1640" s="141"/>
      <c r="C1640" s="248"/>
      <c r="D1640" s="256"/>
      <c r="E1640" s="150"/>
      <c r="F1640" s="150"/>
      <c r="G1640" s="145"/>
    </row>
    <row r="1641" spans="1:7" ht="24.95" hidden="1" customHeight="1">
      <c r="A1641" s="141"/>
      <c r="B1641" s="141"/>
      <c r="C1641" s="248"/>
      <c r="D1641" s="256"/>
      <c r="E1641" s="150"/>
      <c r="F1641" s="150"/>
      <c r="G1641" s="145"/>
    </row>
    <row r="1642" spans="1:7" ht="24.95" hidden="1" customHeight="1">
      <c r="A1642" s="141"/>
      <c r="B1642" s="141"/>
      <c r="C1642" s="248"/>
      <c r="D1642" s="256"/>
      <c r="E1642" s="150"/>
      <c r="F1642" s="150"/>
      <c r="G1642" s="145"/>
    </row>
    <row r="1643" spans="1:7" ht="24.95" hidden="1" customHeight="1">
      <c r="A1643" s="141"/>
      <c r="B1643" s="141"/>
      <c r="C1643" s="248"/>
      <c r="D1643" s="256"/>
      <c r="E1643" s="150"/>
      <c r="F1643" s="150"/>
      <c r="G1643" s="145"/>
    </row>
    <row r="1644" spans="1:7" ht="24.95" hidden="1" customHeight="1">
      <c r="A1644" s="141"/>
      <c r="B1644" s="141"/>
      <c r="C1644" s="248"/>
      <c r="D1644" s="256"/>
      <c r="E1644" s="150"/>
      <c r="F1644" s="150"/>
      <c r="G1644" s="145"/>
    </row>
    <row r="1645" spans="1:7" ht="24.95" hidden="1" customHeight="1">
      <c r="A1645" s="141"/>
      <c r="B1645" s="141"/>
      <c r="C1645" s="248"/>
      <c r="D1645" s="256"/>
      <c r="E1645" s="150"/>
      <c r="F1645" s="150"/>
      <c r="G1645" s="145"/>
    </row>
    <row r="1646" spans="1:7" ht="24.95" hidden="1" customHeight="1">
      <c r="A1646" s="141"/>
      <c r="B1646" s="141"/>
      <c r="C1646" s="248"/>
      <c r="D1646" s="256"/>
      <c r="E1646" s="150"/>
      <c r="F1646" s="150"/>
      <c r="G1646" s="145"/>
    </row>
    <row r="1647" spans="1:7" ht="24.95" hidden="1" customHeight="1">
      <c r="A1647" s="141"/>
      <c r="B1647" s="141"/>
      <c r="C1647" s="248"/>
      <c r="D1647" s="256"/>
      <c r="E1647" s="150"/>
      <c r="F1647" s="150"/>
      <c r="G1647" s="145"/>
    </row>
    <row r="1648" spans="1:7" ht="24.95" hidden="1" customHeight="1">
      <c r="A1648" s="141"/>
      <c r="B1648" s="141"/>
      <c r="C1648" s="248"/>
      <c r="D1648" s="256"/>
      <c r="E1648" s="150"/>
      <c r="F1648" s="150"/>
      <c r="G1648" s="145"/>
    </row>
    <row r="1649" spans="1:7" ht="24.95" hidden="1" customHeight="1">
      <c r="A1649" s="141"/>
      <c r="B1649" s="141"/>
      <c r="C1649" s="248"/>
      <c r="D1649" s="256"/>
      <c r="E1649" s="150"/>
      <c r="F1649" s="150"/>
      <c r="G1649" s="145"/>
    </row>
    <row r="1650" spans="1:7" ht="24.95" hidden="1" customHeight="1">
      <c r="A1650" s="141"/>
      <c r="B1650" s="141"/>
      <c r="C1650" s="248"/>
      <c r="D1650" s="256"/>
      <c r="E1650" s="150"/>
      <c r="F1650" s="150"/>
      <c r="G1650" s="145"/>
    </row>
    <row r="1651" spans="1:7" ht="24.95" hidden="1" customHeight="1">
      <c r="A1651" s="141"/>
      <c r="B1651" s="141"/>
      <c r="C1651" s="248"/>
      <c r="D1651" s="256"/>
      <c r="E1651" s="150"/>
      <c r="F1651" s="150"/>
      <c r="G1651" s="145"/>
    </row>
    <row r="1652" spans="1:7" ht="24.95" hidden="1" customHeight="1">
      <c r="A1652" s="141"/>
      <c r="B1652" s="141"/>
      <c r="C1652" s="248"/>
      <c r="D1652" s="256"/>
      <c r="E1652" s="150"/>
      <c r="F1652" s="150"/>
      <c r="G1652" s="145"/>
    </row>
    <row r="1653" spans="1:7" ht="24.95" hidden="1" customHeight="1">
      <c r="A1653" s="141"/>
      <c r="B1653" s="141"/>
      <c r="C1653" s="248"/>
      <c r="D1653" s="256"/>
      <c r="E1653" s="150"/>
      <c r="F1653" s="150"/>
      <c r="G1653" s="145"/>
    </row>
    <row r="1654" spans="1:7" ht="24.95" hidden="1" customHeight="1">
      <c r="A1654" s="141"/>
      <c r="B1654" s="141"/>
      <c r="C1654" s="248"/>
      <c r="D1654" s="256"/>
      <c r="E1654" s="150"/>
      <c r="F1654" s="150"/>
      <c r="G1654" s="145"/>
    </row>
    <row r="1655" spans="1:7" ht="24.95" hidden="1" customHeight="1">
      <c r="A1655" s="141"/>
      <c r="B1655" s="141"/>
      <c r="C1655" s="248"/>
      <c r="D1655" s="256"/>
      <c r="E1655" s="150"/>
      <c r="F1655" s="150"/>
      <c r="G1655" s="145"/>
    </row>
    <row r="1656" spans="1:7" ht="24.95" hidden="1" customHeight="1">
      <c r="A1656" s="141"/>
      <c r="B1656" s="141"/>
      <c r="C1656" s="248"/>
      <c r="D1656" s="256"/>
      <c r="E1656" s="150"/>
      <c r="F1656" s="150"/>
      <c r="G1656" s="145"/>
    </row>
    <row r="1657" spans="1:7" ht="24.95" hidden="1" customHeight="1">
      <c r="A1657" s="141"/>
      <c r="B1657" s="141"/>
      <c r="C1657" s="248"/>
      <c r="D1657" s="256"/>
      <c r="E1657" s="150"/>
      <c r="F1657" s="150"/>
      <c r="G1657" s="145"/>
    </row>
    <row r="1658" spans="1:7" ht="24.95" hidden="1" customHeight="1">
      <c r="A1658" s="141"/>
      <c r="B1658" s="141"/>
      <c r="C1658" s="248"/>
      <c r="D1658" s="256"/>
      <c r="E1658" s="150"/>
      <c r="F1658" s="150"/>
      <c r="G1658" s="145"/>
    </row>
    <row r="1659" spans="1:7" ht="24.95" hidden="1" customHeight="1">
      <c r="A1659" s="141"/>
      <c r="B1659" s="141"/>
      <c r="C1659" s="248"/>
      <c r="D1659" s="256"/>
      <c r="E1659" s="150"/>
      <c r="F1659" s="150"/>
      <c r="G1659" s="145"/>
    </row>
    <row r="1660" spans="1:7" ht="24.95" hidden="1" customHeight="1">
      <c r="A1660" s="141"/>
      <c r="B1660" s="141"/>
      <c r="C1660" s="248"/>
      <c r="D1660" s="256"/>
      <c r="E1660" s="150"/>
      <c r="F1660" s="150"/>
      <c r="G1660" s="145"/>
    </row>
    <row r="1661" spans="1:7" ht="24.95" hidden="1" customHeight="1">
      <c r="A1661" s="141"/>
      <c r="B1661" s="141"/>
      <c r="C1661" s="248"/>
      <c r="D1661" s="256"/>
      <c r="E1661" s="150"/>
      <c r="F1661" s="150"/>
      <c r="G1661" s="145"/>
    </row>
    <row r="1662" spans="1:7" ht="24.95" hidden="1" customHeight="1">
      <c r="A1662" s="141"/>
      <c r="B1662" s="141"/>
      <c r="C1662" s="248"/>
      <c r="D1662" s="256"/>
      <c r="E1662" s="150"/>
      <c r="F1662" s="150"/>
      <c r="G1662" s="145"/>
    </row>
    <row r="1663" spans="1:7" ht="24.95" hidden="1" customHeight="1">
      <c r="A1663" s="141"/>
      <c r="B1663" s="141"/>
      <c r="C1663" s="248"/>
      <c r="D1663" s="256"/>
      <c r="E1663" s="150"/>
      <c r="F1663" s="150"/>
      <c r="G1663" s="145"/>
    </row>
    <row r="1664" spans="1:7" ht="24.95" hidden="1" customHeight="1">
      <c r="A1664" s="141"/>
      <c r="B1664" s="141"/>
      <c r="C1664" s="248"/>
      <c r="D1664" s="256"/>
      <c r="E1664" s="150"/>
      <c r="F1664" s="150"/>
      <c r="G1664" s="145"/>
    </row>
    <row r="1665" spans="1:7" ht="24.95" hidden="1" customHeight="1">
      <c r="A1665" s="141"/>
      <c r="B1665" s="141"/>
      <c r="C1665" s="248"/>
      <c r="D1665" s="256"/>
      <c r="E1665" s="150"/>
      <c r="F1665" s="150"/>
      <c r="G1665" s="145"/>
    </row>
    <row r="1666" spans="1:7" ht="24.95" hidden="1" customHeight="1">
      <c r="A1666" s="141"/>
      <c r="B1666" s="141"/>
      <c r="C1666" s="248"/>
      <c r="D1666" s="256"/>
      <c r="E1666" s="150"/>
      <c r="F1666" s="150"/>
      <c r="G1666" s="145"/>
    </row>
    <row r="1667" spans="1:7" ht="24.95" hidden="1" customHeight="1">
      <c r="A1667" s="141"/>
      <c r="B1667" s="141"/>
      <c r="C1667" s="248"/>
      <c r="D1667" s="256"/>
      <c r="E1667" s="150"/>
      <c r="F1667" s="150"/>
      <c r="G1667" s="145"/>
    </row>
    <row r="1668" spans="1:7" ht="24.95" hidden="1" customHeight="1">
      <c r="A1668" s="141"/>
      <c r="B1668" s="141"/>
      <c r="C1668" s="248"/>
      <c r="D1668" s="256"/>
      <c r="E1668" s="150"/>
      <c r="F1668" s="150"/>
      <c r="G1668" s="145"/>
    </row>
    <row r="1669" spans="1:7" ht="24.95" hidden="1" customHeight="1">
      <c r="A1669" s="141"/>
      <c r="B1669" s="141"/>
      <c r="C1669" s="248"/>
      <c r="D1669" s="256"/>
      <c r="E1669" s="150"/>
      <c r="F1669" s="150"/>
      <c r="G1669" s="145"/>
    </row>
    <row r="1670" spans="1:7" ht="24.95" hidden="1" customHeight="1">
      <c r="A1670" s="141"/>
      <c r="B1670" s="141"/>
      <c r="C1670" s="248"/>
      <c r="D1670" s="256"/>
      <c r="E1670" s="150"/>
      <c r="F1670" s="150"/>
      <c r="G1670" s="145"/>
    </row>
    <row r="1671" spans="1:7" ht="24.95" hidden="1" customHeight="1">
      <c r="A1671" s="141"/>
      <c r="B1671" s="141"/>
      <c r="C1671" s="248"/>
      <c r="D1671" s="256"/>
      <c r="E1671" s="150"/>
      <c r="F1671" s="150"/>
      <c r="G1671" s="145"/>
    </row>
    <row r="1672" spans="1:7" ht="24.95" hidden="1" customHeight="1">
      <c r="A1672" s="141"/>
      <c r="B1672" s="141"/>
      <c r="C1672" s="248"/>
      <c r="D1672" s="256"/>
      <c r="E1672" s="150"/>
      <c r="F1672" s="150"/>
      <c r="G1672" s="145"/>
    </row>
    <row r="1673" spans="1:7" ht="24.95" hidden="1" customHeight="1">
      <c r="A1673" s="141"/>
      <c r="B1673" s="141"/>
      <c r="C1673" s="248"/>
      <c r="D1673" s="256"/>
      <c r="E1673" s="150"/>
      <c r="F1673" s="150"/>
      <c r="G1673" s="145"/>
    </row>
    <row r="1674" spans="1:7" ht="24.95" hidden="1" customHeight="1">
      <c r="A1674" s="141"/>
      <c r="B1674" s="141"/>
      <c r="C1674" s="248"/>
      <c r="D1674" s="256"/>
      <c r="E1674" s="150"/>
      <c r="F1674" s="150"/>
      <c r="G1674" s="145"/>
    </row>
    <row r="1675" spans="1:7" ht="24.95" hidden="1" customHeight="1">
      <c r="A1675" s="141"/>
      <c r="B1675" s="141"/>
      <c r="C1675" s="248"/>
      <c r="D1675" s="256"/>
      <c r="E1675" s="150"/>
      <c r="F1675" s="150"/>
      <c r="G1675" s="145"/>
    </row>
    <row r="1676" spans="1:7" ht="24.95" hidden="1" customHeight="1">
      <c r="A1676" s="141"/>
      <c r="B1676" s="141"/>
      <c r="C1676" s="248"/>
      <c r="D1676" s="256"/>
      <c r="E1676" s="150"/>
      <c r="F1676" s="150"/>
      <c r="G1676" s="145"/>
    </row>
    <row r="1677" spans="1:7" ht="24.95" hidden="1" customHeight="1">
      <c r="A1677" s="141"/>
      <c r="B1677" s="141"/>
      <c r="C1677" s="248"/>
      <c r="D1677" s="256"/>
      <c r="E1677" s="150"/>
      <c r="F1677" s="150"/>
      <c r="G1677" s="145"/>
    </row>
    <row r="1678" spans="1:7" ht="24.95" hidden="1" customHeight="1">
      <c r="A1678" s="141"/>
      <c r="B1678" s="141"/>
      <c r="C1678" s="248"/>
      <c r="D1678" s="256"/>
      <c r="E1678" s="150"/>
      <c r="F1678" s="150"/>
      <c r="G1678" s="145"/>
    </row>
    <row r="1679" spans="1:7" ht="24.95" hidden="1" customHeight="1">
      <c r="A1679" s="141"/>
      <c r="B1679" s="141"/>
      <c r="C1679" s="248"/>
      <c r="D1679" s="256"/>
      <c r="E1679" s="150"/>
      <c r="F1679" s="150"/>
      <c r="G1679" s="145"/>
    </row>
    <row r="1680" spans="1:7" ht="24.95" hidden="1" customHeight="1">
      <c r="A1680" s="141"/>
      <c r="B1680" s="141"/>
      <c r="C1680" s="248"/>
      <c r="D1680" s="256"/>
      <c r="E1680" s="150"/>
      <c r="F1680" s="150"/>
      <c r="G1680" s="145"/>
    </row>
    <row r="1681" spans="1:7" ht="24.95" hidden="1" customHeight="1">
      <c r="A1681" s="141"/>
      <c r="B1681" s="141"/>
      <c r="C1681" s="248"/>
      <c r="D1681" s="256"/>
      <c r="E1681" s="150"/>
      <c r="F1681" s="150"/>
      <c r="G1681" s="145"/>
    </row>
    <row r="1682" spans="1:7" ht="24.95" hidden="1" customHeight="1">
      <c r="A1682" s="141"/>
      <c r="B1682" s="141"/>
      <c r="C1682" s="248"/>
      <c r="D1682" s="256"/>
      <c r="E1682" s="150"/>
      <c r="F1682" s="150"/>
      <c r="G1682" s="145"/>
    </row>
    <row r="1683" spans="1:7" ht="24.95" hidden="1" customHeight="1">
      <c r="A1683" s="141"/>
      <c r="B1683" s="141"/>
      <c r="C1683" s="248"/>
      <c r="D1683" s="256"/>
      <c r="E1683" s="150"/>
      <c r="F1683" s="150"/>
      <c r="G1683" s="145"/>
    </row>
    <row r="1684" spans="1:7" ht="24.95" hidden="1" customHeight="1">
      <c r="A1684" s="141"/>
      <c r="B1684" s="141"/>
      <c r="C1684" s="248"/>
      <c r="D1684" s="256"/>
      <c r="E1684" s="150"/>
      <c r="F1684" s="150"/>
      <c r="G1684" s="145"/>
    </row>
    <row r="1685" spans="1:7" ht="24.95" hidden="1" customHeight="1">
      <c r="A1685" s="141"/>
      <c r="B1685" s="141"/>
      <c r="C1685" s="248"/>
      <c r="D1685" s="256"/>
      <c r="E1685" s="150"/>
      <c r="F1685" s="150"/>
      <c r="G1685" s="145"/>
    </row>
    <row r="1686" spans="1:7" ht="24.95" hidden="1" customHeight="1">
      <c r="A1686" s="141"/>
      <c r="B1686" s="141"/>
      <c r="C1686" s="248"/>
      <c r="D1686" s="256"/>
      <c r="E1686" s="150"/>
      <c r="F1686" s="150"/>
      <c r="G1686" s="145"/>
    </row>
    <row r="1687" spans="1:7" ht="24.95" hidden="1" customHeight="1">
      <c r="A1687" s="141"/>
      <c r="B1687" s="141"/>
      <c r="C1687" s="248"/>
      <c r="D1687" s="256"/>
      <c r="E1687" s="150"/>
      <c r="F1687" s="150"/>
      <c r="G1687" s="145"/>
    </row>
    <row r="1688" spans="1:7" ht="24.95" hidden="1" customHeight="1">
      <c r="A1688" s="141"/>
      <c r="B1688" s="141"/>
      <c r="C1688" s="248"/>
      <c r="D1688" s="256"/>
      <c r="E1688" s="150"/>
      <c r="F1688" s="150"/>
      <c r="G1688" s="145"/>
    </row>
    <row r="1689" spans="1:7" ht="24.95" hidden="1" customHeight="1">
      <c r="A1689" s="141"/>
      <c r="B1689" s="141"/>
      <c r="C1689" s="248"/>
      <c r="D1689" s="256"/>
      <c r="E1689" s="150"/>
      <c r="F1689" s="150"/>
      <c r="G1689" s="145"/>
    </row>
    <row r="1690" spans="1:7" ht="24.95" hidden="1" customHeight="1">
      <c r="A1690" s="141"/>
      <c r="B1690" s="141"/>
      <c r="C1690" s="248"/>
      <c r="D1690" s="256"/>
      <c r="E1690" s="150"/>
      <c r="F1690" s="150"/>
      <c r="G1690" s="145"/>
    </row>
    <row r="1691" spans="1:7" ht="24.95" hidden="1" customHeight="1">
      <c r="A1691" s="141"/>
      <c r="B1691" s="141"/>
      <c r="C1691" s="248"/>
      <c r="D1691" s="256"/>
      <c r="E1691" s="150"/>
      <c r="F1691" s="150"/>
      <c r="G1691" s="145"/>
    </row>
    <row r="1692" spans="1:7" ht="24.95" hidden="1" customHeight="1">
      <c r="A1692" s="141"/>
      <c r="B1692" s="141"/>
      <c r="C1692" s="248"/>
      <c r="D1692" s="256"/>
      <c r="E1692" s="150"/>
      <c r="F1692" s="150"/>
      <c r="G1692" s="145"/>
    </row>
    <row r="1693" spans="1:7" ht="24.95" hidden="1" customHeight="1">
      <c r="A1693" s="141"/>
      <c r="B1693" s="141"/>
      <c r="C1693" s="248"/>
      <c r="D1693" s="256"/>
      <c r="E1693" s="150"/>
      <c r="F1693" s="150"/>
      <c r="G1693" s="145"/>
    </row>
    <row r="1694" spans="1:7" ht="24.95" hidden="1" customHeight="1">
      <c r="A1694" s="141"/>
      <c r="B1694" s="141"/>
      <c r="C1694" s="248"/>
      <c r="D1694" s="256"/>
      <c r="E1694" s="150"/>
      <c r="F1694" s="150"/>
      <c r="G1694" s="145"/>
    </row>
    <row r="1695" spans="1:7" ht="24.95" hidden="1" customHeight="1">
      <c r="A1695" s="141"/>
      <c r="B1695" s="141"/>
      <c r="C1695" s="248"/>
      <c r="D1695" s="256"/>
      <c r="E1695" s="150"/>
      <c r="F1695" s="150"/>
      <c r="G1695" s="145"/>
    </row>
    <row r="1696" spans="1:7" ht="24.95" hidden="1" customHeight="1">
      <c r="A1696" s="141"/>
      <c r="B1696" s="141"/>
      <c r="C1696" s="248"/>
      <c r="D1696" s="256"/>
      <c r="E1696" s="150"/>
      <c r="F1696" s="150"/>
      <c r="G1696" s="145"/>
    </row>
    <row r="1697" spans="1:7" ht="24.95" hidden="1" customHeight="1">
      <c r="A1697" s="141"/>
      <c r="B1697" s="141"/>
      <c r="C1697" s="248"/>
      <c r="D1697" s="256"/>
      <c r="E1697" s="150"/>
      <c r="F1697" s="150"/>
      <c r="G1697" s="145"/>
    </row>
    <row r="1698" spans="1:7" ht="24.95" hidden="1" customHeight="1">
      <c r="A1698" s="141"/>
      <c r="B1698" s="141"/>
      <c r="C1698" s="248"/>
      <c r="D1698" s="256"/>
      <c r="E1698" s="150"/>
      <c r="F1698" s="150"/>
      <c r="G1698" s="145"/>
    </row>
    <row r="1699" spans="1:7" ht="24.95" hidden="1" customHeight="1">
      <c r="A1699" s="141"/>
      <c r="B1699" s="141"/>
      <c r="C1699" s="248"/>
      <c r="D1699" s="256"/>
      <c r="E1699" s="150"/>
      <c r="F1699" s="150"/>
      <c r="G1699" s="145"/>
    </row>
    <row r="1700" spans="1:7" ht="24.95" hidden="1" customHeight="1">
      <c r="A1700" s="141"/>
      <c r="B1700" s="141"/>
      <c r="C1700" s="248"/>
      <c r="D1700" s="256"/>
      <c r="E1700" s="150"/>
      <c r="F1700" s="150"/>
      <c r="G1700" s="145"/>
    </row>
    <row r="1701" spans="1:7" ht="24.95" hidden="1" customHeight="1">
      <c r="A1701" s="141"/>
      <c r="B1701" s="141"/>
      <c r="C1701" s="248"/>
      <c r="D1701" s="256"/>
      <c r="E1701" s="150"/>
      <c r="F1701" s="150"/>
      <c r="G1701" s="145"/>
    </row>
    <row r="1702" spans="1:7" ht="24.95" hidden="1" customHeight="1">
      <c r="A1702" s="141"/>
      <c r="B1702" s="141"/>
      <c r="C1702" s="248"/>
      <c r="D1702" s="256"/>
      <c r="E1702" s="150"/>
      <c r="F1702" s="150"/>
      <c r="G1702" s="145"/>
    </row>
    <row r="1703" spans="1:7" ht="24.95" hidden="1" customHeight="1">
      <c r="A1703" s="141"/>
      <c r="B1703" s="141"/>
      <c r="C1703" s="248"/>
      <c r="D1703" s="256"/>
      <c r="E1703" s="150"/>
      <c r="F1703" s="150"/>
      <c r="G1703" s="145"/>
    </row>
    <row r="1704" spans="1:7" ht="24.95" hidden="1" customHeight="1">
      <c r="A1704" s="141"/>
      <c r="B1704" s="141"/>
      <c r="C1704" s="248"/>
      <c r="D1704" s="256"/>
      <c r="E1704" s="150"/>
      <c r="F1704" s="150"/>
      <c r="G1704" s="145"/>
    </row>
    <row r="1705" spans="1:7" ht="24.95" hidden="1" customHeight="1">
      <c r="A1705" s="141"/>
      <c r="B1705" s="141"/>
      <c r="C1705" s="248"/>
      <c r="D1705" s="256"/>
      <c r="E1705" s="150"/>
      <c r="F1705" s="150"/>
      <c r="G1705" s="145"/>
    </row>
    <row r="1706" spans="1:7" ht="24.95" hidden="1" customHeight="1">
      <c r="A1706" s="141"/>
      <c r="B1706" s="141"/>
      <c r="C1706" s="248"/>
      <c r="D1706" s="256"/>
      <c r="E1706" s="150"/>
      <c r="F1706" s="150"/>
      <c r="G1706" s="145"/>
    </row>
    <row r="1707" spans="1:7" ht="24.95" hidden="1" customHeight="1">
      <c r="A1707" s="141"/>
      <c r="B1707" s="141"/>
      <c r="C1707" s="248"/>
      <c r="D1707" s="256"/>
      <c r="E1707" s="150"/>
      <c r="F1707" s="150"/>
      <c r="G1707" s="145"/>
    </row>
    <row r="1708" spans="1:7" ht="24.95" hidden="1" customHeight="1">
      <c r="A1708" s="141"/>
      <c r="B1708" s="141"/>
      <c r="C1708" s="248"/>
      <c r="D1708" s="256"/>
      <c r="E1708" s="150"/>
      <c r="F1708" s="150"/>
      <c r="G1708" s="145"/>
    </row>
    <row r="1709" spans="1:7" ht="24.95" hidden="1" customHeight="1">
      <c r="A1709" s="141"/>
      <c r="B1709" s="141"/>
      <c r="C1709" s="248"/>
      <c r="D1709" s="256"/>
      <c r="E1709" s="150"/>
      <c r="F1709" s="150"/>
      <c r="G1709" s="145"/>
    </row>
    <row r="1710" spans="1:7" ht="24.95" hidden="1" customHeight="1">
      <c r="A1710" s="141"/>
      <c r="B1710" s="141"/>
      <c r="C1710" s="248"/>
      <c r="D1710" s="256"/>
      <c r="E1710" s="150"/>
      <c r="F1710" s="150"/>
      <c r="G1710" s="145"/>
    </row>
    <row r="1711" spans="1:7" ht="24.95" hidden="1" customHeight="1">
      <c r="A1711" s="141"/>
      <c r="B1711" s="141"/>
      <c r="C1711" s="248"/>
      <c r="D1711" s="256"/>
      <c r="E1711" s="150"/>
      <c r="F1711" s="150"/>
      <c r="G1711" s="145"/>
    </row>
    <row r="1712" spans="1:7" ht="24.95" hidden="1" customHeight="1">
      <c r="A1712" s="141"/>
      <c r="B1712" s="141"/>
      <c r="C1712" s="248"/>
      <c r="D1712" s="256"/>
      <c r="E1712" s="150"/>
      <c r="F1712" s="150"/>
      <c r="G1712" s="145"/>
    </row>
    <row r="1713" spans="1:7" ht="24.95" hidden="1" customHeight="1">
      <c r="A1713" s="141"/>
      <c r="B1713" s="141"/>
      <c r="C1713" s="248"/>
      <c r="D1713" s="256"/>
      <c r="E1713" s="150"/>
      <c r="F1713" s="150"/>
      <c r="G1713" s="145"/>
    </row>
    <row r="1714" spans="1:7" ht="24.95" hidden="1" customHeight="1">
      <c r="A1714" s="141"/>
      <c r="B1714" s="141"/>
      <c r="C1714" s="248"/>
      <c r="D1714" s="256"/>
      <c r="E1714" s="150"/>
      <c r="F1714" s="150"/>
      <c r="G1714" s="145"/>
    </row>
    <row r="1715" spans="1:7" ht="24.95" hidden="1" customHeight="1">
      <c r="A1715" s="141"/>
      <c r="B1715" s="141"/>
      <c r="C1715" s="248"/>
      <c r="D1715" s="256"/>
      <c r="E1715" s="150"/>
      <c r="F1715" s="150"/>
      <c r="G1715" s="145"/>
    </row>
    <row r="1716" spans="1:7" ht="24.95" hidden="1" customHeight="1">
      <c r="A1716" s="141"/>
      <c r="B1716" s="141"/>
      <c r="C1716" s="248"/>
      <c r="D1716" s="256"/>
      <c r="E1716" s="150"/>
      <c r="F1716" s="150"/>
      <c r="G1716" s="145"/>
    </row>
    <row r="1717" spans="1:7" ht="24.95" hidden="1" customHeight="1">
      <c r="A1717" s="141"/>
      <c r="B1717" s="141"/>
      <c r="C1717" s="248"/>
      <c r="D1717" s="256"/>
      <c r="E1717" s="150"/>
      <c r="F1717" s="150"/>
      <c r="G1717" s="145"/>
    </row>
    <row r="1718" spans="1:7" ht="24.95" hidden="1" customHeight="1">
      <c r="A1718" s="141"/>
      <c r="B1718" s="141"/>
      <c r="C1718" s="248"/>
      <c r="D1718" s="256"/>
      <c r="E1718" s="150"/>
      <c r="F1718" s="150"/>
      <c r="G1718" s="145"/>
    </row>
    <row r="1719" spans="1:7" ht="24.95" hidden="1" customHeight="1">
      <c r="A1719" s="141"/>
      <c r="B1719" s="141"/>
      <c r="C1719" s="248"/>
      <c r="D1719" s="256"/>
      <c r="E1719" s="150"/>
      <c r="F1719" s="150"/>
      <c r="G1719" s="145"/>
    </row>
    <row r="1720" spans="1:7" ht="24.95" hidden="1" customHeight="1">
      <c r="A1720" s="141"/>
      <c r="B1720" s="141"/>
      <c r="C1720" s="248"/>
      <c r="D1720" s="256"/>
      <c r="E1720" s="150"/>
      <c r="F1720" s="150"/>
      <c r="G1720" s="145"/>
    </row>
    <row r="1721" spans="1:7" ht="24.95" hidden="1" customHeight="1">
      <c r="A1721" s="141"/>
      <c r="B1721" s="141"/>
      <c r="C1721" s="248"/>
      <c r="D1721" s="256"/>
      <c r="E1721" s="150"/>
      <c r="F1721" s="150"/>
      <c r="G1721" s="145"/>
    </row>
    <row r="1722" spans="1:7" ht="24.95" hidden="1" customHeight="1">
      <c r="A1722" s="141"/>
      <c r="B1722" s="141"/>
      <c r="C1722" s="248"/>
      <c r="D1722" s="256"/>
      <c r="E1722" s="150"/>
      <c r="F1722" s="150"/>
      <c r="G1722" s="145"/>
    </row>
    <row r="1723" spans="1:7" ht="24.95" hidden="1" customHeight="1">
      <c r="A1723" s="141"/>
      <c r="B1723" s="141"/>
      <c r="C1723" s="248"/>
      <c r="D1723" s="256"/>
      <c r="E1723" s="150"/>
      <c r="F1723" s="150"/>
      <c r="G1723" s="145"/>
    </row>
    <row r="1724" spans="1:7" ht="24.95" hidden="1" customHeight="1">
      <c r="A1724" s="141"/>
      <c r="B1724" s="141"/>
      <c r="C1724" s="248"/>
      <c r="D1724" s="256"/>
      <c r="E1724" s="150"/>
      <c r="F1724" s="150"/>
      <c r="G1724" s="145"/>
    </row>
    <row r="1725" spans="1:7" ht="24.95" hidden="1" customHeight="1">
      <c r="A1725" s="141"/>
      <c r="B1725" s="141"/>
      <c r="C1725" s="248"/>
      <c r="D1725" s="256"/>
      <c r="E1725" s="150"/>
      <c r="F1725" s="150"/>
      <c r="G1725" s="145"/>
    </row>
    <row r="1726" spans="1:7" ht="24.95" hidden="1" customHeight="1">
      <c r="A1726" s="141"/>
      <c r="B1726" s="141"/>
      <c r="C1726" s="248"/>
      <c r="D1726" s="256"/>
      <c r="E1726" s="150"/>
      <c r="F1726" s="150"/>
      <c r="G1726" s="145"/>
    </row>
    <row r="1727" spans="1:7" ht="24.95" hidden="1" customHeight="1">
      <c r="A1727" s="141"/>
      <c r="B1727" s="141"/>
      <c r="C1727" s="248"/>
      <c r="D1727" s="256"/>
      <c r="E1727" s="150"/>
      <c r="F1727" s="150"/>
      <c r="G1727" s="145"/>
    </row>
    <row r="1728" spans="1:7" ht="24.95" hidden="1" customHeight="1">
      <c r="A1728" s="141"/>
      <c r="B1728" s="141"/>
      <c r="C1728" s="248"/>
      <c r="D1728" s="256"/>
      <c r="E1728" s="150"/>
      <c r="F1728" s="150"/>
      <c r="G1728" s="145"/>
    </row>
    <row r="1729" spans="1:7" ht="24.95" hidden="1" customHeight="1">
      <c r="A1729" s="141"/>
      <c r="B1729" s="141"/>
      <c r="C1729" s="248"/>
      <c r="D1729" s="256"/>
      <c r="E1729" s="150"/>
      <c r="F1729" s="150"/>
      <c r="G1729" s="145"/>
    </row>
    <row r="1730" spans="1:7" ht="24.95" hidden="1" customHeight="1">
      <c r="A1730" s="141"/>
      <c r="B1730" s="141"/>
      <c r="C1730" s="248"/>
      <c r="D1730" s="256"/>
      <c r="E1730" s="150"/>
      <c r="F1730" s="150"/>
      <c r="G1730" s="145"/>
    </row>
    <row r="1731" spans="1:7" ht="24.95" hidden="1" customHeight="1">
      <c r="A1731" s="141"/>
      <c r="B1731" s="141"/>
      <c r="C1731" s="248"/>
      <c r="D1731" s="256"/>
      <c r="E1731" s="150"/>
      <c r="F1731" s="150"/>
      <c r="G1731" s="145"/>
    </row>
    <row r="1732" spans="1:7" ht="24.95" hidden="1" customHeight="1">
      <c r="A1732" s="141"/>
      <c r="B1732" s="141"/>
      <c r="C1732" s="248"/>
      <c r="D1732" s="256"/>
      <c r="E1732" s="150"/>
      <c r="F1732" s="150"/>
      <c r="G1732" s="145"/>
    </row>
    <row r="1733" spans="1:7" ht="24.95" hidden="1" customHeight="1">
      <c r="A1733" s="141"/>
      <c r="B1733" s="141"/>
      <c r="C1733" s="248"/>
      <c r="D1733" s="256"/>
      <c r="E1733" s="150"/>
      <c r="F1733" s="150"/>
      <c r="G1733" s="145"/>
    </row>
    <row r="1734" spans="1:7" ht="24.95" hidden="1" customHeight="1">
      <c r="A1734" s="141"/>
      <c r="B1734" s="141"/>
      <c r="C1734" s="248"/>
      <c r="D1734" s="256"/>
      <c r="E1734" s="150"/>
      <c r="F1734" s="150"/>
      <c r="G1734" s="145"/>
    </row>
    <row r="1735" spans="1:7" ht="24.95" hidden="1" customHeight="1">
      <c r="A1735" s="141"/>
      <c r="B1735" s="141"/>
      <c r="C1735" s="248"/>
      <c r="D1735" s="256"/>
      <c r="E1735" s="150"/>
      <c r="F1735" s="150"/>
      <c r="G1735" s="145"/>
    </row>
    <row r="1736" spans="1:7" ht="24.95" hidden="1" customHeight="1">
      <c r="A1736" s="141"/>
      <c r="B1736" s="141"/>
      <c r="C1736" s="248"/>
      <c r="D1736" s="256"/>
      <c r="E1736" s="150"/>
      <c r="F1736" s="150"/>
      <c r="G1736" s="145"/>
    </row>
    <row r="1737" spans="1:7" ht="24.95" hidden="1" customHeight="1">
      <c r="A1737" s="141"/>
      <c r="B1737" s="141"/>
      <c r="C1737" s="248"/>
      <c r="D1737" s="256"/>
      <c r="E1737" s="150"/>
      <c r="F1737" s="150"/>
      <c r="G1737" s="145"/>
    </row>
    <row r="1738" spans="1:7" ht="24.95" hidden="1" customHeight="1">
      <c r="A1738" s="141"/>
      <c r="B1738" s="141"/>
      <c r="C1738" s="248"/>
      <c r="D1738" s="256"/>
      <c r="E1738" s="150"/>
      <c r="F1738" s="150"/>
      <c r="G1738" s="145"/>
    </row>
    <row r="1739" spans="1:7" ht="24.95" hidden="1" customHeight="1">
      <c r="A1739" s="141"/>
      <c r="B1739" s="141"/>
      <c r="C1739" s="248"/>
      <c r="D1739" s="256"/>
      <c r="E1739" s="150"/>
      <c r="F1739" s="150"/>
      <c r="G1739" s="145"/>
    </row>
    <row r="1740" spans="1:7" ht="24.95" hidden="1" customHeight="1">
      <c r="A1740" s="141"/>
      <c r="B1740" s="141"/>
      <c r="C1740" s="248"/>
      <c r="D1740" s="256"/>
      <c r="E1740" s="150"/>
      <c r="F1740" s="150"/>
      <c r="G1740" s="145"/>
    </row>
    <row r="1741" spans="1:7" ht="24.95" hidden="1" customHeight="1">
      <c r="A1741" s="141"/>
      <c r="B1741" s="141"/>
      <c r="C1741" s="248"/>
      <c r="D1741" s="256"/>
      <c r="E1741" s="150"/>
      <c r="F1741" s="150"/>
      <c r="G1741" s="145"/>
    </row>
    <row r="1742" spans="1:7" ht="24.95" hidden="1" customHeight="1">
      <c r="A1742" s="141"/>
      <c r="B1742" s="141"/>
      <c r="C1742" s="248"/>
      <c r="D1742" s="256"/>
      <c r="E1742" s="150"/>
      <c r="F1742" s="150"/>
      <c r="G1742" s="145"/>
    </row>
    <row r="1743" spans="1:7" ht="24.95" hidden="1" customHeight="1">
      <c r="A1743" s="141"/>
      <c r="B1743" s="141"/>
      <c r="C1743" s="248"/>
      <c r="D1743" s="256"/>
      <c r="E1743" s="150"/>
      <c r="F1743" s="150"/>
      <c r="G1743" s="145"/>
    </row>
    <row r="1744" spans="1:7" ht="24.95" hidden="1" customHeight="1">
      <c r="A1744" s="141"/>
      <c r="B1744" s="141"/>
      <c r="C1744" s="248"/>
      <c r="D1744" s="256"/>
      <c r="E1744" s="150"/>
      <c r="F1744" s="150"/>
      <c r="G1744" s="145"/>
    </row>
    <row r="1745" spans="1:7" ht="24.95" hidden="1" customHeight="1">
      <c r="A1745" s="141"/>
      <c r="B1745" s="141"/>
      <c r="C1745" s="248"/>
      <c r="D1745" s="256"/>
      <c r="E1745" s="150"/>
      <c r="F1745" s="150"/>
      <c r="G1745" s="145"/>
    </row>
    <row r="1746" spans="1:7" ht="24.95" hidden="1" customHeight="1">
      <c r="A1746" s="141"/>
      <c r="B1746" s="141"/>
      <c r="C1746" s="248"/>
      <c r="D1746" s="256"/>
      <c r="E1746" s="150"/>
      <c r="F1746" s="150"/>
      <c r="G1746" s="145"/>
    </row>
    <row r="1747" spans="1:7" ht="24.95" hidden="1" customHeight="1">
      <c r="A1747" s="141"/>
      <c r="B1747" s="141"/>
      <c r="C1747" s="248"/>
      <c r="D1747" s="256"/>
      <c r="E1747" s="150"/>
      <c r="F1747" s="150"/>
      <c r="G1747" s="145"/>
    </row>
    <row r="1748" spans="1:7" ht="24.95" hidden="1" customHeight="1">
      <c r="A1748" s="141"/>
      <c r="B1748" s="141"/>
      <c r="C1748" s="248"/>
      <c r="D1748" s="256"/>
      <c r="E1748" s="150"/>
      <c r="F1748" s="150"/>
      <c r="G1748" s="145"/>
    </row>
    <row r="1749" spans="1:7" ht="24.95" hidden="1" customHeight="1">
      <c r="A1749" s="141"/>
      <c r="B1749" s="141"/>
      <c r="C1749" s="248"/>
      <c r="D1749" s="256"/>
      <c r="E1749" s="150"/>
      <c r="F1749" s="150"/>
      <c r="G1749" s="145"/>
    </row>
    <row r="1750" spans="1:7" ht="24.95" hidden="1" customHeight="1">
      <c r="A1750" s="141"/>
      <c r="B1750" s="141"/>
      <c r="C1750" s="248"/>
      <c r="D1750" s="256"/>
      <c r="E1750" s="150"/>
      <c r="F1750" s="150"/>
      <c r="G1750" s="145"/>
    </row>
    <row r="1751" spans="1:7" ht="24.95" hidden="1" customHeight="1">
      <c r="A1751" s="141"/>
      <c r="B1751" s="141"/>
      <c r="C1751" s="248"/>
      <c r="D1751" s="256"/>
      <c r="E1751" s="150"/>
      <c r="F1751" s="150"/>
      <c r="G1751" s="145"/>
    </row>
    <row r="1752" spans="1:7" ht="24.95" hidden="1" customHeight="1">
      <c r="A1752" s="141"/>
      <c r="B1752" s="141"/>
      <c r="C1752" s="248"/>
      <c r="D1752" s="256"/>
      <c r="E1752" s="150"/>
      <c r="F1752" s="150"/>
      <c r="G1752" s="145"/>
    </row>
    <row r="1753" spans="1:7" ht="24.95" hidden="1" customHeight="1">
      <c r="A1753" s="141"/>
      <c r="B1753" s="141"/>
      <c r="C1753" s="248"/>
      <c r="D1753" s="256"/>
      <c r="E1753" s="150"/>
      <c r="F1753" s="150"/>
      <c r="G1753" s="145"/>
    </row>
    <row r="1754" spans="1:7" ht="24.95" hidden="1" customHeight="1">
      <c r="A1754" s="141"/>
      <c r="B1754" s="141"/>
      <c r="C1754" s="248"/>
      <c r="D1754" s="256"/>
      <c r="E1754" s="150"/>
      <c r="F1754" s="150"/>
      <c r="G1754" s="145"/>
    </row>
    <row r="1755" spans="1:7" ht="24.95" hidden="1" customHeight="1">
      <c r="A1755" s="141"/>
      <c r="B1755" s="141"/>
      <c r="C1755" s="248"/>
      <c r="D1755" s="256"/>
      <c r="E1755" s="150"/>
      <c r="F1755" s="150"/>
      <c r="G1755" s="145"/>
    </row>
    <row r="1756" spans="1:7" ht="24.95" hidden="1" customHeight="1">
      <c r="A1756" s="141"/>
      <c r="B1756" s="141"/>
      <c r="C1756" s="248"/>
      <c r="D1756" s="256"/>
      <c r="E1756" s="150"/>
      <c r="F1756" s="150"/>
      <c r="G1756" s="145"/>
    </row>
    <row r="1757" spans="1:7" ht="24.95" hidden="1" customHeight="1">
      <c r="A1757" s="141"/>
      <c r="B1757" s="141"/>
      <c r="C1757" s="248"/>
      <c r="D1757" s="256"/>
      <c r="E1757" s="150"/>
      <c r="F1757" s="150"/>
      <c r="G1757" s="145"/>
    </row>
    <row r="1758" spans="1:7" ht="24.95" hidden="1" customHeight="1">
      <c r="A1758" s="141"/>
      <c r="B1758" s="141"/>
      <c r="C1758" s="248"/>
      <c r="D1758" s="256"/>
      <c r="E1758" s="150"/>
      <c r="F1758" s="150"/>
      <c r="G1758" s="145"/>
    </row>
    <row r="1759" spans="1:7" ht="24.95" hidden="1" customHeight="1">
      <c r="A1759" s="141"/>
      <c r="B1759" s="141"/>
      <c r="C1759" s="248"/>
      <c r="D1759" s="256"/>
      <c r="E1759" s="150"/>
      <c r="F1759" s="150"/>
      <c r="G1759" s="145"/>
    </row>
    <row r="1760" spans="1:7" ht="24.95" hidden="1" customHeight="1">
      <c r="A1760" s="141"/>
      <c r="B1760" s="141"/>
      <c r="C1760" s="248"/>
      <c r="D1760" s="256"/>
      <c r="E1760" s="150"/>
      <c r="F1760" s="150"/>
      <c r="G1760" s="145"/>
    </row>
    <row r="1761" spans="1:7" ht="24.95" hidden="1" customHeight="1">
      <c r="A1761" s="141"/>
      <c r="B1761" s="141"/>
      <c r="C1761" s="248"/>
      <c r="D1761" s="256"/>
      <c r="E1761" s="150"/>
      <c r="F1761" s="150"/>
      <c r="G1761" s="145"/>
    </row>
    <row r="1762" spans="1:7" ht="24.95" hidden="1" customHeight="1">
      <c r="A1762" s="141"/>
      <c r="B1762" s="141"/>
      <c r="C1762" s="248"/>
      <c r="D1762" s="256"/>
      <c r="E1762" s="150"/>
      <c r="F1762" s="150"/>
      <c r="G1762" s="145"/>
    </row>
    <row r="1763" spans="1:7" ht="24.95" hidden="1" customHeight="1">
      <c r="A1763" s="141"/>
      <c r="B1763" s="141"/>
      <c r="C1763" s="248"/>
      <c r="D1763" s="256"/>
      <c r="E1763" s="150"/>
      <c r="F1763" s="150"/>
      <c r="G1763" s="145"/>
    </row>
    <row r="1764" spans="1:7" ht="24.95" hidden="1" customHeight="1">
      <c r="A1764" s="141"/>
      <c r="B1764" s="141"/>
      <c r="C1764" s="248"/>
      <c r="D1764" s="256"/>
      <c r="E1764" s="150"/>
      <c r="F1764" s="150"/>
      <c r="G1764" s="145"/>
    </row>
    <row r="1765" spans="1:7" ht="24.95" hidden="1" customHeight="1">
      <c r="A1765" s="141"/>
      <c r="B1765" s="141"/>
      <c r="C1765" s="248"/>
      <c r="D1765" s="256"/>
      <c r="E1765" s="150"/>
      <c r="F1765" s="150"/>
      <c r="G1765" s="145"/>
    </row>
    <row r="1766" spans="1:7" ht="24.95" hidden="1" customHeight="1">
      <c r="A1766" s="141"/>
      <c r="B1766" s="141"/>
      <c r="C1766" s="248"/>
      <c r="D1766" s="256"/>
      <c r="E1766" s="150"/>
      <c r="F1766" s="150"/>
      <c r="G1766" s="145"/>
    </row>
    <row r="1767" spans="1:7" ht="24.95" hidden="1" customHeight="1">
      <c r="A1767" s="141"/>
      <c r="B1767" s="141"/>
      <c r="C1767" s="248"/>
      <c r="D1767" s="256"/>
      <c r="E1767" s="150"/>
      <c r="F1767" s="150"/>
      <c r="G1767" s="145"/>
    </row>
    <row r="1768" spans="1:7" ht="24.95" hidden="1" customHeight="1">
      <c r="A1768" s="141"/>
      <c r="B1768" s="141"/>
      <c r="C1768" s="248"/>
      <c r="D1768" s="256"/>
      <c r="E1768" s="150"/>
      <c r="F1768" s="150"/>
      <c r="G1768" s="145"/>
    </row>
    <row r="1769" spans="1:7" ht="24.95" hidden="1" customHeight="1">
      <c r="A1769" s="141"/>
      <c r="B1769" s="141"/>
      <c r="C1769" s="248"/>
      <c r="D1769" s="256"/>
      <c r="E1769" s="150"/>
      <c r="F1769" s="150"/>
      <c r="G1769" s="145"/>
    </row>
    <row r="1770" spans="1:7" ht="24.95" hidden="1" customHeight="1">
      <c r="A1770" s="141"/>
      <c r="B1770" s="141"/>
      <c r="C1770" s="248"/>
      <c r="D1770" s="256"/>
      <c r="E1770" s="150"/>
      <c r="F1770" s="150"/>
      <c r="G1770" s="145"/>
    </row>
    <row r="1771" spans="1:7" ht="24.95" hidden="1" customHeight="1">
      <c r="A1771" s="141"/>
      <c r="B1771" s="141"/>
      <c r="C1771" s="248"/>
      <c r="D1771" s="256"/>
      <c r="E1771" s="150"/>
      <c r="F1771" s="150"/>
      <c r="G1771" s="145"/>
    </row>
    <row r="1772" spans="1:7" ht="24.95" hidden="1" customHeight="1">
      <c r="A1772" s="141"/>
      <c r="B1772" s="141"/>
      <c r="C1772" s="248"/>
      <c r="D1772" s="256"/>
      <c r="E1772" s="150"/>
      <c r="F1772" s="150"/>
      <c r="G1772" s="145"/>
    </row>
    <row r="1773" spans="1:7" ht="24.95" hidden="1" customHeight="1">
      <c r="A1773" s="141"/>
      <c r="B1773" s="141"/>
      <c r="C1773" s="248"/>
      <c r="D1773" s="256"/>
      <c r="E1773" s="150"/>
      <c r="F1773" s="150"/>
      <c r="G1773" s="145"/>
    </row>
    <row r="1774" spans="1:7" ht="24.95" hidden="1" customHeight="1">
      <c r="A1774" s="141"/>
      <c r="B1774" s="141"/>
      <c r="C1774" s="248"/>
      <c r="D1774" s="256"/>
      <c r="E1774" s="150"/>
      <c r="F1774" s="150"/>
      <c r="G1774" s="145"/>
    </row>
    <row r="1775" spans="1:7" ht="24.95" hidden="1" customHeight="1">
      <c r="A1775" s="141"/>
      <c r="B1775" s="141"/>
      <c r="C1775" s="248"/>
      <c r="D1775" s="256"/>
      <c r="E1775" s="150"/>
      <c r="F1775" s="150"/>
      <c r="G1775" s="145"/>
    </row>
    <row r="1776" spans="1:7" ht="24.95" hidden="1" customHeight="1">
      <c r="A1776" s="141"/>
      <c r="B1776" s="141"/>
      <c r="C1776" s="248"/>
      <c r="D1776" s="256"/>
      <c r="E1776" s="150"/>
      <c r="F1776" s="150"/>
      <c r="G1776" s="145"/>
    </row>
    <row r="1777" spans="1:7" ht="24.95" hidden="1" customHeight="1">
      <c r="A1777" s="141"/>
      <c r="B1777" s="141"/>
      <c r="C1777" s="248"/>
      <c r="D1777" s="256"/>
      <c r="E1777" s="150"/>
      <c r="F1777" s="150"/>
      <c r="G1777" s="145"/>
    </row>
    <row r="1778" spans="1:7" ht="24.95" hidden="1" customHeight="1">
      <c r="A1778" s="141"/>
      <c r="B1778" s="141"/>
      <c r="C1778" s="248"/>
      <c r="D1778" s="256"/>
      <c r="E1778" s="150"/>
      <c r="F1778" s="150"/>
      <c r="G1778" s="145"/>
    </row>
    <row r="1779" spans="1:7" ht="24.95" hidden="1" customHeight="1">
      <c r="A1779" s="141"/>
      <c r="B1779" s="141"/>
      <c r="C1779" s="248"/>
      <c r="D1779" s="256"/>
      <c r="E1779" s="150"/>
      <c r="F1779" s="150"/>
      <c r="G1779" s="145"/>
    </row>
    <row r="1780" spans="1:7" ht="24.95" hidden="1" customHeight="1">
      <c r="A1780" s="141"/>
      <c r="B1780" s="141"/>
      <c r="C1780" s="248"/>
      <c r="D1780" s="256"/>
      <c r="E1780" s="150"/>
      <c r="F1780" s="150"/>
      <c r="G1780" s="145"/>
    </row>
    <row r="1781" spans="1:7" ht="24.95" hidden="1" customHeight="1">
      <c r="A1781" s="141"/>
      <c r="B1781" s="141"/>
      <c r="C1781" s="248"/>
      <c r="D1781" s="256"/>
      <c r="E1781" s="150"/>
      <c r="F1781" s="150"/>
      <c r="G1781" s="145"/>
    </row>
    <row r="1782" spans="1:7" ht="24.95" hidden="1" customHeight="1">
      <c r="A1782" s="141"/>
      <c r="B1782" s="141"/>
      <c r="C1782" s="248"/>
      <c r="D1782" s="256"/>
      <c r="E1782" s="150"/>
      <c r="F1782" s="150"/>
      <c r="G1782" s="145"/>
    </row>
    <row r="1783" spans="1:7" ht="24.95" hidden="1" customHeight="1">
      <c r="A1783" s="141"/>
      <c r="B1783" s="141"/>
      <c r="C1783" s="248"/>
      <c r="D1783" s="256"/>
      <c r="E1783" s="150"/>
      <c r="F1783" s="150"/>
      <c r="G1783" s="145"/>
    </row>
    <row r="1784" spans="1:7" ht="24.95" hidden="1" customHeight="1">
      <c r="A1784" s="141"/>
      <c r="B1784" s="141"/>
      <c r="C1784" s="248"/>
      <c r="D1784" s="256"/>
      <c r="E1784" s="150"/>
      <c r="F1784" s="150"/>
      <c r="G1784" s="145"/>
    </row>
    <row r="1785" spans="1:7" ht="24.95" hidden="1" customHeight="1">
      <c r="A1785" s="141"/>
      <c r="B1785" s="141"/>
      <c r="C1785" s="248"/>
      <c r="D1785" s="256"/>
      <c r="E1785" s="150"/>
      <c r="F1785" s="150"/>
      <c r="G1785" s="145"/>
    </row>
    <row r="1786" spans="1:7" ht="24.95" hidden="1" customHeight="1">
      <c r="A1786" s="141"/>
      <c r="B1786" s="141"/>
      <c r="C1786" s="248"/>
      <c r="D1786" s="256"/>
      <c r="E1786" s="150"/>
      <c r="F1786" s="150"/>
      <c r="G1786" s="145"/>
    </row>
    <row r="1787" spans="1:7" ht="24.95" hidden="1" customHeight="1">
      <c r="A1787" s="141"/>
      <c r="B1787" s="141"/>
      <c r="C1787" s="248"/>
      <c r="D1787" s="256"/>
      <c r="E1787" s="150"/>
      <c r="F1787" s="150"/>
      <c r="G1787" s="145"/>
    </row>
    <row r="1788" spans="1:7" ht="24.95" hidden="1" customHeight="1">
      <c r="A1788" s="141"/>
      <c r="B1788" s="141"/>
      <c r="C1788" s="248"/>
      <c r="D1788" s="256"/>
      <c r="E1788" s="150"/>
      <c r="F1788" s="150"/>
      <c r="G1788" s="145"/>
    </row>
    <row r="1789" spans="1:7" ht="24.95" hidden="1" customHeight="1">
      <c r="A1789" s="141"/>
      <c r="B1789" s="141"/>
      <c r="C1789" s="248"/>
      <c r="D1789" s="256"/>
      <c r="E1789" s="150"/>
      <c r="F1789" s="150"/>
      <c r="G1789" s="145"/>
    </row>
    <row r="1790" spans="1:7" ht="24.95" hidden="1" customHeight="1">
      <c r="A1790" s="141"/>
      <c r="B1790" s="141"/>
      <c r="C1790" s="248"/>
      <c r="D1790" s="256"/>
      <c r="E1790" s="150"/>
      <c r="F1790" s="150"/>
      <c r="G1790" s="145"/>
    </row>
    <row r="1791" spans="1:7" ht="24.95" hidden="1" customHeight="1">
      <c r="A1791" s="141"/>
      <c r="B1791" s="141"/>
      <c r="C1791" s="248"/>
      <c r="D1791" s="256"/>
      <c r="E1791" s="150"/>
      <c r="F1791" s="150"/>
      <c r="G1791" s="145"/>
    </row>
    <row r="1792" spans="1:7" ht="24.95" hidden="1" customHeight="1">
      <c r="A1792" s="141"/>
      <c r="B1792" s="141"/>
      <c r="C1792" s="248"/>
      <c r="D1792" s="256"/>
      <c r="E1792" s="150"/>
      <c r="F1792" s="150"/>
      <c r="G1792" s="145"/>
    </row>
    <row r="1793" spans="1:7" ht="24.95" hidden="1" customHeight="1">
      <c r="A1793" s="141"/>
      <c r="B1793" s="141"/>
      <c r="C1793" s="248"/>
      <c r="D1793" s="256"/>
      <c r="E1793" s="150"/>
      <c r="F1793" s="150"/>
      <c r="G1793" s="145"/>
    </row>
    <row r="1794" spans="1:7" ht="24.95" hidden="1" customHeight="1">
      <c r="A1794" s="141"/>
      <c r="B1794" s="141"/>
      <c r="C1794" s="248"/>
      <c r="D1794" s="256"/>
      <c r="E1794" s="150"/>
      <c r="F1794" s="150"/>
      <c r="G1794" s="145"/>
    </row>
    <row r="1795" spans="1:7" ht="24.95" hidden="1" customHeight="1">
      <c r="A1795" s="141"/>
      <c r="B1795" s="141"/>
      <c r="C1795" s="248"/>
      <c r="D1795" s="256"/>
      <c r="E1795" s="150"/>
      <c r="F1795" s="150"/>
      <c r="G1795" s="145"/>
    </row>
    <row r="1796" spans="1:7" ht="24.95" hidden="1" customHeight="1">
      <c r="A1796" s="141"/>
      <c r="B1796" s="141"/>
      <c r="C1796" s="248"/>
      <c r="D1796" s="256"/>
      <c r="E1796" s="150"/>
      <c r="F1796" s="150"/>
      <c r="G1796" s="145"/>
    </row>
    <row r="1797" spans="1:7" ht="24.95" hidden="1" customHeight="1">
      <c r="A1797" s="141"/>
      <c r="B1797" s="141"/>
      <c r="C1797" s="248"/>
      <c r="D1797" s="256"/>
      <c r="E1797" s="150"/>
      <c r="F1797" s="150"/>
      <c r="G1797" s="145"/>
    </row>
    <row r="1798" spans="1:7" ht="24.95" hidden="1" customHeight="1">
      <c r="A1798" s="141"/>
      <c r="B1798" s="141"/>
      <c r="C1798" s="248"/>
      <c r="D1798" s="256"/>
      <c r="E1798" s="150"/>
      <c r="F1798" s="150"/>
      <c r="G1798" s="145"/>
    </row>
    <row r="1799" spans="1:7" ht="24.95" hidden="1" customHeight="1">
      <c r="A1799" s="141"/>
      <c r="B1799" s="141"/>
      <c r="C1799" s="248"/>
      <c r="D1799" s="256"/>
      <c r="E1799" s="150"/>
      <c r="F1799" s="150"/>
      <c r="G1799" s="145"/>
    </row>
    <row r="1800" spans="1:7" ht="24.95" hidden="1" customHeight="1">
      <c r="A1800" s="141"/>
      <c r="B1800" s="141"/>
      <c r="C1800" s="248"/>
      <c r="D1800" s="256"/>
      <c r="E1800" s="150"/>
      <c r="F1800" s="150"/>
      <c r="G1800" s="145"/>
    </row>
    <row r="1801" spans="1:7" ht="24.95" hidden="1" customHeight="1">
      <c r="A1801" s="141"/>
      <c r="B1801" s="141"/>
      <c r="C1801" s="248"/>
      <c r="D1801" s="256"/>
      <c r="E1801" s="150"/>
      <c r="F1801" s="150"/>
      <c r="G1801" s="145"/>
    </row>
    <row r="1802" spans="1:7" ht="24.95" hidden="1" customHeight="1">
      <c r="A1802" s="141"/>
      <c r="B1802" s="141"/>
      <c r="C1802" s="248"/>
      <c r="D1802" s="256"/>
      <c r="E1802" s="150"/>
      <c r="F1802" s="150"/>
      <c r="G1802" s="145"/>
    </row>
    <row r="1803" spans="1:7" ht="24.95" hidden="1" customHeight="1">
      <c r="A1803" s="141"/>
      <c r="B1803" s="141"/>
      <c r="C1803" s="248"/>
      <c r="D1803" s="256"/>
      <c r="E1803" s="150"/>
      <c r="F1803" s="150"/>
      <c r="G1803" s="145"/>
    </row>
    <row r="1804" spans="1:7" ht="24.95" hidden="1" customHeight="1">
      <c r="A1804" s="141"/>
      <c r="B1804" s="141"/>
      <c r="C1804" s="248"/>
      <c r="D1804" s="256"/>
      <c r="E1804" s="150"/>
      <c r="F1804" s="150"/>
      <c r="G1804" s="145"/>
    </row>
    <row r="1805" spans="1:7" ht="24.95" hidden="1" customHeight="1">
      <c r="A1805" s="141"/>
      <c r="B1805" s="141"/>
      <c r="C1805" s="248"/>
      <c r="D1805" s="256"/>
      <c r="E1805" s="150"/>
      <c r="F1805" s="150"/>
      <c r="G1805" s="145"/>
    </row>
    <row r="1806" spans="1:7" ht="24.95" hidden="1" customHeight="1">
      <c r="A1806" s="141"/>
      <c r="B1806" s="141"/>
      <c r="C1806" s="248"/>
      <c r="D1806" s="256"/>
      <c r="E1806" s="150"/>
      <c r="F1806" s="150"/>
      <c r="G1806" s="145"/>
    </row>
    <row r="1807" spans="1:7" ht="24.95" hidden="1" customHeight="1">
      <c r="A1807" s="141"/>
      <c r="B1807" s="141"/>
      <c r="C1807" s="248"/>
      <c r="D1807" s="256"/>
      <c r="E1807" s="150"/>
      <c r="F1807" s="150"/>
      <c r="G1807" s="145"/>
    </row>
    <row r="1808" spans="1:7" ht="24.95" hidden="1" customHeight="1">
      <c r="A1808" s="141"/>
      <c r="B1808" s="141"/>
      <c r="C1808" s="248"/>
      <c r="D1808" s="256"/>
      <c r="E1808" s="150"/>
      <c r="F1808" s="150"/>
      <c r="G1808" s="145"/>
    </row>
    <row r="1809" spans="1:7" ht="24.95" hidden="1" customHeight="1">
      <c r="A1809" s="141"/>
      <c r="B1809" s="141"/>
      <c r="C1809" s="248"/>
      <c r="D1809" s="256"/>
      <c r="E1809" s="150"/>
      <c r="F1809" s="150"/>
      <c r="G1809" s="145"/>
    </row>
    <row r="1810" spans="1:7" ht="24.95" hidden="1" customHeight="1">
      <c r="A1810" s="141"/>
      <c r="B1810" s="141"/>
      <c r="C1810" s="248"/>
      <c r="D1810" s="256"/>
      <c r="E1810" s="150"/>
      <c r="F1810" s="150"/>
      <c r="G1810" s="145"/>
    </row>
    <row r="1811" spans="1:7" ht="24.95" hidden="1" customHeight="1">
      <c r="A1811" s="141"/>
      <c r="B1811" s="141"/>
      <c r="C1811" s="248"/>
      <c r="D1811" s="256"/>
      <c r="E1811" s="150"/>
      <c r="F1811" s="150"/>
      <c r="G1811" s="145"/>
    </row>
    <row r="1812" spans="1:7" ht="24.95" hidden="1" customHeight="1">
      <c r="A1812" s="141"/>
      <c r="B1812" s="141"/>
      <c r="C1812" s="248"/>
      <c r="D1812" s="256"/>
      <c r="E1812" s="150"/>
      <c r="F1812" s="150"/>
      <c r="G1812" s="145"/>
    </row>
    <row r="1813" spans="1:7" ht="24.95" hidden="1" customHeight="1">
      <c r="A1813" s="141"/>
      <c r="B1813" s="141"/>
      <c r="C1813" s="248"/>
      <c r="D1813" s="256"/>
      <c r="E1813" s="150"/>
      <c r="F1813" s="150"/>
      <c r="G1813" s="145"/>
    </row>
    <row r="1814" spans="1:7" ht="24.95" hidden="1" customHeight="1">
      <c r="A1814" s="141"/>
      <c r="B1814" s="141"/>
      <c r="C1814" s="248"/>
      <c r="D1814" s="256"/>
      <c r="E1814" s="150"/>
      <c r="F1814" s="150"/>
      <c r="G1814" s="145"/>
    </row>
    <row r="1815" spans="1:7" ht="24.95" hidden="1" customHeight="1">
      <c r="A1815" s="141"/>
      <c r="B1815" s="141"/>
      <c r="C1815" s="248"/>
      <c r="D1815" s="256"/>
      <c r="E1815" s="150"/>
      <c r="F1815" s="150"/>
      <c r="G1815" s="145"/>
    </row>
    <row r="1816" spans="1:7" ht="24.95" hidden="1" customHeight="1">
      <c r="A1816" s="141"/>
      <c r="B1816" s="141"/>
      <c r="C1816" s="248"/>
      <c r="D1816" s="256"/>
      <c r="E1816" s="150"/>
      <c r="F1816" s="150"/>
      <c r="G1816" s="145"/>
    </row>
    <row r="1817" spans="1:7" ht="24.95" hidden="1" customHeight="1">
      <c r="A1817" s="141"/>
      <c r="B1817" s="141"/>
      <c r="C1817" s="248"/>
      <c r="D1817" s="256"/>
      <c r="E1817" s="150"/>
      <c r="F1817" s="150"/>
      <c r="G1817" s="145"/>
    </row>
    <row r="1818" spans="1:7" ht="24.95" hidden="1" customHeight="1">
      <c r="A1818" s="141"/>
      <c r="B1818" s="141"/>
      <c r="C1818" s="248"/>
      <c r="D1818" s="256"/>
      <c r="E1818" s="150"/>
      <c r="F1818" s="150"/>
      <c r="G1818" s="145"/>
    </row>
    <row r="1819" spans="1:7" ht="24.95" hidden="1" customHeight="1">
      <c r="A1819" s="141"/>
      <c r="B1819" s="141"/>
      <c r="C1819" s="248"/>
      <c r="D1819" s="256"/>
      <c r="E1819" s="150"/>
      <c r="F1819" s="150"/>
      <c r="G1819" s="145"/>
    </row>
    <row r="1820" spans="1:7" ht="24.95" hidden="1" customHeight="1">
      <c r="A1820" s="141"/>
      <c r="B1820" s="141"/>
      <c r="C1820" s="248"/>
      <c r="D1820" s="256"/>
      <c r="E1820" s="150"/>
      <c r="F1820" s="150"/>
      <c r="G1820" s="145"/>
    </row>
    <row r="1821" spans="1:7" ht="24.95" hidden="1" customHeight="1">
      <c r="A1821" s="141"/>
      <c r="B1821" s="141"/>
      <c r="C1821" s="248"/>
      <c r="D1821" s="256"/>
      <c r="E1821" s="150"/>
      <c r="F1821" s="150"/>
      <c r="G1821" s="145"/>
    </row>
    <row r="1822" spans="1:7" ht="24.95" hidden="1" customHeight="1">
      <c r="A1822" s="141"/>
      <c r="B1822" s="141"/>
      <c r="C1822" s="248"/>
      <c r="D1822" s="256"/>
      <c r="E1822" s="150"/>
      <c r="F1822" s="150"/>
      <c r="G1822" s="145"/>
    </row>
    <row r="1823" spans="1:7" ht="24.95" hidden="1" customHeight="1">
      <c r="A1823" s="141"/>
      <c r="B1823" s="141"/>
      <c r="C1823" s="248"/>
      <c r="D1823" s="256"/>
      <c r="E1823" s="150"/>
      <c r="F1823" s="150"/>
      <c r="G1823" s="145"/>
    </row>
    <row r="1824" spans="1:7" ht="24.95" hidden="1" customHeight="1">
      <c r="A1824" s="141"/>
      <c r="B1824" s="141"/>
      <c r="C1824" s="248"/>
      <c r="D1824" s="256"/>
      <c r="E1824" s="150"/>
      <c r="F1824" s="150"/>
      <c r="G1824" s="145"/>
    </row>
    <row r="1825" spans="1:7" ht="24.95" hidden="1" customHeight="1">
      <c r="A1825" s="141"/>
      <c r="B1825" s="141"/>
      <c r="C1825" s="248"/>
      <c r="D1825" s="256"/>
      <c r="E1825" s="150"/>
      <c r="F1825" s="150"/>
      <c r="G1825" s="145"/>
    </row>
    <row r="1826" spans="1:7" ht="24.95" hidden="1" customHeight="1">
      <c r="A1826" s="141"/>
      <c r="B1826" s="141"/>
      <c r="C1826" s="248"/>
      <c r="D1826" s="256"/>
      <c r="E1826" s="150"/>
      <c r="F1826" s="150"/>
      <c r="G1826" s="145"/>
    </row>
    <row r="1827" spans="1:7" ht="24.95" hidden="1" customHeight="1">
      <c r="A1827" s="141"/>
      <c r="B1827" s="141"/>
      <c r="C1827" s="248"/>
      <c r="D1827" s="256"/>
      <c r="E1827" s="150"/>
      <c r="F1827" s="150"/>
      <c r="G1827" s="145"/>
    </row>
    <row r="1828" spans="1:7" ht="24.95" hidden="1" customHeight="1">
      <c r="A1828" s="141"/>
      <c r="B1828" s="141"/>
      <c r="C1828" s="248"/>
      <c r="D1828" s="256"/>
      <c r="E1828" s="150"/>
      <c r="F1828" s="150"/>
      <c r="G1828" s="145"/>
    </row>
    <row r="1829" spans="1:7" ht="24.95" hidden="1" customHeight="1">
      <c r="A1829" s="141"/>
      <c r="B1829" s="141"/>
      <c r="C1829" s="248"/>
      <c r="D1829" s="256"/>
      <c r="E1829" s="150"/>
      <c r="F1829" s="150"/>
      <c r="G1829" s="145"/>
    </row>
    <row r="1830" spans="1:7" ht="24.95" hidden="1" customHeight="1">
      <c r="A1830" s="141"/>
      <c r="B1830" s="141"/>
      <c r="C1830" s="248"/>
      <c r="D1830" s="256"/>
      <c r="E1830" s="150"/>
      <c r="F1830" s="150"/>
      <c r="G1830" s="145"/>
    </row>
    <row r="1831" spans="1:7" ht="24.95" hidden="1" customHeight="1">
      <c r="A1831" s="141"/>
      <c r="B1831" s="141"/>
      <c r="C1831" s="248"/>
      <c r="D1831" s="256"/>
      <c r="E1831" s="150"/>
      <c r="F1831" s="150"/>
      <c r="G1831" s="145"/>
    </row>
    <row r="1832" spans="1:7" ht="24.95" hidden="1" customHeight="1">
      <c r="A1832" s="141"/>
      <c r="B1832" s="141"/>
      <c r="C1832" s="248"/>
      <c r="D1832" s="256"/>
      <c r="E1832" s="150"/>
      <c r="F1832" s="150"/>
      <c r="G1832" s="145"/>
    </row>
    <row r="1833" spans="1:7" ht="24.95" hidden="1" customHeight="1">
      <c r="A1833" s="141"/>
      <c r="B1833" s="141"/>
      <c r="C1833" s="248"/>
      <c r="D1833" s="256"/>
      <c r="E1833" s="150"/>
      <c r="F1833" s="150"/>
      <c r="G1833" s="145"/>
    </row>
    <row r="1834" spans="1:7" ht="24.95" hidden="1" customHeight="1">
      <c r="A1834" s="141"/>
      <c r="B1834" s="141"/>
      <c r="C1834" s="248"/>
      <c r="D1834" s="256"/>
      <c r="E1834" s="150"/>
      <c r="F1834" s="150"/>
      <c r="G1834" s="145"/>
    </row>
    <row r="1835" spans="1:7" ht="24.95" hidden="1" customHeight="1">
      <c r="A1835" s="141"/>
      <c r="B1835" s="141"/>
      <c r="C1835" s="248"/>
      <c r="D1835" s="256"/>
      <c r="E1835" s="150"/>
      <c r="F1835" s="150"/>
      <c r="G1835" s="145"/>
    </row>
    <row r="1836" spans="1:7" ht="24.95" hidden="1" customHeight="1">
      <c r="A1836" s="141"/>
      <c r="B1836" s="141"/>
      <c r="C1836" s="248"/>
      <c r="D1836" s="256"/>
      <c r="E1836" s="150"/>
      <c r="F1836" s="150"/>
      <c r="G1836" s="145"/>
    </row>
    <row r="1837" spans="1:7" ht="24.95" hidden="1" customHeight="1">
      <c r="A1837" s="141"/>
      <c r="B1837" s="141"/>
      <c r="C1837" s="248"/>
      <c r="D1837" s="256"/>
      <c r="E1837" s="150"/>
      <c r="F1837" s="150"/>
      <c r="G1837" s="145"/>
    </row>
    <row r="1838" spans="1:7" ht="24.95" hidden="1" customHeight="1">
      <c r="A1838" s="141"/>
      <c r="B1838" s="141"/>
      <c r="C1838" s="248"/>
      <c r="D1838" s="256"/>
      <c r="E1838" s="150"/>
      <c r="F1838" s="150"/>
      <c r="G1838" s="145"/>
    </row>
    <row r="1839" spans="1:7" ht="24.95" hidden="1" customHeight="1">
      <c r="A1839" s="141"/>
      <c r="B1839" s="141"/>
      <c r="C1839" s="248"/>
      <c r="D1839" s="256"/>
      <c r="E1839" s="150"/>
      <c r="F1839" s="150"/>
      <c r="G1839" s="145"/>
    </row>
    <row r="1840" spans="1:7" ht="24.95" hidden="1" customHeight="1">
      <c r="A1840" s="141"/>
      <c r="B1840" s="141"/>
      <c r="C1840" s="248"/>
      <c r="D1840" s="256"/>
      <c r="E1840" s="150"/>
      <c r="F1840" s="150"/>
      <c r="G1840" s="145"/>
    </row>
    <row r="1841" spans="1:7" ht="24.95" hidden="1" customHeight="1">
      <c r="A1841" s="141"/>
      <c r="B1841" s="141"/>
      <c r="C1841" s="248"/>
      <c r="D1841" s="256"/>
      <c r="E1841" s="150"/>
      <c r="F1841" s="150"/>
      <c r="G1841" s="145"/>
    </row>
    <row r="1842" spans="1:7" ht="24.95" hidden="1" customHeight="1">
      <c r="A1842" s="141"/>
      <c r="B1842" s="141"/>
      <c r="C1842" s="248"/>
      <c r="D1842" s="256"/>
      <c r="E1842" s="150"/>
      <c r="F1842" s="150"/>
      <c r="G1842" s="145"/>
    </row>
    <row r="1843" spans="1:7" ht="24.95" hidden="1" customHeight="1">
      <c r="A1843" s="141"/>
      <c r="B1843" s="141"/>
      <c r="C1843" s="248"/>
      <c r="D1843" s="256"/>
      <c r="E1843" s="150"/>
      <c r="F1843" s="150"/>
      <c r="G1843" s="145"/>
    </row>
    <row r="1844" spans="1:7" ht="24.95" hidden="1" customHeight="1">
      <c r="A1844" s="141"/>
      <c r="B1844" s="141"/>
      <c r="C1844" s="248"/>
      <c r="D1844" s="256"/>
      <c r="E1844" s="150"/>
      <c r="F1844" s="150"/>
      <c r="G1844" s="145"/>
    </row>
    <row r="1845" spans="1:7" ht="24.95" hidden="1" customHeight="1">
      <c r="A1845" s="141"/>
      <c r="B1845" s="141"/>
      <c r="C1845" s="248"/>
      <c r="D1845" s="256"/>
      <c r="E1845" s="150"/>
      <c r="F1845" s="150"/>
      <c r="G1845" s="145"/>
    </row>
    <row r="1846" spans="1:7" ht="24.95" hidden="1" customHeight="1">
      <c r="A1846" s="141"/>
      <c r="B1846" s="141"/>
      <c r="C1846" s="248"/>
      <c r="D1846" s="256"/>
      <c r="E1846" s="150"/>
      <c r="F1846" s="150"/>
      <c r="G1846" s="145"/>
    </row>
    <row r="1847" spans="1:7" ht="24.95" hidden="1" customHeight="1">
      <c r="A1847" s="141"/>
      <c r="B1847" s="141"/>
      <c r="C1847" s="248"/>
      <c r="D1847" s="256"/>
      <c r="E1847" s="150"/>
      <c r="F1847" s="150"/>
      <c r="G1847" s="145"/>
    </row>
    <row r="1848" spans="1:7" ht="24.95" hidden="1" customHeight="1">
      <c r="A1848" s="141"/>
      <c r="B1848" s="141"/>
      <c r="C1848" s="248"/>
      <c r="D1848" s="256"/>
      <c r="E1848" s="150"/>
      <c r="F1848" s="150"/>
      <c r="G1848" s="145"/>
    </row>
    <row r="1849" spans="1:7" ht="24.95" hidden="1" customHeight="1">
      <c r="A1849" s="141"/>
      <c r="B1849" s="141"/>
      <c r="C1849" s="248"/>
      <c r="D1849" s="256"/>
      <c r="E1849" s="150"/>
      <c r="F1849" s="150"/>
      <c r="G1849" s="145"/>
    </row>
    <row r="1850" spans="1:7" ht="24.95" hidden="1" customHeight="1">
      <c r="A1850" s="141"/>
      <c r="B1850" s="141"/>
      <c r="C1850" s="248"/>
      <c r="D1850" s="256"/>
      <c r="E1850" s="150"/>
      <c r="F1850" s="150"/>
      <c r="G1850" s="145"/>
    </row>
    <row r="1851" spans="1:7" ht="24.95" hidden="1" customHeight="1">
      <c r="A1851" s="141"/>
      <c r="B1851" s="141"/>
      <c r="C1851" s="248"/>
      <c r="D1851" s="256"/>
      <c r="E1851" s="150"/>
      <c r="F1851" s="150"/>
      <c r="G1851" s="145"/>
    </row>
    <row r="1852" spans="1:7" ht="24.95" hidden="1" customHeight="1">
      <c r="A1852" s="141"/>
      <c r="B1852" s="141"/>
      <c r="C1852" s="248"/>
      <c r="D1852" s="256"/>
      <c r="E1852" s="150"/>
      <c r="F1852" s="150"/>
      <c r="G1852" s="145"/>
    </row>
    <row r="1853" spans="1:7" ht="24.95" hidden="1" customHeight="1">
      <c r="A1853" s="141"/>
      <c r="B1853" s="141"/>
      <c r="C1853" s="248"/>
      <c r="D1853" s="256"/>
      <c r="E1853" s="150"/>
      <c r="F1853" s="150"/>
      <c r="G1853" s="145"/>
    </row>
    <row r="1854" spans="1:7" ht="24.95" hidden="1" customHeight="1">
      <c r="A1854" s="141"/>
      <c r="B1854" s="141"/>
      <c r="C1854" s="248"/>
      <c r="D1854" s="256"/>
      <c r="E1854" s="150"/>
      <c r="F1854" s="150"/>
      <c r="G1854" s="145"/>
    </row>
    <row r="1855" spans="1:7" ht="24.95" hidden="1" customHeight="1">
      <c r="A1855" s="141"/>
      <c r="B1855" s="141"/>
      <c r="C1855" s="248"/>
      <c r="D1855" s="256"/>
      <c r="E1855" s="150"/>
      <c r="F1855" s="150"/>
      <c r="G1855" s="145"/>
    </row>
    <row r="1856" spans="1:7" ht="24.95" hidden="1" customHeight="1">
      <c r="A1856" s="141"/>
      <c r="B1856" s="141"/>
      <c r="C1856" s="248"/>
      <c r="D1856" s="256"/>
      <c r="E1856" s="150"/>
      <c r="F1856" s="150"/>
      <c r="G1856" s="145"/>
    </row>
    <row r="1857" spans="1:7" ht="24.95" hidden="1" customHeight="1">
      <c r="A1857" s="141"/>
      <c r="B1857" s="141"/>
      <c r="C1857" s="248"/>
      <c r="D1857" s="256"/>
      <c r="E1857" s="150"/>
      <c r="F1857" s="150"/>
      <c r="G1857" s="145"/>
    </row>
    <row r="1858" spans="1:7" ht="24.95" hidden="1" customHeight="1">
      <c r="A1858" s="141"/>
      <c r="B1858" s="141"/>
      <c r="C1858" s="248"/>
      <c r="D1858" s="256"/>
      <c r="E1858" s="150"/>
      <c r="F1858" s="150"/>
      <c r="G1858" s="145"/>
    </row>
    <row r="1859" spans="1:7" ht="24.95" hidden="1" customHeight="1">
      <c r="A1859" s="141"/>
      <c r="B1859" s="141"/>
      <c r="C1859" s="248"/>
      <c r="D1859" s="256"/>
      <c r="E1859" s="150"/>
      <c r="F1859" s="150"/>
      <c r="G1859" s="145"/>
    </row>
    <row r="1860" spans="1:7" ht="24.95" hidden="1" customHeight="1">
      <c r="A1860" s="141"/>
      <c r="B1860" s="141"/>
      <c r="C1860" s="248"/>
      <c r="D1860" s="256"/>
      <c r="E1860" s="150"/>
      <c r="F1860" s="150"/>
      <c r="G1860" s="145"/>
    </row>
    <row r="1861" spans="1:7" ht="24.95" hidden="1" customHeight="1">
      <c r="A1861" s="141"/>
      <c r="B1861" s="141"/>
      <c r="C1861" s="248"/>
      <c r="D1861" s="256"/>
      <c r="E1861" s="150"/>
      <c r="F1861" s="150"/>
      <c r="G1861" s="145"/>
    </row>
    <row r="1862" spans="1:7" ht="24.95" hidden="1" customHeight="1">
      <c r="A1862" s="141"/>
      <c r="B1862" s="141"/>
      <c r="C1862" s="248"/>
      <c r="D1862" s="256"/>
      <c r="E1862" s="150"/>
      <c r="F1862" s="150"/>
      <c r="G1862" s="145"/>
    </row>
    <row r="1863" spans="1:7" ht="24.95" hidden="1" customHeight="1">
      <c r="A1863" s="141"/>
      <c r="B1863" s="141"/>
      <c r="C1863" s="232"/>
      <c r="D1863" s="256"/>
      <c r="E1863" s="150"/>
      <c r="F1863" s="150"/>
      <c r="G1863" s="145"/>
    </row>
    <row r="1864" spans="1:7" ht="24.95" hidden="1" customHeight="1">
      <c r="A1864" s="141"/>
      <c r="B1864" s="141"/>
      <c r="C1864" s="232"/>
      <c r="D1864" s="256"/>
      <c r="E1864" s="150"/>
      <c r="F1864" s="150"/>
      <c r="G1864" s="145"/>
    </row>
    <row r="1865" spans="1:7" ht="24.95" hidden="1" customHeight="1">
      <c r="A1865" s="141"/>
      <c r="B1865" s="141"/>
      <c r="C1865" s="248"/>
      <c r="D1865" s="256"/>
      <c r="E1865" s="150"/>
      <c r="F1865" s="150"/>
      <c r="G1865" s="145"/>
    </row>
    <row r="1866" spans="1:7" ht="24.95" hidden="1" customHeight="1">
      <c r="A1866" s="141"/>
      <c r="B1866" s="141"/>
      <c r="C1866" s="248"/>
      <c r="D1866" s="256"/>
      <c r="E1866" s="150"/>
      <c r="F1866" s="150"/>
      <c r="G1866" s="145"/>
    </row>
    <row r="1867" spans="1:7" ht="24.95" hidden="1" customHeight="1">
      <c r="A1867" s="141"/>
      <c r="B1867" s="141"/>
      <c r="C1867" s="248"/>
      <c r="D1867" s="256"/>
      <c r="E1867" s="150"/>
      <c r="F1867" s="150"/>
      <c r="G1867" s="145"/>
    </row>
    <row r="1868" spans="1:7" ht="24.95" hidden="1" customHeight="1">
      <c r="A1868" s="141"/>
      <c r="B1868" s="141"/>
      <c r="C1868" s="248"/>
      <c r="D1868" s="256"/>
      <c r="E1868" s="150"/>
      <c r="F1868" s="150"/>
      <c r="G1868" s="145"/>
    </row>
    <row r="1869" spans="1:7" ht="24.95" hidden="1" customHeight="1">
      <c r="A1869" s="141"/>
      <c r="B1869" s="141"/>
      <c r="C1869" s="248"/>
      <c r="D1869" s="256"/>
      <c r="E1869" s="150"/>
      <c r="F1869" s="150"/>
      <c r="G1869" s="145"/>
    </row>
    <row r="1870" spans="1:7" ht="24.95" hidden="1" customHeight="1">
      <c r="A1870" s="141"/>
      <c r="B1870" s="141"/>
      <c r="C1870" s="248"/>
      <c r="D1870" s="256"/>
      <c r="E1870" s="150"/>
      <c r="F1870" s="150"/>
      <c r="G1870" s="145"/>
    </row>
    <row r="1871" spans="1:7" ht="24.95" hidden="1" customHeight="1">
      <c r="A1871" s="141"/>
      <c r="B1871" s="141"/>
      <c r="C1871" s="248"/>
      <c r="D1871" s="256"/>
      <c r="E1871" s="150"/>
      <c r="F1871" s="150"/>
      <c r="G1871" s="145"/>
    </row>
    <row r="1872" spans="1:7" ht="24.95" hidden="1" customHeight="1">
      <c r="A1872" s="141"/>
      <c r="B1872" s="141"/>
      <c r="C1872" s="248"/>
      <c r="D1872" s="256"/>
      <c r="E1872" s="150"/>
      <c r="F1872" s="150"/>
      <c r="G1872" s="145"/>
    </row>
    <row r="1873" spans="1:7" ht="24.95" hidden="1" customHeight="1">
      <c r="A1873" s="141"/>
      <c r="B1873" s="141"/>
      <c r="C1873" s="248"/>
      <c r="D1873" s="256"/>
      <c r="E1873" s="150"/>
      <c r="F1873" s="150"/>
      <c r="G1873" s="145"/>
    </row>
    <row r="1874" spans="1:7" ht="24.95" hidden="1" customHeight="1">
      <c r="A1874" s="141"/>
      <c r="B1874" s="141"/>
      <c r="C1874" s="248"/>
      <c r="D1874" s="256"/>
      <c r="E1874" s="150"/>
      <c r="F1874" s="150"/>
      <c r="G1874" s="145"/>
    </row>
    <row r="1875" spans="1:7" ht="24.95" hidden="1" customHeight="1">
      <c r="A1875" s="141"/>
      <c r="B1875" s="141"/>
      <c r="C1875" s="248"/>
      <c r="D1875" s="256"/>
      <c r="E1875" s="150"/>
      <c r="F1875" s="150"/>
      <c r="G1875" s="145"/>
    </row>
    <row r="1876" spans="1:7" ht="24.95" hidden="1" customHeight="1">
      <c r="A1876" s="141"/>
      <c r="B1876" s="141"/>
      <c r="C1876" s="248"/>
      <c r="D1876" s="256"/>
      <c r="E1876" s="150"/>
      <c r="F1876" s="150"/>
      <c r="G1876" s="145"/>
    </row>
    <row r="1877" spans="1:7" ht="24.95" hidden="1" customHeight="1">
      <c r="A1877" s="141"/>
      <c r="B1877" s="141"/>
      <c r="C1877" s="248"/>
      <c r="D1877" s="256"/>
      <c r="E1877" s="150"/>
      <c r="F1877" s="150"/>
      <c r="G1877" s="145"/>
    </row>
    <row r="1878" spans="1:7" ht="24.95" hidden="1" customHeight="1">
      <c r="A1878" s="141"/>
      <c r="B1878" s="141"/>
      <c r="C1878" s="248"/>
      <c r="D1878" s="256"/>
      <c r="E1878" s="150"/>
      <c r="F1878" s="150"/>
      <c r="G1878" s="145"/>
    </row>
    <row r="1879" spans="1:7" ht="24.95" hidden="1" customHeight="1">
      <c r="A1879" s="141"/>
      <c r="B1879" s="141"/>
      <c r="C1879" s="248"/>
      <c r="D1879" s="256"/>
      <c r="E1879" s="150"/>
      <c r="F1879" s="150"/>
      <c r="G1879" s="145"/>
    </row>
    <row r="1880" spans="1:7" ht="24.95" hidden="1" customHeight="1">
      <c r="A1880" s="141"/>
      <c r="B1880" s="141"/>
      <c r="C1880" s="248"/>
      <c r="D1880" s="256"/>
      <c r="E1880" s="150"/>
      <c r="F1880" s="150"/>
      <c r="G1880" s="145"/>
    </row>
    <row r="1881" spans="1:7" ht="24.95" hidden="1" customHeight="1">
      <c r="A1881" s="141"/>
      <c r="B1881" s="141"/>
      <c r="C1881" s="248"/>
      <c r="D1881" s="256"/>
      <c r="E1881" s="150"/>
      <c r="F1881" s="150"/>
      <c r="G1881" s="145"/>
    </row>
    <row r="1882" spans="1:7" ht="24.95" hidden="1" customHeight="1">
      <c r="A1882" s="141"/>
      <c r="B1882" s="141"/>
      <c r="C1882" s="248"/>
      <c r="D1882" s="256"/>
      <c r="E1882" s="150"/>
      <c r="F1882" s="150"/>
      <c r="G1882" s="145"/>
    </row>
    <row r="1883" spans="1:7" ht="24.95" hidden="1" customHeight="1">
      <c r="A1883" s="141"/>
      <c r="B1883" s="141"/>
      <c r="C1883" s="248"/>
      <c r="D1883" s="256"/>
      <c r="E1883" s="150"/>
      <c r="F1883" s="150"/>
      <c r="G1883" s="145"/>
    </row>
    <row r="1884" spans="1:7" ht="24.95" hidden="1" customHeight="1">
      <c r="A1884" s="141"/>
      <c r="B1884" s="141"/>
      <c r="C1884" s="248"/>
      <c r="D1884" s="256"/>
      <c r="E1884" s="150"/>
      <c r="F1884" s="150"/>
      <c r="G1884" s="145"/>
    </row>
    <row r="1885" spans="1:7" ht="24.95" hidden="1" customHeight="1">
      <c r="A1885" s="141"/>
      <c r="B1885" s="141"/>
      <c r="C1885" s="248"/>
      <c r="D1885" s="256"/>
      <c r="E1885" s="150"/>
      <c r="F1885" s="150"/>
      <c r="G1885" s="145"/>
    </row>
    <row r="1886" spans="1:7" ht="24.95" hidden="1" customHeight="1">
      <c r="A1886" s="141"/>
      <c r="B1886" s="141"/>
      <c r="C1886" s="248"/>
      <c r="D1886" s="256"/>
      <c r="E1886" s="150"/>
      <c r="F1886" s="150"/>
      <c r="G1886" s="145"/>
    </row>
    <row r="1887" spans="1:7" ht="24.95" hidden="1" customHeight="1">
      <c r="A1887" s="141"/>
      <c r="B1887" s="141"/>
      <c r="C1887" s="248"/>
      <c r="D1887" s="256"/>
      <c r="E1887" s="150"/>
      <c r="F1887" s="150"/>
      <c r="G1887" s="145"/>
    </row>
    <row r="1888" spans="1:7" ht="24.95" hidden="1" customHeight="1">
      <c r="A1888" s="141"/>
      <c r="B1888" s="141"/>
      <c r="C1888" s="248"/>
      <c r="D1888" s="256"/>
      <c r="E1888" s="150"/>
      <c r="F1888" s="150"/>
      <c r="G1888" s="145"/>
    </row>
    <row r="1889" spans="1:7" ht="24.95" hidden="1" customHeight="1">
      <c r="A1889" s="141"/>
      <c r="B1889" s="141"/>
      <c r="C1889" s="248"/>
      <c r="D1889" s="256"/>
      <c r="E1889" s="150"/>
      <c r="F1889" s="150"/>
      <c r="G1889" s="145"/>
    </row>
    <row r="1890" spans="1:7" ht="24.95" hidden="1" customHeight="1">
      <c r="A1890" s="141"/>
      <c r="B1890" s="141"/>
      <c r="C1890" s="248"/>
      <c r="D1890" s="256"/>
      <c r="E1890" s="150"/>
      <c r="F1890" s="150"/>
      <c r="G1890" s="145"/>
    </row>
    <row r="1891" spans="1:7" ht="24.95" hidden="1" customHeight="1">
      <c r="A1891" s="141"/>
      <c r="B1891" s="141"/>
      <c r="C1891" s="248"/>
      <c r="D1891" s="256"/>
      <c r="E1891" s="150"/>
      <c r="F1891" s="150"/>
      <c r="G1891" s="145"/>
    </row>
    <row r="1892" spans="1:7" ht="24.95" hidden="1" customHeight="1">
      <c r="A1892" s="141"/>
      <c r="B1892" s="141"/>
      <c r="C1892" s="248"/>
      <c r="D1892" s="256"/>
      <c r="E1892" s="150"/>
      <c r="F1892" s="150"/>
      <c r="G1892" s="145"/>
    </row>
    <row r="1893" spans="1:7" ht="24.95" hidden="1" customHeight="1">
      <c r="A1893" s="141"/>
      <c r="B1893" s="141"/>
      <c r="C1893" s="248"/>
      <c r="D1893" s="256"/>
      <c r="E1893" s="150"/>
      <c r="F1893" s="150"/>
      <c r="G1893" s="145"/>
    </row>
    <row r="1894" spans="1:7" ht="24.95" hidden="1" customHeight="1">
      <c r="A1894" s="141"/>
      <c r="B1894" s="141"/>
      <c r="C1894" s="248"/>
      <c r="D1894" s="256"/>
      <c r="E1894" s="150"/>
      <c r="F1894" s="150"/>
      <c r="G1894" s="145"/>
    </row>
    <row r="1895" spans="1:7" ht="24.95" hidden="1" customHeight="1">
      <c r="A1895" s="141"/>
      <c r="B1895" s="141"/>
      <c r="C1895" s="248"/>
      <c r="D1895" s="256"/>
      <c r="E1895" s="150"/>
      <c r="F1895" s="150"/>
      <c r="G1895" s="145"/>
    </row>
    <row r="1896" spans="1:7" ht="24.95" hidden="1" customHeight="1">
      <c r="A1896" s="141"/>
      <c r="B1896" s="141"/>
      <c r="C1896" s="248"/>
      <c r="D1896" s="256"/>
      <c r="E1896" s="150"/>
      <c r="F1896" s="150"/>
      <c r="G1896" s="145"/>
    </row>
    <row r="1897" spans="1:7" ht="24.95" hidden="1" customHeight="1">
      <c r="A1897" s="141"/>
      <c r="B1897" s="141"/>
      <c r="C1897" s="248"/>
      <c r="D1897" s="256"/>
      <c r="E1897" s="150"/>
      <c r="F1897" s="150"/>
      <c r="G1897" s="145"/>
    </row>
    <row r="1898" spans="1:7" ht="24.95" hidden="1" customHeight="1">
      <c r="A1898" s="141"/>
      <c r="B1898" s="141"/>
      <c r="C1898" s="248"/>
      <c r="D1898" s="256"/>
      <c r="E1898" s="150"/>
      <c r="F1898" s="150"/>
      <c r="G1898" s="145"/>
    </row>
    <row r="1899" spans="1:7" ht="24.95" hidden="1" customHeight="1">
      <c r="A1899" s="141"/>
      <c r="B1899" s="141"/>
      <c r="C1899" s="248"/>
      <c r="D1899" s="256"/>
      <c r="E1899" s="150"/>
      <c r="F1899" s="150"/>
      <c r="G1899" s="145"/>
    </row>
    <row r="1900" spans="1:7" ht="24.95" hidden="1" customHeight="1">
      <c r="A1900" s="141"/>
      <c r="B1900" s="141"/>
      <c r="C1900" s="248"/>
      <c r="D1900" s="256"/>
      <c r="E1900" s="150"/>
      <c r="F1900" s="150"/>
      <c r="G1900" s="145"/>
    </row>
    <row r="1901" spans="1:7" ht="24.95" hidden="1" customHeight="1">
      <c r="A1901" s="141"/>
      <c r="B1901" s="141"/>
      <c r="C1901" s="248"/>
      <c r="D1901" s="256"/>
      <c r="E1901" s="150"/>
      <c r="F1901" s="150"/>
      <c r="G1901" s="145"/>
    </row>
    <row r="1902" spans="1:7" ht="24.95" hidden="1" customHeight="1">
      <c r="A1902" s="141"/>
      <c r="B1902" s="141"/>
      <c r="C1902" s="248"/>
      <c r="D1902" s="256"/>
      <c r="E1902" s="150"/>
      <c r="F1902" s="150"/>
      <c r="G1902" s="145"/>
    </row>
    <row r="1903" spans="1:7" ht="24.95" hidden="1" customHeight="1">
      <c r="A1903" s="141"/>
      <c r="B1903" s="141"/>
      <c r="C1903" s="248"/>
      <c r="D1903" s="256"/>
      <c r="E1903" s="150"/>
      <c r="F1903" s="150"/>
      <c r="G1903" s="145"/>
    </row>
    <row r="1904" spans="1:7" ht="24.95" hidden="1" customHeight="1">
      <c r="A1904" s="141"/>
      <c r="B1904" s="141"/>
      <c r="C1904" s="248"/>
      <c r="D1904" s="256"/>
      <c r="E1904" s="150"/>
      <c r="F1904" s="150"/>
      <c r="G1904" s="145"/>
    </row>
    <row r="1905" spans="1:7" ht="24.95" hidden="1" customHeight="1">
      <c r="A1905" s="141"/>
      <c r="B1905" s="141"/>
      <c r="C1905" s="248"/>
      <c r="D1905" s="256"/>
      <c r="E1905" s="150"/>
      <c r="F1905" s="150"/>
      <c r="G1905" s="145"/>
    </row>
    <row r="1906" spans="1:7" ht="24.95" hidden="1" customHeight="1">
      <c r="A1906" s="141"/>
      <c r="B1906" s="141"/>
      <c r="C1906" s="248"/>
      <c r="D1906" s="256"/>
      <c r="E1906" s="150"/>
      <c r="F1906" s="150"/>
      <c r="G1906" s="145"/>
    </row>
    <row r="1907" spans="1:7" ht="24.95" hidden="1" customHeight="1">
      <c r="A1907" s="141"/>
      <c r="B1907" s="141"/>
      <c r="C1907" s="248"/>
      <c r="D1907" s="256"/>
      <c r="E1907" s="150"/>
      <c r="F1907" s="150"/>
      <c r="G1907" s="145"/>
    </row>
    <row r="1908" spans="1:7" ht="24.95" hidden="1" customHeight="1">
      <c r="A1908" s="141"/>
      <c r="B1908" s="141"/>
      <c r="C1908" s="248"/>
      <c r="D1908" s="256"/>
      <c r="E1908" s="150"/>
      <c r="F1908" s="150"/>
      <c r="G1908" s="145"/>
    </row>
    <row r="1909" spans="1:7" ht="24.95" hidden="1" customHeight="1">
      <c r="A1909" s="141"/>
      <c r="B1909" s="141"/>
      <c r="C1909" s="248"/>
      <c r="D1909" s="256"/>
      <c r="E1909" s="150"/>
      <c r="F1909" s="150"/>
      <c r="G1909" s="145"/>
    </row>
    <row r="1910" spans="1:7" ht="24.95" hidden="1" customHeight="1">
      <c r="A1910" s="141"/>
      <c r="B1910" s="141"/>
      <c r="C1910" s="248"/>
      <c r="D1910" s="256"/>
      <c r="E1910" s="150"/>
      <c r="F1910" s="150"/>
      <c r="G1910" s="145"/>
    </row>
    <row r="1911" spans="1:7" ht="24.95" hidden="1" customHeight="1">
      <c r="A1911" s="141"/>
      <c r="B1911" s="141"/>
      <c r="C1911" s="248"/>
      <c r="D1911" s="256"/>
      <c r="E1911" s="150"/>
      <c r="F1911" s="150"/>
      <c r="G1911" s="145"/>
    </row>
    <row r="1912" spans="1:7" ht="24.95" hidden="1" customHeight="1">
      <c r="A1912" s="141"/>
      <c r="B1912" s="141"/>
      <c r="C1912" s="248"/>
      <c r="D1912" s="256"/>
      <c r="E1912" s="150"/>
      <c r="F1912" s="150"/>
      <c r="G1912" s="145"/>
    </row>
    <row r="1913" spans="1:7" ht="24.95" hidden="1" customHeight="1">
      <c r="A1913" s="141"/>
      <c r="B1913" s="141"/>
      <c r="C1913" s="248"/>
      <c r="D1913" s="256"/>
      <c r="E1913" s="150"/>
      <c r="F1913" s="150"/>
      <c r="G1913" s="145"/>
    </row>
    <row r="1914" spans="1:7" ht="24.95" hidden="1" customHeight="1">
      <c r="A1914" s="141"/>
      <c r="B1914" s="141"/>
      <c r="C1914" s="248"/>
      <c r="D1914" s="256"/>
      <c r="E1914" s="150"/>
      <c r="F1914" s="150"/>
      <c r="G1914" s="145"/>
    </row>
    <row r="1915" spans="1:7" ht="24.95" hidden="1" customHeight="1">
      <c r="A1915" s="141"/>
      <c r="B1915" s="141"/>
      <c r="C1915" s="248"/>
      <c r="D1915" s="256"/>
      <c r="E1915" s="150"/>
      <c r="F1915" s="150"/>
      <c r="G1915" s="145"/>
    </row>
    <row r="1916" spans="1:7" ht="24.95" hidden="1" customHeight="1">
      <c r="A1916" s="141"/>
      <c r="B1916" s="141"/>
      <c r="C1916" s="248"/>
      <c r="D1916" s="256"/>
      <c r="E1916" s="150"/>
      <c r="F1916" s="150"/>
      <c r="G1916" s="145"/>
    </row>
    <row r="1917" spans="1:7" ht="24.95" hidden="1" customHeight="1">
      <c r="A1917" s="141"/>
      <c r="B1917" s="141"/>
      <c r="C1917" s="248"/>
      <c r="D1917" s="256"/>
      <c r="E1917" s="150"/>
      <c r="F1917" s="150"/>
      <c r="G1917" s="145"/>
    </row>
    <row r="1918" spans="1:7" ht="24.95" hidden="1" customHeight="1">
      <c r="A1918" s="141"/>
      <c r="B1918" s="141"/>
      <c r="C1918" s="248"/>
      <c r="D1918" s="256"/>
      <c r="E1918" s="150"/>
      <c r="F1918" s="150"/>
      <c r="G1918" s="145"/>
    </row>
    <row r="1919" spans="1:7" ht="24.95" hidden="1" customHeight="1">
      <c r="A1919" s="141"/>
      <c r="B1919" s="141"/>
      <c r="C1919" s="248"/>
      <c r="D1919" s="256"/>
      <c r="E1919" s="150"/>
      <c r="F1919" s="150"/>
      <c r="G1919" s="145"/>
    </row>
    <row r="1920" spans="1:7" ht="24.95" hidden="1" customHeight="1">
      <c r="A1920" s="141"/>
      <c r="B1920" s="141"/>
      <c r="C1920" s="248"/>
      <c r="D1920" s="256"/>
      <c r="E1920" s="150"/>
      <c r="F1920" s="150"/>
      <c r="G1920" s="145"/>
    </row>
    <row r="1921" spans="1:7" ht="24.95" hidden="1" customHeight="1">
      <c r="A1921" s="141"/>
      <c r="B1921" s="141"/>
      <c r="C1921" s="248"/>
      <c r="D1921" s="256"/>
      <c r="E1921" s="150"/>
      <c r="F1921" s="150"/>
      <c r="G1921" s="145"/>
    </row>
    <row r="1922" spans="1:7" ht="24.95" hidden="1" customHeight="1">
      <c r="A1922" s="141"/>
      <c r="B1922" s="141"/>
      <c r="C1922" s="248"/>
      <c r="D1922" s="256"/>
      <c r="E1922" s="150"/>
      <c r="F1922" s="150"/>
      <c r="G1922" s="145"/>
    </row>
    <row r="1923" spans="1:7" ht="24.95" hidden="1" customHeight="1">
      <c r="A1923" s="141"/>
      <c r="B1923" s="141"/>
      <c r="C1923" s="248"/>
      <c r="D1923" s="256"/>
      <c r="E1923" s="150"/>
      <c r="F1923" s="150"/>
      <c r="G1923" s="145"/>
    </row>
    <row r="1924" spans="1:7" ht="24.95" hidden="1" customHeight="1">
      <c r="A1924" s="141"/>
      <c r="B1924" s="141"/>
      <c r="C1924" s="248"/>
      <c r="D1924" s="256"/>
      <c r="E1924" s="150"/>
      <c r="F1924" s="150"/>
      <c r="G1924" s="145"/>
    </row>
    <row r="1925" spans="1:7" ht="24.95" hidden="1" customHeight="1">
      <c r="A1925" s="141"/>
      <c r="B1925" s="141"/>
      <c r="C1925" s="248"/>
      <c r="D1925" s="256"/>
      <c r="E1925" s="150"/>
      <c r="F1925" s="150"/>
      <c r="G1925" s="145"/>
    </row>
    <row r="1926" spans="1:7" ht="24.95" hidden="1" customHeight="1">
      <c r="A1926" s="141"/>
      <c r="B1926" s="141"/>
      <c r="C1926" s="248"/>
      <c r="D1926" s="256"/>
      <c r="E1926" s="150"/>
      <c r="F1926" s="150"/>
      <c r="G1926" s="145"/>
    </row>
    <row r="1927" spans="1:7" ht="24.95" hidden="1" customHeight="1">
      <c r="A1927" s="141"/>
      <c r="B1927" s="141"/>
      <c r="C1927" s="248"/>
      <c r="D1927" s="256"/>
      <c r="E1927" s="150"/>
      <c r="F1927" s="150"/>
      <c r="G1927" s="145"/>
    </row>
    <row r="1928" spans="1:7" ht="24.95" hidden="1" customHeight="1">
      <c r="A1928" s="141"/>
      <c r="B1928" s="141"/>
      <c r="C1928" s="248"/>
      <c r="D1928" s="256"/>
      <c r="E1928" s="150"/>
      <c r="F1928" s="150"/>
      <c r="G1928" s="145"/>
    </row>
    <row r="1929" spans="1:7" ht="24.95" hidden="1" customHeight="1">
      <c r="A1929" s="141"/>
      <c r="B1929" s="141"/>
      <c r="C1929" s="248"/>
      <c r="D1929" s="256"/>
      <c r="E1929" s="150"/>
      <c r="F1929" s="150"/>
      <c r="G1929" s="145"/>
    </row>
    <row r="1930" spans="1:7" ht="24.95" hidden="1" customHeight="1">
      <c r="A1930" s="141"/>
      <c r="B1930" s="141"/>
      <c r="C1930" s="248"/>
      <c r="D1930" s="256"/>
      <c r="E1930" s="150"/>
      <c r="F1930" s="150"/>
      <c r="G1930" s="145"/>
    </row>
    <row r="1931" spans="1:7" ht="24.95" hidden="1" customHeight="1">
      <c r="A1931" s="141"/>
      <c r="B1931" s="141"/>
      <c r="C1931" s="248"/>
      <c r="D1931" s="256"/>
      <c r="E1931" s="150"/>
      <c r="F1931" s="150"/>
      <c r="G1931" s="145"/>
    </row>
    <row r="1932" spans="1:7" ht="24.95" hidden="1" customHeight="1">
      <c r="A1932" s="141"/>
      <c r="B1932" s="141"/>
      <c r="C1932" s="248"/>
      <c r="D1932" s="256"/>
      <c r="E1932" s="150"/>
      <c r="F1932" s="150"/>
      <c r="G1932" s="145"/>
    </row>
    <row r="1933" spans="1:7" ht="24.95" hidden="1" customHeight="1">
      <c r="A1933" s="138"/>
      <c r="B1933" s="138"/>
      <c r="C1933" s="249"/>
      <c r="D1933" s="257"/>
      <c r="E1933" s="151"/>
      <c r="F1933" s="151"/>
      <c r="G1933" s="146"/>
    </row>
    <row r="1934" spans="1:7" ht="24.95" hidden="1" customHeight="1">
      <c r="A1934" s="138"/>
      <c r="B1934" s="138"/>
      <c r="C1934" s="249"/>
      <c r="D1934" s="257"/>
      <c r="E1934" s="151"/>
      <c r="F1934" s="151"/>
      <c r="G1934" s="146"/>
    </row>
    <row r="1935" spans="1:7" ht="24.95" hidden="1" customHeight="1">
      <c r="A1935" s="138"/>
      <c r="B1935" s="138"/>
      <c r="C1935" s="249"/>
      <c r="D1935" s="257"/>
      <c r="E1935" s="151"/>
      <c r="F1935" s="151"/>
      <c r="G1935" s="146"/>
    </row>
    <row r="1936" spans="1:7" ht="24.95" hidden="1" customHeight="1">
      <c r="A1936" s="138"/>
      <c r="B1936" s="138"/>
      <c r="C1936" s="249"/>
      <c r="D1936" s="257"/>
      <c r="E1936" s="151"/>
      <c r="F1936" s="151"/>
      <c r="G1936" s="146"/>
    </row>
    <row r="1937" spans="1:7" ht="24.95" hidden="1" customHeight="1">
      <c r="A1937" s="138"/>
      <c r="B1937" s="138"/>
      <c r="C1937" s="249"/>
      <c r="D1937" s="257"/>
      <c r="E1937" s="151"/>
      <c r="F1937" s="151"/>
      <c r="G1937" s="146"/>
    </row>
    <row r="1938" spans="1:7" ht="24.95" hidden="1" customHeight="1">
      <c r="A1938" s="138"/>
      <c r="B1938" s="138"/>
      <c r="C1938" s="249"/>
      <c r="D1938" s="257"/>
      <c r="E1938" s="151"/>
      <c r="F1938" s="151"/>
      <c r="G1938" s="146"/>
    </row>
    <row r="1939" spans="1:7" ht="24.95" hidden="1" customHeight="1">
      <c r="A1939" s="138"/>
      <c r="B1939" s="138"/>
      <c r="C1939" s="249"/>
      <c r="D1939" s="257"/>
      <c r="E1939" s="151"/>
      <c r="F1939" s="151"/>
      <c r="G1939" s="146"/>
    </row>
    <row r="1940" spans="1:7" ht="24.95" hidden="1" customHeight="1">
      <c r="A1940" s="138"/>
      <c r="B1940" s="138"/>
      <c r="C1940" s="249"/>
      <c r="D1940" s="257"/>
      <c r="E1940" s="151"/>
      <c r="F1940" s="151"/>
      <c r="G1940" s="146"/>
    </row>
    <row r="1941" spans="1:7" ht="24.95" hidden="1" customHeight="1">
      <c r="A1941" s="138"/>
      <c r="B1941" s="138"/>
      <c r="C1941" s="249"/>
      <c r="D1941" s="257"/>
      <c r="E1941" s="151"/>
      <c r="F1941" s="151"/>
      <c r="G1941" s="146"/>
    </row>
    <row r="1942" spans="1:7" ht="24.95" hidden="1" customHeight="1">
      <c r="A1942" s="138"/>
      <c r="B1942" s="138"/>
      <c r="C1942" s="249"/>
      <c r="D1942" s="257"/>
      <c r="E1942" s="151"/>
      <c r="F1942" s="151"/>
      <c r="G1942" s="146"/>
    </row>
    <row r="1943" spans="1:7" ht="24.95" hidden="1" customHeight="1">
      <c r="A1943" s="138"/>
      <c r="B1943" s="138"/>
      <c r="C1943" s="249"/>
      <c r="D1943" s="257"/>
      <c r="E1943" s="151"/>
      <c r="F1943" s="151"/>
      <c r="G1943" s="146"/>
    </row>
    <row r="1944" spans="1:7" ht="24.95" hidden="1" customHeight="1">
      <c r="A1944" s="138"/>
      <c r="B1944" s="138"/>
      <c r="C1944" s="249"/>
      <c r="D1944" s="257"/>
      <c r="E1944" s="151"/>
      <c r="F1944" s="151"/>
      <c r="G1944" s="146"/>
    </row>
    <row r="1945" spans="1:7" ht="24.95" hidden="1" customHeight="1">
      <c r="A1945" s="138"/>
      <c r="B1945" s="138"/>
      <c r="C1945" s="249"/>
      <c r="D1945" s="257"/>
      <c r="E1945" s="151"/>
      <c r="F1945" s="151"/>
      <c r="G1945" s="146"/>
    </row>
    <row r="1946" spans="1:7" ht="24.95" hidden="1" customHeight="1">
      <c r="A1946" s="138"/>
      <c r="B1946" s="138"/>
      <c r="C1946" s="249"/>
      <c r="D1946" s="257"/>
      <c r="E1946" s="151"/>
      <c r="F1946" s="151"/>
      <c r="G1946" s="146"/>
    </row>
    <row r="1947" spans="1:7" ht="24.95" hidden="1" customHeight="1">
      <c r="A1947" s="138"/>
      <c r="B1947" s="138"/>
      <c r="C1947" s="249"/>
      <c r="D1947" s="257"/>
      <c r="E1947" s="151"/>
      <c r="F1947" s="151"/>
      <c r="G1947" s="146"/>
    </row>
    <row r="1948" spans="1:7" ht="24.95" hidden="1" customHeight="1">
      <c r="A1948" s="138"/>
      <c r="B1948" s="138"/>
      <c r="C1948" s="249"/>
      <c r="D1948" s="257"/>
      <c r="E1948" s="151"/>
      <c r="F1948" s="151"/>
      <c r="G1948" s="146"/>
    </row>
    <row r="1949" spans="1:7" ht="24.95" hidden="1" customHeight="1">
      <c r="A1949" s="138"/>
      <c r="B1949" s="138"/>
      <c r="C1949" s="249"/>
      <c r="D1949" s="257"/>
      <c r="E1949" s="151"/>
      <c r="F1949" s="151"/>
      <c r="G1949" s="146"/>
    </row>
    <row r="1950" spans="1:7" ht="24.95" hidden="1" customHeight="1">
      <c r="A1950" s="138"/>
      <c r="B1950" s="138"/>
      <c r="C1950" s="249"/>
      <c r="D1950" s="257"/>
      <c r="E1950" s="151"/>
      <c r="F1950" s="151"/>
      <c r="G1950" s="146"/>
    </row>
    <row r="1951" spans="1:7" ht="24.95" hidden="1" customHeight="1">
      <c r="A1951" s="138"/>
      <c r="B1951" s="138"/>
      <c r="C1951" s="249"/>
      <c r="D1951" s="257"/>
      <c r="E1951" s="151"/>
      <c r="F1951" s="151"/>
      <c r="G1951" s="146"/>
    </row>
    <row r="1952" spans="1:7" ht="24.95" hidden="1" customHeight="1">
      <c r="A1952" s="138"/>
      <c r="B1952" s="138"/>
      <c r="C1952" s="249"/>
      <c r="D1952" s="257"/>
      <c r="E1952" s="151"/>
      <c r="F1952" s="151"/>
      <c r="G1952" s="146"/>
    </row>
    <row r="1953" spans="1:7" ht="24.95" hidden="1" customHeight="1">
      <c r="A1953" s="138"/>
      <c r="B1953" s="138"/>
      <c r="C1953" s="249"/>
      <c r="D1953" s="257"/>
      <c r="E1953" s="151"/>
      <c r="F1953" s="151"/>
      <c r="G1953" s="146"/>
    </row>
    <row r="1954" spans="1:7" ht="24.95" hidden="1" customHeight="1">
      <c r="A1954" s="138"/>
      <c r="B1954" s="138"/>
      <c r="C1954" s="249"/>
      <c r="D1954" s="257"/>
      <c r="E1954" s="151"/>
      <c r="F1954" s="151"/>
      <c r="G1954" s="146"/>
    </row>
    <row r="1955" spans="1:7" ht="24.95" hidden="1" customHeight="1">
      <c r="A1955" s="138"/>
      <c r="B1955" s="138"/>
      <c r="C1955" s="249"/>
      <c r="D1955" s="257"/>
      <c r="E1955" s="151"/>
      <c r="F1955" s="151"/>
      <c r="G1955" s="146"/>
    </row>
    <row r="1956" spans="1:7" ht="24.95" hidden="1" customHeight="1">
      <c r="A1956" s="138"/>
      <c r="B1956" s="138"/>
      <c r="C1956" s="249"/>
      <c r="D1956" s="257"/>
      <c r="E1956" s="151"/>
      <c r="F1956" s="151"/>
      <c r="G1956" s="146"/>
    </row>
    <row r="1957" spans="1:7" ht="24.95" hidden="1" customHeight="1">
      <c r="A1957" s="138"/>
      <c r="B1957" s="138"/>
      <c r="C1957" s="249"/>
      <c r="D1957" s="257"/>
      <c r="E1957" s="151"/>
      <c r="F1957" s="151"/>
      <c r="G1957" s="146"/>
    </row>
    <row r="1958" spans="1:7" ht="24.95" hidden="1" customHeight="1">
      <c r="A1958" s="138"/>
      <c r="B1958" s="138"/>
      <c r="C1958" s="249"/>
      <c r="D1958" s="257"/>
      <c r="E1958" s="151"/>
      <c r="F1958" s="151"/>
      <c r="G1958" s="146"/>
    </row>
    <row r="1959" spans="1:7" ht="24.95" hidden="1" customHeight="1">
      <c r="A1959" s="138"/>
      <c r="B1959" s="138"/>
      <c r="C1959" s="249"/>
      <c r="D1959" s="257"/>
      <c r="E1959" s="151"/>
      <c r="F1959" s="151"/>
      <c r="G1959" s="146"/>
    </row>
    <row r="1960" spans="1:7" ht="24.95" hidden="1" customHeight="1">
      <c r="A1960" s="138"/>
      <c r="B1960" s="138"/>
      <c r="C1960" s="249"/>
      <c r="D1960" s="257"/>
      <c r="E1960" s="151"/>
      <c r="F1960" s="151"/>
      <c r="G1960" s="146"/>
    </row>
    <row r="1961" spans="1:7" ht="24.95" hidden="1" customHeight="1">
      <c r="A1961" s="138"/>
      <c r="B1961" s="138"/>
      <c r="C1961" s="249"/>
      <c r="D1961" s="257"/>
      <c r="E1961" s="151"/>
      <c r="F1961" s="151"/>
      <c r="G1961" s="146"/>
    </row>
    <row r="1962" spans="1:7" ht="24.95" hidden="1" customHeight="1">
      <c r="A1962" s="138"/>
      <c r="B1962" s="138"/>
      <c r="C1962" s="249"/>
      <c r="D1962" s="257"/>
      <c r="E1962" s="151"/>
      <c r="F1962" s="151"/>
      <c r="G1962" s="146"/>
    </row>
    <row r="1963" spans="1:7" ht="24.95" hidden="1" customHeight="1">
      <c r="A1963" s="138"/>
      <c r="B1963" s="138"/>
      <c r="C1963" s="249"/>
      <c r="D1963" s="257"/>
      <c r="E1963" s="151"/>
      <c r="F1963" s="151"/>
      <c r="G1963" s="146"/>
    </row>
    <row r="1964" spans="1:7" ht="24.95" hidden="1" customHeight="1">
      <c r="A1964" s="138"/>
      <c r="B1964" s="138"/>
      <c r="C1964" s="249"/>
      <c r="D1964" s="257"/>
      <c r="E1964" s="151"/>
      <c r="F1964" s="151"/>
      <c r="G1964" s="146"/>
    </row>
    <row r="1965" spans="1:7" ht="24.95" hidden="1" customHeight="1">
      <c r="A1965" s="138"/>
      <c r="B1965" s="138"/>
      <c r="C1965" s="249"/>
      <c r="D1965" s="257"/>
      <c r="E1965" s="151"/>
      <c r="F1965" s="151"/>
      <c r="G1965" s="146"/>
    </row>
    <row r="1966" spans="1:7" ht="24.95" hidden="1" customHeight="1">
      <c r="A1966" s="138"/>
      <c r="B1966" s="138"/>
      <c r="C1966" s="249"/>
      <c r="D1966" s="257"/>
      <c r="E1966" s="151"/>
      <c r="F1966" s="151"/>
      <c r="G1966" s="146"/>
    </row>
    <row r="1967" spans="1:7" ht="24.95" hidden="1" customHeight="1">
      <c r="A1967" s="138"/>
      <c r="B1967" s="138"/>
      <c r="C1967" s="249"/>
      <c r="D1967" s="257"/>
      <c r="E1967" s="151"/>
      <c r="F1967" s="151"/>
      <c r="G1967" s="146"/>
    </row>
    <row r="1968" spans="1:7" ht="24.95" hidden="1" customHeight="1">
      <c r="A1968" s="138"/>
      <c r="B1968" s="138"/>
      <c r="C1968" s="249"/>
      <c r="D1968" s="257"/>
      <c r="E1968" s="151"/>
      <c r="F1968" s="151"/>
      <c r="G1968" s="146"/>
    </row>
    <row r="1969" spans="1:7" ht="24.95" hidden="1" customHeight="1">
      <c r="A1969" s="138"/>
      <c r="B1969" s="138"/>
      <c r="C1969" s="249"/>
      <c r="D1969" s="257"/>
      <c r="E1969" s="151"/>
      <c r="F1969" s="151"/>
      <c r="G1969" s="146"/>
    </row>
    <row r="1970" spans="1:7" ht="24.95" hidden="1" customHeight="1">
      <c r="A1970" s="138"/>
      <c r="B1970" s="138"/>
      <c r="C1970" s="249"/>
      <c r="D1970" s="257"/>
      <c r="E1970" s="151"/>
      <c r="F1970" s="151"/>
      <c r="G1970" s="146"/>
    </row>
    <row r="1971" spans="1:7" ht="24.95" hidden="1" customHeight="1">
      <c r="A1971" s="138"/>
      <c r="B1971" s="138"/>
      <c r="C1971" s="249"/>
      <c r="D1971" s="257"/>
      <c r="E1971" s="151"/>
      <c r="F1971" s="151"/>
      <c r="G1971" s="146"/>
    </row>
    <row r="1972" spans="1:7" ht="24.95" hidden="1" customHeight="1">
      <c r="A1972" s="138"/>
      <c r="B1972" s="138"/>
      <c r="C1972" s="249"/>
      <c r="D1972" s="257"/>
      <c r="E1972" s="151"/>
      <c r="F1972" s="151"/>
      <c r="G1972" s="146"/>
    </row>
    <row r="1973" spans="1:7" ht="24.95" hidden="1" customHeight="1">
      <c r="A1973" s="138"/>
      <c r="B1973" s="138"/>
      <c r="C1973" s="249"/>
      <c r="D1973" s="257"/>
      <c r="E1973" s="151"/>
      <c r="F1973" s="151"/>
      <c r="G1973" s="146"/>
    </row>
    <row r="1974" spans="1:7" ht="24.95" hidden="1" customHeight="1">
      <c r="A1974" s="138"/>
      <c r="B1974" s="138"/>
      <c r="C1974" s="249"/>
      <c r="D1974" s="257"/>
      <c r="E1974" s="151"/>
      <c r="F1974" s="151"/>
      <c r="G1974" s="146"/>
    </row>
    <row r="1975" spans="1:7" ht="24.95" hidden="1" customHeight="1">
      <c r="A1975" s="138"/>
      <c r="B1975" s="138"/>
      <c r="C1975" s="249"/>
      <c r="D1975" s="257"/>
      <c r="E1975" s="151"/>
      <c r="F1975" s="151"/>
      <c r="G1975" s="146"/>
    </row>
    <row r="1976" spans="1:7" ht="24.95" hidden="1" customHeight="1">
      <c r="A1976" s="138"/>
      <c r="B1976" s="138"/>
      <c r="C1976" s="249"/>
      <c r="D1976" s="257"/>
      <c r="E1976" s="151"/>
      <c r="F1976" s="151"/>
      <c r="G1976" s="146"/>
    </row>
    <row r="1977" spans="1:7" ht="24.95" hidden="1" customHeight="1">
      <c r="A1977" s="138"/>
      <c r="B1977" s="138"/>
      <c r="C1977" s="249"/>
      <c r="D1977" s="257"/>
      <c r="E1977" s="151"/>
      <c r="F1977" s="151"/>
      <c r="G1977" s="146"/>
    </row>
    <row r="1978" spans="1:7" ht="24.95" hidden="1" customHeight="1">
      <c r="A1978" s="138"/>
      <c r="B1978" s="138"/>
      <c r="C1978" s="249"/>
      <c r="D1978" s="257"/>
      <c r="E1978" s="151"/>
      <c r="F1978" s="151"/>
      <c r="G1978" s="146"/>
    </row>
    <row r="1979" spans="1:7" ht="24.95" hidden="1" customHeight="1">
      <c r="A1979" s="138"/>
      <c r="B1979" s="138"/>
      <c r="C1979" s="249"/>
      <c r="D1979" s="257"/>
      <c r="E1979" s="151"/>
      <c r="F1979" s="151"/>
      <c r="G1979" s="146"/>
    </row>
    <row r="1980" spans="1:7" ht="24.95" hidden="1" customHeight="1">
      <c r="A1980" s="138"/>
      <c r="B1980" s="138"/>
      <c r="C1980" s="249"/>
      <c r="D1980" s="257"/>
      <c r="E1980" s="151"/>
      <c r="F1980" s="151"/>
      <c r="G1980" s="146"/>
    </row>
    <row r="1981" spans="1:7" ht="24.95" hidden="1" customHeight="1">
      <c r="A1981" s="138"/>
      <c r="B1981" s="138"/>
      <c r="C1981" s="249"/>
      <c r="D1981" s="257"/>
      <c r="E1981" s="151"/>
      <c r="F1981" s="151"/>
      <c r="G1981" s="146"/>
    </row>
    <row r="1982" spans="1:7" ht="24.95" hidden="1" customHeight="1">
      <c r="A1982" s="138"/>
      <c r="B1982" s="138"/>
      <c r="C1982" s="249"/>
      <c r="D1982" s="257"/>
      <c r="E1982" s="151"/>
      <c r="F1982" s="151"/>
      <c r="G1982" s="146"/>
    </row>
    <row r="1983" spans="1:7" ht="24.95" hidden="1" customHeight="1">
      <c r="A1983" s="138"/>
      <c r="B1983" s="138"/>
      <c r="C1983" s="249"/>
      <c r="D1983" s="257"/>
      <c r="E1983" s="151"/>
      <c r="F1983" s="151"/>
      <c r="G1983" s="146"/>
    </row>
    <row r="1984" spans="1:7" ht="24.95" hidden="1" customHeight="1">
      <c r="A1984" s="138"/>
      <c r="B1984" s="138"/>
      <c r="C1984" s="249"/>
      <c r="D1984" s="257"/>
      <c r="E1984" s="151"/>
      <c r="F1984" s="151"/>
      <c r="G1984" s="146"/>
    </row>
    <row r="1985" spans="1:7" ht="24.95" hidden="1" customHeight="1">
      <c r="A1985" s="138"/>
      <c r="B1985" s="138"/>
      <c r="C1985" s="249"/>
      <c r="D1985" s="257"/>
      <c r="E1985" s="151"/>
      <c r="F1985" s="151"/>
      <c r="G1985" s="146"/>
    </row>
    <row r="1986" spans="1:7" ht="24.95" hidden="1" customHeight="1">
      <c r="A1986" s="138"/>
      <c r="B1986" s="138"/>
      <c r="C1986" s="249"/>
      <c r="D1986" s="257"/>
      <c r="E1986" s="151"/>
      <c r="F1986" s="151"/>
      <c r="G1986" s="146"/>
    </row>
    <row r="1987" spans="1:7" ht="24.95" hidden="1" customHeight="1">
      <c r="A1987" s="138"/>
      <c r="B1987" s="138"/>
      <c r="C1987" s="249"/>
      <c r="D1987" s="257"/>
      <c r="E1987" s="151"/>
      <c r="F1987" s="151"/>
      <c r="G1987" s="146"/>
    </row>
    <row r="1988" spans="1:7" ht="24.95" hidden="1" customHeight="1">
      <c r="A1988" s="138"/>
      <c r="B1988" s="138"/>
      <c r="C1988" s="249"/>
      <c r="D1988" s="257"/>
      <c r="E1988" s="151"/>
      <c r="F1988" s="151"/>
      <c r="G1988" s="146"/>
    </row>
    <row r="1989" spans="1:7" ht="24.95" hidden="1" customHeight="1">
      <c r="A1989" s="138"/>
      <c r="B1989" s="138"/>
      <c r="C1989" s="249"/>
      <c r="D1989" s="257"/>
      <c r="E1989" s="151"/>
      <c r="F1989" s="151"/>
      <c r="G1989" s="146"/>
    </row>
    <row r="1990" spans="1:7" ht="24.95" hidden="1" customHeight="1">
      <c r="A1990" s="138"/>
      <c r="B1990" s="138"/>
      <c r="C1990" s="249"/>
      <c r="D1990" s="257"/>
      <c r="E1990" s="151"/>
      <c r="F1990" s="151"/>
      <c r="G1990" s="146"/>
    </row>
    <row r="1991" spans="1:7" ht="24.95" hidden="1" customHeight="1">
      <c r="A1991" s="138"/>
      <c r="B1991" s="138"/>
      <c r="C1991" s="249"/>
      <c r="D1991" s="257"/>
      <c r="E1991" s="151"/>
      <c r="F1991" s="151"/>
      <c r="G1991" s="146"/>
    </row>
    <row r="1992" spans="1:7" ht="24.95" hidden="1" customHeight="1">
      <c r="A1992" s="138"/>
      <c r="B1992" s="138"/>
      <c r="C1992" s="249"/>
      <c r="D1992" s="257"/>
      <c r="E1992" s="151"/>
      <c r="F1992" s="151"/>
      <c r="G1992" s="146"/>
    </row>
    <row r="1993" spans="1:7" ht="24.95" hidden="1" customHeight="1">
      <c r="A1993" s="138"/>
      <c r="B1993" s="138"/>
      <c r="C1993" s="249"/>
      <c r="D1993" s="257"/>
      <c r="E1993" s="151"/>
      <c r="F1993" s="151"/>
      <c r="G1993" s="146"/>
    </row>
    <row r="1994" spans="1:7" ht="24.95" hidden="1" customHeight="1">
      <c r="A1994" s="138"/>
      <c r="B1994" s="138"/>
      <c r="C1994" s="249"/>
      <c r="D1994" s="257"/>
      <c r="E1994" s="151"/>
      <c r="F1994" s="151"/>
      <c r="G1994" s="146"/>
    </row>
    <row r="1995" spans="1:7" ht="24.95" hidden="1" customHeight="1">
      <c r="A1995" s="138"/>
      <c r="B1995" s="138"/>
      <c r="C1995" s="249"/>
      <c r="D1995" s="257"/>
      <c r="E1995" s="151"/>
      <c r="F1995" s="151"/>
      <c r="G1995" s="146"/>
    </row>
    <row r="1996" spans="1:7" ht="24.95" hidden="1" customHeight="1">
      <c r="A1996" s="138"/>
      <c r="B1996" s="138"/>
      <c r="C1996" s="249"/>
      <c r="D1996" s="257"/>
      <c r="E1996" s="151"/>
      <c r="F1996" s="151"/>
      <c r="G1996" s="146"/>
    </row>
    <row r="1997" spans="1:7" ht="24.95" hidden="1" customHeight="1">
      <c r="A1997" s="138"/>
      <c r="B1997" s="138"/>
      <c r="C1997" s="249"/>
      <c r="D1997" s="257"/>
      <c r="E1997" s="151"/>
      <c r="F1997" s="151"/>
      <c r="G1997" s="146"/>
    </row>
    <row r="1998" spans="1:7" ht="24.95" hidden="1" customHeight="1">
      <c r="A1998" s="138"/>
      <c r="B1998" s="138"/>
      <c r="C1998" s="249"/>
      <c r="D1998" s="257"/>
      <c r="E1998" s="151"/>
      <c r="F1998" s="151"/>
      <c r="G1998" s="146"/>
    </row>
    <row r="1999" spans="1:7" ht="24.95" hidden="1" customHeight="1">
      <c r="A1999" s="182"/>
      <c r="B1999" s="182"/>
      <c r="C1999" s="250"/>
      <c r="D1999" s="258"/>
      <c r="E1999" s="184"/>
      <c r="F1999" s="184"/>
      <c r="G1999" s="185"/>
    </row>
    <row r="2000" spans="1:7" ht="24.95" hidden="1" customHeight="1">
      <c r="A2000" s="182"/>
      <c r="B2000" s="182"/>
      <c r="C2000" s="250"/>
      <c r="D2000" s="258"/>
      <c r="E2000" s="184"/>
      <c r="F2000" s="184"/>
      <c r="G2000" s="185"/>
    </row>
    <row r="2001" spans="1:7" ht="21.4">
      <c r="A2001" s="365" t="s">
        <v>251</v>
      </c>
      <c r="B2001" s="366"/>
      <c r="C2001" s="367"/>
      <c r="D2001" s="261">
        <f>SUM(D7:D2000)</f>
        <v>0</v>
      </c>
      <c r="E2001" s="262">
        <f>SUM(E7:E2000)</f>
        <v>0</v>
      </c>
      <c r="F2001" s="266">
        <f t="shared" ref="F2001" si="0">SUM(F7:F2000)</f>
        <v>0</v>
      </c>
      <c r="G2001" s="260">
        <f t="shared" ref="G2001" si="1">SUM(G7:G2000)</f>
        <v>0</v>
      </c>
    </row>
  </sheetData>
  <mergeCells count="1">
    <mergeCell ref="A2001:C2001"/>
  </mergeCells>
  <pageMargins left="0.2" right="0.25" top="0.75" bottom="0.75" header="0.3" footer="0.3"/>
  <pageSetup scale="6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00B050"/>
    <pageSetUpPr fitToPage="1"/>
  </sheetPr>
  <dimension ref="A1:N1000"/>
  <sheetViews>
    <sheetView view="pageBreakPreview" zoomScaleNormal="100" zoomScaleSheetLayoutView="100" workbookViewId="0">
      <pane ySplit="5" topLeftCell="A6" activePane="bottomLeft" state="frozen"/>
      <selection pane="bottomLeft" activeCell="K2" sqref="K2"/>
    </sheetView>
  </sheetViews>
  <sheetFormatPr defaultColWidth="9.1328125" defaultRowHeight="15" customHeight="1"/>
  <cols>
    <col min="1" max="1" width="6.3984375" style="186" customWidth="1"/>
    <col min="2" max="2" width="10.73046875" style="186" customWidth="1"/>
    <col min="3" max="3" width="14.265625" style="187" bestFit="1" customWidth="1"/>
    <col min="4" max="4" width="12" style="187" bestFit="1" customWidth="1"/>
    <col min="5" max="5" width="10" style="186" customWidth="1"/>
    <col min="6" max="6" width="43.86328125" style="233" customWidth="1"/>
    <col min="7" max="7" width="9.73046875" style="188" customWidth="1"/>
    <col min="8" max="8" width="11.3984375" style="188" customWidth="1"/>
    <col min="9" max="10" width="15.73046875" style="189" customWidth="1"/>
    <col min="11" max="11" width="11.59765625" style="137" customWidth="1"/>
    <col min="12" max="12" width="9.1328125" style="137"/>
    <col min="13" max="13" width="10.73046875" style="137" bestFit="1" customWidth="1"/>
    <col min="14" max="16384" width="9.1328125" style="137"/>
  </cols>
  <sheetData>
    <row r="1" spans="1:14" s="2" customFormat="1" ht="9.75" customHeight="1">
      <c r="A1" s="131"/>
      <c r="B1" s="131"/>
      <c r="C1" s="131"/>
      <c r="D1" s="131"/>
      <c r="E1" s="131"/>
      <c r="F1" s="230"/>
      <c r="G1" s="148"/>
      <c r="H1" s="148"/>
      <c r="I1" s="135"/>
      <c r="J1" s="135"/>
    </row>
    <row r="2" spans="1:14" s="2" customFormat="1" ht="62.25" customHeight="1">
      <c r="A2" s="131"/>
      <c r="B2" s="131"/>
      <c r="C2" s="131"/>
      <c r="D2" s="131"/>
      <c r="E2" s="131"/>
      <c r="F2" s="230"/>
      <c r="G2" s="148"/>
      <c r="H2" s="148"/>
      <c r="I2" s="135"/>
      <c r="J2" s="135"/>
      <c r="M2" s="153">
        <f ca="1">TODAY()</f>
        <v>44825</v>
      </c>
      <c r="N2" s="125"/>
    </row>
    <row r="3" spans="1:14" s="2" customFormat="1" ht="15" customHeight="1">
      <c r="A3" s="132"/>
      <c r="B3" s="181" t="s">
        <v>176</v>
      </c>
      <c r="C3" s="206">
        <v>44184</v>
      </c>
      <c r="D3" s="234"/>
      <c r="E3" s="181" t="s">
        <v>178</v>
      </c>
      <c r="F3" s="207" t="s">
        <v>153</v>
      </c>
      <c r="G3" s="298"/>
      <c r="H3" s="135"/>
      <c r="I3" s="135"/>
      <c r="J3" s="135"/>
      <c r="M3" s="153">
        <f ca="1">EOMONTH(M2,-1)+1</f>
        <v>44805</v>
      </c>
      <c r="N3" s="125" t="s">
        <v>174</v>
      </c>
    </row>
    <row r="4" spans="1:14" s="125" customFormat="1" ht="8.25" customHeight="1">
      <c r="A4" s="131"/>
      <c r="B4" s="131"/>
      <c r="C4" s="131"/>
      <c r="D4" s="131"/>
      <c r="E4" s="131"/>
      <c r="F4" s="230"/>
      <c r="G4" s="148"/>
      <c r="H4" s="148"/>
      <c r="I4" s="135"/>
      <c r="J4" s="135"/>
    </row>
    <row r="5" spans="1:14" s="2" customFormat="1" ht="24" customHeight="1">
      <c r="A5" s="301" t="s">
        <v>23</v>
      </c>
      <c r="B5" s="301" t="s">
        <v>264</v>
      </c>
      <c r="C5" s="301" t="s">
        <v>265</v>
      </c>
      <c r="D5" s="301" t="s">
        <v>268</v>
      </c>
      <c r="E5" s="301" t="s">
        <v>167</v>
      </c>
      <c r="F5" s="303" t="s">
        <v>168</v>
      </c>
      <c r="G5" s="302" t="s">
        <v>122</v>
      </c>
      <c r="H5" s="302" t="s">
        <v>266</v>
      </c>
      <c r="I5" s="302" t="s">
        <v>239</v>
      </c>
      <c r="J5" s="302" t="s">
        <v>267</v>
      </c>
    </row>
    <row r="6" spans="1:14" ht="24.95" customHeight="1">
      <c r="A6" s="202"/>
      <c r="B6" s="299"/>
      <c r="C6" s="300"/>
      <c r="D6" s="300"/>
      <c r="E6" s="202"/>
      <c r="F6" s="304"/>
      <c r="G6" s="204"/>
      <c r="H6" s="204"/>
      <c r="I6" s="204"/>
      <c r="J6" s="204"/>
    </row>
    <row r="7" spans="1:14" ht="24.95" customHeight="1">
      <c r="A7" s="136"/>
      <c r="B7" s="176"/>
      <c r="C7" s="177"/>
      <c r="D7" s="177"/>
      <c r="E7" s="136"/>
      <c r="F7" s="231"/>
      <c r="G7" s="144"/>
      <c r="H7" s="144"/>
      <c r="I7" s="144"/>
      <c r="J7" s="144"/>
    </row>
    <row r="8" spans="1:14" ht="24.95" customHeight="1">
      <c r="A8" s="136"/>
      <c r="B8" s="176"/>
      <c r="C8" s="177"/>
      <c r="D8" s="177"/>
      <c r="E8" s="136"/>
      <c r="F8" s="231"/>
      <c r="G8" s="144"/>
      <c r="H8" s="144"/>
      <c r="I8" s="144"/>
      <c r="J8" s="144"/>
      <c r="N8" s="197"/>
    </row>
    <row r="9" spans="1:14" ht="24.95" hidden="1" customHeight="1">
      <c r="A9" s="136"/>
      <c r="B9" s="176"/>
      <c r="C9" s="177"/>
      <c r="D9" s="177"/>
      <c r="E9" s="136"/>
      <c r="F9" s="231"/>
      <c r="G9" s="144"/>
      <c r="H9" s="144"/>
      <c r="I9" s="144"/>
      <c r="J9" s="144"/>
    </row>
    <row r="10" spans="1:14" ht="24.95" hidden="1" customHeight="1">
      <c r="A10" s="136"/>
      <c r="B10" s="176"/>
      <c r="C10" s="177"/>
      <c r="D10" s="177"/>
      <c r="E10" s="136"/>
      <c r="F10" s="231"/>
      <c r="G10" s="144"/>
      <c r="H10" s="144"/>
      <c r="I10" s="144"/>
      <c r="J10" s="144"/>
    </row>
    <row r="11" spans="1:14" ht="24.95" hidden="1" customHeight="1">
      <c r="A11" s="136"/>
      <c r="B11" s="176"/>
      <c r="C11" s="177"/>
      <c r="D11" s="177"/>
      <c r="E11" s="136"/>
      <c r="F11" s="231"/>
      <c r="G11" s="144"/>
      <c r="H11" s="144"/>
      <c r="I11" s="144"/>
      <c r="J11" s="144"/>
    </row>
    <row r="12" spans="1:14" ht="24.95" hidden="1" customHeight="1">
      <c r="A12" s="136"/>
      <c r="B12" s="176"/>
      <c r="C12" s="177"/>
      <c r="D12" s="177"/>
      <c r="E12" s="136"/>
      <c r="F12" s="231"/>
      <c r="G12" s="144"/>
      <c r="H12" s="144"/>
      <c r="I12" s="144"/>
      <c r="J12" s="144"/>
    </row>
    <row r="13" spans="1:14" ht="24.95" hidden="1" customHeight="1">
      <c r="A13" s="136"/>
      <c r="B13" s="176"/>
      <c r="C13" s="177"/>
      <c r="D13" s="177"/>
      <c r="E13" s="136"/>
      <c r="F13" s="231"/>
      <c r="G13" s="144"/>
      <c r="H13" s="144"/>
      <c r="I13" s="144"/>
      <c r="J13" s="144"/>
    </row>
    <row r="14" spans="1:14" ht="24.95" hidden="1" customHeight="1">
      <c r="A14" s="136"/>
      <c r="B14" s="176"/>
      <c r="C14" s="177"/>
      <c r="D14" s="177"/>
      <c r="E14" s="136"/>
      <c r="F14" s="231"/>
      <c r="G14" s="144"/>
      <c r="H14" s="144"/>
      <c r="I14" s="144"/>
      <c r="J14" s="144"/>
    </row>
    <row r="15" spans="1:14" ht="24.95" hidden="1" customHeight="1">
      <c r="A15" s="136"/>
      <c r="B15" s="176"/>
      <c r="C15" s="177"/>
      <c r="D15" s="177"/>
      <c r="E15" s="136"/>
      <c r="F15" s="231"/>
      <c r="G15" s="144"/>
      <c r="H15" s="144"/>
      <c r="I15" s="144"/>
      <c r="J15" s="144"/>
    </row>
    <row r="16" spans="1:14" ht="24.95" hidden="1" customHeight="1">
      <c r="A16" s="136"/>
      <c r="B16" s="176"/>
      <c r="C16" s="177"/>
      <c r="D16" s="177"/>
      <c r="E16" s="136"/>
      <c r="F16" s="231"/>
      <c r="G16" s="144"/>
      <c r="H16" s="144"/>
      <c r="I16" s="144"/>
      <c r="J16" s="144"/>
    </row>
    <row r="17" spans="1:10" ht="24.95" hidden="1" customHeight="1">
      <c r="A17" s="136"/>
      <c r="B17" s="176"/>
      <c r="C17" s="177"/>
      <c r="D17" s="177"/>
      <c r="E17" s="136"/>
      <c r="F17" s="231"/>
      <c r="G17" s="144"/>
      <c r="H17" s="144"/>
      <c r="I17" s="144"/>
      <c r="J17" s="144"/>
    </row>
    <row r="18" spans="1:10" ht="24.95" hidden="1" customHeight="1">
      <c r="A18" s="136"/>
      <c r="B18" s="176"/>
      <c r="C18" s="177"/>
      <c r="D18" s="177"/>
      <c r="E18" s="136"/>
      <c r="F18" s="231"/>
      <c r="G18" s="144"/>
      <c r="H18" s="144"/>
      <c r="I18" s="144"/>
      <c r="J18" s="144"/>
    </row>
    <row r="19" spans="1:10" ht="24.95" hidden="1" customHeight="1">
      <c r="A19" s="136"/>
      <c r="B19" s="176"/>
      <c r="C19" s="177"/>
      <c r="D19" s="177"/>
      <c r="E19" s="136"/>
      <c r="F19" s="231"/>
      <c r="G19" s="144"/>
      <c r="H19" s="144"/>
      <c r="I19" s="144"/>
      <c r="J19" s="144"/>
    </row>
    <row r="20" spans="1:10" ht="24.95" hidden="1" customHeight="1">
      <c r="A20" s="136"/>
      <c r="B20" s="176"/>
      <c r="C20" s="177"/>
      <c r="D20" s="177"/>
      <c r="E20" s="136"/>
      <c r="F20" s="231"/>
      <c r="G20" s="144"/>
      <c r="H20" s="144"/>
      <c r="I20" s="144"/>
      <c r="J20" s="144"/>
    </row>
    <row r="21" spans="1:10" ht="24.95" hidden="1" customHeight="1">
      <c r="A21" s="136"/>
      <c r="B21" s="176"/>
      <c r="C21" s="177"/>
      <c r="D21" s="177"/>
      <c r="E21" s="136"/>
      <c r="F21" s="231"/>
      <c r="G21" s="144"/>
      <c r="H21" s="144"/>
      <c r="I21" s="144"/>
      <c r="J21" s="144"/>
    </row>
    <row r="22" spans="1:10" ht="24.95" hidden="1" customHeight="1">
      <c r="A22" s="136"/>
      <c r="B22" s="176"/>
      <c r="C22" s="177"/>
      <c r="D22" s="177"/>
      <c r="E22" s="136"/>
      <c r="F22" s="231"/>
      <c r="G22" s="144"/>
      <c r="H22" s="144"/>
      <c r="I22" s="144"/>
      <c r="J22" s="144"/>
    </row>
    <row r="23" spans="1:10" ht="24.95" hidden="1" customHeight="1">
      <c r="A23" s="136"/>
      <c r="B23" s="176"/>
      <c r="C23" s="177"/>
      <c r="D23" s="177"/>
      <c r="E23" s="136"/>
      <c r="F23" s="231"/>
      <c r="G23" s="144"/>
      <c r="H23" s="144"/>
      <c r="I23" s="144"/>
      <c r="J23" s="144"/>
    </row>
    <row r="24" spans="1:10" ht="24.95" hidden="1" customHeight="1">
      <c r="A24" s="136"/>
      <c r="B24" s="136"/>
      <c r="C24" s="177"/>
      <c r="D24" s="177"/>
      <c r="E24" s="136"/>
      <c r="F24" s="231"/>
      <c r="G24" s="144"/>
      <c r="H24" s="144"/>
      <c r="I24" s="144"/>
      <c r="J24" s="144"/>
    </row>
    <row r="25" spans="1:10" ht="24.95" hidden="1" customHeight="1">
      <c r="A25" s="141"/>
      <c r="B25" s="141"/>
      <c r="C25" s="143"/>
      <c r="D25" s="143"/>
      <c r="E25" s="141"/>
      <c r="F25" s="232"/>
      <c r="G25" s="150"/>
      <c r="H25" s="150"/>
      <c r="I25" s="145"/>
      <c r="J25" s="145"/>
    </row>
    <row r="26" spans="1:10" ht="24.95" hidden="1" customHeight="1">
      <c r="A26" s="141"/>
      <c r="B26" s="141"/>
      <c r="C26" s="143"/>
      <c r="D26" s="143"/>
      <c r="E26" s="141"/>
      <c r="F26" s="232"/>
      <c r="G26" s="150"/>
      <c r="H26" s="150"/>
      <c r="I26" s="145"/>
      <c r="J26" s="145"/>
    </row>
    <row r="27" spans="1:10" ht="24.95" hidden="1" customHeight="1">
      <c r="A27" s="141"/>
      <c r="B27" s="141"/>
      <c r="C27" s="143"/>
      <c r="D27" s="143"/>
      <c r="E27" s="141"/>
      <c r="F27" s="232"/>
      <c r="G27" s="150"/>
      <c r="H27" s="150"/>
      <c r="I27" s="145"/>
      <c r="J27" s="145"/>
    </row>
    <row r="28" spans="1:10" ht="24.95" hidden="1" customHeight="1">
      <c r="A28" s="141"/>
      <c r="B28" s="141"/>
      <c r="C28" s="143"/>
      <c r="D28" s="143"/>
      <c r="E28" s="141"/>
      <c r="F28" s="232"/>
      <c r="G28" s="150"/>
      <c r="H28" s="150"/>
      <c r="I28" s="145"/>
      <c r="J28" s="145"/>
    </row>
    <row r="29" spans="1:10" ht="24.95" hidden="1" customHeight="1">
      <c r="A29" s="141"/>
      <c r="B29" s="141"/>
      <c r="C29" s="143"/>
      <c r="D29" s="143"/>
      <c r="E29" s="141"/>
      <c r="F29" s="232"/>
      <c r="G29" s="150"/>
      <c r="H29" s="150"/>
      <c r="I29" s="145"/>
      <c r="J29" s="145"/>
    </row>
    <row r="30" spans="1:10" ht="24.95" hidden="1" customHeight="1">
      <c r="A30" s="141"/>
      <c r="B30" s="141"/>
      <c r="C30" s="143"/>
      <c r="D30" s="143"/>
      <c r="E30" s="141"/>
      <c r="F30" s="232"/>
      <c r="G30" s="150"/>
      <c r="H30" s="150"/>
      <c r="I30" s="145"/>
      <c r="J30" s="145"/>
    </row>
    <row r="31" spans="1:10" ht="24.95" hidden="1" customHeight="1">
      <c r="A31" s="141"/>
      <c r="B31" s="141"/>
      <c r="C31" s="143"/>
      <c r="D31" s="143"/>
      <c r="E31" s="141"/>
      <c r="F31" s="232"/>
      <c r="G31" s="150"/>
      <c r="H31" s="150"/>
      <c r="I31" s="145"/>
      <c r="J31" s="145"/>
    </row>
    <row r="32" spans="1:10" ht="24.95" hidden="1" customHeight="1">
      <c r="A32" s="141"/>
      <c r="B32" s="141"/>
      <c r="C32" s="143"/>
      <c r="D32" s="143"/>
      <c r="E32" s="141"/>
      <c r="F32" s="232"/>
      <c r="G32" s="150"/>
      <c r="H32" s="150"/>
      <c r="I32" s="145"/>
      <c r="J32" s="145"/>
    </row>
    <row r="33" spans="1:10" ht="24.95" hidden="1" customHeight="1">
      <c r="A33" s="141"/>
      <c r="B33" s="141"/>
      <c r="C33" s="143"/>
      <c r="D33" s="143"/>
      <c r="E33" s="141"/>
      <c r="F33" s="232"/>
      <c r="G33" s="150"/>
      <c r="H33" s="150"/>
      <c r="I33" s="145"/>
      <c r="J33" s="145"/>
    </row>
    <row r="34" spans="1:10" ht="24.95" hidden="1" customHeight="1">
      <c r="A34" s="141"/>
      <c r="B34" s="141"/>
      <c r="C34" s="143"/>
      <c r="D34" s="143"/>
      <c r="E34" s="141"/>
      <c r="F34" s="232"/>
      <c r="G34" s="150"/>
      <c r="H34" s="150"/>
      <c r="I34" s="145"/>
      <c r="J34" s="145"/>
    </row>
    <row r="35" spans="1:10" ht="24.95" hidden="1" customHeight="1">
      <c r="A35" s="141"/>
      <c r="B35" s="141"/>
      <c r="C35" s="143"/>
      <c r="D35" s="143"/>
      <c r="E35" s="141"/>
      <c r="F35" s="232"/>
      <c r="G35" s="150"/>
      <c r="H35" s="150"/>
      <c r="I35" s="145"/>
      <c r="J35" s="145"/>
    </row>
    <row r="36" spans="1:10" ht="24.95" hidden="1" customHeight="1">
      <c r="A36" s="141"/>
      <c r="B36" s="141"/>
      <c r="C36" s="143"/>
      <c r="D36" s="143"/>
      <c r="E36" s="141"/>
      <c r="F36" s="232"/>
      <c r="G36" s="150"/>
      <c r="H36" s="150"/>
      <c r="I36" s="145"/>
      <c r="J36" s="145"/>
    </row>
    <row r="37" spans="1:10" ht="24.95" hidden="1" customHeight="1">
      <c r="A37" s="141"/>
      <c r="B37" s="141"/>
      <c r="C37" s="143"/>
      <c r="D37" s="143"/>
      <c r="E37" s="141"/>
      <c r="F37" s="232"/>
      <c r="G37" s="150"/>
      <c r="H37" s="150"/>
      <c r="I37" s="145"/>
      <c r="J37" s="145"/>
    </row>
    <row r="38" spans="1:10" ht="24.95" hidden="1" customHeight="1">
      <c r="A38" s="141"/>
      <c r="B38" s="141"/>
      <c r="C38" s="143"/>
      <c r="D38" s="143"/>
      <c r="E38" s="141"/>
      <c r="F38" s="232"/>
      <c r="G38" s="150"/>
      <c r="H38" s="150"/>
      <c r="I38" s="145"/>
      <c r="J38" s="145"/>
    </row>
    <row r="39" spans="1:10" ht="24.95" hidden="1" customHeight="1">
      <c r="A39" s="141"/>
      <c r="B39" s="141"/>
      <c r="C39" s="143"/>
      <c r="D39" s="143"/>
      <c r="E39" s="141"/>
      <c r="F39" s="232"/>
      <c r="G39" s="150"/>
      <c r="H39" s="150"/>
      <c r="I39" s="145"/>
      <c r="J39" s="145"/>
    </row>
    <row r="40" spans="1:10" ht="24.95" hidden="1" customHeight="1">
      <c r="A40" s="141"/>
      <c r="B40" s="141"/>
      <c r="C40" s="143"/>
      <c r="D40" s="143"/>
      <c r="E40" s="141"/>
      <c r="F40" s="232"/>
      <c r="G40" s="150"/>
      <c r="H40" s="150"/>
      <c r="I40" s="145"/>
      <c r="J40" s="145"/>
    </row>
    <row r="41" spans="1:10" ht="24.95" hidden="1" customHeight="1">
      <c r="A41" s="141"/>
      <c r="B41" s="141"/>
      <c r="C41" s="143"/>
      <c r="D41" s="143"/>
      <c r="E41" s="141"/>
      <c r="F41" s="232"/>
      <c r="G41" s="150"/>
      <c r="H41" s="150"/>
      <c r="I41" s="145"/>
      <c r="J41" s="145"/>
    </row>
    <row r="42" spans="1:10" ht="24.95" hidden="1" customHeight="1">
      <c r="A42" s="141"/>
      <c r="B42" s="141"/>
      <c r="C42" s="143"/>
      <c r="D42" s="143"/>
      <c r="E42" s="141"/>
      <c r="F42" s="232"/>
      <c r="G42" s="150"/>
      <c r="H42" s="150"/>
      <c r="I42" s="145"/>
      <c r="J42" s="145"/>
    </row>
    <row r="43" spans="1:10" ht="24.95" hidden="1" customHeight="1">
      <c r="A43" s="141"/>
      <c r="B43" s="141"/>
      <c r="C43" s="143"/>
      <c r="D43" s="143"/>
      <c r="E43" s="141"/>
      <c r="F43" s="232"/>
      <c r="G43" s="150"/>
      <c r="H43" s="150"/>
      <c r="I43" s="145"/>
      <c r="J43" s="145"/>
    </row>
    <row r="44" spans="1:10" ht="24.95" hidden="1" customHeight="1">
      <c r="A44" s="141"/>
      <c r="B44" s="141"/>
      <c r="C44" s="143"/>
      <c r="D44" s="143"/>
      <c r="E44" s="141"/>
      <c r="F44" s="232"/>
      <c r="G44" s="150"/>
      <c r="H44" s="150"/>
      <c r="I44" s="145"/>
      <c r="J44" s="145"/>
    </row>
    <row r="45" spans="1:10" ht="24.95" hidden="1" customHeight="1">
      <c r="A45" s="141"/>
      <c r="B45" s="141"/>
      <c r="C45" s="143"/>
      <c r="D45" s="143"/>
      <c r="E45" s="141"/>
      <c r="F45" s="232"/>
      <c r="G45" s="150"/>
      <c r="H45" s="150"/>
      <c r="I45" s="145"/>
      <c r="J45" s="145"/>
    </row>
    <row r="46" spans="1:10" ht="24.95" hidden="1" customHeight="1">
      <c r="A46" s="141"/>
      <c r="B46" s="141"/>
      <c r="C46" s="143"/>
      <c r="D46" s="143"/>
      <c r="E46" s="141"/>
      <c r="F46" s="232"/>
      <c r="G46" s="150"/>
      <c r="H46" s="150"/>
      <c r="I46" s="145"/>
      <c r="J46" s="145"/>
    </row>
    <row r="47" spans="1:10" ht="24.95" hidden="1" customHeight="1">
      <c r="A47" s="141"/>
      <c r="B47" s="141"/>
      <c r="C47" s="143"/>
      <c r="D47" s="143"/>
      <c r="E47" s="141"/>
      <c r="F47" s="232"/>
      <c r="G47" s="150"/>
      <c r="H47" s="150"/>
      <c r="I47" s="145"/>
      <c r="J47" s="145"/>
    </row>
    <row r="48" spans="1:10" ht="24.95" hidden="1" customHeight="1">
      <c r="A48" s="141"/>
      <c r="B48" s="141"/>
      <c r="C48" s="143"/>
      <c r="D48" s="143"/>
      <c r="E48" s="141"/>
      <c r="F48" s="232"/>
      <c r="G48" s="150"/>
      <c r="H48" s="150"/>
      <c r="I48" s="145"/>
      <c r="J48" s="145"/>
    </row>
    <row r="49" spans="1:10" ht="24.95" hidden="1" customHeight="1">
      <c r="A49" s="141"/>
      <c r="B49" s="141"/>
      <c r="C49" s="143"/>
      <c r="D49" s="143"/>
      <c r="E49" s="141"/>
      <c r="F49" s="232"/>
      <c r="G49" s="150"/>
      <c r="H49" s="150"/>
      <c r="I49" s="145"/>
      <c r="J49" s="145"/>
    </row>
    <row r="50" spans="1:10" ht="24.95" hidden="1" customHeight="1">
      <c r="A50" s="141"/>
      <c r="B50" s="141"/>
      <c r="C50" s="143"/>
      <c r="D50" s="143"/>
      <c r="E50" s="141"/>
      <c r="F50" s="232"/>
      <c r="G50" s="150"/>
      <c r="H50" s="150"/>
      <c r="I50" s="145"/>
      <c r="J50" s="145"/>
    </row>
    <row r="51" spans="1:10" ht="24.95" hidden="1" customHeight="1">
      <c r="A51" s="141"/>
      <c r="B51" s="141"/>
      <c r="C51" s="143"/>
      <c r="D51" s="143"/>
      <c r="E51" s="141"/>
      <c r="F51" s="232"/>
      <c r="G51" s="150"/>
      <c r="H51" s="150"/>
      <c r="I51" s="145"/>
      <c r="J51" s="145"/>
    </row>
    <row r="52" spans="1:10" ht="24.95" hidden="1" customHeight="1">
      <c r="A52" s="141"/>
      <c r="B52" s="141"/>
      <c r="C52" s="143"/>
      <c r="D52" s="143"/>
      <c r="E52" s="141"/>
      <c r="F52" s="232"/>
      <c r="G52" s="150"/>
      <c r="H52" s="150"/>
      <c r="I52" s="145"/>
      <c r="J52" s="145"/>
    </row>
    <row r="53" spans="1:10" ht="24.95" hidden="1" customHeight="1">
      <c r="A53" s="141"/>
      <c r="B53" s="141"/>
      <c r="C53" s="143"/>
      <c r="D53" s="143"/>
      <c r="E53" s="141"/>
      <c r="F53" s="232"/>
      <c r="G53" s="150"/>
      <c r="H53" s="150"/>
      <c r="I53" s="145"/>
      <c r="J53" s="145"/>
    </row>
    <row r="54" spans="1:10" ht="24.95" hidden="1" customHeight="1">
      <c r="A54" s="141"/>
      <c r="B54" s="141"/>
      <c r="C54" s="143"/>
      <c r="D54" s="143"/>
      <c r="E54" s="141"/>
      <c r="F54" s="232"/>
      <c r="G54" s="150"/>
      <c r="H54" s="150"/>
      <c r="I54" s="145"/>
      <c r="J54" s="145"/>
    </row>
    <row r="55" spans="1:10" ht="24.95" hidden="1" customHeight="1">
      <c r="A55" s="141"/>
      <c r="B55" s="141"/>
      <c r="C55" s="143"/>
      <c r="D55" s="143"/>
      <c r="E55" s="141"/>
      <c r="F55" s="232"/>
      <c r="G55" s="150"/>
      <c r="H55" s="150"/>
      <c r="I55" s="145"/>
      <c r="J55" s="145"/>
    </row>
    <row r="56" spans="1:10" ht="24.95" hidden="1" customHeight="1">
      <c r="A56" s="141"/>
      <c r="B56" s="141"/>
      <c r="C56" s="143"/>
      <c r="D56" s="143"/>
      <c r="E56" s="141"/>
      <c r="F56" s="232"/>
      <c r="G56" s="150"/>
      <c r="H56" s="150"/>
      <c r="I56" s="145"/>
      <c r="J56" s="145"/>
    </row>
    <row r="57" spans="1:10" ht="24.95" hidden="1" customHeight="1">
      <c r="A57" s="141"/>
      <c r="B57" s="141"/>
      <c r="C57" s="143"/>
      <c r="D57" s="143"/>
      <c r="E57" s="141"/>
      <c r="F57" s="232"/>
      <c r="G57" s="150"/>
      <c r="H57" s="150"/>
      <c r="I57" s="145"/>
      <c r="J57" s="145"/>
    </row>
    <row r="58" spans="1:10" ht="24.95" hidden="1" customHeight="1">
      <c r="A58" s="141"/>
      <c r="B58" s="141"/>
      <c r="C58" s="143"/>
      <c r="D58" s="143"/>
      <c r="E58" s="141"/>
      <c r="F58" s="232"/>
      <c r="G58" s="150"/>
      <c r="H58" s="150"/>
      <c r="I58" s="145"/>
      <c r="J58" s="145"/>
    </row>
    <row r="59" spans="1:10" ht="24.95" hidden="1" customHeight="1">
      <c r="A59" s="141"/>
      <c r="B59" s="141"/>
      <c r="C59" s="143"/>
      <c r="D59" s="143"/>
      <c r="E59" s="141"/>
      <c r="F59" s="232"/>
      <c r="G59" s="150"/>
      <c r="H59" s="150"/>
      <c r="I59" s="145"/>
      <c r="J59" s="145"/>
    </row>
    <row r="60" spans="1:10" ht="24.95" hidden="1" customHeight="1">
      <c r="A60" s="141"/>
      <c r="B60" s="141"/>
      <c r="C60" s="143"/>
      <c r="D60" s="143"/>
      <c r="E60" s="141"/>
      <c r="F60" s="232"/>
      <c r="G60" s="150"/>
      <c r="H60" s="150"/>
      <c r="I60" s="145"/>
      <c r="J60" s="145"/>
    </row>
    <row r="61" spans="1:10" ht="24.95" hidden="1" customHeight="1">
      <c r="A61" s="141"/>
      <c r="B61" s="141"/>
      <c r="C61" s="143"/>
      <c r="D61" s="143"/>
      <c r="E61" s="141"/>
      <c r="F61" s="232"/>
      <c r="G61" s="150"/>
      <c r="H61" s="150"/>
      <c r="I61" s="145"/>
      <c r="J61" s="145"/>
    </row>
    <row r="62" spans="1:10" ht="24.95" hidden="1" customHeight="1">
      <c r="A62" s="141"/>
      <c r="B62" s="141"/>
      <c r="C62" s="143"/>
      <c r="D62" s="143"/>
      <c r="E62" s="141"/>
      <c r="F62" s="232"/>
      <c r="G62" s="150"/>
      <c r="H62" s="150"/>
      <c r="I62" s="145"/>
      <c r="J62" s="145"/>
    </row>
    <row r="63" spans="1:10" ht="24.95" hidden="1" customHeight="1">
      <c r="A63" s="141"/>
      <c r="B63" s="141"/>
      <c r="C63" s="143"/>
      <c r="D63" s="143"/>
      <c r="E63" s="141"/>
      <c r="F63" s="232"/>
      <c r="G63" s="150"/>
      <c r="H63" s="150"/>
      <c r="I63" s="145"/>
      <c r="J63" s="145"/>
    </row>
    <row r="64" spans="1:10" ht="24.95" hidden="1" customHeight="1">
      <c r="A64" s="141"/>
      <c r="B64" s="141"/>
      <c r="C64" s="143"/>
      <c r="D64" s="143"/>
      <c r="E64" s="141"/>
      <c r="F64" s="232"/>
      <c r="G64" s="150"/>
      <c r="H64" s="150"/>
      <c r="I64" s="145"/>
      <c r="J64" s="145"/>
    </row>
    <row r="65" spans="1:10" ht="24.95" hidden="1" customHeight="1">
      <c r="A65" s="141"/>
      <c r="B65" s="141"/>
      <c r="C65" s="143"/>
      <c r="D65" s="143"/>
      <c r="E65" s="141"/>
      <c r="F65" s="232"/>
      <c r="G65" s="150"/>
      <c r="H65" s="150"/>
      <c r="I65" s="145"/>
      <c r="J65" s="145"/>
    </row>
    <row r="66" spans="1:10" ht="24.95" hidden="1" customHeight="1">
      <c r="A66" s="141"/>
      <c r="B66" s="141"/>
      <c r="C66" s="143"/>
      <c r="D66" s="143"/>
      <c r="E66" s="141"/>
      <c r="F66" s="232"/>
      <c r="G66" s="150"/>
      <c r="H66" s="150"/>
      <c r="I66" s="145"/>
      <c r="J66" s="145"/>
    </row>
    <row r="67" spans="1:10" ht="24.95" hidden="1" customHeight="1">
      <c r="A67" s="141"/>
      <c r="B67" s="141"/>
      <c r="C67" s="143"/>
      <c r="D67" s="143"/>
      <c r="E67" s="141"/>
      <c r="F67" s="232"/>
      <c r="G67" s="150"/>
      <c r="H67" s="150"/>
      <c r="I67" s="145"/>
      <c r="J67" s="145"/>
    </row>
    <row r="68" spans="1:10" ht="24.95" hidden="1" customHeight="1">
      <c r="A68" s="141"/>
      <c r="B68" s="141"/>
      <c r="C68" s="143"/>
      <c r="D68" s="143"/>
      <c r="E68" s="141"/>
      <c r="F68" s="232"/>
      <c r="G68" s="150"/>
      <c r="H68" s="150"/>
      <c r="I68" s="145"/>
      <c r="J68" s="145"/>
    </row>
    <row r="69" spans="1:10" ht="24.95" hidden="1" customHeight="1">
      <c r="A69" s="141"/>
      <c r="B69" s="141"/>
      <c r="C69" s="143"/>
      <c r="D69" s="143"/>
      <c r="E69" s="141"/>
      <c r="F69" s="232"/>
      <c r="G69" s="150"/>
      <c r="H69" s="150"/>
      <c r="I69" s="145"/>
      <c r="J69" s="145"/>
    </row>
    <row r="70" spans="1:10" ht="24.95" hidden="1" customHeight="1">
      <c r="A70" s="141"/>
      <c r="B70" s="141"/>
      <c r="C70" s="143"/>
      <c r="D70" s="143"/>
      <c r="E70" s="141"/>
      <c r="F70" s="232"/>
      <c r="G70" s="150"/>
      <c r="H70" s="150"/>
      <c r="I70" s="145"/>
      <c r="J70" s="145"/>
    </row>
    <row r="71" spans="1:10" ht="24.95" hidden="1" customHeight="1">
      <c r="A71" s="141"/>
      <c r="B71" s="141"/>
      <c r="C71" s="143"/>
      <c r="D71" s="143"/>
      <c r="E71" s="141"/>
      <c r="F71" s="232"/>
      <c r="G71" s="150"/>
      <c r="H71" s="150"/>
      <c r="I71" s="145"/>
      <c r="J71" s="145"/>
    </row>
    <row r="72" spans="1:10" ht="24.95" hidden="1" customHeight="1">
      <c r="A72" s="141"/>
      <c r="B72" s="141"/>
      <c r="C72" s="143"/>
      <c r="D72" s="143"/>
      <c r="E72" s="141"/>
      <c r="F72" s="232"/>
      <c r="G72" s="150"/>
      <c r="H72" s="150"/>
      <c r="I72" s="145"/>
      <c r="J72" s="145"/>
    </row>
    <row r="73" spans="1:10" ht="24.95" hidden="1" customHeight="1">
      <c r="A73" s="141"/>
      <c r="B73" s="141"/>
      <c r="C73" s="143"/>
      <c r="D73" s="143"/>
      <c r="E73" s="141"/>
      <c r="F73" s="232"/>
      <c r="G73" s="150"/>
      <c r="H73" s="150"/>
      <c r="I73" s="145"/>
      <c r="J73" s="145"/>
    </row>
    <row r="74" spans="1:10" ht="24.95" hidden="1" customHeight="1">
      <c r="A74" s="141"/>
      <c r="B74" s="141"/>
      <c r="C74" s="143"/>
      <c r="D74" s="143"/>
      <c r="E74" s="141"/>
      <c r="F74" s="232"/>
      <c r="G74" s="150"/>
      <c r="H74" s="150"/>
      <c r="I74" s="145"/>
      <c r="J74" s="145"/>
    </row>
    <row r="75" spans="1:10" ht="24.95" hidden="1" customHeight="1">
      <c r="A75" s="141"/>
      <c r="B75" s="141"/>
      <c r="C75" s="143"/>
      <c r="D75" s="143"/>
      <c r="E75" s="141"/>
      <c r="F75" s="232"/>
      <c r="G75" s="150"/>
      <c r="H75" s="150"/>
      <c r="I75" s="145"/>
      <c r="J75" s="145"/>
    </row>
    <row r="76" spans="1:10" ht="24.95" hidden="1" customHeight="1">
      <c r="A76" s="141"/>
      <c r="B76" s="141"/>
      <c r="C76" s="143"/>
      <c r="D76" s="143"/>
      <c r="E76" s="141"/>
      <c r="F76" s="232"/>
      <c r="G76" s="150"/>
      <c r="H76" s="150"/>
      <c r="I76" s="145"/>
      <c r="J76" s="145"/>
    </row>
    <row r="77" spans="1:10" ht="24.95" hidden="1" customHeight="1">
      <c r="A77" s="141"/>
      <c r="B77" s="141"/>
      <c r="C77" s="143"/>
      <c r="D77" s="143"/>
      <c r="E77" s="141"/>
      <c r="F77" s="232"/>
      <c r="G77" s="150"/>
      <c r="H77" s="150"/>
      <c r="I77" s="145"/>
      <c r="J77" s="145"/>
    </row>
    <row r="78" spans="1:10" ht="24.95" hidden="1" customHeight="1">
      <c r="A78" s="141"/>
      <c r="B78" s="141"/>
      <c r="C78" s="143"/>
      <c r="D78" s="143"/>
      <c r="E78" s="141"/>
      <c r="F78" s="232"/>
      <c r="G78" s="150"/>
      <c r="H78" s="150"/>
      <c r="I78" s="145"/>
      <c r="J78" s="145"/>
    </row>
    <row r="79" spans="1:10" ht="24.95" hidden="1" customHeight="1">
      <c r="A79" s="141"/>
      <c r="B79" s="141"/>
      <c r="C79" s="143"/>
      <c r="D79" s="143"/>
      <c r="E79" s="141"/>
      <c r="F79" s="232"/>
      <c r="G79" s="150"/>
      <c r="H79" s="150"/>
      <c r="I79" s="145"/>
      <c r="J79" s="145"/>
    </row>
    <row r="80" spans="1:10" ht="24.95" hidden="1" customHeight="1">
      <c r="A80" s="141"/>
      <c r="B80" s="141"/>
      <c r="C80" s="143"/>
      <c r="D80" s="143"/>
      <c r="E80" s="141"/>
      <c r="F80" s="232"/>
      <c r="G80" s="150"/>
      <c r="H80" s="150"/>
      <c r="I80" s="145"/>
      <c r="J80" s="145"/>
    </row>
    <row r="81" spans="1:10" ht="24.95" hidden="1" customHeight="1">
      <c r="A81" s="141"/>
      <c r="B81" s="141"/>
      <c r="C81" s="143"/>
      <c r="D81" s="143"/>
      <c r="E81" s="141"/>
      <c r="F81" s="232"/>
      <c r="G81" s="150"/>
      <c r="H81" s="150"/>
      <c r="I81" s="145"/>
      <c r="J81" s="145"/>
    </row>
    <row r="82" spans="1:10" ht="24.95" hidden="1" customHeight="1">
      <c r="A82" s="141"/>
      <c r="B82" s="141"/>
      <c r="C82" s="143"/>
      <c r="D82" s="143"/>
      <c r="E82" s="141"/>
      <c r="F82" s="232"/>
      <c r="G82" s="150"/>
      <c r="H82" s="150"/>
      <c r="I82" s="145"/>
      <c r="J82" s="145"/>
    </row>
    <row r="83" spans="1:10" ht="24.95" hidden="1" customHeight="1">
      <c r="A83" s="141"/>
      <c r="B83" s="141"/>
      <c r="C83" s="143"/>
      <c r="D83" s="143"/>
      <c r="E83" s="141"/>
      <c r="F83" s="232"/>
      <c r="G83" s="150"/>
      <c r="H83" s="150"/>
      <c r="I83" s="145"/>
      <c r="J83" s="145"/>
    </row>
    <row r="84" spans="1:10" ht="24.95" hidden="1" customHeight="1">
      <c r="A84" s="141"/>
      <c r="B84" s="141"/>
      <c r="C84" s="143"/>
      <c r="D84" s="143"/>
      <c r="E84" s="141"/>
      <c r="F84" s="232"/>
      <c r="G84" s="150"/>
      <c r="H84" s="150"/>
      <c r="I84" s="145"/>
      <c r="J84" s="145"/>
    </row>
    <row r="85" spans="1:10" ht="24.95" hidden="1" customHeight="1">
      <c r="A85" s="141"/>
      <c r="B85" s="141"/>
      <c r="C85" s="143"/>
      <c r="D85" s="143"/>
      <c r="E85" s="141"/>
      <c r="F85" s="232"/>
      <c r="G85" s="150"/>
      <c r="H85" s="150"/>
      <c r="I85" s="145"/>
      <c r="J85" s="145"/>
    </row>
    <row r="86" spans="1:10" ht="24.95" hidden="1" customHeight="1">
      <c r="A86" s="141"/>
      <c r="B86" s="141"/>
      <c r="C86" s="143"/>
      <c r="D86" s="143"/>
      <c r="E86" s="141"/>
      <c r="F86" s="232"/>
      <c r="G86" s="150"/>
      <c r="H86" s="150"/>
      <c r="I86" s="145"/>
      <c r="J86" s="145"/>
    </row>
    <row r="87" spans="1:10" ht="24.95" hidden="1" customHeight="1">
      <c r="A87" s="141"/>
      <c r="B87" s="141"/>
      <c r="C87" s="143"/>
      <c r="D87" s="143"/>
      <c r="E87" s="141"/>
      <c r="F87" s="232"/>
      <c r="G87" s="150"/>
      <c r="H87" s="150"/>
      <c r="I87" s="145"/>
      <c r="J87" s="145"/>
    </row>
    <row r="88" spans="1:10" ht="24.95" hidden="1" customHeight="1">
      <c r="A88" s="141"/>
      <c r="B88" s="141"/>
      <c r="C88" s="143"/>
      <c r="D88" s="143"/>
      <c r="E88" s="141"/>
      <c r="F88" s="232"/>
      <c r="G88" s="150"/>
      <c r="H88" s="150"/>
      <c r="I88" s="145"/>
      <c r="J88" s="145"/>
    </row>
    <row r="89" spans="1:10" ht="24.95" hidden="1" customHeight="1">
      <c r="A89" s="141"/>
      <c r="B89" s="141"/>
      <c r="C89" s="143"/>
      <c r="D89" s="143"/>
      <c r="E89" s="141"/>
      <c r="F89" s="232"/>
      <c r="G89" s="150"/>
      <c r="H89" s="150"/>
      <c r="I89" s="145"/>
      <c r="J89" s="145"/>
    </row>
    <row r="90" spans="1:10" ht="24.95" hidden="1" customHeight="1">
      <c r="A90" s="141"/>
      <c r="B90" s="141"/>
      <c r="C90" s="143"/>
      <c r="D90" s="143"/>
      <c r="E90" s="141"/>
      <c r="F90" s="232"/>
      <c r="G90" s="150"/>
      <c r="H90" s="150"/>
      <c r="I90" s="145"/>
      <c r="J90" s="145"/>
    </row>
    <row r="91" spans="1:10" ht="24.95" hidden="1" customHeight="1">
      <c r="A91" s="141"/>
      <c r="B91" s="141"/>
      <c r="C91" s="143"/>
      <c r="D91" s="143"/>
      <c r="E91" s="141"/>
      <c r="F91" s="232"/>
      <c r="G91" s="150"/>
      <c r="H91" s="150"/>
      <c r="I91" s="145"/>
      <c r="J91" s="145"/>
    </row>
    <row r="92" spans="1:10" ht="24.95" hidden="1" customHeight="1">
      <c r="A92" s="141"/>
      <c r="B92" s="141"/>
      <c r="C92" s="143"/>
      <c r="D92" s="143"/>
      <c r="E92" s="141"/>
      <c r="F92" s="232"/>
      <c r="G92" s="150"/>
      <c r="H92" s="150"/>
      <c r="I92" s="145"/>
      <c r="J92" s="145"/>
    </row>
    <row r="93" spans="1:10" ht="24.95" hidden="1" customHeight="1">
      <c r="A93" s="141"/>
      <c r="B93" s="141"/>
      <c r="C93" s="143"/>
      <c r="D93" s="143"/>
      <c r="E93" s="141"/>
      <c r="F93" s="232"/>
      <c r="G93" s="150"/>
      <c r="H93" s="150"/>
      <c r="I93" s="145"/>
      <c r="J93" s="145"/>
    </row>
    <row r="94" spans="1:10" ht="24.95" hidden="1" customHeight="1">
      <c r="A94" s="141"/>
      <c r="B94" s="141"/>
      <c r="C94" s="143"/>
      <c r="D94" s="143"/>
      <c r="E94" s="141"/>
      <c r="F94" s="232"/>
      <c r="G94" s="150"/>
      <c r="H94" s="150"/>
      <c r="I94" s="145"/>
      <c r="J94" s="145"/>
    </row>
    <row r="95" spans="1:10" ht="24.95" hidden="1" customHeight="1">
      <c r="A95" s="141"/>
      <c r="B95" s="141"/>
      <c r="C95" s="143"/>
      <c r="D95" s="143"/>
      <c r="E95" s="141"/>
      <c r="F95" s="232"/>
      <c r="G95" s="150"/>
      <c r="H95" s="150"/>
      <c r="I95" s="145"/>
      <c r="J95" s="145"/>
    </row>
    <row r="96" spans="1:10" ht="24.95" hidden="1" customHeight="1">
      <c r="A96" s="141"/>
      <c r="B96" s="141"/>
      <c r="C96" s="143"/>
      <c r="D96" s="143"/>
      <c r="E96" s="141"/>
      <c r="F96" s="232"/>
      <c r="G96" s="150"/>
      <c r="H96" s="150"/>
      <c r="I96" s="145"/>
      <c r="J96" s="145"/>
    </row>
    <row r="97" spans="1:10" ht="24.95" hidden="1" customHeight="1">
      <c r="A97" s="141"/>
      <c r="B97" s="141"/>
      <c r="C97" s="143"/>
      <c r="D97" s="143"/>
      <c r="E97" s="141"/>
      <c r="F97" s="232"/>
      <c r="G97" s="150"/>
      <c r="H97" s="150"/>
      <c r="I97" s="145"/>
      <c r="J97" s="145"/>
    </row>
    <row r="98" spans="1:10" ht="24.95" hidden="1" customHeight="1">
      <c r="A98" s="141"/>
      <c r="B98" s="141"/>
      <c r="C98" s="143"/>
      <c r="D98" s="143"/>
      <c r="E98" s="141"/>
      <c r="F98" s="232"/>
      <c r="G98" s="150"/>
      <c r="H98" s="150"/>
      <c r="I98" s="145"/>
      <c r="J98" s="145"/>
    </row>
    <row r="99" spans="1:10" ht="24.95" hidden="1" customHeight="1">
      <c r="A99" s="141"/>
      <c r="B99" s="141"/>
      <c r="C99" s="143"/>
      <c r="D99" s="143"/>
      <c r="E99" s="141"/>
      <c r="F99" s="232"/>
      <c r="G99" s="150"/>
      <c r="H99" s="150"/>
      <c r="I99" s="145"/>
      <c r="J99" s="145"/>
    </row>
    <row r="100" spans="1:10" ht="24.95" hidden="1" customHeight="1">
      <c r="A100" s="141"/>
      <c r="B100" s="141"/>
      <c r="C100" s="143"/>
      <c r="D100" s="143"/>
      <c r="E100" s="141"/>
      <c r="F100" s="232"/>
      <c r="G100" s="150"/>
      <c r="H100" s="150"/>
      <c r="I100" s="145"/>
      <c r="J100" s="145"/>
    </row>
    <row r="101" spans="1:10" ht="24.95" hidden="1" customHeight="1">
      <c r="A101" s="141"/>
      <c r="B101" s="141"/>
      <c r="C101" s="143"/>
      <c r="D101" s="143"/>
      <c r="E101" s="141"/>
      <c r="F101" s="232"/>
      <c r="G101" s="150"/>
      <c r="H101" s="150"/>
      <c r="I101" s="145"/>
      <c r="J101" s="145"/>
    </row>
    <row r="102" spans="1:10" ht="24.95" hidden="1" customHeight="1">
      <c r="A102" s="141"/>
      <c r="B102" s="141"/>
      <c r="C102" s="143"/>
      <c r="D102" s="143"/>
      <c r="E102" s="141"/>
      <c r="F102" s="232"/>
      <c r="G102" s="150"/>
      <c r="H102" s="150"/>
      <c r="I102" s="145"/>
      <c r="J102" s="145"/>
    </row>
    <row r="103" spans="1:10" ht="24.95" hidden="1" customHeight="1">
      <c r="A103" s="141"/>
      <c r="B103" s="141"/>
      <c r="C103" s="143"/>
      <c r="D103" s="143"/>
      <c r="E103" s="141"/>
      <c r="F103" s="232"/>
      <c r="G103" s="150"/>
      <c r="H103" s="150"/>
      <c r="I103" s="145"/>
      <c r="J103" s="145"/>
    </row>
    <row r="104" spans="1:10" ht="24.95" hidden="1" customHeight="1">
      <c r="A104" s="141"/>
      <c r="B104" s="141"/>
      <c r="C104" s="143"/>
      <c r="D104" s="143"/>
      <c r="E104" s="141"/>
      <c r="F104" s="232"/>
      <c r="G104" s="150"/>
      <c r="H104" s="150"/>
      <c r="I104" s="145"/>
      <c r="J104" s="145"/>
    </row>
    <row r="105" spans="1:10" ht="24.95" hidden="1" customHeight="1">
      <c r="A105" s="141"/>
      <c r="B105" s="141"/>
      <c r="C105" s="143"/>
      <c r="D105" s="143"/>
      <c r="E105" s="141"/>
      <c r="F105" s="232"/>
      <c r="G105" s="150"/>
      <c r="H105" s="150"/>
      <c r="I105" s="145"/>
      <c r="J105" s="145"/>
    </row>
    <row r="106" spans="1:10" ht="24.95" hidden="1" customHeight="1">
      <c r="A106" s="141"/>
      <c r="B106" s="141"/>
      <c r="C106" s="143"/>
      <c r="D106" s="143"/>
      <c r="E106" s="141"/>
      <c r="F106" s="232"/>
      <c r="G106" s="150"/>
      <c r="H106" s="150"/>
      <c r="I106" s="145"/>
      <c r="J106" s="145"/>
    </row>
    <row r="107" spans="1:10" ht="24.95" hidden="1" customHeight="1">
      <c r="A107" s="141"/>
      <c r="B107" s="141"/>
      <c r="C107" s="143"/>
      <c r="D107" s="143"/>
      <c r="E107" s="141"/>
      <c r="F107" s="232"/>
      <c r="G107" s="150"/>
      <c r="H107" s="150"/>
      <c r="I107" s="145"/>
      <c r="J107" s="145"/>
    </row>
    <row r="108" spans="1:10" ht="24.95" hidden="1" customHeight="1">
      <c r="A108" s="141"/>
      <c r="B108" s="141"/>
      <c r="C108" s="143"/>
      <c r="D108" s="143"/>
      <c r="E108" s="141"/>
      <c r="F108" s="232"/>
      <c r="G108" s="150"/>
      <c r="H108" s="150"/>
      <c r="I108" s="145"/>
      <c r="J108" s="145"/>
    </row>
    <row r="109" spans="1:10" ht="24.95" hidden="1" customHeight="1">
      <c r="A109" s="141"/>
      <c r="B109" s="141"/>
      <c r="C109" s="143"/>
      <c r="D109" s="143"/>
      <c r="E109" s="141"/>
      <c r="F109" s="232"/>
      <c r="G109" s="150"/>
      <c r="H109" s="150"/>
      <c r="I109" s="145"/>
      <c r="J109" s="145"/>
    </row>
    <row r="110" spans="1:10" ht="24.95" hidden="1" customHeight="1">
      <c r="A110" s="141"/>
      <c r="B110" s="141"/>
      <c r="C110" s="143"/>
      <c r="D110" s="143"/>
      <c r="E110" s="141"/>
      <c r="F110" s="232"/>
      <c r="G110" s="150"/>
      <c r="H110" s="150"/>
      <c r="I110" s="145"/>
      <c r="J110" s="145"/>
    </row>
    <row r="111" spans="1:10" ht="24.95" hidden="1" customHeight="1">
      <c r="A111" s="141"/>
      <c r="B111" s="141"/>
      <c r="C111" s="143"/>
      <c r="D111" s="143"/>
      <c r="E111" s="141"/>
      <c r="F111" s="232"/>
      <c r="G111" s="150"/>
      <c r="H111" s="150"/>
      <c r="I111" s="145"/>
      <c r="J111" s="145"/>
    </row>
    <row r="112" spans="1:10" ht="24.95" hidden="1" customHeight="1">
      <c r="A112" s="141"/>
      <c r="B112" s="141"/>
      <c r="C112" s="143"/>
      <c r="D112" s="143"/>
      <c r="E112" s="141"/>
      <c r="F112" s="232"/>
      <c r="G112" s="150"/>
      <c r="H112" s="150"/>
      <c r="I112" s="145"/>
      <c r="J112" s="145"/>
    </row>
    <row r="113" spans="1:10" ht="24.95" hidden="1" customHeight="1">
      <c r="A113" s="141"/>
      <c r="B113" s="141"/>
      <c r="C113" s="143"/>
      <c r="D113" s="143"/>
      <c r="E113" s="141"/>
      <c r="F113" s="232"/>
      <c r="G113" s="150"/>
      <c r="H113" s="150"/>
      <c r="I113" s="145"/>
      <c r="J113" s="145"/>
    </row>
    <row r="114" spans="1:10" ht="24.95" hidden="1" customHeight="1">
      <c r="A114" s="141"/>
      <c r="B114" s="141"/>
      <c r="C114" s="143"/>
      <c r="D114" s="143"/>
      <c r="E114" s="141"/>
      <c r="F114" s="232"/>
      <c r="G114" s="150"/>
      <c r="H114" s="150"/>
      <c r="I114" s="145"/>
      <c r="J114" s="145"/>
    </row>
    <row r="115" spans="1:10" ht="24.95" hidden="1" customHeight="1">
      <c r="A115" s="141"/>
      <c r="B115" s="141"/>
      <c r="C115" s="143"/>
      <c r="D115" s="143"/>
      <c r="E115" s="141"/>
      <c r="F115" s="232"/>
      <c r="G115" s="150"/>
      <c r="H115" s="150"/>
      <c r="I115" s="145"/>
      <c r="J115" s="145"/>
    </row>
    <row r="116" spans="1:10" ht="24.95" hidden="1" customHeight="1">
      <c r="A116" s="141"/>
      <c r="B116" s="141"/>
      <c r="C116" s="143"/>
      <c r="D116" s="143"/>
      <c r="E116" s="141"/>
      <c r="F116" s="232"/>
      <c r="G116" s="150"/>
      <c r="H116" s="150"/>
      <c r="I116" s="145"/>
      <c r="J116" s="145"/>
    </row>
    <row r="117" spans="1:10" ht="24.95" hidden="1" customHeight="1">
      <c r="A117" s="141"/>
      <c r="B117" s="141"/>
      <c r="C117" s="143"/>
      <c r="D117" s="143"/>
      <c r="E117" s="141"/>
      <c r="F117" s="232"/>
      <c r="G117" s="150"/>
      <c r="H117" s="150"/>
      <c r="I117" s="145"/>
      <c r="J117" s="145"/>
    </row>
    <row r="118" spans="1:10" ht="24.95" hidden="1" customHeight="1">
      <c r="A118" s="141"/>
      <c r="B118" s="141"/>
      <c r="C118" s="143"/>
      <c r="D118" s="143"/>
      <c r="E118" s="141"/>
      <c r="F118" s="232"/>
      <c r="G118" s="150"/>
      <c r="H118" s="150"/>
      <c r="I118" s="145"/>
      <c r="J118" s="145"/>
    </row>
    <row r="119" spans="1:10" ht="24.95" hidden="1" customHeight="1">
      <c r="A119" s="141"/>
      <c r="B119" s="141"/>
      <c r="C119" s="143"/>
      <c r="D119" s="143"/>
      <c r="E119" s="141"/>
      <c r="F119" s="232"/>
      <c r="G119" s="150"/>
      <c r="H119" s="150"/>
      <c r="I119" s="145"/>
      <c r="J119" s="145"/>
    </row>
    <row r="120" spans="1:10" ht="24.95" hidden="1" customHeight="1">
      <c r="A120" s="141"/>
      <c r="B120" s="141"/>
      <c r="C120" s="143"/>
      <c r="D120" s="143"/>
      <c r="E120" s="141"/>
      <c r="F120" s="232"/>
      <c r="G120" s="150"/>
      <c r="H120" s="150"/>
      <c r="I120" s="145"/>
      <c r="J120" s="145"/>
    </row>
    <row r="121" spans="1:10" ht="24.95" hidden="1" customHeight="1">
      <c r="A121" s="141"/>
      <c r="B121" s="141"/>
      <c r="C121" s="143"/>
      <c r="D121" s="143"/>
      <c r="E121" s="141"/>
      <c r="F121" s="232"/>
      <c r="G121" s="150"/>
      <c r="H121" s="150"/>
      <c r="I121" s="145"/>
      <c r="J121" s="145"/>
    </row>
    <row r="122" spans="1:10" ht="24.95" hidden="1" customHeight="1">
      <c r="A122" s="141"/>
      <c r="B122" s="141"/>
      <c r="C122" s="143"/>
      <c r="D122" s="143"/>
      <c r="E122" s="141"/>
      <c r="F122" s="232"/>
      <c r="G122" s="150"/>
      <c r="H122" s="150"/>
      <c r="I122" s="145"/>
      <c r="J122" s="145"/>
    </row>
    <row r="123" spans="1:10" ht="24.95" hidden="1" customHeight="1">
      <c r="A123" s="141"/>
      <c r="B123" s="141"/>
      <c r="C123" s="143"/>
      <c r="D123" s="143"/>
      <c r="E123" s="141"/>
      <c r="F123" s="232"/>
      <c r="G123" s="150"/>
      <c r="H123" s="150"/>
      <c r="I123" s="145"/>
      <c r="J123" s="145"/>
    </row>
    <row r="124" spans="1:10" ht="24.95" hidden="1" customHeight="1">
      <c r="A124" s="141"/>
      <c r="B124" s="141"/>
      <c r="C124" s="143"/>
      <c r="D124" s="143"/>
      <c r="E124" s="141"/>
      <c r="F124" s="232"/>
      <c r="G124" s="150"/>
      <c r="H124" s="150"/>
      <c r="I124" s="145"/>
      <c r="J124" s="145"/>
    </row>
    <row r="125" spans="1:10" ht="24.95" hidden="1" customHeight="1">
      <c r="A125" s="141"/>
      <c r="B125" s="141"/>
      <c r="C125" s="143"/>
      <c r="D125" s="143"/>
      <c r="E125" s="141"/>
      <c r="F125" s="232"/>
      <c r="G125" s="150"/>
      <c r="H125" s="150"/>
      <c r="I125" s="145"/>
      <c r="J125" s="145"/>
    </row>
    <row r="126" spans="1:10" ht="24.95" hidden="1" customHeight="1">
      <c r="A126" s="141"/>
      <c r="B126" s="141"/>
      <c r="C126" s="143"/>
      <c r="D126" s="143"/>
      <c r="E126" s="141"/>
      <c r="F126" s="232"/>
      <c r="G126" s="150"/>
      <c r="H126" s="150"/>
      <c r="I126" s="145"/>
      <c r="J126" s="145"/>
    </row>
    <row r="127" spans="1:10" ht="24.95" hidden="1" customHeight="1">
      <c r="A127" s="141"/>
      <c r="B127" s="141"/>
      <c r="C127" s="143"/>
      <c r="D127" s="143"/>
      <c r="E127" s="141"/>
      <c r="F127" s="232"/>
      <c r="G127" s="150"/>
      <c r="H127" s="150"/>
      <c r="I127" s="145"/>
      <c r="J127" s="145"/>
    </row>
    <row r="128" spans="1:10" ht="24.95" hidden="1" customHeight="1">
      <c r="A128" s="141"/>
      <c r="B128" s="141"/>
      <c r="C128" s="143"/>
      <c r="D128" s="143"/>
      <c r="E128" s="141"/>
      <c r="F128" s="232"/>
      <c r="G128" s="150"/>
      <c r="H128" s="150"/>
      <c r="I128" s="145"/>
      <c r="J128" s="145"/>
    </row>
    <row r="129" spans="1:10" ht="24.95" hidden="1" customHeight="1">
      <c r="A129" s="141"/>
      <c r="B129" s="141"/>
      <c r="C129" s="143"/>
      <c r="D129" s="143"/>
      <c r="E129" s="141"/>
      <c r="F129" s="232"/>
      <c r="G129" s="150"/>
      <c r="H129" s="150"/>
      <c r="I129" s="145"/>
      <c r="J129" s="145"/>
    </row>
    <row r="130" spans="1:10" ht="24.95" hidden="1" customHeight="1">
      <c r="A130" s="141"/>
      <c r="B130" s="141"/>
      <c r="C130" s="143"/>
      <c r="D130" s="143"/>
      <c r="E130" s="141"/>
      <c r="F130" s="232"/>
      <c r="G130" s="150"/>
      <c r="H130" s="150"/>
      <c r="I130" s="145"/>
      <c r="J130" s="145"/>
    </row>
    <row r="131" spans="1:10" ht="24.95" hidden="1" customHeight="1">
      <c r="A131" s="141"/>
      <c r="B131" s="141"/>
      <c r="C131" s="143"/>
      <c r="D131" s="143"/>
      <c r="E131" s="141"/>
      <c r="F131" s="232"/>
      <c r="G131" s="150"/>
      <c r="H131" s="150"/>
      <c r="I131" s="145"/>
      <c r="J131" s="145"/>
    </row>
    <row r="132" spans="1:10" ht="24.95" hidden="1" customHeight="1">
      <c r="A132" s="141"/>
      <c r="B132" s="141"/>
      <c r="C132" s="143"/>
      <c r="D132" s="143"/>
      <c r="E132" s="141"/>
      <c r="F132" s="232"/>
      <c r="G132" s="150"/>
      <c r="H132" s="150"/>
      <c r="I132" s="145"/>
      <c r="J132" s="145"/>
    </row>
    <row r="133" spans="1:10" ht="24.95" hidden="1" customHeight="1">
      <c r="A133" s="141"/>
      <c r="B133" s="141"/>
      <c r="C133" s="143"/>
      <c r="D133" s="143"/>
      <c r="E133" s="141"/>
      <c r="F133" s="232"/>
      <c r="G133" s="150"/>
      <c r="H133" s="150"/>
      <c r="I133" s="145"/>
      <c r="J133" s="145"/>
    </row>
    <row r="134" spans="1:10" ht="24.95" hidden="1" customHeight="1">
      <c r="A134" s="141"/>
      <c r="B134" s="141"/>
      <c r="C134" s="143"/>
      <c r="D134" s="143"/>
      <c r="E134" s="141"/>
      <c r="F134" s="232"/>
      <c r="G134" s="150"/>
      <c r="H134" s="150"/>
      <c r="I134" s="145"/>
      <c r="J134" s="145"/>
    </row>
    <row r="135" spans="1:10" ht="24.95" hidden="1" customHeight="1">
      <c r="A135" s="141"/>
      <c r="B135" s="141"/>
      <c r="C135" s="143"/>
      <c r="D135" s="143"/>
      <c r="E135" s="141"/>
      <c r="F135" s="232"/>
      <c r="G135" s="150"/>
      <c r="H135" s="150"/>
      <c r="I135" s="145"/>
      <c r="J135" s="145"/>
    </row>
    <row r="136" spans="1:10" ht="24.95" hidden="1" customHeight="1">
      <c r="A136" s="141"/>
      <c r="B136" s="141"/>
      <c r="C136" s="143"/>
      <c r="D136" s="143"/>
      <c r="E136" s="141"/>
      <c r="F136" s="232"/>
      <c r="G136" s="150"/>
      <c r="H136" s="150"/>
      <c r="I136" s="145"/>
      <c r="J136" s="145"/>
    </row>
    <row r="137" spans="1:10" ht="24.95" hidden="1" customHeight="1">
      <c r="A137" s="141"/>
      <c r="B137" s="141"/>
      <c r="C137" s="143"/>
      <c r="D137" s="143"/>
      <c r="E137" s="141"/>
      <c r="F137" s="232"/>
      <c r="G137" s="150"/>
      <c r="H137" s="150"/>
      <c r="I137" s="145"/>
      <c r="J137" s="145"/>
    </row>
    <row r="138" spans="1:10" ht="24.95" hidden="1" customHeight="1">
      <c r="A138" s="141"/>
      <c r="B138" s="141"/>
      <c r="C138" s="143"/>
      <c r="D138" s="143"/>
      <c r="E138" s="141"/>
      <c r="F138" s="232"/>
      <c r="G138" s="150"/>
      <c r="H138" s="150"/>
      <c r="I138" s="145"/>
      <c r="J138" s="145"/>
    </row>
    <row r="139" spans="1:10" ht="24.95" hidden="1" customHeight="1">
      <c r="A139" s="141"/>
      <c r="B139" s="141"/>
      <c r="C139" s="143"/>
      <c r="D139" s="143"/>
      <c r="E139" s="141"/>
      <c r="F139" s="232"/>
      <c r="G139" s="150"/>
      <c r="H139" s="150"/>
      <c r="I139" s="145"/>
      <c r="J139" s="145"/>
    </row>
    <row r="140" spans="1:10" ht="24.95" hidden="1" customHeight="1">
      <c r="A140" s="141"/>
      <c r="B140" s="141"/>
      <c r="C140" s="143"/>
      <c r="D140" s="143"/>
      <c r="E140" s="141"/>
      <c r="F140" s="232"/>
      <c r="G140" s="150"/>
      <c r="H140" s="150"/>
      <c r="I140" s="145"/>
      <c r="J140" s="145"/>
    </row>
    <row r="141" spans="1:10" ht="24.95" hidden="1" customHeight="1">
      <c r="A141" s="141"/>
      <c r="B141" s="141"/>
      <c r="C141" s="143"/>
      <c r="D141" s="143"/>
      <c r="E141" s="141"/>
      <c r="F141" s="232"/>
      <c r="G141" s="150"/>
      <c r="H141" s="150"/>
      <c r="I141" s="145"/>
      <c r="J141" s="145"/>
    </row>
    <row r="142" spans="1:10" ht="24.95" hidden="1" customHeight="1">
      <c r="A142" s="141"/>
      <c r="B142" s="141"/>
      <c r="C142" s="143"/>
      <c r="D142" s="143"/>
      <c r="E142" s="141"/>
      <c r="F142" s="232"/>
      <c r="G142" s="150"/>
      <c r="H142" s="150"/>
      <c r="I142" s="145"/>
      <c r="J142" s="145"/>
    </row>
    <row r="143" spans="1:10" ht="24.95" hidden="1" customHeight="1">
      <c r="A143" s="141"/>
      <c r="B143" s="141"/>
      <c r="C143" s="143"/>
      <c r="D143" s="143"/>
      <c r="E143" s="141"/>
      <c r="F143" s="232"/>
      <c r="G143" s="150"/>
      <c r="H143" s="150"/>
      <c r="I143" s="145"/>
      <c r="J143" s="145"/>
    </row>
    <row r="144" spans="1:10" ht="24.95" hidden="1" customHeight="1">
      <c r="A144" s="141"/>
      <c r="B144" s="141"/>
      <c r="C144" s="143"/>
      <c r="D144" s="143"/>
      <c r="E144" s="141"/>
      <c r="F144" s="232"/>
      <c r="G144" s="150"/>
      <c r="H144" s="150"/>
      <c r="I144" s="145"/>
      <c r="J144" s="145"/>
    </row>
    <row r="145" spans="1:10" ht="24.95" hidden="1" customHeight="1">
      <c r="A145" s="141"/>
      <c r="B145" s="141"/>
      <c r="C145" s="143"/>
      <c r="D145" s="143"/>
      <c r="E145" s="141"/>
      <c r="F145" s="232"/>
      <c r="G145" s="150"/>
      <c r="H145" s="150"/>
      <c r="I145" s="145"/>
      <c r="J145" s="145"/>
    </row>
    <row r="146" spans="1:10" ht="24.95" hidden="1" customHeight="1">
      <c r="A146" s="141"/>
      <c r="B146" s="141"/>
      <c r="C146" s="143"/>
      <c r="D146" s="143"/>
      <c r="E146" s="141"/>
      <c r="F146" s="232"/>
      <c r="G146" s="150"/>
      <c r="H146" s="150"/>
      <c r="I146" s="145"/>
      <c r="J146" s="145"/>
    </row>
    <row r="147" spans="1:10" ht="24.95" hidden="1" customHeight="1">
      <c r="A147" s="141"/>
      <c r="B147" s="141"/>
      <c r="C147" s="143"/>
      <c r="D147" s="143"/>
      <c r="E147" s="141"/>
      <c r="F147" s="232"/>
      <c r="G147" s="150"/>
      <c r="H147" s="150"/>
      <c r="I147" s="145"/>
      <c r="J147" s="145"/>
    </row>
    <row r="148" spans="1:10" ht="24.95" hidden="1" customHeight="1">
      <c r="A148" s="141"/>
      <c r="B148" s="141"/>
      <c r="C148" s="143"/>
      <c r="D148" s="143"/>
      <c r="E148" s="141"/>
      <c r="F148" s="232"/>
      <c r="G148" s="150"/>
      <c r="H148" s="150"/>
      <c r="I148" s="145"/>
      <c r="J148" s="145"/>
    </row>
    <row r="149" spans="1:10" ht="24.95" hidden="1" customHeight="1">
      <c r="A149" s="141"/>
      <c r="B149" s="141"/>
      <c r="C149" s="143"/>
      <c r="D149" s="143"/>
      <c r="E149" s="141"/>
      <c r="F149" s="232"/>
      <c r="G149" s="150"/>
      <c r="H149" s="150"/>
      <c r="I149" s="145"/>
      <c r="J149" s="145"/>
    </row>
    <row r="150" spans="1:10" ht="24.95" hidden="1" customHeight="1">
      <c r="A150" s="141"/>
      <c r="B150" s="141"/>
      <c r="C150" s="143"/>
      <c r="D150" s="143"/>
      <c r="E150" s="141"/>
      <c r="F150" s="232"/>
      <c r="G150" s="150"/>
      <c r="H150" s="150"/>
      <c r="I150" s="145"/>
      <c r="J150" s="145"/>
    </row>
    <row r="151" spans="1:10" ht="24.95" hidden="1" customHeight="1">
      <c r="A151" s="141"/>
      <c r="B151" s="141"/>
      <c r="C151" s="143"/>
      <c r="D151" s="143"/>
      <c r="E151" s="141"/>
      <c r="F151" s="232"/>
      <c r="G151" s="150"/>
      <c r="H151" s="150"/>
      <c r="I151" s="145"/>
      <c r="J151" s="145"/>
    </row>
    <row r="152" spans="1:10" ht="24.95" hidden="1" customHeight="1">
      <c r="A152" s="141"/>
      <c r="B152" s="141"/>
      <c r="C152" s="143"/>
      <c r="D152" s="143"/>
      <c r="E152" s="141"/>
      <c r="F152" s="232"/>
      <c r="G152" s="150"/>
      <c r="H152" s="150"/>
      <c r="I152" s="145"/>
      <c r="J152" s="145"/>
    </row>
    <row r="153" spans="1:10" ht="24.95" hidden="1" customHeight="1">
      <c r="A153" s="141"/>
      <c r="B153" s="141"/>
      <c r="C153" s="143"/>
      <c r="D153" s="143"/>
      <c r="E153" s="141"/>
      <c r="F153" s="232"/>
      <c r="G153" s="150"/>
      <c r="H153" s="150"/>
      <c r="I153" s="145"/>
      <c r="J153" s="145"/>
    </row>
    <row r="154" spans="1:10" ht="24.95" hidden="1" customHeight="1">
      <c r="A154" s="141"/>
      <c r="B154" s="141"/>
      <c r="C154" s="143"/>
      <c r="D154" s="143"/>
      <c r="E154" s="141"/>
      <c r="F154" s="232"/>
      <c r="G154" s="150"/>
      <c r="H154" s="150"/>
      <c r="I154" s="145"/>
      <c r="J154" s="145"/>
    </row>
    <row r="155" spans="1:10" ht="24.95" hidden="1" customHeight="1">
      <c r="A155" s="141"/>
      <c r="B155" s="141"/>
      <c r="C155" s="143"/>
      <c r="D155" s="143"/>
      <c r="E155" s="141"/>
      <c r="F155" s="232"/>
      <c r="G155" s="150"/>
      <c r="H155" s="150"/>
      <c r="I155" s="145"/>
      <c r="J155" s="145"/>
    </row>
    <row r="156" spans="1:10" ht="24.95" hidden="1" customHeight="1">
      <c r="A156" s="141"/>
      <c r="B156" s="141"/>
      <c r="C156" s="143"/>
      <c r="D156" s="143"/>
      <c r="E156" s="141"/>
      <c r="F156" s="232"/>
      <c r="G156" s="150"/>
      <c r="H156" s="150"/>
      <c r="I156" s="145"/>
      <c r="J156" s="145"/>
    </row>
    <row r="157" spans="1:10" ht="24.95" hidden="1" customHeight="1">
      <c r="A157" s="141"/>
      <c r="B157" s="141"/>
      <c r="C157" s="143"/>
      <c r="D157" s="143"/>
      <c r="E157" s="141"/>
      <c r="F157" s="232"/>
      <c r="G157" s="150"/>
      <c r="H157" s="150"/>
      <c r="I157" s="145"/>
      <c r="J157" s="145"/>
    </row>
    <row r="158" spans="1:10" ht="24.95" hidden="1" customHeight="1">
      <c r="A158" s="141"/>
      <c r="B158" s="141"/>
      <c r="C158" s="143"/>
      <c r="D158" s="143"/>
      <c r="E158" s="141"/>
      <c r="F158" s="232"/>
      <c r="G158" s="150"/>
      <c r="H158" s="150"/>
      <c r="I158" s="145"/>
      <c r="J158" s="145"/>
    </row>
    <row r="159" spans="1:10" ht="24.95" hidden="1" customHeight="1">
      <c r="A159" s="141"/>
      <c r="B159" s="141"/>
      <c r="C159" s="143"/>
      <c r="D159" s="143"/>
      <c r="E159" s="141"/>
      <c r="F159" s="232"/>
      <c r="G159" s="150"/>
      <c r="H159" s="150"/>
      <c r="I159" s="145"/>
      <c r="J159" s="145"/>
    </row>
    <row r="160" spans="1:10" ht="24.95" hidden="1" customHeight="1">
      <c r="A160" s="141"/>
      <c r="B160" s="141"/>
      <c r="C160" s="143"/>
      <c r="D160" s="143"/>
      <c r="E160" s="141"/>
      <c r="F160" s="232"/>
      <c r="G160" s="150"/>
      <c r="H160" s="150"/>
      <c r="I160" s="145"/>
      <c r="J160" s="145"/>
    </row>
    <row r="161" spans="1:10" ht="24.95" hidden="1" customHeight="1">
      <c r="A161" s="141"/>
      <c r="B161" s="141"/>
      <c r="C161" s="143"/>
      <c r="D161" s="143"/>
      <c r="E161" s="141"/>
      <c r="F161" s="232"/>
      <c r="G161" s="150"/>
      <c r="H161" s="150"/>
      <c r="I161" s="145"/>
      <c r="J161" s="145"/>
    </row>
    <row r="162" spans="1:10" ht="24.95" hidden="1" customHeight="1">
      <c r="A162" s="141"/>
      <c r="B162" s="141"/>
      <c r="C162" s="143"/>
      <c r="D162" s="143"/>
      <c r="E162" s="141"/>
      <c r="F162" s="232"/>
      <c r="G162" s="150"/>
      <c r="H162" s="150"/>
      <c r="I162" s="145"/>
      <c r="J162" s="145"/>
    </row>
    <row r="163" spans="1:10" ht="24.95" hidden="1" customHeight="1">
      <c r="A163" s="141"/>
      <c r="B163" s="141"/>
      <c r="C163" s="143"/>
      <c r="D163" s="143"/>
      <c r="E163" s="141"/>
      <c r="F163" s="232"/>
      <c r="G163" s="150"/>
      <c r="H163" s="150"/>
      <c r="I163" s="145"/>
      <c r="J163" s="145"/>
    </row>
    <row r="164" spans="1:10" ht="24.95" hidden="1" customHeight="1">
      <c r="A164" s="141"/>
      <c r="B164" s="141"/>
      <c r="C164" s="143"/>
      <c r="D164" s="143"/>
      <c r="E164" s="141"/>
      <c r="F164" s="232"/>
      <c r="G164" s="150"/>
      <c r="H164" s="150"/>
      <c r="I164" s="145"/>
      <c r="J164" s="145"/>
    </row>
    <row r="165" spans="1:10" ht="24.95" hidden="1" customHeight="1">
      <c r="A165" s="141"/>
      <c r="B165" s="141"/>
      <c r="C165" s="143"/>
      <c r="D165" s="143"/>
      <c r="E165" s="141"/>
      <c r="F165" s="232"/>
      <c r="G165" s="150"/>
      <c r="H165" s="150"/>
      <c r="I165" s="145"/>
      <c r="J165" s="145"/>
    </row>
    <row r="166" spans="1:10" ht="24.95" hidden="1" customHeight="1">
      <c r="A166" s="141"/>
      <c r="B166" s="141"/>
      <c r="C166" s="143"/>
      <c r="D166" s="143"/>
      <c r="E166" s="141"/>
      <c r="F166" s="232"/>
      <c r="G166" s="150"/>
      <c r="H166" s="150"/>
      <c r="I166" s="145"/>
      <c r="J166" s="145"/>
    </row>
    <row r="167" spans="1:10" ht="24.95" hidden="1" customHeight="1">
      <c r="A167" s="141"/>
      <c r="B167" s="141"/>
      <c r="C167" s="143"/>
      <c r="D167" s="143"/>
      <c r="E167" s="141"/>
      <c r="F167" s="232"/>
      <c r="G167" s="150"/>
      <c r="H167" s="150"/>
      <c r="I167" s="145"/>
      <c r="J167" s="145"/>
    </row>
    <row r="168" spans="1:10" ht="24.95" hidden="1" customHeight="1">
      <c r="A168" s="141"/>
      <c r="B168" s="141"/>
      <c r="C168" s="143"/>
      <c r="D168" s="143"/>
      <c r="E168" s="141"/>
      <c r="F168" s="232"/>
      <c r="G168" s="150"/>
      <c r="H168" s="150"/>
      <c r="I168" s="145"/>
      <c r="J168" s="145"/>
    </row>
    <row r="169" spans="1:10" ht="24.95" hidden="1" customHeight="1">
      <c r="A169" s="141"/>
      <c r="B169" s="141"/>
      <c r="C169" s="143"/>
      <c r="D169" s="143"/>
      <c r="E169" s="141"/>
      <c r="F169" s="232"/>
      <c r="G169" s="150"/>
      <c r="H169" s="150"/>
      <c r="I169" s="145"/>
      <c r="J169" s="145"/>
    </row>
    <row r="170" spans="1:10" ht="24.95" hidden="1" customHeight="1">
      <c r="A170" s="141"/>
      <c r="B170" s="141"/>
      <c r="C170" s="143"/>
      <c r="D170" s="143"/>
      <c r="E170" s="141"/>
      <c r="F170" s="232"/>
      <c r="G170" s="150"/>
      <c r="H170" s="150"/>
      <c r="I170" s="145"/>
      <c r="J170" s="145"/>
    </row>
    <row r="171" spans="1:10" ht="24.95" hidden="1" customHeight="1">
      <c r="A171" s="141"/>
      <c r="B171" s="141"/>
      <c r="C171" s="143"/>
      <c r="D171" s="143"/>
      <c r="E171" s="141"/>
      <c r="F171" s="232"/>
      <c r="G171" s="150"/>
      <c r="H171" s="150"/>
      <c r="I171" s="145"/>
      <c r="J171" s="145"/>
    </row>
    <row r="172" spans="1:10" ht="24.95" hidden="1" customHeight="1">
      <c r="A172" s="141"/>
      <c r="B172" s="141"/>
      <c r="C172" s="143"/>
      <c r="D172" s="143"/>
      <c r="E172" s="141"/>
      <c r="F172" s="232"/>
      <c r="G172" s="150"/>
      <c r="H172" s="150"/>
      <c r="I172" s="145"/>
      <c r="J172" s="145"/>
    </row>
    <row r="173" spans="1:10" ht="24.95" hidden="1" customHeight="1">
      <c r="A173" s="141"/>
      <c r="B173" s="141"/>
      <c r="C173" s="143"/>
      <c r="D173" s="143"/>
      <c r="E173" s="141"/>
      <c r="F173" s="232"/>
      <c r="G173" s="150"/>
      <c r="H173" s="150"/>
      <c r="I173" s="145"/>
      <c r="J173" s="145"/>
    </row>
    <row r="174" spans="1:10" ht="24.95" hidden="1" customHeight="1">
      <c r="A174" s="141"/>
      <c r="B174" s="141"/>
      <c r="C174" s="143"/>
      <c r="D174" s="143"/>
      <c r="E174" s="141"/>
      <c r="F174" s="232"/>
      <c r="G174" s="150"/>
      <c r="H174" s="150"/>
      <c r="I174" s="145"/>
      <c r="J174" s="145"/>
    </row>
    <row r="175" spans="1:10" ht="24.95" hidden="1" customHeight="1">
      <c r="A175" s="141"/>
      <c r="B175" s="141"/>
      <c r="C175" s="143"/>
      <c r="D175" s="143"/>
      <c r="E175" s="141"/>
      <c r="F175" s="232"/>
      <c r="G175" s="150"/>
      <c r="H175" s="150"/>
      <c r="I175" s="145"/>
      <c r="J175" s="145"/>
    </row>
    <row r="176" spans="1:10" ht="24.95" hidden="1" customHeight="1">
      <c r="A176" s="141"/>
      <c r="B176" s="141"/>
      <c r="C176" s="143"/>
      <c r="D176" s="143"/>
      <c r="E176" s="141"/>
      <c r="F176" s="232"/>
      <c r="G176" s="150"/>
      <c r="H176" s="150"/>
      <c r="I176" s="145"/>
      <c r="J176" s="145"/>
    </row>
    <row r="177" spans="1:10" ht="24.95" hidden="1" customHeight="1">
      <c r="A177" s="141"/>
      <c r="B177" s="141"/>
      <c r="C177" s="143"/>
      <c r="D177" s="143"/>
      <c r="E177" s="141"/>
      <c r="F177" s="232"/>
      <c r="G177" s="150"/>
      <c r="H177" s="150"/>
      <c r="I177" s="145"/>
      <c r="J177" s="145"/>
    </row>
    <row r="178" spans="1:10" ht="24.95" hidden="1" customHeight="1">
      <c r="A178" s="141"/>
      <c r="B178" s="141"/>
      <c r="C178" s="143"/>
      <c r="D178" s="143"/>
      <c r="E178" s="141"/>
      <c r="F178" s="232"/>
      <c r="G178" s="150"/>
      <c r="H178" s="150"/>
      <c r="I178" s="145"/>
      <c r="J178" s="145"/>
    </row>
    <row r="179" spans="1:10" ht="24.95" hidden="1" customHeight="1">
      <c r="A179" s="141"/>
      <c r="B179" s="141"/>
      <c r="C179" s="143"/>
      <c r="D179" s="143"/>
      <c r="E179" s="141"/>
      <c r="F179" s="232"/>
      <c r="G179" s="150"/>
      <c r="H179" s="150"/>
      <c r="I179" s="145"/>
      <c r="J179" s="145"/>
    </row>
    <row r="180" spans="1:10" ht="24.95" hidden="1" customHeight="1">
      <c r="A180" s="141"/>
      <c r="B180" s="141"/>
      <c r="C180" s="143"/>
      <c r="D180" s="143"/>
      <c r="E180" s="141"/>
      <c r="F180" s="232"/>
      <c r="G180" s="150"/>
      <c r="H180" s="150"/>
      <c r="I180" s="145"/>
      <c r="J180" s="145"/>
    </row>
    <row r="181" spans="1:10" ht="24.95" hidden="1" customHeight="1">
      <c r="A181" s="141"/>
      <c r="B181" s="141"/>
      <c r="C181" s="143"/>
      <c r="D181" s="143"/>
      <c r="E181" s="141"/>
      <c r="F181" s="232"/>
      <c r="G181" s="150"/>
      <c r="H181" s="150"/>
      <c r="I181" s="145"/>
      <c r="J181" s="145"/>
    </row>
    <row r="182" spans="1:10" ht="24.95" hidden="1" customHeight="1">
      <c r="A182" s="141"/>
      <c r="B182" s="141"/>
      <c r="C182" s="143"/>
      <c r="D182" s="143"/>
      <c r="E182" s="141"/>
      <c r="F182" s="232"/>
      <c r="G182" s="150"/>
      <c r="H182" s="150"/>
      <c r="I182" s="145"/>
      <c r="J182" s="145"/>
    </row>
    <row r="183" spans="1:10" ht="24.95" hidden="1" customHeight="1">
      <c r="A183" s="141"/>
      <c r="B183" s="141"/>
      <c r="C183" s="143"/>
      <c r="D183" s="143"/>
      <c r="E183" s="141"/>
      <c r="F183" s="232"/>
      <c r="G183" s="150"/>
      <c r="H183" s="150"/>
      <c r="I183" s="145"/>
      <c r="J183" s="145"/>
    </row>
    <row r="184" spans="1:10" ht="24.95" hidden="1" customHeight="1">
      <c r="A184" s="141"/>
      <c r="B184" s="141"/>
      <c r="C184" s="143"/>
      <c r="D184" s="143"/>
      <c r="E184" s="141"/>
      <c r="F184" s="232"/>
      <c r="G184" s="150"/>
      <c r="H184" s="150"/>
      <c r="I184" s="145"/>
      <c r="J184" s="145"/>
    </row>
    <row r="185" spans="1:10" ht="24.95" hidden="1" customHeight="1">
      <c r="A185" s="141"/>
      <c r="B185" s="141"/>
      <c r="C185" s="143"/>
      <c r="D185" s="143"/>
      <c r="E185" s="141"/>
      <c r="F185" s="232"/>
      <c r="G185" s="150"/>
      <c r="H185" s="150"/>
      <c r="I185" s="145"/>
      <c r="J185" s="145"/>
    </row>
    <row r="186" spans="1:10" ht="24.95" hidden="1" customHeight="1">
      <c r="A186" s="141"/>
      <c r="B186" s="141"/>
      <c r="C186" s="143"/>
      <c r="D186" s="143"/>
      <c r="E186" s="141"/>
      <c r="F186" s="232"/>
      <c r="G186" s="150"/>
      <c r="H186" s="150"/>
      <c r="I186" s="145"/>
      <c r="J186" s="145"/>
    </row>
    <row r="187" spans="1:10" ht="24.95" hidden="1" customHeight="1">
      <c r="A187" s="141"/>
      <c r="B187" s="141"/>
      <c r="C187" s="143"/>
      <c r="D187" s="143"/>
      <c r="E187" s="141"/>
      <c r="F187" s="232"/>
      <c r="G187" s="150"/>
      <c r="H187" s="150"/>
      <c r="I187" s="145"/>
      <c r="J187" s="145"/>
    </row>
    <row r="188" spans="1:10" ht="24.95" hidden="1" customHeight="1">
      <c r="A188" s="141"/>
      <c r="B188" s="141"/>
      <c r="C188" s="143"/>
      <c r="D188" s="143"/>
      <c r="E188" s="141"/>
      <c r="F188" s="232"/>
      <c r="G188" s="150"/>
      <c r="H188" s="150"/>
      <c r="I188" s="145"/>
      <c r="J188" s="145"/>
    </row>
    <row r="189" spans="1:10" ht="24.95" hidden="1" customHeight="1">
      <c r="A189" s="141"/>
      <c r="B189" s="141"/>
      <c r="C189" s="143"/>
      <c r="D189" s="143"/>
      <c r="E189" s="141"/>
      <c r="F189" s="232"/>
      <c r="G189" s="150"/>
      <c r="H189" s="150"/>
      <c r="I189" s="145"/>
      <c r="J189" s="145"/>
    </row>
    <row r="190" spans="1:10" ht="24.95" hidden="1" customHeight="1">
      <c r="A190" s="141"/>
      <c r="B190" s="141"/>
      <c r="C190" s="143"/>
      <c r="D190" s="143"/>
      <c r="E190" s="141"/>
      <c r="F190" s="232"/>
      <c r="G190" s="150"/>
      <c r="H190" s="150"/>
      <c r="I190" s="145"/>
      <c r="J190" s="145"/>
    </row>
    <row r="191" spans="1:10" ht="24.95" hidden="1" customHeight="1">
      <c r="A191" s="141"/>
      <c r="B191" s="141"/>
      <c r="C191" s="143"/>
      <c r="D191" s="143"/>
      <c r="E191" s="141"/>
      <c r="F191" s="232"/>
      <c r="G191" s="150"/>
      <c r="H191" s="150"/>
      <c r="I191" s="145"/>
      <c r="J191" s="145"/>
    </row>
    <row r="192" spans="1:10" ht="24.95" hidden="1" customHeight="1">
      <c r="A192" s="141"/>
      <c r="B192" s="141"/>
      <c r="C192" s="143"/>
      <c r="D192" s="143"/>
      <c r="E192" s="141"/>
      <c r="F192" s="232"/>
      <c r="G192" s="150"/>
      <c r="H192" s="150"/>
      <c r="I192" s="145"/>
      <c r="J192" s="145"/>
    </row>
    <row r="193" spans="1:10" ht="24.95" hidden="1" customHeight="1">
      <c r="A193" s="141"/>
      <c r="B193" s="141"/>
      <c r="C193" s="143"/>
      <c r="D193" s="143"/>
      <c r="E193" s="141"/>
      <c r="F193" s="232"/>
      <c r="G193" s="150"/>
      <c r="H193" s="150"/>
      <c r="I193" s="145"/>
      <c r="J193" s="145"/>
    </row>
    <row r="194" spans="1:10" ht="24.95" hidden="1" customHeight="1">
      <c r="A194" s="141"/>
      <c r="B194" s="141"/>
      <c r="C194" s="143"/>
      <c r="D194" s="143"/>
      <c r="E194" s="141"/>
      <c r="F194" s="232"/>
      <c r="G194" s="150"/>
      <c r="H194" s="150"/>
      <c r="I194" s="145"/>
      <c r="J194" s="145"/>
    </row>
    <row r="195" spans="1:10" ht="24.95" hidden="1" customHeight="1">
      <c r="A195" s="141"/>
      <c r="B195" s="141"/>
      <c r="C195" s="143"/>
      <c r="D195" s="143"/>
      <c r="E195" s="141"/>
      <c r="F195" s="232"/>
      <c r="G195" s="150"/>
      <c r="H195" s="150"/>
      <c r="I195" s="145"/>
      <c r="J195" s="145"/>
    </row>
    <row r="196" spans="1:10" ht="24.95" hidden="1" customHeight="1">
      <c r="A196" s="141"/>
      <c r="B196" s="141"/>
      <c r="C196" s="143"/>
      <c r="D196" s="143"/>
      <c r="E196" s="141"/>
      <c r="F196" s="232"/>
      <c r="G196" s="150"/>
      <c r="H196" s="150"/>
      <c r="I196" s="145"/>
      <c r="J196" s="145"/>
    </row>
    <row r="197" spans="1:10" ht="24.95" hidden="1" customHeight="1">
      <c r="A197" s="141"/>
      <c r="B197" s="141"/>
      <c r="C197" s="143"/>
      <c r="D197" s="143"/>
      <c r="E197" s="141"/>
      <c r="F197" s="232"/>
      <c r="G197" s="150"/>
      <c r="H197" s="150"/>
      <c r="I197" s="145"/>
      <c r="J197" s="145"/>
    </row>
    <row r="198" spans="1:10" ht="24.95" hidden="1" customHeight="1">
      <c r="A198" s="141"/>
      <c r="B198" s="141"/>
      <c r="C198" s="143"/>
      <c r="D198" s="143"/>
      <c r="E198" s="141"/>
      <c r="F198" s="232"/>
      <c r="G198" s="150"/>
      <c r="H198" s="150"/>
      <c r="I198" s="145"/>
      <c r="J198" s="145"/>
    </row>
    <row r="199" spans="1:10" ht="24.95" hidden="1" customHeight="1">
      <c r="A199" s="141"/>
      <c r="B199" s="141"/>
      <c r="C199" s="143"/>
      <c r="D199" s="143"/>
      <c r="E199" s="141"/>
      <c r="F199" s="232"/>
      <c r="G199" s="150"/>
      <c r="H199" s="150"/>
      <c r="I199" s="145"/>
      <c r="J199" s="145"/>
    </row>
    <row r="200" spans="1:10" ht="24.95" hidden="1" customHeight="1">
      <c r="A200" s="141"/>
      <c r="B200" s="141"/>
      <c r="C200" s="143"/>
      <c r="D200" s="143"/>
      <c r="E200" s="141"/>
      <c r="F200" s="232"/>
      <c r="G200" s="150"/>
      <c r="H200" s="150"/>
      <c r="I200" s="145"/>
      <c r="J200" s="145"/>
    </row>
    <row r="201" spans="1:10" ht="24.95" hidden="1" customHeight="1">
      <c r="A201" s="141"/>
      <c r="B201" s="141"/>
      <c r="C201" s="143"/>
      <c r="D201" s="143"/>
      <c r="E201" s="141"/>
      <c r="F201" s="232"/>
      <c r="G201" s="150"/>
      <c r="H201" s="150"/>
      <c r="I201" s="145"/>
      <c r="J201" s="145"/>
    </row>
    <row r="202" spans="1:10" ht="24.95" hidden="1" customHeight="1">
      <c r="A202" s="141"/>
      <c r="B202" s="141"/>
      <c r="C202" s="143"/>
      <c r="D202" s="143"/>
      <c r="E202" s="141"/>
      <c r="F202" s="232"/>
      <c r="G202" s="150"/>
      <c r="H202" s="150"/>
      <c r="I202" s="145"/>
      <c r="J202" s="145"/>
    </row>
    <row r="203" spans="1:10" ht="24.95" hidden="1" customHeight="1">
      <c r="A203" s="141"/>
      <c r="B203" s="141"/>
      <c r="C203" s="143"/>
      <c r="D203" s="143"/>
      <c r="E203" s="141"/>
      <c r="F203" s="232"/>
      <c r="G203" s="150"/>
      <c r="H203" s="150"/>
      <c r="I203" s="145"/>
      <c r="J203" s="145"/>
    </row>
    <row r="204" spans="1:10" ht="24.95" hidden="1" customHeight="1">
      <c r="A204" s="141"/>
      <c r="B204" s="141"/>
      <c r="C204" s="143"/>
      <c r="D204" s="143"/>
      <c r="E204" s="141"/>
      <c r="F204" s="232"/>
      <c r="G204" s="150"/>
      <c r="H204" s="150"/>
      <c r="I204" s="145"/>
      <c r="J204" s="145"/>
    </row>
    <row r="205" spans="1:10" ht="24.95" hidden="1" customHeight="1">
      <c r="A205" s="141"/>
      <c r="B205" s="141"/>
      <c r="C205" s="143"/>
      <c r="D205" s="143"/>
      <c r="E205" s="141"/>
      <c r="F205" s="232"/>
      <c r="G205" s="150"/>
      <c r="H205" s="150"/>
      <c r="I205" s="145"/>
      <c r="J205" s="145"/>
    </row>
    <row r="206" spans="1:10" ht="24.95" hidden="1" customHeight="1">
      <c r="A206" s="141"/>
      <c r="B206" s="141"/>
      <c r="C206" s="143"/>
      <c r="D206" s="143"/>
      <c r="E206" s="141"/>
      <c r="F206" s="232"/>
      <c r="G206" s="150"/>
      <c r="H206" s="150"/>
      <c r="I206" s="145"/>
      <c r="J206" s="145"/>
    </row>
    <row r="207" spans="1:10" ht="24.95" hidden="1" customHeight="1">
      <c r="A207" s="141"/>
      <c r="B207" s="141"/>
      <c r="C207" s="143"/>
      <c r="D207" s="143"/>
      <c r="E207" s="141"/>
      <c r="F207" s="232"/>
      <c r="G207" s="150"/>
      <c r="H207" s="150"/>
      <c r="I207" s="145"/>
      <c r="J207" s="145"/>
    </row>
    <row r="208" spans="1:10" ht="24.95" hidden="1" customHeight="1">
      <c r="A208" s="141"/>
      <c r="B208" s="141"/>
      <c r="C208" s="143"/>
      <c r="D208" s="143"/>
      <c r="E208" s="141"/>
      <c r="F208" s="232"/>
      <c r="G208" s="150"/>
      <c r="H208" s="150"/>
      <c r="I208" s="145"/>
      <c r="J208" s="145"/>
    </row>
    <row r="209" spans="1:10" ht="24.95" hidden="1" customHeight="1">
      <c r="A209" s="141"/>
      <c r="B209" s="141"/>
      <c r="C209" s="143"/>
      <c r="D209" s="143"/>
      <c r="E209" s="141"/>
      <c r="F209" s="232"/>
      <c r="G209" s="150"/>
      <c r="H209" s="150"/>
      <c r="I209" s="145"/>
      <c r="J209" s="145"/>
    </row>
    <row r="210" spans="1:10" ht="24.95" hidden="1" customHeight="1">
      <c r="A210" s="141"/>
      <c r="B210" s="141"/>
      <c r="C210" s="143"/>
      <c r="D210" s="143"/>
      <c r="E210" s="141"/>
      <c r="F210" s="232"/>
      <c r="G210" s="150"/>
      <c r="H210" s="150"/>
      <c r="I210" s="145"/>
      <c r="J210" s="145"/>
    </row>
    <row r="211" spans="1:10" ht="24.95" hidden="1" customHeight="1">
      <c r="A211" s="141"/>
      <c r="B211" s="141"/>
      <c r="C211" s="143"/>
      <c r="D211" s="143"/>
      <c r="E211" s="141"/>
      <c r="F211" s="232"/>
      <c r="G211" s="150"/>
      <c r="H211" s="150"/>
      <c r="I211" s="145"/>
      <c r="J211" s="145"/>
    </row>
    <row r="212" spans="1:10" ht="24.95" hidden="1" customHeight="1">
      <c r="A212" s="141"/>
      <c r="B212" s="141"/>
      <c r="C212" s="143"/>
      <c r="D212" s="143"/>
      <c r="E212" s="141"/>
      <c r="F212" s="232"/>
      <c r="G212" s="150"/>
      <c r="H212" s="150"/>
      <c r="I212" s="145"/>
      <c r="J212" s="145"/>
    </row>
    <row r="213" spans="1:10" ht="24.95" hidden="1" customHeight="1">
      <c r="A213" s="141"/>
      <c r="B213" s="141"/>
      <c r="C213" s="143"/>
      <c r="D213" s="143"/>
      <c r="E213" s="141"/>
      <c r="F213" s="232"/>
      <c r="G213" s="150"/>
      <c r="H213" s="150"/>
      <c r="I213" s="145"/>
      <c r="J213" s="145"/>
    </row>
    <row r="214" spans="1:10" ht="24.95" hidden="1" customHeight="1">
      <c r="A214" s="141"/>
      <c r="B214" s="141"/>
      <c r="C214" s="143"/>
      <c r="D214" s="143"/>
      <c r="E214" s="141"/>
      <c r="F214" s="232"/>
      <c r="G214" s="150"/>
      <c r="H214" s="150"/>
      <c r="I214" s="145"/>
      <c r="J214" s="145"/>
    </row>
    <row r="215" spans="1:10" ht="24.95" hidden="1" customHeight="1">
      <c r="A215" s="141"/>
      <c r="B215" s="141"/>
      <c r="C215" s="143"/>
      <c r="D215" s="143"/>
      <c r="E215" s="141"/>
      <c r="F215" s="232"/>
      <c r="G215" s="150"/>
      <c r="H215" s="150"/>
      <c r="I215" s="145"/>
      <c r="J215" s="145"/>
    </row>
    <row r="216" spans="1:10" ht="24.95" hidden="1" customHeight="1">
      <c r="A216" s="141"/>
      <c r="B216" s="141"/>
      <c r="C216" s="143"/>
      <c r="D216" s="143"/>
      <c r="E216" s="141"/>
      <c r="F216" s="232"/>
      <c r="G216" s="150"/>
      <c r="H216" s="150"/>
      <c r="I216" s="145"/>
      <c r="J216" s="145"/>
    </row>
    <row r="217" spans="1:10" ht="24.95" hidden="1" customHeight="1">
      <c r="A217" s="141"/>
      <c r="B217" s="141"/>
      <c r="C217" s="143"/>
      <c r="D217" s="143"/>
      <c r="E217" s="141"/>
      <c r="F217" s="232"/>
      <c r="G217" s="150"/>
      <c r="H217" s="150"/>
      <c r="I217" s="145"/>
      <c r="J217" s="145"/>
    </row>
    <row r="218" spans="1:10" ht="24.95" hidden="1" customHeight="1">
      <c r="A218" s="141"/>
      <c r="B218" s="141"/>
      <c r="C218" s="143"/>
      <c r="D218" s="143"/>
      <c r="E218" s="141"/>
      <c r="F218" s="232"/>
      <c r="G218" s="150"/>
      <c r="H218" s="150"/>
      <c r="I218" s="145"/>
      <c r="J218" s="145"/>
    </row>
    <row r="219" spans="1:10" ht="24.95" hidden="1" customHeight="1">
      <c r="A219" s="141"/>
      <c r="B219" s="141"/>
      <c r="C219" s="143"/>
      <c r="D219" s="143"/>
      <c r="E219" s="141"/>
      <c r="F219" s="232"/>
      <c r="G219" s="150"/>
      <c r="H219" s="150"/>
      <c r="I219" s="145"/>
      <c r="J219" s="145"/>
    </row>
    <row r="220" spans="1:10" ht="24.95" hidden="1" customHeight="1">
      <c r="A220" s="141"/>
      <c r="B220" s="141"/>
      <c r="C220" s="143"/>
      <c r="D220" s="143"/>
      <c r="E220" s="141"/>
      <c r="F220" s="232"/>
      <c r="G220" s="150"/>
      <c r="H220" s="150"/>
      <c r="I220" s="145"/>
      <c r="J220" s="145"/>
    </row>
    <row r="221" spans="1:10" ht="24.95" hidden="1" customHeight="1">
      <c r="A221" s="141"/>
      <c r="B221" s="141"/>
      <c r="C221" s="143"/>
      <c r="D221" s="143"/>
      <c r="E221" s="141"/>
      <c r="F221" s="232"/>
      <c r="G221" s="150"/>
      <c r="H221" s="150"/>
      <c r="I221" s="145"/>
      <c r="J221" s="145"/>
    </row>
    <row r="222" spans="1:10" ht="24.95" hidden="1" customHeight="1">
      <c r="A222" s="141"/>
      <c r="B222" s="141"/>
      <c r="C222" s="143"/>
      <c r="D222" s="143"/>
      <c r="E222" s="141"/>
      <c r="F222" s="232"/>
      <c r="G222" s="150"/>
      <c r="H222" s="150"/>
      <c r="I222" s="145"/>
      <c r="J222" s="145"/>
    </row>
    <row r="223" spans="1:10" ht="24.95" hidden="1" customHeight="1">
      <c r="A223" s="141"/>
      <c r="B223" s="141"/>
      <c r="C223" s="143"/>
      <c r="D223" s="143"/>
      <c r="E223" s="141"/>
      <c r="F223" s="232"/>
      <c r="G223" s="150"/>
      <c r="H223" s="150"/>
      <c r="I223" s="145"/>
      <c r="J223" s="145"/>
    </row>
    <row r="224" spans="1:10" ht="24.95" hidden="1" customHeight="1">
      <c r="A224" s="141"/>
      <c r="B224" s="141"/>
      <c r="C224" s="143"/>
      <c r="D224" s="143"/>
      <c r="E224" s="141"/>
      <c r="F224" s="232"/>
      <c r="G224" s="150"/>
      <c r="H224" s="150"/>
      <c r="I224" s="145"/>
      <c r="J224" s="145"/>
    </row>
    <row r="225" spans="1:10" ht="24.95" hidden="1" customHeight="1">
      <c r="A225" s="141"/>
      <c r="B225" s="141"/>
      <c r="C225" s="143"/>
      <c r="D225" s="143"/>
      <c r="E225" s="141"/>
      <c r="F225" s="232"/>
      <c r="G225" s="150"/>
      <c r="H225" s="150"/>
      <c r="I225" s="145"/>
      <c r="J225" s="145"/>
    </row>
    <row r="226" spans="1:10" ht="24.95" hidden="1" customHeight="1">
      <c r="A226" s="141"/>
      <c r="B226" s="141"/>
      <c r="C226" s="143"/>
      <c r="D226" s="143"/>
      <c r="E226" s="141"/>
      <c r="F226" s="232"/>
      <c r="G226" s="150"/>
      <c r="H226" s="150"/>
      <c r="I226" s="145"/>
      <c r="J226" s="145"/>
    </row>
    <row r="227" spans="1:10" ht="24.95" hidden="1" customHeight="1">
      <c r="A227" s="141"/>
      <c r="B227" s="141"/>
      <c r="C227" s="143"/>
      <c r="D227" s="143"/>
      <c r="E227" s="141"/>
      <c r="F227" s="232"/>
      <c r="G227" s="150"/>
      <c r="H227" s="150"/>
      <c r="I227" s="145"/>
      <c r="J227" s="145"/>
    </row>
    <row r="228" spans="1:10" ht="24.95" hidden="1" customHeight="1">
      <c r="A228" s="141"/>
      <c r="B228" s="141"/>
      <c r="C228" s="143"/>
      <c r="D228" s="143"/>
      <c r="E228" s="141"/>
      <c r="F228" s="232"/>
      <c r="G228" s="150"/>
      <c r="H228" s="150"/>
      <c r="I228" s="145"/>
      <c r="J228" s="145"/>
    </row>
    <row r="229" spans="1:10" ht="24.95" hidden="1" customHeight="1">
      <c r="A229" s="141"/>
      <c r="B229" s="141"/>
      <c r="C229" s="143"/>
      <c r="D229" s="143"/>
      <c r="E229" s="141"/>
      <c r="F229" s="232"/>
      <c r="G229" s="150"/>
      <c r="H229" s="150"/>
      <c r="I229" s="145"/>
      <c r="J229" s="145"/>
    </row>
    <row r="230" spans="1:10" ht="24.95" hidden="1" customHeight="1">
      <c r="A230" s="141"/>
      <c r="B230" s="141"/>
      <c r="C230" s="143"/>
      <c r="D230" s="143"/>
      <c r="E230" s="141"/>
      <c r="F230" s="232"/>
      <c r="G230" s="150"/>
      <c r="H230" s="150"/>
      <c r="I230" s="145"/>
      <c r="J230" s="145"/>
    </row>
    <row r="231" spans="1:10" ht="24.95" hidden="1" customHeight="1">
      <c r="A231" s="141"/>
      <c r="B231" s="141"/>
      <c r="C231" s="143"/>
      <c r="D231" s="143"/>
      <c r="E231" s="141"/>
      <c r="F231" s="232"/>
      <c r="G231" s="150"/>
      <c r="H231" s="150"/>
      <c r="I231" s="145"/>
      <c r="J231" s="145"/>
    </row>
    <row r="232" spans="1:10" ht="24.95" hidden="1" customHeight="1">
      <c r="A232" s="141"/>
      <c r="B232" s="141"/>
      <c r="C232" s="143"/>
      <c r="D232" s="143"/>
      <c r="E232" s="141"/>
      <c r="F232" s="232"/>
      <c r="G232" s="150"/>
      <c r="H232" s="150"/>
      <c r="I232" s="145"/>
      <c r="J232" s="145"/>
    </row>
    <row r="233" spans="1:10" ht="24.95" hidden="1" customHeight="1">
      <c r="A233" s="141"/>
      <c r="B233" s="141"/>
      <c r="C233" s="143"/>
      <c r="D233" s="143"/>
      <c r="E233" s="141"/>
      <c r="F233" s="232"/>
      <c r="G233" s="150"/>
      <c r="H233" s="150"/>
      <c r="I233" s="145"/>
      <c r="J233" s="145"/>
    </row>
    <row r="234" spans="1:10" ht="24.95" hidden="1" customHeight="1">
      <c r="A234" s="141"/>
      <c r="B234" s="141"/>
      <c r="C234" s="143"/>
      <c r="D234" s="143"/>
      <c r="E234" s="141"/>
      <c r="F234" s="232"/>
      <c r="G234" s="150"/>
      <c r="H234" s="150"/>
      <c r="I234" s="145"/>
      <c r="J234" s="145"/>
    </row>
    <row r="235" spans="1:10" ht="24.95" hidden="1" customHeight="1">
      <c r="A235" s="141"/>
      <c r="B235" s="141"/>
      <c r="C235" s="143"/>
      <c r="D235" s="143"/>
      <c r="E235" s="141"/>
      <c r="F235" s="232"/>
      <c r="G235" s="150"/>
      <c r="H235" s="150"/>
      <c r="I235" s="145"/>
      <c r="J235" s="145"/>
    </row>
    <row r="236" spans="1:10" ht="24.95" hidden="1" customHeight="1">
      <c r="A236" s="141"/>
      <c r="B236" s="141"/>
      <c r="C236" s="143"/>
      <c r="D236" s="143"/>
      <c r="E236" s="141"/>
      <c r="F236" s="232"/>
      <c r="G236" s="150"/>
      <c r="H236" s="150"/>
      <c r="I236" s="145"/>
      <c r="J236" s="145"/>
    </row>
    <row r="237" spans="1:10" ht="24.95" hidden="1" customHeight="1">
      <c r="A237" s="141"/>
      <c r="B237" s="141"/>
      <c r="C237" s="143"/>
      <c r="D237" s="143"/>
      <c r="E237" s="141"/>
      <c r="F237" s="232"/>
      <c r="G237" s="150"/>
      <c r="H237" s="150"/>
      <c r="I237" s="145"/>
      <c r="J237" s="145"/>
    </row>
    <row r="238" spans="1:10" ht="24.95" hidden="1" customHeight="1">
      <c r="A238" s="141"/>
      <c r="B238" s="141"/>
      <c r="C238" s="143"/>
      <c r="D238" s="143"/>
      <c r="E238" s="141"/>
      <c r="F238" s="232"/>
      <c r="G238" s="150"/>
      <c r="H238" s="150"/>
      <c r="I238" s="145"/>
      <c r="J238" s="145"/>
    </row>
    <row r="239" spans="1:10" ht="24.95" hidden="1" customHeight="1">
      <c r="A239" s="141"/>
      <c r="B239" s="141"/>
      <c r="C239" s="143"/>
      <c r="D239" s="143"/>
      <c r="E239" s="141"/>
      <c r="F239" s="232"/>
      <c r="G239" s="150"/>
      <c r="H239" s="150"/>
      <c r="I239" s="145"/>
      <c r="J239" s="145"/>
    </row>
    <row r="240" spans="1:10" ht="24.95" hidden="1" customHeight="1">
      <c r="A240" s="141"/>
      <c r="B240" s="141"/>
      <c r="C240" s="143"/>
      <c r="D240" s="143"/>
      <c r="E240" s="141"/>
      <c r="F240" s="232"/>
      <c r="G240" s="150"/>
      <c r="H240" s="150"/>
      <c r="I240" s="145"/>
      <c r="J240" s="145"/>
    </row>
    <row r="241" spans="1:10" ht="24.95" hidden="1" customHeight="1">
      <c r="A241" s="141"/>
      <c r="B241" s="141"/>
      <c r="C241" s="143"/>
      <c r="D241" s="143"/>
      <c r="E241" s="141"/>
      <c r="F241" s="232"/>
      <c r="G241" s="150"/>
      <c r="H241" s="150"/>
      <c r="I241" s="145"/>
      <c r="J241" s="145"/>
    </row>
    <row r="242" spans="1:10" ht="24.95" hidden="1" customHeight="1">
      <c r="A242" s="141"/>
      <c r="B242" s="141"/>
      <c r="C242" s="143"/>
      <c r="D242" s="143"/>
      <c r="E242" s="141"/>
      <c r="F242" s="232"/>
      <c r="G242" s="150"/>
      <c r="H242" s="150"/>
      <c r="I242" s="145"/>
      <c r="J242" s="145"/>
    </row>
    <row r="243" spans="1:10" ht="24.95" hidden="1" customHeight="1">
      <c r="A243" s="141"/>
      <c r="B243" s="141"/>
      <c r="C243" s="143"/>
      <c r="D243" s="143"/>
      <c r="E243" s="141"/>
      <c r="F243" s="232"/>
      <c r="G243" s="150"/>
      <c r="H243" s="150"/>
      <c r="I243" s="145"/>
      <c r="J243" s="145"/>
    </row>
    <row r="244" spans="1:10" ht="24.95" hidden="1" customHeight="1">
      <c r="A244" s="141"/>
      <c r="B244" s="141"/>
      <c r="C244" s="143"/>
      <c r="D244" s="143"/>
      <c r="E244" s="141"/>
      <c r="F244" s="232"/>
      <c r="G244" s="150"/>
      <c r="H244" s="150"/>
      <c r="I244" s="145"/>
      <c r="J244" s="145"/>
    </row>
    <row r="245" spans="1:10" ht="24.95" hidden="1" customHeight="1">
      <c r="A245" s="141"/>
      <c r="B245" s="141"/>
      <c r="C245" s="143"/>
      <c r="D245" s="143"/>
      <c r="E245" s="141"/>
      <c r="F245" s="232"/>
      <c r="G245" s="150"/>
      <c r="H245" s="150"/>
      <c r="I245" s="145"/>
      <c r="J245" s="145"/>
    </row>
    <row r="246" spans="1:10" ht="24.95" hidden="1" customHeight="1">
      <c r="A246" s="141"/>
      <c r="B246" s="141"/>
      <c r="C246" s="143"/>
      <c r="D246" s="143"/>
      <c r="E246" s="141"/>
      <c r="F246" s="232"/>
      <c r="G246" s="150"/>
      <c r="H246" s="150"/>
      <c r="I246" s="145"/>
      <c r="J246" s="145"/>
    </row>
    <row r="247" spans="1:10" ht="24.95" hidden="1" customHeight="1">
      <c r="A247" s="141"/>
      <c r="B247" s="141"/>
      <c r="C247" s="143"/>
      <c r="D247" s="143"/>
      <c r="E247" s="141"/>
      <c r="F247" s="232"/>
      <c r="G247" s="150"/>
      <c r="H247" s="150"/>
      <c r="I247" s="145"/>
      <c r="J247" s="145"/>
    </row>
    <row r="248" spans="1:10" ht="24.95" hidden="1" customHeight="1">
      <c r="A248" s="141"/>
      <c r="B248" s="141"/>
      <c r="C248" s="143"/>
      <c r="D248" s="143"/>
      <c r="E248" s="141"/>
      <c r="F248" s="232"/>
      <c r="G248" s="150"/>
      <c r="H248" s="150"/>
      <c r="I248" s="145"/>
      <c r="J248" s="145"/>
    </row>
    <row r="249" spans="1:10" ht="24.95" hidden="1" customHeight="1">
      <c r="A249" s="141"/>
      <c r="B249" s="141"/>
      <c r="C249" s="143"/>
      <c r="D249" s="143"/>
      <c r="E249" s="141"/>
      <c r="F249" s="232"/>
      <c r="G249" s="150"/>
      <c r="H249" s="150"/>
      <c r="I249" s="145"/>
      <c r="J249" s="145"/>
    </row>
    <row r="250" spans="1:10" ht="24.95" hidden="1" customHeight="1">
      <c r="A250" s="141"/>
      <c r="B250" s="141"/>
      <c r="C250" s="143"/>
      <c r="D250" s="143"/>
      <c r="E250" s="141"/>
      <c r="F250" s="232"/>
      <c r="G250" s="150"/>
      <c r="H250" s="150"/>
      <c r="I250" s="145"/>
      <c r="J250" s="145"/>
    </row>
    <row r="251" spans="1:10" ht="24.95" hidden="1" customHeight="1">
      <c r="A251" s="141"/>
      <c r="B251" s="141"/>
      <c r="C251" s="143"/>
      <c r="D251" s="143"/>
      <c r="E251" s="141"/>
      <c r="F251" s="232"/>
      <c r="G251" s="150"/>
      <c r="H251" s="150"/>
      <c r="I251" s="145"/>
      <c r="J251" s="145"/>
    </row>
    <row r="252" spans="1:10" ht="24.95" hidden="1" customHeight="1">
      <c r="A252" s="141"/>
      <c r="B252" s="141"/>
      <c r="C252" s="143"/>
      <c r="D252" s="143"/>
      <c r="E252" s="141"/>
      <c r="F252" s="232"/>
      <c r="G252" s="150"/>
      <c r="H252" s="150"/>
      <c r="I252" s="145"/>
      <c r="J252" s="145"/>
    </row>
    <row r="253" spans="1:10" ht="24.95" hidden="1" customHeight="1">
      <c r="A253" s="141"/>
      <c r="B253" s="141"/>
      <c r="C253" s="143"/>
      <c r="D253" s="143"/>
      <c r="E253" s="141"/>
      <c r="F253" s="232"/>
      <c r="G253" s="150"/>
      <c r="H253" s="150"/>
      <c r="I253" s="145"/>
      <c r="J253" s="145"/>
    </row>
    <row r="254" spans="1:10" ht="24.95" hidden="1" customHeight="1">
      <c r="A254" s="141"/>
      <c r="B254" s="141"/>
      <c r="C254" s="143"/>
      <c r="D254" s="143"/>
      <c r="E254" s="141"/>
      <c r="F254" s="232"/>
      <c r="G254" s="150"/>
      <c r="H254" s="150"/>
      <c r="I254" s="145"/>
      <c r="J254" s="145"/>
    </row>
    <row r="255" spans="1:10" ht="24.95" hidden="1" customHeight="1">
      <c r="A255" s="141"/>
      <c r="B255" s="141"/>
      <c r="C255" s="143"/>
      <c r="D255" s="143"/>
      <c r="E255" s="141"/>
      <c r="F255" s="232"/>
      <c r="G255" s="150"/>
      <c r="H255" s="150"/>
      <c r="I255" s="145"/>
      <c r="J255" s="145"/>
    </row>
    <row r="256" spans="1:10" ht="24.95" hidden="1" customHeight="1">
      <c r="A256" s="141"/>
      <c r="B256" s="141"/>
      <c r="C256" s="143"/>
      <c r="D256" s="143"/>
      <c r="E256" s="141"/>
      <c r="F256" s="232"/>
      <c r="G256" s="150"/>
      <c r="H256" s="150"/>
      <c r="I256" s="145"/>
      <c r="J256" s="145"/>
    </row>
    <row r="257" spans="1:10" ht="24.95" hidden="1" customHeight="1">
      <c r="A257" s="141"/>
      <c r="B257" s="141"/>
      <c r="C257" s="143"/>
      <c r="D257" s="143"/>
      <c r="E257" s="141"/>
      <c r="F257" s="232"/>
      <c r="G257" s="150"/>
      <c r="H257" s="150"/>
      <c r="I257" s="145"/>
      <c r="J257" s="145"/>
    </row>
    <row r="258" spans="1:10" ht="24.95" hidden="1" customHeight="1">
      <c r="A258" s="141"/>
      <c r="B258" s="141"/>
      <c r="C258" s="143"/>
      <c r="D258" s="143"/>
      <c r="E258" s="141"/>
      <c r="F258" s="232"/>
      <c r="G258" s="150"/>
      <c r="H258" s="150"/>
      <c r="I258" s="145"/>
      <c r="J258" s="145"/>
    </row>
    <row r="259" spans="1:10" ht="24.95" hidden="1" customHeight="1">
      <c r="A259" s="141"/>
      <c r="B259" s="141"/>
      <c r="C259" s="143"/>
      <c r="D259" s="143"/>
      <c r="E259" s="141"/>
      <c r="F259" s="232"/>
      <c r="G259" s="150"/>
      <c r="H259" s="150"/>
      <c r="I259" s="145"/>
      <c r="J259" s="145"/>
    </row>
    <row r="260" spans="1:10" ht="24.95" hidden="1" customHeight="1">
      <c r="A260" s="141"/>
      <c r="B260" s="141"/>
      <c r="C260" s="143"/>
      <c r="D260" s="143"/>
      <c r="E260" s="141"/>
      <c r="F260" s="232"/>
      <c r="G260" s="150"/>
      <c r="H260" s="150"/>
      <c r="I260" s="145"/>
      <c r="J260" s="145"/>
    </row>
    <row r="261" spans="1:10" ht="24.95" hidden="1" customHeight="1">
      <c r="A261" s="141"/>
      <c r="B261" s="141"/>
      <c r="C261" s="143"/>
      <c r="D261" s="143"/>
      <c r="E261" s="141"/>
      <c r="F261" s="232"/>
      <c r="G261" s="150"/>
      <c r="H261" s="150"/>
      <c r="I261" s="145"/>
      <c r="J261" s="145"/>
    </row>
    <row r="262" spans="1:10" ht="24.95" hidden="1" customHeight="1">
      <c r="A262" s="141"/>
      <c r="B262" s="141"/>
      <c r="C262" s="143"/>
      <c r="D262" s="143"/>
      <c r="E262" s="141"/>
      <c r="F262" s="232"/>
      <c r="G262" s="150"/>
      <c r="H262" s="150"/>
      <c r="I262" s="145"/>
      <c r="J262" s="145"/>
    </row>
    <row r="263" spans="1:10" ht="24.95" hidden="1" customHeight="1">
      <c r="A263" s="141"/>
      <c r="B263" s="141"/>
      <c r="C263" s="143"/>
      <c r="D263" s="143"/>
      <c r="E263" s="141"/>
      <c r="F263" s="232"/>
      <c r="G263" s="150"/>
      <c r="H263" s="150"/>
      <c r="I263" s="145"/>
      <c r="J263" s="145"/>
    </row>
    <row r="264" spans="1:10" ht="24.95" hidden="1" customHeight="1">
      <c r="A264" s="141"/>
      <c r="B264" s="141"/>
      <c r="C264" s="143"/>
      <c r="D264" s="143"/>
      <c r="E264" s="141"/>
      <c r="F264" s="232"/>
      <c r="G264" s="150"/>
      <c r="H264" s="150"/>
      <c r="I264" s="145"/>
      <c r="J264" s="145"/>
    </row>
    <row r="265" spans="1:10" ht="24.95" hidden="1" customHeight="1">
      <c r="A265" s="141"/>
      <c r="B265" s="141"/>
      <c r="C265" s="143"/>
      <c r="D265" s="143"/>
      <c r="E265" s="141"/>
      <c r="F265" s="232"/>
      <c r="G265" s="150"/>
      <c r="H265" s="150"/>
      <c r="I265" s="145"/>
      <c r="J265" s="145"/>
    </row>
    <row r="266" spans="1:10" ht="24.95" hidden="1" customHeight="1">
      <c r="A266" s="141"/>
      <c r="B266" s="141"/>
      <c r="C266" s="143"/>
      <c r="D266" s="143"/>
      <c r="E266" s="141"/>
      <c r="F266" s="232"/>
      <c r="G266" s="150"/>
      <c r="H266" s="150"/>
      <c r="I266" s="145"/>
      <c r="J266" s="145"/>
    </row>
    <row r="267" spans="1:10" ht="24.95" hidden="1" customHeight="1">
      <c r="A267" s="141"/>
      <c r="B267" s="141"/>
      <c r="C267" s="143"/>
      <c r="D267" s="143"/>
      <c r="E267" s="141"/>
      <c r="F267" s="232"/>
      <c r="G267" s="150"/>
      <c r="H267" s="150"/>
      <c r="I267" s="145"/>
      <c r="J267" s="145"/>
    </row>
    <row r="268" spans="1:10" ht="24.95" hidden="1" customHeight="1">
      <c r="A268" s="141"/>
      <c r="B268" s="141"/>
      <c r="C268" s="143"/>
      <c r="D268" s="143"/>
      <c r="E268" s="141"/>
      <c r="F268" s="232"/>
      <c r="G268" s="150"/>
      <c r="H268" s="150"/>
      <c r="I268" s="145"/>
      <c r="J268" s="145"/>
    </row>
    <row r="269" spans="1:10" ht="24.95" hidden="1" customHeight="1">
      <c r="A269" s="141"/>
      <c r="B269" s="141"/>
      <c r="C269" s="143"/>
      <c r="D269" s="143"/>
      <c r="E269" s="141"/>
      <c r="F269" s="232"/>
      <c r="G269" s="150"/>
      <c r="H269" s="150"/>
      <c r="I269" s="145"/>
      <c r="J269" s="145"/>
    </row>
    <row r="270" spans="1:10" ht="24.95" hidden="1" customHeight="1">
      <c r="A270" s="141"/>
      <c r="B270" s="141"/>
      <c r="C270" s="143"/>
      <c r="D270" s="143"/>
      <c r="E270" s="141"/>
      <c r="F270" s="232"/>
      <c r="G270" s="150"/>
      <c r="H270" s="150"/>
      <c r="I270" s="145"/>
      <c r="J270" s="145"/>
    </row>
    <row r="271" spans="1:10" ht="24.95" hidden="1" customHeight="1">
      <c r="A271" s="141"/>
      <c r="B271" s="141"/>
      <c r="C271" s="143"/>
      <c r="D271" s="143"/>
      <c r="E271" s="141"/>
      <c r="F271" s="232"/>
      <c r="G271" s="150"/>
      <c r="H271" s="150"/>
      <c r="I271" s="145"/>
      <c r="J271" s="145"/>
    </row>
    <row r="272" spans="1:10" ht="24.95" hidden="1" customHeight="1">
      <c r="A272" s="141"/>
      <c r="B272" s="141"/>
      <c r="C272" s="143"/>
      <c r="D272" s="143"/>
      <c r="E272" s="141"/>
      <c r="F272" s="232"/>
      <c r="G272" s="150"/>
      <c r="H272" s="150"/>
      <c r="I272" s="145"/>
      <c r="J272" s="145"/>
    </row>
    <row r="273" spans="1:10" ht="24.95" hidden="1" customHeight="1">
      <c r="A273" s="141"/>
      <c r="B273" s="141"/>
      <c r="C273" s="143"/>
      <c r="D273" s="143"/>
      <c r="E273" s="141"/>
      <c r="F273" s="232"/>
      <c r="G273" s="150"/>
      <c r="H273" s="150"/>
      <c r="I273" s="145"/>
      <c r="J273" s="145"/>
    </row>
    <row r="274" spans="1:10" ht="24.95" hidden="1" customHeight="1">
      <c r="A274" s="141"/>
      <c r="B274" s="141"/>
      <c r="C274" s="143"/>
      <c r="D274" s="143"/>
      <c r="E274" s="141"/>
      <c r="F274" s="232"/>
      <c r="G274" s="150"/>
      <c r="H274" s="150"/>
      <c r="I274" s="145"/>
      <c r="J274" s="145"/>
    </row>
    <row r="275" spans="1:10" ht="24.95" hidden="1" customHeight="1">
      <c r="A275" s="141"/>
      <c r="B275" s="141"/>
      <c r="C275" s="143"/>
      <c r="D275" s="143"/>
      <c r="E275" s="141"/>
      <c r="F275" s="232"/>
      <c r="G275" s="150"/>
      <c r="H275" s="150"/>
      <c r="I275" s="145"/>
      <c r="J275" s="145"/>
    </row>
    <row r="276" spans="1:10" ht="24.95" hidden="1" customHeight="1">
      <c r="A276" s="141"/>
      <c r="B276" s="141"/>
      <c r="C276" s="143"/>
      <c r="D276" s="143"/>
      <c r="E276" s="141"/>
      <c r="F276" s="232"/>
      <c r="G276" s="150"/>
      <c r="H276" s="150"/>
      <c r="I276" s="145"/>
      <c r="J276" s="145"/>
    </row>
    <row r="277" spans="1:10" ht="24.95" hidden="1" customHeight="1">
      <c r="A277" s="141"/>
      <c r="B277" s="141"/>
      <c r="C277" s="143"/>
      <c r="D277" s="143"/>
      <c r="E277" s="141"/>
      <c r="F277" s="232"/>
      <c r="G277" s="150"/>
      <c r="H277" s="150"/>
      <c r="I277" s="145"/>
      <c r="J277" s="145"/>
    </row>
    <row r="278" spans="1:10" ht="24.95" hidden="1" customHeight="1">
      <c r="A278" s="141"/>
      <c r="B278" s="141"/>
      <c r="C278" s="143"/>
      <c r="D278" s="143"/>
      <c r="E278" s="141"/>
      <c r="F278" s="232"/>
      <c r="G278" s="150"/>
      <c r="H278" s="150"/>
      <c r="I278" s="145"/>
      <c r="J278" s="145"/>
    </row>
    <row r="279" spans="1:10" ht="24.95" hidden="1" customHeight="1">
      <c r="A279" s="141"/>
      <c r="B279" s="141"/>
      <c r="C279" s="143"/>
      <c r="D279" s="143"/>
      <c r="E279" s="141"/>
      <c r="F279" s="232"/>
      <c r="G279" s="150"/>
      <c r="H279" s="150"/>
      <c r="I279" s="145"/>
      <c r="J279" s="145"/>
    </row>
    <row r="280" spans="1:10" ht="24.95" hidden="1" customHeight="1">
      <c r="A280" s="141"/>
      <c r="B280" s="141"/>
      <c r="C280" s="143"/>
      <c r="D280" s="143"/>
      <c r="E280" s="141"/>
      <c r="F280" s="232"/>
      <c r="G280" s="150"/>
      <c r="H280" s="150"/>
      <c r="I280" s="145"/>
      <c r="J280" s="145"/>
    </row>
    <row r="281" spans="1:10" ht="24.95" hidden="1" customHeight="1">
      <c r="A281" s="141"/>
      <c r="B281" s="141"/>
      <c r="C281" s="143"/>
      <c r="D281" s="143"/>
      <c r="E281" s="141"/>
      <c r="F281" s="232"/>
      <c r="G281" s="150"/>
      <c r="H281" s="150"/>
      <c r="I281" s="145"/>
      <c r="J281" s="145"/>
    </row>
    <row r="282" spans="1:10" ht="24.95" hidden="1" customHeight="1">
      <c r="A282" s="141"/>
      <c r="B282" s="141"/>
      <c r="C282" s="143"/>
      <c r="D282" s="143"/>
      <c r="E282" s="141"/>
      <c r="F282" s="232"/>
      <c r="G282" s="150"/>
      <c r="H282" s="150"/>
      <c r="I282" s="145"/>
      <c r="J282" s="145"/>
    </row>
    <row r="283" spans="1:10" ht="24.95" hidden="1" customHeight="1">
      <c r="A283" s="141"/>
      <c r="B283" s="141"/>
      <c r="C283" s="143"/>
      <c r="D283" s="143"/>
      <c r="E283" s="141"/>
      <c r="F283" s="232"/>
      <c r="G283" s="150"/>
      <c r="H283" s="150"/>
      <c r="I283" s="145"/>
      <c r="J283" s="145"/>
    </row>
    <row r="284" spans="1:10" ht="24.95" hidden="1" customHeight="1">
      <c r="A284" s="141"/>
      <c r="B284" s="141"/>
      <c r="C284" s="143"/>
      <c r="D284" s="143"/>
      <c r="E284" s="141"/>
      <c r="F284" s="232"/>
      <c r="G284" s="150"/>
      <c r="H284" s="150"/>
      <c r="I284" s="145"/>
      <c r="J284" s="145"/>
    </row>
    <row r="285" spans="1:10" ht="24.95" hidden="1" customHeight="1">
      <c r="A285" s="141"/>
      <c r="B285" s="141"/>
      <c r="C285" s="143"/>
      <c r="D285" s="143"/>
      <c r="E285" s="141"/>
      <c r="F285" s="232"/>
      <c r="G285" s="150"/>
      <c r="H285" s="150"/>
      <c r="I285" s="145"/>
      <c r="J285" s="145"/>
    </row>
    <row r="286" spans="1:10" ht="24.95" hidden="1" customHeight="1">
      <c r="A286" s="141"/>
      <c r="B286" s="141"/>
      <c r="C286" s="143"/>
      <c r="D286" s="143"/>
      <c r="E286" s="141"/>
      <c r="F286" s="232"/>
      <c r="G286" s="150"/>
      <c r="H286" s="150"/>
      <c r="I286" s="145"/>
      <c r="J286" s="145"/>
    </row>
    <row r="287" spans="1:10" ht="24.95" hidden="1" customHeight="1">
      <c r="A287" s="141"/>
      <c r="B287" s="141"/>
      <c r="C287" s="143"/>
      <c r="D287" s="143"/>
      <c r="E287" s="141"/>
      <c r="F287" s="232"/>
      <c r="G287" s="150"/>
      <c r="H287" s="150"/>
      <c r="I287" s="145"/>
      <c r="J287" s="145"/>
    </row>
    <row r="288" spans="1:10" ht="24.95" hidden="1" customHeight="1">
      <c r="A288" s="141"/>
      <c r="B288" s="141"/>
      <c r="C288" s="143"/>
      <c r="D288" s="143"/>
      <c r="E288" s="141"/>
      <c r="F288" s="232"/>
      <c r="G288" s="150"/>
      <c r="H288" s="150"/>
      <c r="I288" s="145"/>
      <c r="J288" s="145"/>
    </row>
    <row r="289" spans="1:10" ht="24.95" hidden="1" customHeight="1">
      <c r="A289" s="141"/>
      <c r="B289" s="141"/>
      <c r="C289" s="143"/>
      <c r="D289" s="143"/>
      <c r="E289" s="141"/>
      <c r="F289" s="232"/>
      <c r="G289" s="150"/>
      <c r="H289" s="150"/>
      <c r="I289" s="145"/>
      <c r="J289" s="145"/>
    </row>
    <row r="290" spans="1:10" ht="24.95" hidden="1" customHeight="1">
      <c r="A290" s="141"/>
      <c r="B290" s="141"/>
      <c r="C290" s="143"/>
      <c r="D290" s="143"/>
      <c r="E290" s="141"/>
      <c r="F290" s="232"/>
      <c r="G290" s="150"/>
      <c r="H290" s="150"/>
      <c r="I290" s="145"/>
      <c r="J290" s="145"/>
    </row>
    <row r="291" spans="1:10" ht="24.95" hidden="1" customHeight="1">
      <c r="A291" s="141"/>
      <c r="B291" s="141"/>
      <c r="C291" s="143"/>
      <c r="D291" s="143"/>
      <c r="E291" s="141"/>
      <c r="F291" s="232"/>
      <c r="G291" s="150"/>
      <c r="H291" s="150"/>
      <c r="I291" s="145"/>
      <c r="J291" s="145"/>
    </row>
    <row r="292" spans="1:10" ht="24.95" hidden="1" customHeight="1">
      <c r="A292" s="141"/>
      <c r="B292" s="141"/>
      <c r="C292" s="143"/>
      <c r="D292" s="143"/>
      <c r="E292" s="141"/>
      <c r="F292" s="232"/>
      <c r="G292" s="150"/>
      <c r="H292" s="150"/>
      <c r="I292" s="145"/>
      <c r="J292" s="145"/>
    </row>
    <row r="293" spans="1:10" ht="24.95" hidden="1" customHeight="1">
      <c r="A293" s="141"/>
      <c r="B293" s="141"/>
      <c r="C293" s="143"/>
      <c r="D293" s="143"/>
      <c r="E293" s="141"/>
      <c r="F293" s="232"/>
      <c r="G293" s="150"/>
      <c r="H293" s="150"/>
      <c r="I293" s="145"/>
      <c r="J293" s="145"/>
    </row>
    <row r="294" spans="1:10" ht="24.95" hidden="1" customHeight="1">
      <c r="A294" s="141"/>
      <c r="B294" s="141"/>
      <c r="C294" s="143"/>
      <c r="D294" s="143"/>
      <c r="E294" s="141"/>
      <c r="F294" s="232"/>
      <c r="G294" s="150"/>
      <c r="H294" s="150"/>
      <c r="I294" s="145"/>
      <c r="J294" s="145"/>
    </row>
    <row r="295" spans="1:10" ht="24.95" hidden="1" customHeight="1">
      <c r="A295" s="141"/>
      <c r="B295" s="141"/>
      <c r="C295" s="143"/>
      <c r="D295" s="143"/>
      <c r="E295" s="141"/>
      <c r="F295" s="232"/>
      <c r="G295" s="150"/>
      <c r="H295" s="150"/>
      <c r="I295" s="145"/>
      <c r="J295" s="145"/>
    </row>
    <row r="296" spans="1:10" ht="24.95" hidden="1" customHeight="1">
      <c r="A296" s="141"/>
      <c r="B296" s="141"/>
      <c r="C296" s="143"/>
      <c r="D296" s="143"/>
      <c r="E296" s="141"/>
      <c r="F296" s="232"/>
      <c r="G296" s="150"/>
      <c r="H296" s="150"/>
      <c r="I296" s="145"/>
      <c r="J296" s="145"/>
    </row>
    <row r="297" spans="1:10" ht="24.95" hidden="1" customHeight="1">
      <c r="A297" s="141"/>
      <c r="B297" s="141"/>
      <c r="C297" s="143"/>
      <c r="D297" s="143"/>
      <c r="E297" s="141"/>
      <c r="F297" s="232"/>
      <c r="G297" s="150"/>
      <c r="H297" s="150"/>
      <c r="I297" s="145"/>
      <c r="J297" s="145"/>
    </row>
    <row r="298" spans="1:10" ht="24.95" hidden="1" customHeight="1">
      <c r="A298" s="141"/>
      <c r="B298" s="141"/>
      <c r="C298" s="143"/>
      <c r="D298" s="143"/>
      <c r="E298" s="141"/>
      <c r="F298" s="232"/>
      <c r="G298" s="150"/>
      <c r="H298" s="150"/>
      <c r="I298" s="145"/>
      <c r="J298" s="145"/>
    </row>
    <row r="299" spans="1:10" ht="24.95" hidden="1" customHeight="1">
      <c r="A299" s="141"/>
      <c r="B299" s="141"/>
      <c r="C299" s="143"/>
      <c r="D299" s="143"/>
      <c r="E299" s="141"/>
      <c r="F299" s="232"/>
      <c r="G299" s="150"/>
      <c r="H299" s="150"/>
      <c r="I299" s="145"/>
      <c r="J299" s="145"/>
    </row>
    <row r="300" spans="1:10" ht="24.95" hidden="1" customHeight="1">
      <c r="A300" s="141"/>
      <c r="B300" s="141"/>
      <c r="C300" s="143"/>
      <c r="D300" s="143"/>
      <c r="E300" s="141"/>
      <c r="F300" s="232"/>
      <c r="G300" s="150"/>
      <c r="H300" s="150"/>
      <c r="I300" s="145"/>
      <c r="J300" s="145"/>
    </row>
    <row r="301" spans="1:10" ht="24.95" hidden="1" customHeight="1">
      <c r="A301" s="141"/>
      <c r="B301" s="141"/>
      <c r="C301" s="143"/>
      <c r="D301" s="143"/>
      <c r="E301" s="141"/>
      <c r="F301" s="232"/>
      <c r="G301" s="150"/>
      <c r="H301" s="150"/>
      <c r="I301" s="145"/>
      <c r="J301" s="145"/>
    </row>
    <row r="302" spans="1:10" ht="24.95" hidden="1" customHeight="1">
      <c r="A302" s="141"/>
      <c r="B302" s="141"/>
      <c r="C302" s="143"/>
      <c r="D302" s="143"/>
      <c r="E302" s="141"/>
      <c r="F302" s="232"/>
      <c r="G302" s="150"/>
      <c r="H302" s="150"/>
      <c r="I302" s="145"/>
      <c r="J302" s="145"/>
    </row>
    <row r="303" spans="1:10" ht="24.95" hidden="1" customHeight="1">
      <c r="A303" s="141"/>
      <c r="B303" s="141"/>
      <c r="C303" s="143"/>
      <c r="D303" s="143"/>
      <c r="E303" s="141"/>
      <c r="F303" s="232"/>
      <c r="G303" s="150"/>
      <c r="H303" s="150"/>
      <c r="I303" s="145"/>
      <c r="J303" s="145"/>
    </row>
    <row r="304" spans="1:10" ht="24.95" hidden="1" customHeight="1">
      <c r="A304" s="141"/>
      <c r="B304" s="141"/>
      <c r="C304" s="143"/>
      <c r="D304" s="143"/>
      <c r="E304" s="141"/>
      <c r="F304" s="232"/>
      <c r="G304" s="150"/>
      <c r="H304" s="150"/>
      <c r="I304" s="145"/>
      <c r="J304" s="145"/>
    </row>
    <row r="305" spans="1:10" ht="24.95" hidden="1" customHeight="1">
      <c r="A305" s="141"/>
      <c r="B305" s="141"/>
      <c r="C305" s="143"/>
      <c r="D305" s="143"/>
      <c r="E305" s="141"/>
      <c r="F305" s="232"/>
      <c r="G305" s="150"/>
      <c r="H305" s="150"/>
      <c r="I305" s="145"/>
      <c r="J305" s="145"/>
    </row>
    <row r="306" spans="1:10" ht="24.95" hidden="1" customHeight="1">
      <c r="A306" s="141"/>
      <c r="B306" s="141"/>
      <c r="C306" s="143"/>
      <c r="D306" s="143"/>
      <c r="E306" s="141"/>
      <c r="F306" s="232"/>
      <c r="G306" s="150"/>
      <c r="H306" s="150"/>
      <c r="I306" s="145"/>
      <c r="J306" s="145"/>
    </row>
    <row r="307" spans="1:10" ht="24.95" hidden="1" customHeight="1">
      <c r="A307" s="141"/>
      <c r="B307" s="141"/>
      <c r="C307" s="143"/>
      <c r="D307" s="143"/>
      <c r="E307" s="141"/>
      <c r="F307" s="232"/>
      <c r="G307" s="150"/>
      <c r="H307" s="150"/>
      <c r="I307" s="145"/>
      <c r="J307" s="145"/>
    </row>
    <row r="308" spans="1:10" ht="24.95" hidden="1" customHeight="1">
      <c r="A308" s="141"/>
      <c r="B308" s="141"/>
      <c r="C308" s="143"/>
      <c r="D308" s="143"/>
      <c r="E308" s="141"/>
      <c r="F308" s="232"/>
      <c r="G308" s="150"/>
      <c r="H308" s="150"/>
      <c r="I308" s="145"/>
      <c r="J308" s="145"/>
    </row>
    <row r="309" spans="1:10" ht="24.95" hidden="1" customHeight="1">
      <c r="A309" s="141"/>
      <c r="B309" s="141"/>
      <c r="C309" s="143"/>
      <c r="D309" s="143"/>
      <c r="E309" s="141"/>
      <c r="F309" s="232"/>
      <c r="G309" s="150"/>
      <c r="H309" s="150"/>
      <c r="I309" s="145"/>
      <c r="J309" s="145"/>
    </row>
    <row r="310" spans="1:10" ht="24.95" hidden="1" customHeight="1">
      <c r="A310" s="141"/>
      <c r="B310" s="141"/>
      <c r="C310" s="143"/>
      <c r="D310" s="143"/>
      <c r="E310" s="141"/>
      <c r="F310" s="232"/>
      <c r="G310" s="150"/>
      <c r="H310" s="150"/>
      <c r="I310" s="145"/>
      <c r="J310" s="145"/>
    </row>
    <row r="311" spans="1:10" ht="24.95" hidden="1" customHeight="1">
      <c r="A311" s="141"/>
      <c r="B311" s="141"/>
      <c r="C311" s="143"/>
      <c r="D311" s="143"/>
      <c r="E311" s="141"/>
      <c r="F311" s="232"/>
      <c r="G311" s="150"/>
      <c r="H311" s="150"/>
      <c r="I311" s="145"/>
      <c r="J311" s="145"/>
    </row>
    <row r="312" spans="1:10" ht="24.95" hidden="1" customHeight="1">
      <c r="A312" s="141"/>
      <c r="B312" s="141"/>
      <c r="C312" s="143"/>
      <c r="D312" s="143"/>
      <c r="E312" s="141"/>
      <c r="F312" s="232"/>
      <c r="G312" s="150"/>
      <c r="H312" s="150"/>
      <c r="I312" s="145"/>
      <c r="J312" s="145"/>
    </row>
    <row r="313" spans="1:10" ht="24.95" hidden="1" customHeight="1">
      <c r="A313" s="141"/>
      <c r="B313" s="141"/>
      <c r="C313" s="143"/>
      <c r="D313" s="143"/>
      <c r="E313" s="141"/>
      <c r="F313" s="232"/>
      <c r="G313" s="150"/>
      <c r="H313" s="150"/>
      <c r="I313" s="145"/>
      <c r="J313" s="145"/>
    </row>
    <row r="314" spans="1:10" ht="24.95" hidden="1" customHeight="1">
      <c r="A314" s="141"/>
      <c r="B314" s="141"/>
      <c r="C314" s="143"/>
      <c r="D314" s="143"/>
      <c r="E314" s="141"/>
      <c r="F314" s="232"/>
      <c r="G314" s="150"/>
      <c r="H314" s="150"/>
      <c r="I314" s="145"/>
      <c r="J314" s="145"/>
    </row>
    <row r="315" spans="1:10" ht="24.95" hidden="1" customHeight="1">
      <c r="A315" s="141"/>
      <c r="B315" s="141"/>
      <c r="C315" s="143"/>
      <c r="D315" s="143"/>
      <c r="E315" s="141"/>
      <c r="F315" s="232"/>
      <c r="G315" s="150"/>
      <c r="H315" s="150"/>
      <c r="I315" s="145"/>
      <c r="J315" s="145"/>
    </row>
    <row r="316" spans="1:10" ht="24.95" hidden="1" customHeight="1">
      <c r="A316" s="141"/>
      <c r="B316" s="141"/>
      <c r="C316" s="143"/>
      <c r="D316" s="143"/>
      <c r="E316" s="141"/>
      <c r="F316" s="232"/>
      <c r="G316" s="150"/>
      <c r="H316" s="150"/>
      <c r="I316" s="145"/>
      <c r="J316" s="145"/>
    </row>
    <row r="317" spans="1:10" ht="24.95" hidden="1" customHeight="1">
      <c r="A317" s="141"/>
      <c r="B317" s="141"/>
      <c r="C317" s="143"/>
      <c r="D317" s="143"/>
      <c r="E317" s="141"/>
      <c r="F317" s="232"/>
      <c r="G317" s="150"/>
      <c r="H317" s="150"/>
      <c r="I317" s="145"/>
      <c r="J317" s="145"/>
    </row>
    <row r="318" spans="1:10" ht="24.95" hidden="1" customHeight="1">
      <c r="A318" s="141"/>
      <c r="B318" s="141"/>
      <c r="C318" s="143"/>
      <c r="D318" s="143"/>
      <c r="E318" s="141"/>
      <c r="F318" s="232"/>
      <c r="G318" s="150"/>
      <c r="H318" s="150"/>
      <c r="I318" s="145"/>
      <c r="J318" s="145"/>
    </row>
    <row r="319" spans="1:10" ht="24.95" hidden="1" customHeight="1">
      <c r="A319" s="141"/>
      <c r="B319" s="141"/>
      <c r="C319" s="143"/>
      <c r="D319" s="143"/>
      <c r="E319" s="141"/>
      <c r="F319" s="232"/>
      <c r="G319" s="150"/>
      <c r="H319" s="150"/>
      <c r="I319" s="145"/>
      <c r="J319" s="145"/>
    </row>
    <row r="320" spans="1:10" ht="24.95" hidden="1" customHeight="1">
      <c r="A320" s="141"/>
      <c r="B320" s="141"/>
      <c r="C320" s="143"/>
      <c r="D320" s="143"/>
      <c r="E320" s="141"/>
      <c r="F320" s="232"/>
      <c r="G320" s="150"/>
      <c r="H320" s="150"/>
      <c r="I320" s="145"/>
      <c r="J320" s="145"/>
    </row>
    <row r="321" spans="1:10" ht="24.95" hidden="1" customHeight="1">
      <c r="A321" s="141"/>
      <c r="B321" s="141"/>
      <c r="C321" s="143"/>
      <c r="D321" s="143"/>
      <c r="E321" s="141"/>
      <c r="F321" s="232"/>
      <c r="G321" s="150"/>
      <c r="H321" s="150"/>
      <c r="I321" s="145"/>
      <c r="J321" s="145"/>
    </row>
    <row r="322" spans="1:10" ht="24.95" hidden="1" customHeight="1">
      <c r="A322" s="141"/>
      <c r="B322" s="141"/>
      <c r="C322" s="143"/>
      <c r="D322" s="143"/>
      <c r="E322" s="141"/>
      <c r="F322" s="232"/>
      <c r="G322" s="150"/>
      <c r="H322" s="150"/>
      <c r="I322" s="145"/>
      <c r="J322" s="145"/>
    </row>
    <row r="323" spans="1:10" ht="24.95" hidden="1" customHeight="1">
      <c r="A323" s="141"/>
      <c r="B323" s="141"/>
      <c r="C323" s="143"/>
      <c r="D323" s="143"/>
      <c r="E323" s="141"/>
      <c r="F323" s="232"/>
      <c r="G323" s="150"/>
      <c r="H323" s="150"/>
      <c r="I323" s="145"/>
      <c r="J323" s="145"/>
    </row>
    <row r="324" spans="1:10" ht="24.95" hidden="1" customHeight="1">
      <c r="A324" s="141"/>
      <c r="B324" s="141"/>
      <c r="C324" s="143"/>
      <c r="D324" s="143"/>
      <c r="E324" s="141"/>
      <c r="F324" s="232"/>
      <c r="G324" s="150"/>
      <c r="H324" s="150"/>
      <c r="I324" s="145"/>
      <c r="J324" s="145"/>
    </row>
    <row r="325" spans="1:10" ht="24.95" hidden="1" customHeight="1">
      <c r="A325" s="141"/>
      <c r="B325" s="141"/>
      <c r="C325" s="143"/>
      <c r="D325" s="143"/>
      <c r="E325" s="141"/>
      <c r="F325" s="232"/>
      <c r="G325" s="150"/>
      <c r="H325" s="150"/>
      <c r="I325" s="145"/>
      <c r="J325" s="145"/>
    </row>
    <row r="326" spans="1:10" ht="24.95" hidden="1" customHeight="1">
      <c r="A326" s="141"/>
      <c r="B326" s="141"/>
      <c r="C326" s="143"/>
      <c r="D326" s="143"/>
      <c r="E326" s="141"/>
      <c r="F326" s="232"/>
      <c r="G326" s="150"/>
      <c r="H326" s="150"/>
      <c r="I326" s="145"/>
      <c r="J326" s="145"/>
    </row>
    <row r="327" spans="1:10" ht="24.95" hidden="1" customHeight="1">
      <c r="A327" s="141"/>
      <c r="B327" s="141"/>
      <c r="C327" s="143"/>
      <c r="D327" s="143"/>
      <c r="E327" s="141"/>
      <c r="F327" s="232"/>
      <c r="G327" s="150"/>
      <c r="H327" s="150"/>
      <c r="I327" s="145"/>
      <c r="J327" s="145"/>
    </row>
    <row r="328" spans="1:10" ht="24.95" hidden="1" customHeight="1">
      <c r="A328" s="141"/>
      <c r="B328" s="141"/>
      <c r="C328" s="143"/>
      <c r="D328" s="143"/>
      <c r="E328" s="141"/>
      <c r="F328" s="232"/>
      <c r="G328" s="150"/>
      <c r="H328" s="150"/>
      <c r="I328" s="145"/>
      <c r="J328" s="145"/>
    </row>
    <row r="329" spans="1:10" ht="24.95" hidden="1" customHeight="1">
      <c r="A329" s="141"/>
      <c r="B329" s="141"/>
      <c r="C329" s="143"/>
      <c r="D329" s="143"/>
      <c r="E329" s="141"/>
      <c r="F329" s="232"/>
      <c r="G329" s="150"/>
      <c r="H329" s="150"/>
      <c r="I329" s="145"/>
      <c r="J329" s="145"/>
    </row>
    <row r="330" spans="1:10" ht="24.95" hidden="1" customHeight="1">
      <c r="A330" s="141"/>
      <c r="B330" s="141"/>
      <c r="C330" s="143"/>
      <c r="D330" s="143"/>
      <c r="E330" s="141"/>
      <c r="F330" s="232"/>
      <c r="G330" s="150"/>
      <c r="H330" s="150"/>
      <c r="I330" s="145"/>
      <c r="J330" s="145"/>
    </row>
    <row r="331" spans="1:10" ht="24.95" hidden="1" customHeight="1">
      <c r="A331" s="141"/>
      <c r="B331" s="141"/>
      <c r="C331" s="143"/>
      <c r="D331" s="143"/>
      <c r="E331" s="141"/>
      <c r="F331" s="232"/>
      <c r="G331" s="150"/>
      <c r="H331" s="150"/>
      <c r="I331" s="145"/>
      <c r="J331" s="145"/>
    </row>
    <row r="332" spans="1:10" ht="24.95" hidden="1" customHeight="1">
      <c r="A332" s="141"/>
      <c r="B332" s="141"/>
      <c r="C332" s="143"/>
      <c r="D332" s="143"/>
      <c r="E332" s="141"/>
      <c r="F332" s="232"/>
      <c r="G332" s="150"/>
      <c r="H332" s="150"/>
      <c r="I332" s="145"/>
      <c r="J332" s="145"/>
    </row>
    <row r="333" spans="1:10" ht="24.95" hidden="1" customHeight="1">
      <c r="A333" s="141"/>
      <c r="B333" s="141"/>
      <c r="C333" s="143"/>
      <c r="D333" s="143"/>
      <c r="E333" s="141"/>
      <c r="F333" s="232"/>
      <c r="G333" s="150"/>
      <c r="H333" s="150"/>
      <c r="I333" s="145"/>
      <c r="J333" s="145"/>
    </row>
    <row r="334" spans="1:10" ht="24.95" hidden="1" customHeight="1">
      <c r="A334" s="141"/>
      <c r="B334" s="141"/>
      <c r="C334" s="143"/>
      <c r="D334" s="143"/>
      <c r="E334" s="141"/>
      <c r="F334" s="232"/>
      <c r="G334" s="150"/>
      <c r="H334" s="150"/>
      <c r="I334" s="145"/>
      <c r="J334" s="145"/>
    </row>
    <row r="335" spans="1:10" ht="24.95" hidden="1" customHeight="1">
      <c r="A335" s="141"/>
      <c r="B335" s="141"/>
      <c r="C335" s="143"/>
      <c r="D335" s="143"/>
      <c r="E335" s="141"/>
      <c r="F335" s="232"/>
      <c r="G335" s="150"/>
      <c r="H335" s="150"/>
      <c r="I335" s="145"/>
      <c r="J335" s="145"/>
    </row>
    <row r="336" spans="1:10" ht="24.95" hidden="1" customHeight="1">
      <c r="A336" s="141"/>
      <c r="B336" s="141"/>
      <c r="C336" s="143"/>
      <c r="D336" s="143"/>
      <c r="E336" s="141"/>
      <c r="F336" s="232"/>
      <c r="G336" s="150"/>
      <c r="H336" s="150"/>
      <c r="I336" s="145"/>
      <c r="J336" s="145"/>
    </row>
    <row r="337" spans="1:10" ht="24.95" hidden="1" customHeight="1">
      <c r="A337" s="141"/>
      <c r="B337" s="141"/>
      <c r="C337" s="143"/>
      <c r="D337" s="143"/>
      <c r="E337" s="141"/>
      <c r="F337" s="232"/>
      <c r="G337" s="150"/>
      <c r="H337" s="150"/>
      <c r="I337" s="145"/>
      <c r="J337" s="145"/>
    </row>
    <row r="338" spans="1:10" ht="24.95" hidden="1" customHeight="1">
      <c r="A338" s="141"/>
      <c r="B338" s="141"/>
      <c r="C338" s="143"/>
      <c r="D338" s="143"/>
      <c r="E338" s="141"/>
      <c r="F338" s="232"/>
      <c r="G338" s="150"/>
      <c r="H338" s="150"/>
      <c r="I338" s="145"/>
      <c r="J338" s="145"/>
    </row>
    <row r="339" spans="1:10" ht="24.95" hidden="1" customHeight="1">
      <c r="A339" s="141"/>
      <c r="B339" s="141"/>
      <c r="C339" s="143"/>
      <c r="D339" s="143"/>
      <c r="E339" s="141"/>
      <c r="F339" s="232"/>
      <c r="G339" s="150"/>
      <c r="H339" s="150"/>
      <c r="I339" s="145"/>
      <c r="J339" s="145"/>
    </row>
    <row r="340" spans="1:10" ht="24.95" hidden="1" customHeight="1">
      <c r="A340" s="141"/>
      <c r="B340" s="141"/>
      <c r="C340" s="143"/>
      <c r="D340" s="143"/>
      <c r="E340" s="141"/>
      <c r="F340" s="232"/>
      <c r="G340" s="150"/>
      <c r="H340" s="150"/>
      <c r="I340" s="145"/>
      <c r="J340" s="145"/>
    </row>
    <row r="341" spans="1:10" ht="24.95" hidden="1" customHeight="1">
      <c r="A341" s="141"/>
      <c r="B341" s="141"/>
      <c r="C341" s="143"/>
      <c r="D341" s="143"/>
      <c r="E341" s="141"/>
      <c r="F341" s="232"/>
      <c r="G341" s="150"/>
      <c r="H341" s="150"/>
      <c r="I341" s="145"/>
      <c r="J341" s="145"/>
    </row>
    <row r="342" spans="1:10" ht="24.95" hidden="1" customHeight="1">
      <c r="A342" s="141"/>
      <c r="B342" s="141"/>
      <c r="C342" s="143"/>
      <c r="D342" s="143"/>
      <c r="E342" s="141"/>
      <c r="F342" s="232"/>
      <c r="G342" s="150"/>
      <c r="H342" s="150"/>
      <c r="I342" s="145"/>
      <c r="J342" s="145"/>
    </row>
    <row r="343" spans="1:10" ht="24.95" hidden="1" customHeight="1">
      <c r="A343" s="141"/>
      <c r="B343" s="141"/>
      <c r="C343" s="143"/>
      <c r="D343" s="143"/>
      <c r="E343" s="141"/>
      <c r="F343" s="232"/>
      <c r="G343" s="150"/>
      <c r="H343" s="150"/>
      <c r="I343" s="145"/>
      <c r="J343" s="145"/>
    </row>
    <row r="344" spans="1:10" ht="24.95" hidden="1" customHeight="1">
      <c r="A344" s="141"/>
      <c r="B344" s="141"/>
      <c r="C344" s="143"/>
      <c r="D344" s="143"/>
      <c r="E344" s="141"/>
      <c r="F344" s="232"/>
      <c r="G344" s="150"/>
      <c r="H344" s="150"/>
      <c r="I344" s="145"/>
      <c r="J344" s="145"/>
    </row>
    <row r="345" spans="1:10" ht="24.95" hidden="1" customHeight="1">
      <c r="A345" s="141"/>
      <c r="B345" s="141"/>
      <c r="C345" s="143"/>
      <c r="D345" s="143"/>
      <c r="E345" s="141"/>
      <c r="F345" s="232"/>
      <c r="G345" s="150"/>
      <c r="H345" s="150"/>
      <c r="I345" s="145"/>
      <c r="J345" s="145"/>
    </row>
    <row r="346" spans="1:10" ht="24.95" hidden="1" customHeight="1">
      <c r="A346" s="141"/>
      <c r="B346" s="141"/>
      <c r="C346" s="143"/>
      <c r="D346" s="143"/>
      <c r="E346" s="141"/>
      <c r="F346" s="232"/>
      <c r="G346" s="150"/>
      <c r="H346" s="150"/>
      <c r="I346" s="145"/>
      <c r="J346" s="145"/>
    </row>
    <row r="347" spans="1:10" ht="24.95" hidden="1" customHeight="1">
      <c r="A347" s="141"/>
      <c r="B347" s="141"/>
      <c r="C347" s="143"/>
      <c r="D347" s="143"/>
      <c r="E347" s="141"/>
      <c r="F347" s="232"/>
      <c r="G347" s="150"/>
      <c r="H347" s="150"/>
      <c r="I347" s="145"/>
      <c r="J347" s="145"/>
    </row>
    <row r="348" spans="1:10" ht="24.95" hidden="1" customHeight="1">
      <c r="A348" s="141"/>
      <c r="B348" s="141"/>
      <c r="C348" s="143"/>
      <c r="D348" s="143"/>
      <c r="E348" s="141"/>
      <c r="F348" s="232"/>
      <c r="G348" s="150"/>
      <c r="H348" s="150"/>
      <c r="I348" s="145"/>
      <c r="J348" s="145"/>
    </row>
    <row r="349" spans="1:10" ht="24.95" hidden="1" customHeight="1">
      <c r="A349" s="141"/>
      <c r="B349" s="141"/>
      <c r="C349" s="143"/>
      <c r="D349" s="143"/>
      <c r="E349" s="141"/>
      <c r="F349" s="232"/>
      <c r="G349" s="150"/>
      <c r="H349" s="150"/>
      <c r="I349" s="145"/>
      <c r="J349" s="145"/>
    </row>
    <row r="350" spans="1:10" ht="24.95" hidden="1" customHeight="1">
      <c r="A350" s="141"/>
      <c r="B350" s="141"/>
      <c r="C350" s="143"/>
      <c r="D350" s="143"/>
      <c r="E350" s="141"/>
      <c r="F350" s="232"/>
      <c r="G350" s="150"/>
      <c r="H350" s="150"/>
      <c r="I350" s="145"/>
      <c r="J350" s="145"/>
    </row>
    <row r="351" spans="1:10" ht="24.95" hidden="1" customHeight="1">
      <c r="A351" s="141"/>
      <c r="B351" s="141"/>
      <c r="C351" s="143"/>
      <c r="D351" s="143"/>
      <c r="E351" s="141"/>
      <c r="F351" s="232"/>
      <c r="G351" s="150"/>
      <c r="H351" s="150"/>
      <c r="I351" s="145"/>
      <c r="J351" s="145"/>
    </row>
    <row r="352" spans="1:10" ht="24.95" hidden="1" customHeight="1">
      <c r="A352" s="141"/>
      <c r="B352" s="141"/>
      <c r="C352" s="143"/>
      <c r="D352" s="143"/>
      <c r="E352" s="141"/>
      <c r="F352" s="232"/>
      <c r="G352" s="150"/>
      <c r="H352" s="150"/>
      <c r="I352" s="145"/>
      <c r="J352" s="145"/>
    </row>
    <row r="353" spans="1:10" ht="24.95" hidden="1" customHeight="1">
      <c r="A353" s="141"/>
      <c r="B353" s="141"/>
      <c r="C353" s="143"/>
      <c r="D353" s="143"/>
      <c r="E353" s="141"/>
      <c r="F353" s="232"/>
      <c r="G353" s="150"/>
      <c r="H353" s="150"/>
      <c r="I353" s="145"/>
      <c r="J353" s="145"/>
    </row>
    <row r="354" spans="1:10" ht="24.95" hidden="1" customHeight="1">
      <c r="A354" s="141"/>
      <c r="B354" s="141"/>
      <c r="C354" s="143"/>
      <c r="D354" s="143"/>
      <c r="E354" s="141"/>
      <c r="F354" s="232"/>
      <c r="G354" s="150"/>
      <c r="H354" s="150"/>
      <c r="I354" s="145"/>
      <c r="J354" s="145"/>
    </row>
    <row r="355" spans="1:10" ht="24.95" hidden="1" customHeight="1">
      <c r="A355" s="141"/>
      <c r="B355" s="141"/>
      <c r="C355" s="143"/>
      <c r="D355" s="143"/>
      <c r="E355" s="141"/>
      <c r="F355" s="232"/>
      <c r="G355" s="150"/>
      <c r="H355" s="150"/>
      <c r="I355" s="145"/>
      <c r="J355" s="145"/>
    </row>
    <row r="356" spans="1:10" ht="24.95" hidden="1" customHeight="1">
      <c r="A356" s="141"/>
      <c r="B356" s="141"/>
      <c r="C356" s="143"/>
      <c r="D356" s="143"/>
      <c r="E356" s="141"/>
      <c r="F356" s="232"/>
      <c r="G356" s="150"/>
      <c r="H356" s="150"/>
      <c r="I356" s="145"/>
      <c r="J356" s="145"/>
    </row>
    <row r="357" spans="1:10" ht="24.95" hidden="1" customHeight="1">
      <c r="A357" s="141"/>
      <c r="B357" s="141"/>
      <c r="C357" s="143"/>
      <c r="D357" s="143"/>
      <c r="E357" s="141"/>
      <c r="F357" s="232"/>
      <c r="G357" s="150"/>
      <c r="H357" s="150"/>
      <c r="I357" s="145"/>
      <c r="J357" s="145"/>
    </row>
    <row r="358" spans="1:10" ht="24.95" hidden="1" customHeight="1">
      <c r="A358" s="141"/>
      <c r="B358" s="141"/>
      <c r="C358" s="143"/>
      <c r="D358" s="143"/>
      <c r="E358" s="141"/>
      <c r="F358" s="232"/>
      <c r="G358" s="150"/>
      <c r="H358" s="150"/>
      <c r="I358" s="145"/>
      <c r="J358" s="145"/>
    </row>
    <row r="359" spans="1:10" ht="24.95" hidden="1" customHeight="1">
      <c r="A359" s="141"/>
      <c r="B359" s="141"/>
      <c r="C359" s="143"/>
      <c r="D359" s="143"/>
      <c r="E359" s="141"/>
      <c r="F359" s="232"/>
      <c r="G359" s="150"/>
      <c r="H359" s="150"/>
      <c r="I359" s="145"/>
      <c r="J359" s="145"/>
    </row>
    <row r="360" spans="1:10" ht="24.95" hidden="1" customHeight="1">
      <c r="A360" s="141"/>
      <c r="B360" s="141"/>
      <c r="C360" s="143"/>
      <c r="D360" s="143"/>
      <c r="E360" s="141"/>
      <c r="F360" s="232"/>
      <c r="G360" s="150"/>
      <c r="H360" s="150"/>
      <c r="I360" s="145"/>
      <c r="J360" s="145"/>
    </row>
    <row r="361" spans="1:10" ht="24.95" hidden="1" customHeight="1">
      <c r="A361" s="141"/>
      <c r="B361" s="141"/>
      <c r="C361" s="143"/>
      <c r="D361" s="143"/>
      <c r="E361" s="141"/>
      <c r="F361" s="232"/>
      <c r="G361" s="150"/>
      <c r="H361" s="150"/>
      <c r="I361" s="145"/>
      <c r="J361" s="145"/>
    </row>
    <row r="362" spans="1:10" ht="24.95" hidden="1" customHeight="1">
      <c r="A362" s="141"/>
      <c r="B362" s="141"/>
      <c r="C362" s="143"/>
      <c r="D362" s="143"/>
      <c r="E362" s="141"/>
      <c r="F362" s="232"/>
      <c r="G362" s="150"/>
      <c r="H362" s="150"/>
      <c r="I362" s="145"/>
      <c r="J362" s="145"/>
    </row>
    <row r="363" spans="1:10" ht="24.95" hidden="1" customHeight="1">
      <c r="A363" s="141"/>
      <c r="B363" s="141"/>
      <c r="C363" s="143"/>
      <c r="D363" s="143"/>
      <c r="E363" s="141"/>
      <c r="F363" s="232"/>
      <c r="G363" s="150"/>
      <c r="H363" s="150"/>
      <c r="I363" s="145"/>
      <c r="J363" s="145"/>
    </row>
    <row r="364" spans="1:10" ht="24.95" hidden="1" customHeight="1">
      <c r="A364" s="141"/>
      <c r="B364" s="141"/>
      <c r="C364" s="143"/>
      <c r="D364" s="143"/>
      <c r="E364" s="141"/>
      <c r="F364" s="232"/>
      <c r="G364" s="150"/>
      <c r="H364" s="150"/>
      <c r="I364" s="145"/>
      <c r="J364" s="145"/>
    </row>
    <row r="365" spans="1:10" ht="24.95" hidden="1" customHeight="1">
      <c r="A365" s="141"/>
      <c r="B365" s="141"/>
      <c r="C365" s="143"/>
      <c r="D365" s="143"/>
      <c r="E365" s="141"/>
      <c r="F365" s="232"/>
      <c r="G365" s="150"/>
      <c r="H365" s="150"/>
      <c r="I365" s="145"/>
      <c r="J365" s="145"/>
    </row>
    <row r="366" spans="1:10" ht="24.95" hidden="1" customHeight="1">
      <c r="A366" s="141"/>
      <c r="B366" s="141"/>
      <c r="C366" s="143"/>
      <c r="D366" s="143"/>
      <c r="E366" s="141"/>
      <c r="F366" s="232"/>
      <c r="G366" s="150"/>
      <c r="H366" s="150"/>
      <c r="I366" s="145"/>
      <c r="J366" s="145"/>
    </row>
    <row r="367" spans="1:10" ht="24.95" hidden="1" customHeight="1">
      <c r="A367" s="141"/>
      <c r="B367" s="141"/>
      <c r="C367" s="143"/>
      <c r="D367" s="143"/>
      <c r="E367" s="141"/>
      <c r="F367" s="232"/>
      <c r="G367" s="150"/>
      <c r="H367" s="150"/>
      <c r="I367" s="145"/>
      <c r="J367" s="145"/>
    </row>
    <row r="368" spans="1:10" ht="24.95" hidden="1" customHeight="1">
      <c r="A368" s="141"/>
      <c r="B368" s="141"/>
      <c r="C368" s="143"/>
      <c r="D368" s="143"/>
      <c r="E368" s="141"/>
      <c r="F368" s="232"/>
      <c r="G368" s="150"/>
      <c r="H368" s="150"/>
      <c r="I368" s="145"/>
      <c r="J368" s="145"/>
    </row>
    <row r="369" spans="1:10" ht="24.95" hidden="1" customHeight="1">
      <c r="A369" s="141"/>
      <c r="B369" s="141"/>
      <c r="C369" s="143"/>
      <c r="D369" s="143"/>
      <c r="E369" s="141"/>
      <c r="F369" s="232"/>
      <c r="G369" s="150"/>
      <c r="H369" s="150"/>
      <c r="I369" s="145"/>
      <c r="J369" s="145"/>
    </row>
    <row r="370" spans="1:10" ht="24.95" hidden="1" customHeight="1">
      <c r="A370" s="141"/>
      <c r="B370" s="141"/>
      <c r="C370" s="143"/>
      <c r="D370" s="143"/>
      <c r="E370" s="141"/>
      <c r="F370" s="232"/>
      <c r="G370" s="150"/>
      <c r="H370" s="150"/>
      <c r="I370" s="145"/>
      <c r="J370" s="145"/>
    </row>
    <row r="371" spans="1:10" ht="24.95" hidden="1" customHeight="1">
      <c r="A371" s="141"/>
      <c r="B371" s="141"/>
      <c r="C371" s="143"/>
      <c r="D371" s="143"/>
      <c r="E371" s="141"/>
      <c r="F371" s="232"/>
      <c r="G371" s="150"/>
      <c r="H371" s="150"/>
      <c r="I371" s="145"/>
      <c r="J371" s="145"/>
    </row>
    <row r="372" spans="1:10" ht="24.95" hidden="1" customHeight="1">
      <c r="A372" s="141"/>
      <c r="B372" s="141"/>
      <c r="C372" s="143"/>
      <c r="D372" s="143"/>
      <c r="E372" s="141"/>
      <c r="F372" s="232"/>
      <c r="G372" s="150"/>
      <c r="H372" s="150"/>
      <c r="I372" s="145"/>
      <c r="J372" s="145"/>
    </row>
    <row r="373" spans="1:10" ht="24.95" hidden="1" customHeight="1">
      <c r="A373" s="141"/>
      <c r="B373" s="141"/>
      <c r="C373" s="143"/>
      <c r="D373" s="143"/>
      <c r="E373" s="141"/>
      <c r="F373" s="232"/>
      <c r="G373" s="150"/>
      <c r="H373" s="150"/>
      <c r="I373" s="145"/>
      <c r="J373" s="145"/>
    </row>
    <row r="374" spans="1:10" ht="24.95" hidden="1" customHeight="1">
      <c r="A374" s="141"/>
      <c r="B374" s="141"/>
      <c r="C374" s="143"/>
      <c r="D374" s="143"/>
      <c r="E374" s="141"/>
      <c r="F374" s="232"/>
      <c r="G374" s="150"/>
      <c r="H374" s="150"/>
      <c r="I374" s="145"/>
      <c r="J374" s="145"/>
    </row>
    <row r="375" spans="1:10" ht="24.95" hidden="1" customHeight="1">
      <c r="A375" s="141"/>
      <c r="B375" s="141"/>
      <c r="C375" s="143"/>
      <c r="D375" s="143"/>
      <c r="E375" s="141"/>
      <c r="F375" s="232"/>
      <c r="G375" s="150"/>
      <c r="H375" s="150"/>
      <c r="I375" s="145"/>
      <c r="J375" s="145"/>
    </row>
    <row r="376" spans="1:10" ht="24.95" hidden="1" customHeight="1">
      <c r="A376" s="141"/>
      <c r="B376" s="141"/>
      <c r="C376" s="143"/>
      <c r="D376" s="143"/>
      <c r="E376" s="141"/>
      <c r="F376" s="232"/>
      <c r="G376" s="150"/>
      <c r="H376" s="150"/>
      <c r="I376" s="145"/>
      <c r="J376" s="145"/>
    </row>
    <row r="377" spans="1:10" ht="24.95" hidden="1" customHeight="1">
      <c r="A377" s="141"/>
      <c r="B377" s="141"/>
      <c r="C377" s="143"/>
      <c r="D377" s="143"/>
      <c r="E377" s="141"/>
      <c r="F377" s="232"/>
      <c r="G377" s="150"/>
      <c r="H377" s="150"/>
      <c r="I377" s="145"/>
      <c r="J377" s="145"/>
    </row>
    <row r="378" spans="1:10" ht="24.95" hidden="1" customHeight="1">
      <c r="A378" s="141"/>
      <c r="B378" s="141"/>
      <c r="C378" s="143"/>
      <c r="D378" s="143"/>
      <c r="E378" s="141"/>
      <c r="F378" s="232"/>
      <c r="G378" s="150"/>
      <c r="H378" s="150"/>
      <c r="I378" s="145"/>
      <c r="J378" s="145"/>
    </row>
    <row r="379" spans="1:10" ht="24.95" hidden="1" customHeight="1">
      <c r="A379" s="141"/>
      <c r="B379" s="141"/>
      <c r="C379" s="143"/>
      <c r="D379" s="143"/>
      <c r="E379" s="141"/>
      <c r="F379" s="232"/>
      <c r="G379" s="150"/>
      <c r="H379" s="150"/>
      <c r="I379" s="145"/>
      <c r="J379" s="145"/>
    </row>
    <row r="380" spans="1:10" ht="24.95" hidden="1" customHeight="1">
      <c r="A380" s="141"/>
      <c r="B380" s="141"/>
      <c r="C380" s="143"/>
      <c r="D380" s="143"/>
      <c r="E380" s="141"/>
      <c r="F380" s="232"/>
      <c r="G380" s="150"/>
      <c r="H380" s="150"/>
      <c r="I380" s="145"/>
      <c r="J380" s="145"/>
    </row>
    <row r="381" spans="1:10" ht="24.95" hidden="1" customHeight="1">
      <c r="A381" s="141"/>
      <c r="B381" s="141"/>
      <c r="C381" s="143"/>
      <c r="D381" s="143"/>
      <c r="E381" s="141"/>
      <c r="F381" s="232"/>
      <c r="G381" s="150"/>
      <c r="H381" s="150"/>
      <c r="I381" s="145"/>
      <c r="J381" s="145"/>
    </row>
    <row r="382" spans="1:10" ht="24.95" hidden="1" customHeight="1">
      <c r="A382" s="141"/>
      <c r="B382" s="141"/>
      <c r="C382" s="143"/>
      <c r="D382" s="143"/>
      <c r="E382" s="141"/>
      <c r="F382" s="232"/>
      <c r="G382" s="150"/>
      <c r="H382" s="150"/>
      <c r="I382" s="145"/>
      <c r="J382" s="145"/>
    </row>
    <row r="383" spans="1:10" ht="24.95" hidden="1" customHeight="1">
      <c r="A383" s="141"/>
      <c r="B383" s="141"/>
      <c r="C383" s="143"/>
      <c r="D383" s="143"/>
      <c r="E383" s="141"/>
      <c r="F383" s="232"/>
      <c r="G383" s="150"/>
      <c r="H383" s="150"/>
      <c r="I383" s="145"/>
      <c r="J383" s="145"/>
    </row>
    <row r="384" spans="1:10" ht="24.95" hidden="1" customHeight="1">
      <c r="A384" s="141"/>
      <c r="B384" s="141"/>
      <c r="C384" s="143"/>
      <c r="D384" s="143"/>
      <c r="E384" s="141"/>
      <c r="F384" s="232"/>
      <c r="G384" s="150"/>
      <c r="H384" s="150"/>
      <c r="I384" s="145"/>
      <c r="J384" s="145"/>
    </row>
    <row r="385" spans="1:10" ht="24.95" hidden="1" customHeight="1">
      <c r="A385" s="141"/>
      <c r="B385" s="141"/>
      <c r="C385" s="143"/>
      <c r="D385" s="143"/>
      <c r="E385" s="141"/>
      <c r="F385" s="232"/>
      <c r="G385" s="150"/>
      <c r="H385" s="150"/>
      <c r="I385" s="145"/>
      <c r="J385" s="145"/>
    </row>
    <row r="386" spans="1:10" ht="24.95" hidden="1" customHeight="1">
      <c r="A386" s="141"/>
      <c r="B386" s="141"/>
      <c r="C386" s="143"/>
      <c r="D386" s="143"/>
      <c r="E386" s="141"/>
      <c r="F386" s="232"/>
      <c r="G386" s="150"/>
      <c r="H386" s="150"/>
      <c r="I386" s="145"/>
      <c r="J386" s="145"/>
    </row>
    <row r="387" spans="1:10" ht="24.95" hidden="1" customHeight="1">
      <c r="A387" s="141"/>
      <c r="B387" s="141"/>
      <c r="C387" s="143"/>
      <c r="D387" s="143"/>
      <c r="E387" s="141"/>
      <c r="F387" s="232"/>
      <c r="G387" s="150"/>
      <c r="H387" s="150"/>
      <c r="I387" s="145"/>
      <c r="J387" s="145"/>
    </row>
    <row r="388" spans="1:10" ht="24.95" hidden="1" customHeight="1">
      <c r="A388" s="141"/>
      <c r="B388" s="141"/>
      <c r="C388" s="143"/>
      <c r="D388" s="143"/>
      <c r="E388" s="141"/>
      <c r="F388" s="232"/>
      <c r="G388" s="150"/>
      <c r="H388" s="150"/>
      <c r="I388" s="145"/>
      <c r="J388" s="145"/>
    </row>
    <row r="389" spans="1:10" ht="24.95" hidden="1" customHeight="1">
      <c r="A389" s="141"/>
      <c r="B389" s="141"/>
      <c r="C389" s="143"/>
      <c r="D389" s="143"/>
      <c r="E389" s="141"/>
      <c r="F389" s="232"/>
      <c r="G389" s="150"/>
      <c r="H389" s="150"/>
      <c r="I389" s="145"/>
      <c r="J389" s="145"/>
    </row>
    <row r="390" spans="1:10" ht="24.95" hidden="1" customHeight="1">
      <c r="A390" s="141"/>
      <c r="B390" s="141"/>
      <c r="C390" s="143"/>
      <c r="D390" s="143"/>
      <c r="E390" s="141"/>
      <c r="F390" s="232"/>
      <c r="G390" s="150"/>
      <c r="H390" s="150"/>
      <c r="I390" s="145"/>
      <c r="J390" s="145"/>
    </row>
    <row r="391" spans="1:10" ht="24.95" hidden="1" customHeight="1">
      <c r="A391" s="141"/>
      <c r="B391" s="141"/>
      <c r="C391" s="143"/>
      <c r="D391" s="143"/>
      <c r="E391" s="141"/>
      <c r="F391" s="232"/>
      <c r="G391" s="150"/>
      <c r="H391" s="150"/>
      <c r="I391" s="145"/>
      <c r="J391" s="145"/>
    </row>
    <row r="392" spans="1:10" ht="24.95" hidden="1" customHeight="1">
      <c r="A392" s="141"/>
      <c r="B392" s="141"/>
      <c r="C392" s="143"/>
      <c r="D392" s="143"/>
      <c r="E392" s="141"/>
      <c r="F392" s="232"/>
      <c r="G392" s="150"/>
      <c r="H392" s="150"/>
      <c r="I392" s="145"/>
      <c r="J392" s="145"/>
    </row>
    <row r="393" spans="1:10" ht="24.95" hidden="1" customHeight="1">
      <c r="A393" s="141"/>
      <c r="B393" s="141"/>
      <c r="C393" s="143"/>
      <c r="D393" s="143"/>
      <c r="E393" s="141"/>
      <c r="F393" s="232"/>
      <c r="G393" s="150"/>
      <c r="H393" s="150"/>
      <c r="I393" s="145"/>
      <c r="J393" s="145"/>
    </row>
    <row r="394" spans="1:10" ht="24.95" hidden="1" customHeight="1">
      <c r="A394" s="141"/>
      <c r="B394" s="141"/>
      <c r="C394" s="143"/>
      <c r="D394" s="143"/>
      <c r="E394" s="141"/>
      <c r="F394" s="232"/>
      <c r="G394" s="150"/>
      <c r="H394" s="150"/>
      <c r="I394" s="145"/>
      <c r="J394" s="145"/>
    </row>
    <row r="395" spans="1:10" ht="24.95" hidden="1" customHeight="1">
      <c r="A395" s="141"/>
      <c r="B395" s="141"/>
      <c r="C395" s="143"/>
      <c r="D395" s="143"/>
      <c r="E395" s="141"/>
      <c r="F395" s="232"/>
      <c r="G395" s="150"/>
      <c r="H395" s="150"/>
      <c r="I395" s="145"/>
      <c r="J395" s="145"/>
    </row>
    <row r="396" spans="1:10" ht="24.95" hidden="1" customHeight="1">
      <c r="A396" s="141"/>
      <c r="B396" s="141"/>
      <c r="C396" s="143"/>
      <c r="D396" s="143"/>
      <c r="E396" s="141"/>
      <c r="F396" s="232"/>
      <c r="G396" s="150"/>
      <c r="H396" s="150"/>
      <c r="I396" s="145"/>
      <c r="J396" s="145"/>
    </row>
    <row r="397" spans="1:10" ht="24.95" hidden="1" customHeight="1">
      <c r="A397" s="141"/>
      <c r="B397" s="141"/>
      <c r="C397" s="143"/>
      <c r="D397" s="143"/>
      <c r="E397" s="141"/>
      <c r="F397" s="232"/>
      <c r="G397" s="150"/>
      <c r="H397" s="150"/>
      <c r="I397" s="145"/>
      <c r="J397" s="145"/>
    </row>
    <row r="398" spans="1:10" ht="24.95" hidden="1" customHeight="1">
      <c r="A398" s="141"/>
      <c r="B398" s="141"/>
      <c r="C398" s="143"/>
      <c r="D398" s="143"/>
      <c r="E398" s="141"/>
      <c r="F398" s="232"/>
      <c r="G398" s="150"/>
      <c r="H398" s="150"/>
      <c r="I398" s="145"/>
      <c r="J398" s="145"/>
    </row>
    <row r="399" spans="1:10" ht="24.95" hidden="1" customHeight="1">
      <c r="A399" s="141"/>
      <c r="B399" s="141"/>
      <c r="C399" s="143"/>
      <c r="D399" s="143"/>
      <c r="E399" s="141"/>
      <c r="F399" s="232"/>
      <c r="G399" s="150"/>
      <c r="H399" s="150"/>
      <c r="I399" s="145"/>
      <c r="J399" s="145"/>
    </row>
    <row r="400" spans="1:10" ht="24.95" hidden="1" customHeight="1">
      <c r="A400" s="141"/>
      <c r="B400" s="141"/>
      <c r="C400" s="143"/>
      <c r="D400" s="143"/>
      <c r="E400" s="141"/>
      <c r="F400" s="232"/>
      <c r="G400" s="150"/>
      <c r="H400" s="150"/>
      <c r="I400" s="145"/>
      <c r="J400" s="145"/>
    </row>
    <row r="401" spans="1:10" ht="24.95" hidden="1" customHeight="1">
      <c r="A401" s="141"/>
      <c r="B401" s="141"/>
      <c r="C401" s="143"/>
      <c r="D401" s="143"/>
      <c r="E401" s="141"/>
      <c r="F401" s="232"/>
      <c r="G401" s="150"/>
      <c r="H401" s="150"/>
      <c r="I401" s="145"/>
      <c r="J401" s="145"/>
    </row>
    <row r="402" spans="1:10" ht="24.95" hidden="1" customHeight="1">
      <c r="A402" s="141"/>
      <c r="B402" s="141"/>
      <c r="C402" s="143"/>
      <c r="D402" s="143"/>
      <c r="E402" s="141"/>
      <c r="F402" s="232"/>
      <c r="G402" s="150"/>
      <c r="H402" s="150"/>
      <c r="I402" s="145"/>
      <c r="J402" s="145"/>
    </row>
    <row r="403" spans="1:10" ht="24.95" hidden="1" customHeight="1">
      <c r="A403" s="141"/>
      <c r="B403" s="141"/>
      <c r="C403" s="143"/>
      <c r="D403" s="143"/>
      <c r="E403" s="141"/>
      <c r="F403" s="232"/>
      <c r="G403" s="150"/>
      <c r="H403" s="150"/>
      <c r="I403" s="145"/>
      <c r="J403" s="145"/>
    </row>
    <row r="404" spans="1:10" ht="24.95" hidden="1" customHeight="1">
      <c r="A404" s="141"/>
      <c r="B404" s="141"/>
      <c r="C404" s="143"/>
      <c r="D404" s="143"/>
      <c r="E404" s="141"/>
      <c r="F404" s="232"/>
      <c r="G404" s="150"/>
      <c r="H404" s="150"/>
      <c r="I404" s="145"/>
      <c r="J404" s="145"/>
    </row>
    <row r="405" spans="1:10" ht="24.95" hidden="1" customHeight="1">
      <c r="A405" s="141"/>
      <c r="B405" s="141"/>
      <c r="C405" s="143"/>
      <c r="D405" s="143"/>
      <c r="E405" s="141"/>
      <c r="F405" s="232"/>
      <c r="G405" s="150"/>
      <c r="H405" s="150"/>
      <c r="I405" s="145"/>
      <c r="J405" s="145"/>
    </row>
    <row r="406" spans="1:10" ht="24.95" hidden="1" customHeight="1">
      <c r="A406" s="141"/>
      <c r="B406" s="141"/>
      <c r="C406" s="143"/>
      <c r="D406" s="143"/>
      <c r="E406" s="141"/>
      <c r="F406" s="232"/>
      <c r="G406" s="150"/>
      <c r="H406" s="150"/>
      <c r="I406" s="145"/>
      <c r="J406" s="145"/>
    </row>
    <row r="407" spans="1:10" ht="24.95" hidden="1" customHeight="1">
      <c r="A407" s="141"/>
      <c r="B407" s="141"/>
      <c r="C407" s="143"/>
      <c r="D407" s="143"/>
      <c r="E407" s="141"/>
      <c r="F407" s="232"/>
      <c r="G407" s="150"/>
      <c r="H407" s="150"/>
      <c r="I407" s="145"/>
      <c r="J407" s="145"/>
    </row>
    <row r="408" spans="1:10" ht="24.95" hidden="1" customHeight="1">
      <c r="A408" s="141"/>
      <c r="B408" s="141"/>
      <c r="C408" s="143"/>
      <c r="D408" s="143"/>
      <c r="E408" s="141"/>
      <c r="F408" s="232"/>
      <c r="G408" s="150"/>
      <c r="H408" s="150"/>
      <c r="I408" s="145"/>
      <c r="J408" s="145"/>
    </row>
    <row r="409" spans="1:10" ht="24.95" hidden="1" customHeight="1">
      <c r="A409" s="141"/>
      <c r="B409" s="141"/>
      <c r="C409" s="143"/>
      <c r="D409" s="143"/>
      <c r="E409" s="141"/>
      <c r="F409" s="232"/>
      <c r="G409" s="150"/>
      <c r="H409" s="150"/>
      <c r="I409" s="145"/>
      <c r="J409" s="145"/>
    </row>
    <row r="410" spans="1:10" ht="24.95" hidden="1" customHeight="1">
      <c r="A410" s="141"/>
      <c r="B410" s="141"/>
      <c r="C410" s="143"/>
      <c r="D410" s="143"/>
      <c r="E410" s="141"/>
      <c r="F410" s="232"/>
      <c r="G410" s="150"/>
      <c r="H410" s="150"/>
      <c r="I410" s="145"/>
      <c r="J410" s="145"/>
    </row>
    <row r="411" spans="1:10" ht="24.95" hidden="1" customHeight="1">
      <c r="A411" s="141"/>
      <c r="B411" s="141"/>
      <c r="C411" s="143"/>
      <c r="D411" s="143"/>
      <c r="E411" s="141"/>
      <c r="F411" s="232"/>
      <c r="G411" s="150"/>
      <c r="H411" s="150"/>
      <c r="I411" s="145"/>
      <c r="J411" s="145"/>
    </row>
    <row r="412" spans="1:10" ht="24.95" hidden="1" customHeight="1">
      <c r="A412" s="141"/>
      <c r="B412" s="141"/>
      <c r="C412" s="143"/>
      <c r="D412" s="143"/>
      <c r="E412" s="141"/>
      <c r="F412" s="232"/>
      <c r="G412" s="150"/>
      <c r="H412" s="150"/>
      <c r="I412" s="145"/>
      <c r="J412" s="145"/>
    </row>
    <row r="413" spans="1:10" ht="24.95" hidden="1" customHeight="1">
      <c r="A413" s="141"/>
      <c r="B413" s="141"/>
      <c r="C413" s="143"/>
      <c r="D413" s="143"/>
      <c r="E413" s="143"/>
      <c r="F413" s="232"/>
      <c r="G413" s="150"/>
      <c r="H413" s="150"/>
      <c r="I413" s="145"/>
      <c r="J413" s="145"/>
    </row>
    <row r="414" spans="1:10" ht="24.95" hidden="1" customHeight="1">
      <c r="A414" s="141"/>
      <c r="B414" s="141"/>
      <c r="C414" s="143"/>
      <c r="D414" s="143"/>
      <c r="E414" s="141"/>
      <c r="F414" s="232"/>
      <c r="G414" s="150"/>
      <c r="H414" s="150"/>
      <c r="I414" s="145"/>
      <c r="J414" s="145"/>
    </row>
    <row r="415" spans="1:10" ht="24.95" hidden="1" customHeight="1">
      <c r="A415" s="141"/>
      <c r="B415" s="141"/>
      <c r="C415" s="143"/>
      <c r="D415" s="143"/>
      <c r="E415" s="141"/>
      <c r="F415" s="232"/>
      <c r="G415" s="150"/>
      <c r="H415" s="150"/>
      <c r="I415" s="145"/>
      <c r="J415" s="145"/>
    </row>
    <row r="416" spans="1:10" ht="24.95" hidden="1" customHeight="1">
      <c r="A416" s="141"/>
      <c r="B416" s="141"/>
      <c r="C416" s="143"/>
      <c r="D416" s="143"/>
      <c r="E416" s="141"/>
      <c r="F416" s="232"/>
      <c r="G416" s="150"/>
      <c r="H416" s="150"/>
      <c r="I416" s="145"/>
      <c r="J416" s="145"/>
    </row>
    <row r="417" spans="1:10" ht="24.95" hidden="1" customHeight="1">
      <c r="A417" s="141"/>
      <c r="B417" s="141"/>
      <c r="C417" s="143"/>
      <c r="D417" s="143"/>
      <c r="E417" s="141"/>
      <c r="F417" s="232"/>
      <c r="G417" s="150"/>
      <c r="H417" s="150"/>
      <c r="I417" s="145"/>
      <c r="J417" s="145"/>
    </row>
    <row r="418" spans="1:10" ht="24.95" hidden="1" customHeight="1">
      <c r="A418" s="141"/>
      <c r="B418" s="141"/>
      <c r="C418" s="143"/>
      <c r="D418" s="143"/>
      <c r="E418" s="143"/>
      <c r="F418" s="232"/>
      <c r="G418" s="150"/>
      <c r="H418" s="150"/>
      <c r="I418" s="145"/>
      <c r="J418" s="145"/>
    </row>
    <row r="419" spans="1:10" ht="24.95" hidden="1" customHeight="1">
      <c r="A419" s="141"/>
      <c r="B419" s="141"/>
      <c r="C419" s="143"/>
      <c r="D419" s="143"/>
      <c r="E419" s="141"/>
      <c r="F419" s="232"/>
      <c r="G419" s="150"/>
      <c r="H419" s="150"/>
      <c r="I419" s="145"/>
      <c r="J419" s="145"/>
    </row>
    <row r="420" spans="1:10" ht="24.95" hidden="1" customHeight="1">
      <c r="A420" s="141"/>
      <c r="B420" s="141"/>
      <c r="C420" s="143"/>
      <c r="D420" s="143"/>
      <c r="E420" s="141"/>
      <c r="F420" s="232"/>
      <c r="G420" s="150"/>
      <c r="H420" s="150"/>
      <c r="I420" s="145"/>
      <c r="J420" s="145"/>
    </row>
    <row r="421" spans="1:10" ht="24.95" hidden="1" customHeight="1">
      <c r="A421" s="141"/>
      <c r="B421" s="141"/>
      <c r="C421" s="143"/>
      <c r="D421" s="143"/>
      <c r="E421" s="141"/>
      <c r="F421" s="232"/>
      <c r="G421" s="150"/>
      <c r="H421" s="150"/>
      <c r="I421" s="145"/>
      <c r="J421" s="145"/>
    </row>
    <row r="422" spans="1:10" ht="24.95" hidden="1" customHeight="1">
      <c r="A422" s="141"/>
      <c r="B422" s="141"/>
      <c r="C422" s="143"/>
      <c r="D422" s="143"/>
      <c r="E422" s="141"/>
      <c r="F422" s="232"/>
      <c r="G422" s="150"/>
      <c r="H422" s="150"/>
      <c r="I422" s="145"/>
      <c r="J422" s="145"/>
    </row>
    <row r="423" spans="1:10" ht="24.95" hidden="1" customHeight="1">
      <c r="A423" s="141"/>
      <c r="B423" s="141"/>
      <c r="C423" s="143"/>
      <c r="D423" s="143"/>
      <c r="E423" s="141"/>
      <c r="F423" s="232"/>
      <c r="G423" s="150"/>
      <c r="H423" s="150"/>
      <c r="I423" s="145"/>
      <c r="J423" s="145"/>
    </row>
    <row r="424" spans="1:10" ht="24.95" hidden="1" customHeight="1">
      <c r="A424" s="141"/>
      <c r="B424" s="141"/>
      <c r="C424" s="143"/>
      <c r="D424" s="143"/>
      <c r="E424" s="141"/>
      <c r="F424" s="232"/>
      <c r="G424" s="150"/>
      <c r="H424" s="150"/>
      <c r="I424" s="145"/>
      <c r="J424" s="145"/>
    </row>
    <row r="425" spans="1:10" ht="24.95" hidden="1" customHeight="1">
      <c r="A425" s="141"/>
      <c r="B425" s="141"/>
      <c r="C425" s="143"/>
      <c r="D425" s="143"/>
      <c r="E425" s="141"/>
      <c r="F425" s="232"/>
      <c r="G425" s="150"/>
      <c r="H425" s="150"/>
      <c r="I425" s="145"/>
      <c r="J425" s="145"/>
    </row>
    <row r="426" spans="1:10" ht="24.95" hidden="1" customHeight="1">
      <c r="A426" s="141"/>
      <c r="B426" s="141"/>
      <c r="C426" s="143"/>
      <c r="D426" s="143"/>
      <c r="E426" s="141"/>
      <c r="F426" s="232"/>
      <c r="G426" s="150"/>
      <c r="H426" s="150"/>
      <c r="I426" s="145"/>
      <c r="J426" s="145"/>
    </row>
    <row r="427" spans="1:10" ht="24.95" hidden="1" customHeight="1">
      <c r="A427" s="141"/>
      <c r="B427" s="141"/>
      <c r="C427" s="143"/>
      <c r="D427" s="143"/>
      <c r="E427" s="141"/>
      <c r="F427" s="232"/>
      <c r="G427" s="150"/>
      <c r="H427" s="150"/>
      <c r="I427" s="145"/>
      <c r="J427" s="145"/>
    </row>
    <row r="428" spans="1:10" ht="24.95" hidden="1" customHeight="1">
      <c r="A428" s="141"/>
      <c r="B428" s="141"/>
      <c r="C428" s="143"/>
      <c r="D428" s="143"/>
      <c r="E428" s="141"/>
      <c r="F428" s="232"/>
      <c r="G428" s="150"/>
      <c r="H428" s="150"/>
      <c r="I428" s="145"/>
      <c r="J428" s="145"/>
    </row>
    <row r="429" spans="1:10" ht="24.95" hidden="1" customHeight="1">
      <c r="A429" s="141"/>
      <c r="B429" s="141"/>
      <c r="C429" s="143"/>
      <c r="D429" s="143"/>
      <c r="E429" s="141"/>
      <c r="F429" s="232"/>
      <c r="G429" s="150"/>
      <c r="H429" s="150"/>
      <c r="I429" s="145"/>
      <c r="J429" s="145"/>
    </row>
    <row r="430" spans="1:10" ht="24.95" hidden="1" customHeight="1">
      <c r="A430" s="141"/>
      <c r="B430" s="141"/>
      <c r="C430" s="143"/>
      <c r="D430" s="143"/>
      <c r="E430" s="141"/>
      <c r="F430" s="232"/>
      <c r="G430" s="150"/>
      <c r="H430" s="150"/>
      <c r="I430" s="145"/>
      <c r="J430" s="145"/>
    </row>
    <row r="431" spans="1:10" ht="24.95" hidden="1" customHeight="1">
      <c r="A431" s="141"/>
      <c r="B431" s="141"/>
      <c r="C431" s="143"/>
      <c r="D431" s="143"/>
      <c r="E431" s="141"/>
      <c r="F431" s="232"/>
      <c r="G431" s="150"/>
      <c r="H431" s="150"/>
      <c r="I431" s="145"/>
      <c r="J431" s="145"/>
    </row>
    <row r="432" spans="1:10" ht="24.95" hidden="1" customHeight="1">
      <c r="A432" s="141"/>
      <c r="B432" s="141"/>
      <c r="C432" s="143"/>
      <c r="D432" s="143"/>
      <c r="E432" s="141"/>
      <c r="F432" s="232"/>
      <c r="G432" s="150"/>
      <c r="H432" s="150"/>
      <c r="I432" s="145"/>
      <c r="J432" s="145"/>
    </row>
    <row r="433" spans="1:10" ht="24.95" hidden="1" customHeight="1">
      <c r="A433" s="141"/>
      <c r="B433" s="141"/>
      <c r="C433" s="143"/>
      <c r="D433" s="143"/>
      <c r="E433" s="141"/>
      <c r="F433" s="232"/>
      <c r="G433" s="150"/>
      <c r="H433" s="150"/>
      <c r="I433" s="145"/>
      <c r="J433" s="145"/>
    </row>
    <row r="434" spans="1:10" ht="24.95" hidden="1" customHeight="1">
      <c r="A434" s="141"/>
      <c r="B434" s="141"/>
      <c r="C434" s="143"/>
      <c r="D434" s="143"/>
      <c r="E434" s="141"/>
      <c r="F434" s="232"/>
      <c r="G434" s="150"/>
      <c r="H434" s="150"/>
      <c r="I434" s="145"/>
      <c r="J434" s="145"/>
    </row>
    <row r="435" spans="1:10" ht="24.95" hidden="1" customHeight="1">
      <c r="A435" s="141"/>
      <c r="B435" s="141"/>
      <c r="C435" s="143"/>
      <c r="D435" s="143"/>
      <c r="E435" s="141"/>
      <c r="F435" s="232"/>
      <c r="G435" s="150"/>
      <c r="H435" s="150"/>
      <c r="I435" s="145"/>
      <c r="J435" s="145"/>
    </row>
    <row r="436" spans="1:10" ht="24.95" hidden="1" customHeight="1">
      <c r="A436" s="141"/>
      <c r="B436" s="141"/>
      <c r="C436" s="143"/>
      <c r="D436" s="143"/>
      <c r="E436" s="141"/>
      <c r="F436" s="232"/>
      <c r="G436" s="150"/>
      <c r="H436" s="150"/>
      <c r="I436" s="145"/>
      <c r="J436" s="145"/>
    </row>
    <row r="437" spans="1:10" ht="24.95" hidden="1" customHeight="1">
      <c r="A437" s="141"/>
      <c r="B437" s="141"/>
      <c r="C437" s="143"/>
      <c r="D437" s="143"/>
      <c r="E437" s="141"/>
      <c r="F437" s="232"/>
      <c r="G437" s="150"/>
      <c r="H437" s="150"/>
      <c r="I437" s="145"/>
      <c r="J437" s="145"/>
    </row>
    <row r="438" spans="1:10" ht="24.95" hidden="1" customHeight="1">
      <c r="A438" s="141"/>
      <c r="B438" s="141"/>
      <c r="C438" s="143"/>
      <c r="D438" s="143"/>
      <c r="E438" s="141"/>
      <c r="F438" s="232"/>
      <c r="G438" s="150"/>
      <c r="H438" s="150"/>
      <c r="I438" s="145"/>
      <c r="J438" s="145"/>
    </row>
    <row r="439" spans="1:10" ht="24.95" hidden="1" customHeight="1">
      <c r="A439" s="141"/>
      <c r="B439" s="141"/>
      <c r="C439" s="143"/>
      <c r="D439" s="143"/>
      <c r="E439" s="141"/>
      <c r="F439" s="232"/>
      <c r="G439" s="150"/>
      <c r="H439" s="150"/>
      <c r="I439" s="145"/>
      <c r="J439" s="145"/>
    </row>
    <row r="440" spans="1:10" ht="24.95" hidden="1" customHeight="1">
      <c r="A440" s="141"/>
      <c r="B440" s="141"/>
      <c r="C440" s="143"/>
      <c r="D440" s="143"/>
      <c r="E440" s="141"/>
      <c r="F440" s="232"/>
      <c r="G440" s="150"/>
      <c r="H440" s="150"/>
      <c r="I440" s="145"/>
      <c r="J440" s="145"/>
    </row>
    <row r="441" spans="1:10" ht="24.95" hidden="1" customHeight="1">
      <c r="A441" s="141"/>
      <c r="B441" s="141"/>
      <c r="C441" s="143"/>
      <c r="D441" s="143"/>
      <c r="E441" s="141"/>
      <c r="F441" s="232"/>
      <c r="G441" s="150"/>
      <c r="H441" s="150"/>
      <c r="I441" s="145"/>
      <c r="J441" s="145"/>
    </row>
    <row r="442" spans="1:10" ht="24.95" hidden="1" customHeight="1">
      <c r="A442" s="141"/>
      <c r="B442" s="141"/>
      <c r="C442" s="143"/>
      <c r="D442" s="143"/>
      <c r="E442" s="141"/>
      <c r="F442" s="232"/>
      <c r="G442" s="150"/>
      <c r="H442" s="150"/>
      <c r="I442" s="145"/>
      <c r="J442" s="145"/>
    </row>
    <row r="443" spans="1:10" ht="24.95" hidden="1" customHeight="1">
      <c r="A443" s="141"/>
      <c r="B443" s="141"/>
      <c r="C443" s="143"/>
      <c r="D443" s="143"/>
      <c r="E443" s="141"/>
      <c r="F443" s="232"/>
      <c r="G443" s="150"/>
      <c r="H443" s="150"/>
      <c r="I443" s="145"/>
      <c r="J443" s="145"/>
    </row>
    <row r="444" spans="1:10" ht="24.95" hidden="1" customHeight="1">
      <c r="A444" s="141"/>
      <c r="B444" s="141"/>
      <c r="C444" s="143"/>
      <c r="D444" s="143"/>
      <c r="E444" s="141"/>
      <c r="F444" s="232"/>
      <c r="G444" s="150"/>
      <c r="H444" s="150"/>
      <c r="I444" s="145"/>
      <c r="J444" s="145"/>
    </row>
    <row r="445" spans="1:10" ht="24.95" hidden="1" customHeight="1">
      <c r="A445" s="141"/>
      <c r="B445" s="141"/>
      <c r="C445" s="143"/>
      <c r="D445" s="143"/>
      <c r="E445" s="141"/>
      <c r="F445" s="232"/>
      <c r="G445" s="150"/>
      <c r="H445" s="150"/>
      <c r="I445" s="145"/>
      <c r="J445" s="145"/>
    </row>
    <row r="446" spans="1:10" ht="24.95" hidden="1" customHeight="1">
      <c r="A446" s="141"/>
      <c r="B446" s="141"/>
      <c r="C446" s="143"/>
      <c r="D446" s="143"/>
      <c r="E446" s="141"/>
      <c r="F446" s="232"/>
      <c r="G446" s="150"/>
      <c r="H446" s="150"/>
      <c r="I446" s="145"/>
      <c r="J446" s="145"/>
    </row>
    <row r="447" spans="1:10" ht="24.95" hidden="1" customHeight="1">
      <c r="A447" s="141"/>
      <c r="B447" s="141"/>
      <c r="C447" s="143"/>
      <c r="D447" s="143"/>
      <c r="E447" s="141"/>
      <c r="F447" s="232"/>
      <c r="G447" s="150"/>
      <c r="H447" s="150"/>
      <c r="I447" s="145"/>
      <c r="J447" s="145"/>
    </row>
    <row r="448" spans="1:10" ht="24.95" hidden="1" customHeight="1">
      <c r="A448" s="141"/>
      <c r="B448" s="141"/>
      <c r="C448" s="143"/>
      <c r="D448" s="143"/>
      <c r="E448" s="141"/>
      <c r="F448" s="232"/>
      <c r="G448" s="150"/>
      <c r="H448" s="150"/>
      <c r="I448" s="145"/>
      <c r="J448" s="145"/>
    </row>
    <row r="449" spans="1:10" ht="24.95" hidden="1" customHeight="1">
      <c r="A449" s="141"/>
      <c r="B449" s="141"/>
      <c r="C449" s="143"/>
      <c r="D449" s="143"/>
      <c r="E449" s="141"/>
      <c r="F449" s="232"/>
      <c r="G449" s="150"/>
      <c r="H449" s="150"/>
      <c r="I449" s="145"/>
      <c r="J449" s="145"/>
    </row>
    <row r="450" spans="1:10" ht="24.95" hidden="1" customHeight="1">
      <c r="A450" s="141"/>
      <c r="B450" s="141"/>
      <c r="C450" s="143"/>
      <c r="D450" s="143"/>
      <c r="E450" s="141"/>
      <c r="F450" s="232"/>
      <c r="G450" s="150"/>
      <c r="H450" s="150"/>
      <c r="I450" s="145"/>
      <c r="J450" s="145"/>
    </row>
    <row r="451" spans="1:10" ht="24.95" hidden="1" customHeight="1">
      <c r="A451" s="141"/>
      <c r="B451" s="141"/>
      <c r="C451" s="143"/>
      <c r="D451" s="143"/>
      <c r="E451" s="141"/>
      <c r="F451" s="232"/>
      <c r="G451" s="150"/>
      <c r="H451" s="150"/>
      <c r="I451" s="145"/>
      <c r="J451" s="145"/>
    </row>
    <row r="452" spans="1:10" ht="24.95" hidden="1" customHeight="1">
      <c r="A452" s="141"/>
      <c r="B452" s="141"/>
      <c r="C452" s="143"/>
      <c r="D452" s="143"/>
      <c r="E452" s="141"/>
      <c r="F452" s="232"/>
      <c r="G452" s="150"/>
      <c r="H452" s="150"/>
      <c r="I452" s="145"/>
      <c r="J452" s="145"/>
    </row>
    <row r="453" spans="1:10" ht="24.95" hidden="1" customHeight="1">
      <c r="A453" s="141"/>
      <c r="B453" s="141"/>
      <c r="C453" s="143"/>
      <c r="D453" s="143"/>
      <c r="E453" s="141"/>
      <c r="F453" s="232"/>
      <c r="G453" s="150"/>
      <c r="H453" s="150"/>
      <c r="I453" s="145"/>
      <c r="J453" s="145"/>
    </row>
    <row r="454" spans="1:10" ht="24.95" hidden="1" customHeight="1">
      <c r="A454" s="141"/>
      <c r="B454" s="141"/>
      <c r="C454" s="143"/>
      <c r="D454" s="143"/>
      <c r="E454" s="141"/>
      <c r="F454" s="232"/>
      <c r="G454" s="150"/>
      <c r="H454" s="150"/>
      <c r="I454" s="145"/>
      <c r="J454" s="145"/>
    </row>
    <row r="455" spans="1:10" ht="24.95" hidden="1" customHeight="1">
      <c r="A455" s="141"/>
      <c r="B455" s="141"/>
      <c r="C455" s="143"/>
      <c r="D455" s="143"/>
      <c r="E455" s="141"/>
      <c r="F455" s="232"/>
      <c r="G455" s="150"/>
      <c r="H455" s="150"/>
      <c r="I455" s="145"/>
      <c r="J455" s="145"/>
    </row>
    <row r="456" spans="1:10" ht="24.95" hidden="1" customHeight="1">
      <c r="A456" s="141"/>
      <c r="B456" s="141"/>
      <c r="C456" s="143"/>
      <c r="D456" s="143"/>
      <c r="E456" s="141"/>
      <c r="F456" s="232"/>
      <c r="G456" s="150"/>
      <c r="H456" s="150"/>
      <c r="I456" s="145"/>
      <c r="J456" s="145"/>
    </row>
    <row r="457" spans="1:10" ht="24.95" hidden="1" customHeight="1">
      <c r="A457" s="141"/>
      <c r="B457" s="141"/>
      <c r="C457" s="143"/>
      <c r="D457" s="143"/>
      <c r="E457" s="141"/>
      <c r="F457" s="232"/>
      <c r="G457" s="150"/>
      <c r="H457" s="150"/>
      <c r="I457" s="145"/>
      <c r="J457" s="145"/>
    </row>
    <row r="458" spans="1:10" ht="24.95" hidden="1" customHeight="1">
      <c r="A458" s="141"/>
      <c r="B458" s="141"/>
      <c r="C458" s="143"/>
      <c r="D458" s="143"/>
      <c r="E458" s="141"/>
      <c r="F458" s="232"/>
      <c r="G458" s="150"/>
      <c r="H458" s="150"/>
      <c r="I458" s="145"/>
      <c r="J458" s="145"/>
    </row>
    <row r="459" spans="1:10" ht="24.95" hidden="1" customHeight="1">
      <c r="A459" s="141"/>
      <c r="B459" s="141"/>
      <c r="C459" s="143"/>
      <c r="D459" s="143"/>
      <c r="E459" s="141"/>
      <c r="F459" s="232"/>
      <c r="G459" s="150"/>
      <c r="H459" s="150"/>
      <c r="I459" s="145"/>
      <c r="J459" s="145"/>
    </row>
    <row r="460" spans="1:10" ht="24.95" hidden="1" customHeight="1">
      <c r="A460" s="141"/>
      <c r="B460" s="141"/>
      <c r="C460" s="143"/>
      <c r="D460" s="143"/>
      <c r="E460" s="141"/>
      <c r="F460" s="232"/>
      <c r="G460" s="150"/>
      <c r="H460" s="150"/>
      <c r="I460" s="145"/>
      <c r="J460" s="145"/>
    </row>
    <row r="461" spans="1:10" ht="24.95" hidden="1" customHeight="1">
      <c r="A461" s="141"/>
      <c r="B461" s="141"/>
      <c r="C461" s="143"/>
      <c r="D461" s="143"/>
      <c r="E461" s="141"/>
      <c r="F461" s="232"/>
      <c r="G461" s="150"/>
      <c r="H461" s="150"/>
      <c r="I461" s="145"/>
      <c r="J461" s="145"/>
    </row>
    <row r="462" spans="1:10" ht="24.95" hidden="1" customHeight="1">
      <c r="A462" s="141"/>
      <c r="B462" s="141"/>
      <c r="C462" s="143"/>
      <c r="D462" s="143"/>
      <c r="E462" s="141"/>
      <c r="F462" s="232"/>
      <c r="G462" s="150"/>
      <c r="H462" s="150"/>
      <c r="I462" s="145"/>
      <c r="J462" s="145"/>
    </row>
    <row r="463" spans="1:10" ht="24.95" hidden="1" customHeight="1">
      <c r="A463" s="141"/>
      <c r="B463" s="141"/>
      <c r="C463" s="143"/>
      <c r="D463" s="143"/>
      <c r="E463" s="141"/>
      <c r="F463" s="232"/>
      <c r="G463" s="150"/>
      <c r="H463" s="150"/>
      <c r="I463" s="145"/>
      <c r="J463" s="145"/>
    </row>
    <row r="464" spans="1:10" ht="24.95" hidden="1" customHeight="1">
      <c r="A464" s="141"/>
      <c r="B464" s="141"/>
      <c r="C464" s="143"/>
      <c r="D464" s="143"/>
      <c r="E464" s="141"/>
      <c r="F464" s="232"/>
      <c r="G464" s="150"/>
      <c r="H464" s="150"/>
      <c r="I464" s="145"/>
      <c r="J464" s="145"/>
    </row>
    <row r="465" spans="1:10" ht="24.95" hidden="1" customHeight="1">
      <c r="A465" s="141"/>
      <c r="B465" s="141"/>
      <c r="C465" s="143"/>
      <c r="D465" s="143"/>
      <c r="E465" s="143"/>
      <c r="F465" s="232"/>
      <c r="G465" s="150"/>
      <c r="H465" s="150"/>
      <c r="I465" s="145"/>
      <c r="J465" s="145"/>
    </row>
    <row r="466" spans="1:10" ht="24.95" hidden="1" customHeight="1">
      <c r="A466" s="141"/>
      <c r="B466" s="141"/>
      <c r="C466" s="143"/>
      <c r="D466" s="143"/>
      <c r="E466" s="141"/>
      <c r="F466" s="232"/>
      <c r="G466" s="150"/>
      <c r="H466" s="150"/>
      <c r="I466" s="145"/>
      <c r="J466" s="145"/>
    </row>
    <row r="467" spans="1:10" ht="24.95" hidden="1" customHeight="1">
      <c r="A467" s="141"/>
      <c r="B467" s="141"/>
      <c r="C467" s="143"/>
      <c r="D467" s="143"/>
      <c r="E467" s="141"/>
      <c r="F467" s="232"/>
      <c r="G467" s="150"/>
      <c r="H467" s="150"/>
      <c r="I467" s="145"/>
      <c r="J467" s="145"/>
    </row>
    <row r="468" spans="1:10" ht="24.95" hidden="1" customHeight="1">
      <c r="A468" s="141"/>
      <c r="B468" s="141"/>
      <c r="C468" s="143"/>
      <c r="D468" s="143"/>
      <c r="E468" s="141"/>
      <c r="F468" s="232"/>
      <c r="G468" s="150"/>
      <c r="H468" s="150"/>
      <c r="I468" s="145"/>
      <c r="J468" s="145"/>
    </row>
    <row r="469" spans="1:10" ht="24.95" hidden="1" customHeight="1">
      <c r="A469" s="141"/>
      <c r="B469" s="141"/>
      <c r="C469" s="143"/>
      <c r="D469" s="143"/>
      <c r="E469" s="141"/>
      <c r="F469" s="232"/>
      <c r="G469" s="150"/>
      <c r="H469" s="150"/>
      <c r="I469" s="145"/>
      <c r="J469" s="145"/>
    </row>
    <row r="470" spans="1:10" ht="24.95" hidden="1" customHeight="1">
      <c r="A470" s="141"/>
      <c r="B470" s="141"/>
      <c r="C470" s="143"/>
      <c r="D470" s="143"/>
      <c r="E470" s="141"/>
      <c r="F470" s="232"/>
      <c r="G470" s="150"/>
      <c r="H470" s="150"/>
      <c r="I470" s="145"/>
      <c r="J470" s="145"/>
    </row>
    <row r="471" spans="1:10" ht="24.95" hidden="1" customHeight="1">
      <c r="A471" s="141"/>
      <c r="B471" s="141"/>
      <c r="C471" s="143"/>
      <c r="D471" s="143"/>
      <c r="E471" s="141"/>
      <c r="F471" s="232"/>
      <c r="G471" s="150"/>
      <c r="H471" s="150"/>
      <c r="I471" s="145"/>
      <c r="J471" s="145"/>
    </row>
    <row r="472" spans="1:10" ht="24.95" hidden="1" customHeight="1">
      <c r="A472" s="141"/>
      <c r="B472" s="141"/>
      <c r="C472" s="143"/>
      <c r="D472" s="143"/>
      <c r="E472" s="141"/>
      <c r="F472" s="232"/>
      <c r="G472" s="150"/>
      <c r="H472" s="150"/>
      <c r="I472" s="145"/>
      <c r="J472" s="145"/>
    </row>
    <row r="473" spans="1:10" ht="24.95" hidden="1" customHeight="1">
      <c r="A473" s="141"/>
      <c r="B473" s="141"/>
      <c r="C473" s="143"/>
      <c r="D473" s="143"/>
      <c r="E473" s="141"/>
      <c r="F473" s="232"/>
      <c r="G473" s="150"/>
      <c r="H473" s="150"/>
      <c r="I473" s="145"/>
      <c r="J473" s="145"/>
    </row>
    <row r="474" spans="1:10" ht="24.95" hidden="1" customHeight="1">
      <c r="A474" s="141"/>
      <c r="B474" s="141"/>
      <c r="C474" s="143"/>
      <c r="D474" s="143"/>
      <c r="E474" s="141"/>
      <c r="F474" s="232"/>
      <c r="G474" s="150"/>
      <c r="H474" s="150"/>
      <c r="I474" s="145"/>
      <c r="J474" s="145"/>
    </row>
    <row r="475" spans="1:10" ht="24.95" hidden="1" customHeight="1">
      <c r="A475" s="141"/>
      <c r="B475" s="141"/>
      <c r="C475" s="143"/>
      <c r="D475" s="143"/>
      <c r="E475" s="141"/>
      <c r="F475" s="232"/>
      <c r="G475" s="150"/>
      <c r="H475" s="150"/>
      <c r="I475" s="145"/>
      <c r="J475" s="145"/>
    </row>
    <row r="476" spans="1:10" ht="24.95" hidden="1" customHeight="1">
      <c r="A476" s="141"/>
      <c r="B476" s="141"/>
      <c r="C476" s="143"/>
      <c r="D476" s="143"/>
      <c r="E476" s="141"/>
      <c r="F476" s="232"/>
      <c r="G476" s="150"/>
      <c r="H476" s="150"/>
      <c r="I476" s="145"/>
      <c r="J476" s="145"/>
    </row>
    <row r="477" spans="1:10" ht="24.95" hidden="1" customHeight="1">
      <c r="A477" s="141"/>
      <c r="B477" s="141"/>
      <c r="C477" s="143"/>
      <c r="D477" s="143"/>
      <c r="E477" s="141"/>
      <c r="F477" s="232"/>
      <c r="G477" s="150"/>
      <c r="H477" s="150"/>
      <c r="I477" s="145"/>
      <c r="J477" s="145"/>
    </row>
    <row r="478" spans="1:10" ht="24.95" hidden="1" customHeight="1">
      <c r="A478" s="141"/>
      <c r="B478" s="141"/>
      <c r="C478" s="143"/>
      <c r="D478" s="143"/>
      <c r="E478" s="141"/>
      <c r="F478" s="232"/>
      <c r="G478" s="150"/>
      <c r="H478" s="150"/>
      <c r="I478" s="145"/>
      <c r="J478" s="145"/>
    </row>
    <row r="479" spans="1:10" ht="24.95" hidden="1" customHeight="1">
      <c r="A479" s="141"/>
      <c r="B479" s="141"/>
      <c r="C479" s="143"/>
      <c r="D479" s="143"/>
      <c r="E479" s="141"/>
      <c r="F479" s="232"/>
      <c r="G479" s="150"/>
      <c r="H479" s="150"/>
      <c r="I479" s="145"/>
      <c r="J479" s="145"/>
    </row>
    <row r="480" spans="1:10" ht="24.95" hidden="1" customHeight="1">
      <c r="A480" s="141"/>
      <c r="B480" s="141"/>
      <c r="C480" s="143"/>
      <c r="D480" s="143"/>
      <c r="E480" s="141"/>
      <c r="F480" s="232"/>
      <c r="G480" s="150"/>
      <c r="H480" s="150"/>
      <c r="I480" s="145"/>
      <c r="J480" s="145"/>
    </row>
    <row r="481" spans="1:10" ht="24.95" hidden="1" customHeight="1">
      <c r="A481" s="141"/>
      <c r="B481" s="141"/>
      <c r="C481" s="143"/>
      <c r="D481" s="143"/>
      <c r="E481" s="141"/>
      <c r="F481" s="232"/>
      <c r="G481" s="150"/>
      <c r="H481" s="150"/>
      <c r="I481" s="145"/>
      <c r="J481" s="145"/>
    </row>
    <row r="482" spans="1:10" ht="24.95" hidden="1" customHeight="1">
      <c r="A482" s="141"/>
      <c r="B482" s="141"/>
      <c r="C482" s="143"/>
      <c r="D482" s="143"/>
      <c r="E482" s="141"/>
      <c r="F482" s="232"/>
      <c r="G482" s="150"/>
      <c r="H482" s="150"/>
      <c r="I482" s="145"/>
      <c r="J482" s="145"/>
    </row>
    <row r="483" spans="1:10" ht="24.95" hidden="1" customHeight="1">
      <c r="A483" s="141"/>
      <c r="B483" s="141"/>
      <c r="C483" s="143"/>
      <c r="D483" s="143"/>
      <c r="E483" s="141"/>
      <c r="F483" s="232"/>
      <c r="G483" s="150"/>
      <c r="H483" s="150"/>
      <c r="I483" s="145"/>
      <c r="J483" s="145"/>
    </row>
    <row r="484" spans="1:10" ht="24.95" hidden="1" customHeight="1">
      <c r="A484" s="141"/>
      <c r="B484" s="141"/>
      <c r="C484" s="143"/>
      <c r="D484" s="143"/>
      <c r="E484" s="141"/>
      <c r="F484" s="232"/>
      <c r="G484" s="150"/>
      <c r="H484" s="150"/>
      <c r="I484" s="145"/>
      <c r="J484" s="145"/>
    </row>
    <row r="485" spans="1:10" ht="24.95" hidden="1" customHeight="1">
      <c r="A485" s="141"/>
      <c r="B485" s="141"/>
      <c r="C485" s="143"/>
      <c r="D485" s="143"/>
      <c r="E485" s="141"/>
      <c r="F485" s="232"/>
      <c r="G485" s="150"/>
      <c r="H485" s="150"/>
      <c r="I485" s="145"/>
      <c r="J485" s="145"/>
    </row>
    <row r="486" spans="1:10" ht="24.95" hidden="1" customHeight="1">
      <c r="A486" s="141"/>
      <c r="B486" s="141"/>
      <c r="C486" s="143"/>
      <c r="D486" s="143"/>
      <c r="E486" s="141"/>
      <c r="F486" s="232"/>
      <c r="G486" s="150"/>
      <c r="H486" s="150"/>
      <c r="I486" s="145"/>
      <c r="J486" s="145"/>
    </row>
    <row r="487" spans="1:10" ht="24.95" hidden="1" customHeight="1">
      <c r="A487" s="141"/>
      <c r="B487" s="141"/>
      <c r="C487" s="143"/>
      <c r="D487" s="143"/>
      <c r="E487" s="141"/>
      <c r="F487" s="232"/>
      <c r="G487" s="150"/>
      <c r="H487" s="150"/>
      <c r="I487" s="145"/>
      <c r="J487" s="145"/>
    </row>
    <row r="488" spans="1:10" ht="24.95" hidden="1" customHeight="1">
      <c r="A488" s="141"/>
      <c r="B488" s="141"/>
      <c r="C488" s="143"/>
      <c r="D488" s="143"/>
      <c r="E488" s="141"/>
      <c r="F488" s="232"/>
      <c r="G488" s="150"/>
      <c r="H488" s="150"/>
      <c r="I488" s="145"/>
      <c r="J488" s="145"/>
    </row>
    <row r="489" spans="1:10" ht="24.95" hidden="1" customHeight="1">
      <c r="A489" s="141"/>
      <c r="B489" s="141"/>
      <c r="C489" s="143"/>
      <c r="D489" s="143"/>
      <c r="E489" s="141"/>
      <c r="F489" s="232"/>
      <c r="G489" s="150"/>
      <c r="H489" s="150"/>
      <c r="I489" s="145"/>
      <c r="J489" s="145"/>
    </row>
    <row r="490" spans="1:10" ht="24.95" hidden="1" customHeight="1">
      <c r="A490" s="141"/>
      <c r="B490" s="141"/>
      <c r="C490" s="143"/>
      <c r="D490" s="143"/>
      <c r="E490" s="141"/>
      <c r="F490" s="232"/>
      <c r="G490" s="150"/>
      <c r="H490" s="150"/>
      <c r="I490" s="145"/>
      <c r="J490" s="145"/>
    </row>
    <row r="491" spans="1:10" ht="24.95" hidden="1" customHeight="1">
      <c r="A491" s="141"/>
      <c r="B491" s="141"/>
      <c r="C491" s="143"/>
      <c r="D491" s="143"/>
      <c r="E491" s="141"/>
      <c r="F491" s="232"/>
      <c r="G491" s="150"/>
      <c r="H491" s="150"/>
      <c r="I491" s="145"/>
      <c r="J491" s="145"/>
    </row>
    <row r="492" spans="1:10" ht="24.95" hidden="1" customHeight="1">
      <c r="A492" s="141"/>
      <c r="B492" s="141"/>
      <c r="C492" s="143"/>
      <c r="D492" s="143"/>
      <c r="E492" s="141"/>
      <c r="F492" s="232"/>
      <c r="G492" s="150"/>
      <c r="H492" s="150"/>
      <c r="I492" s="145"/>
      <c r="J492" s="145"/>
    </row>
    <row r="493" spans="1:10" ht="24.95" hidden="1" customHeight="1">
      <c r="A493" s="141"/>
      <c r="B493" s="141"/>
      <c r="C493" s="143"/>
      <c r="D493" s="143"/>
      <c r="E493" s="141"/>
      <c r="F493" s="232"/>
      <c r="G493" s="150"/>
      <c r="H493" s="150"/>
      <c r="I493" s="145"/>
      <c r="J493" s="145"/>
    </row>
    <row r="494" spans="1:10" ht="24.95" hidden="1" customHeight="1">
      <c r="A494" s="141"/>
      <c r="B494" s="141"/>
      <c r="C494" s="143"/>
      <c r="D494" s="143"/>
      <c r="E494" s="141"/>
      <c r="F494" s="232"/>
      <c r="G494" s="150"/>
      <c r="H494" s="150"/>
      <c r="I494" s="145"/>
      <c r="J494" s="145"/>
    </row>
    <row r="495" spans="1:10" ht="24.95" hidden="1" customHeight="1">
      <c r="A495" s="141"/>
      <c r="B495" s="141"/>
      <c r="C495" s="143"/>
      <c r="D495" s="143"/>
      <c r="E495" s="141"/>
      <c r="F495" s="232"/>
      <c r="G495" s="150"/>
      <c r="H495" s="150"/>
      <c r="I495" s="145"/>
      <c r="J495" s="145"/>
    </row>
    <row r="496" spans="1:10" ht="24.95" hidden="1" customHeight="1">
      <c r="A496" s="141"/>
      <c r="B496" s="141"/>
      <c r="C496" s="143"/>
      <c r="D496" s="143"/>
      <c r="E496" s="141"/>
      <c r="F496" s="232"/>
      <c r="G496" s="150"/>
      <c r="H496" s="150"/>
      <c r="I496" s="145"/>
      <c r="J496" s="145"/>
    </row>
    <row r="497" spans="1:10" ht="24.95" hidden="1" customHeight="1">
      <c r="A497" s="141"/>
      <c r="B497" s="141"/>
      <c r="C497" s="143"/>
      <c r="D497" s="143"/>
      <c r="E497" s="141"/>
      <c r="F497" s="232"/>
      <c r="G497" s="150"/>
      <c r="H497" s="150"/>
      <c r="I497" s="145"/>
      <c r="J497" s="145"/>
    </row>
    <row r="498" spans="1:10" ht="24.95" hidden="1" customHeight="1">
      <c r="A498" s="141"/>
      <c r="B498" s="141"/>
      <c r="C498" s="143"/>
      <c r="D498" s="143"/>
      <c r="E498" s="141"/>
      <c r="F498" s="232"/>
      <c r="G498" s="150"/>
      <c r="H498" s="150"/>
      <c r="I498" s="145"/>
      <c r="J498" s="145"/>
    </row>
    <row r="499" spans="1:10" ht="24.95" hidden="1" customHeight="1">
      <c r="A499" s="141"/>
      <c r="B499" s="141"/>
      <c r="C499" s="143"/>
      <c r="D499" s="143"/>
      <c r="E499" s="141"/>
      <c r="F499" s="232"/>
      <c r="G499" s="150"/>
      <c r="H499" s="150"/>
      <c r="I499" s="145"/>
      <c r="J499" s="145"/>
    </row>
    <row r="500" spans="1:10" ht="24.95" hidden="1" customHeight="1">
      <c r="A500" s="141"/>
      <c r="B500" s="141"/>
      <c r="C500" s="143"/>
      <c r="D500" s="143"/>
      <c r="E500" s="141"/>
      <c r="F500" s="232"/>
      <c r="G500" s="150"/>
      <c r="H500" s="150"/>
      <c r="I500" s="145"/>
      <c r="J500" s="145"/>
    </row>
    <row r="501" spans="1:10" ht="24.95" hidden="1" customHeight="1">
      <c r="A501" s="141"/>
      <c r="B501" s="141"/>
      <c r="C501" s="143"/>
      <c r="D501" s="143"/>
      <c r="E501" s="141"/>
      <c r="F501" s="232"/>
      <c r="G501" s="150"/>
      <c r="H501" s="150"/>
      <c r="I501" s="145"/>
      <c r="J501" s="145"/>
    </row>
    <row r="502" spans="1:10" ht="24.95" hidden="1" customHeight="1">
      <c r="A502" s="141"/>
      <c r="B502" s="141"/>
      <c r="C502" s="143"/>
      <c r="D502" s="143"/>
      <c r="E502" s="141"/>
      <c r="F502" s="232"/>
      <c r="G502" s="150"/>
      <c r="H502" s="150"/>
      <c r="I502" s="145"/>
      <c r="J502" s="145"/>
    </row>
    <row r="503" spans="1:10" ht="24.95" hidden="1" customHeight="1">
      <c r="A503" s="141"/>
      <c r="B503" s="141"/>
      <c r="C503" s="143"/>
      <c r="D503" s="143"/>
      <c r="E503" s="141"/>
      <c r="F503" s="232"/>
      <c r="G503" s="150"/>
      <c r="H503" s="150"/>
      <c r="I503" s="145"/>
      <c r="J503" s="145"/>
    </row>
    <row r="504" spans="1:10" ht="24.95" hidden="1" customHeight="1">
      <c r="A504" s="141"/>
      <c r="B504" s="141"/>
      <c r="C504" s="143"/>
      <c r="D504" s="143"/>
      <c r="E504" s="141"/>
      <c r="F504" s="232"/>
      <c r="G504" s="150"/>
      <c r="H504" s="150"/>
      <c r="I504" s="145"/>
      <c r="J504" s="145"/>
    </row>
    <row r="505" spans="1:10" ht="24.95" hidden="1" customHeight="1">
      <c r="A505" s="141"/>
      <c r="B505" s="141"/>
      <c r="C505" s="143"/>
      <c r="D505" s="143"/>
      <c r="E505" s="141"/>
      <c r="F505" s="232"/>
      <c r="G505" s="150"/>
      <c r="H505" s="150"/>
      <c r="I505" s="145"/>
      <c r="J505" s="145"/>
    </row>
    <row r="506" spans="1:10" ht="24.95" hidden="1" customHeight="1">
      <c r="A506" s="141"/>
      <c r="B506" s="141"/>
      <c r="C506" s="143"/>
      <c r="D506" s="143"/>
      <c r="E506" s="141"/>
      <c r="F506" s="232"/>
      <c r="G506" s="150"/>
      <c r="H506" s="150"/>
      <c r="I506" s="145"/>
      <c r="J506" s="145"/>
    </row>
    <row r="507" spans="1:10" ht="24.95" hidden="1" customHeight="1">
      <c r="A507" s="141"/>
      <c r="B507" s="141"/>
      <c r="C507" s="143"/>
      <c r="D507" s="143"/>
      <c r="E507" s="141"/>
      <c r="F507" s="232"/>
      <c r="G507" s="150"/>
      <c r="H507" s="150"/>
      <c r="I507" s="145"/>
      <c r="J507" s="145"/>
    </row>
    <row r="508" spans="1:10" ht="24.95" hidden="1" customHeight="1">
      <c r="A508" s="141"/>
      <c r="B508" s="141"/>
      <c r="C508" s="143"/>
      <c r="D508" s="143"/>
      <c r="E508" s="141"/>
      <c r="F508" s="232"/>
      <c r="G508" s="150"/>
      <c r="H508" s="150"/>
      <c r="I508" s="145"/>
      <c r="J508" s="145"/>
    </row>
    <row r="509" spans="1:10" ht="24.95" hidden="1" customHeight="1">
      <c r="A509" s="141"/>
      <c r="B509" s="141"/>
      <c r="C509" s="143"/>
      <c r="D509" s="143"/>
      <c r="E509" s="141"/>
      <c r="F509" s="232"/>
      <c r="G509" s="150"/>
      <c r="H509" s="150"/>
      <c r="I509" s="145"/>
      <c r="J509" s="145"/>
    </row>
    <row r="510" spans="1:10" ht="24.95" hidden="1" customHeight="1">
      <c r="A510" s="141"/>
      <c r="B510" s="141"/>
      <c r="C510" s="143"/>
      <c r="D510" s="143"/>
      <c r="E510" s="141"/>
      <c r="F510" s="232"/>
      <c r="G510" s="150"/>
      <c r="H510" s="150"/>
      <c r="I510" s="145"/>
      <c r="J510" s="145"/>
    </row>
    <row r="511" spans="1:10" ht="24.95" hidden="1" customHeight="1">
      <c r="A511" s="141"/>
      <c r="B511" s="141"/>
      <c r="C511" s="143"/>
      <c r="D511" s="143"/>
      <c r="E511" s="141"/>
      <c r="F511" s="232"/>
      <c r="G511" s="150"/>
      <c r="H511" s="150"/>
      <c r="I511" s="145"/>
      <c r="J511" s="145"/>
    </row>
    <row r="512" spans="1:10" ht="24.95" hidden="1" customHeight="1">
      <c r="A512" s="141"/>
      <c r="B512" s="141"/>
      <c r="C512" s="143"/>
      <c r="D512" s="143"/>
      <c r="E512" s="141"/>
      <c r="F512" s="232"/>
      <c r="G512" s="150"/>
      <c r="H512" s="150"/>
      <c r="I512" s="145"/>
      <c r="J512" s="145"/>
    </row>
    <row r="513" spans="1:10" ht="24.95" hidden="1" customHeight="1">
      <c r="A513" s="141"/>
      <c r="B513" s="141"/>
      <c r="C513" s="143"/>
      <c r="D513" s="143"/>
      <c r="E513" s="141"/>
      <c r="F513" s="232"/>
      <c r="G513" s="150"/>
      <c r="H513" s="150"/>
      <c r="I513" s="145"/>
      <c r="J513" s="145"/>
    </row>
    <row r="514" spans="1:10" ht="24.95" hidden="1" customHeight="1">
      <c r="A514" s="141"/>
      <c r="B514" s="141"/>
      <c r="C514" s="143"/>
      <c r="D514" s="143"/>
      <c r="E514" s="141"/>
      <c r="F514" s="232"/>
      <c r="G514" s="150"/>
      <c r="H514" s="150"/>
      <c r="I514" s="145"/>
      <c r="J514" s="145"/>
    </row>
    <row r="515" spans="1:10" ht="24.95" hidden="1" customHeight="1">
      <c r="A515" s="141"/>
      <c r="B515" s="141"/>
      <c r="C515" s="143"/>
      <c r="D515" s="143"/>
      <c r="E515" s="141"/>
      <c r="F515" s="232"/>
      <c r="G515" s="150"/>
      <c r="H515" s="150"/>
      <c r="I515" s="145"/>
      <c r="J515" s="145"/>
    </row>
    <row r="516" spans="1:10" ht="24.95" hidden="1" customHeight="1">
      <c r="A516" s="141"/>
      <c r="B516" s="141"/>
      <c r="C516" s="143"/>
      <c r="D516" s="143"/>
      <c r="E516" s="141"/>
      <c r="F516" s="232"/>
      <c r="G516" s="150"/>
      <c r="H516" s="150"/>
      <c r="I516" s="145"/>
      <c r="J516" s="145"/>
    </row>
    <row r="517" spans="1:10" ht="24.95" hidden="1" customHeight="1">
      <c r="A517" s="141"/>
      <c r="B517" s="141"/>
      <c r="C517" s="143"/>
      <c r="D517" s="143"/>
      <c r="E517" s="141"/>
      <c r="F517" s="232"/>
      <c r="G517" s="150"/>
      <c r="H517" s="150"/>
      <c r="I517" s="145"/>
      <c r="J517" s="145"/>
    </row>
    <row r="518" spans="1:10" ht="24.95" hidden="1" customHeight="1">
      <c r="A518" s="141"/>
      <c r="B518" s="141"/>
      <c r="C518" s="143"/>
      <c r="D518" s="143"/>
      <c r="E518" s="141"/>
      <c r="F518" s="232"/>
      <c r="G518" s="150"/>
      <c r="H518" s="150"/>
      <c r="I518" s="145"/>
      <c r="J518" s="145"/>
    </row>
    <row r="519" spans="1:10" ht="24.95" hidden="1" customHeight="1">
      <c r="A519" s="141"/>
      <c r="B519" s="141"/>
      <c r="C519" s="143"/>
      <c r="D519" s="143"/>
      <c r="E519" s="141"/>
      <c r="F519" s="232"/>
      <c r="G519" s="150"/>
      <c r="H519" s="150"/>
      <c r="I519" s="145"/>
      <c r="J519" s="145"/>
    </row>
    <row r="520" spans="1:10" ht="24.95" hidden="1" customHeight="1">
      <c r="A520" s="141"/>
      <c r="B520" s="141"/>
      <c r="C520" s="143"/>
      <c r="D520" s="143"/>
      <c r="E520" s="141"/>
      <c r="F520" s="232"/>
      <c r="G520" s="150"/>
      <c r="H520" s="150"/>
      <c r="I520" s="145"/>
      <c r="J520" s="145"/>
    </row>
    <row r="521" spans="1:10" ht="24.95" hidden="1" customHeight="1">
      <c r="A521" s="141"/>
      <c r="B521" s="141"/>
      <c r="C521" s="143"/>
      <c r="D521" s="143"/>
      <c r="E521" s="141"/>
      <c r="F521" s="232"/>
      <c r="G521" s="150"/>
      <c r="H521" s="150"/>
      <c r="I521" s="145"/>
      <c r="J521" s="145"/>
    </row>
    <row r="522" spans="1:10" ht="24.95" hidden="1" customHeight="1">
      <c r="A522" s="141"/>
      <c r="B522" s="141"/>
      <c r="C522" s="143"/>
      <c r="D522" s="143"/>
      <c r="E522" s="141"/>
      <c r="F522" s="232"/>
      <c r="G522" s="150"/>
      <c r="H522" s="150"/>
      <c r="I522" s="145"/>
      <c r="J522" s="145"/>
    </row>
    <row r="523" spans="1:10" ht="24.95" hidden="1" customHeight="1">
      <c r="A523" s="141"/>
      <c r="B523" s="141"/>
      <c r="C523" s="143"/>
      <c r="D523" s="143"/>
      <c r="E523" s="141"/>
      <c r="F523" s="232"/>
      <c r="G523" s="150"/>
      <c r="H523" s="150"/>
      <c r="I523" s="145"/>
      <c r="J523" s="145"/>
    </row>
    <row r="524" spans="1:10" ht="24.95" hidden="1" customHeight="1">
      <c r="A524" s="141"/>
      <c r="B524" s="141"/>
      <c r="C524" s="143"/>
      <c r="D524" s="143"/>
      <c r="E524" s="141"/>
      <c r="F524" s="232"/>
      <c r="G524" s="150"/>
      <c r="H524" s="150"/>
      <c r="I524" s="145"/>
      <c r="J524" s="145"/>
    </row>
    <row r="525" spans="1:10" ht="24.95" hidden="1" customHeight="1">
      <c r="A525" s="141"/>
      <c r="B525" s="141"/>
      <c r="C525" s="143"/>
      <c r="D525" s="143"/>
      <c r="E525" s="141"/>
      <c r="F525" s="232"/>
      <c r="G525" s="150"/>
      <c r="H525" s="150"/>
      <c r="I525" s="145"/>
      <c r="J525" s="145"/>
    </row>
    <row r="526" spans="1:10" ht="24.95" hidden="1" customHeight="1">
      <c r="A526" s="141"/>
      <c r="B526" s="141"/>
      <c r="C526" s="143"/>
      <c r="D526" s="143"/>
      <c r="E526" s="141"/>
      <c r="F526" s="232"/>
      <c r="G526" s="150"/>
      <c r="H526" s="150"/>
      <c r="I526" s="145"/>
      <c r="J526" s="145"/>
    </row>
    <row r="527" spans="1:10" ht="24.95" hidden="1" customHeight="1">
      <c r="A527" s="141"/>
      <c r="B527" s="141"/>
      <c r="C527" s="143"/>
      <c r="D527" s="143"/>
      <c r="E527" s="141"/>
      <c r="F527" s="232"/>
      <c r="G527" s="150"/>
      <c r="H527" s="150"/>
      <c r="I527" s="145"/>
      <c r="J527" s="145"/>
    </row>
    <row r="528" spans="1:10" ht="24.95" hidden="1" customHeight="1">
      <c r="A528" s="141"/>
      <c r="B528" s="141"/>
      <c r="C528" s="143"/>
      <c r="D528" s="143"/>
      <c r="E528" s="141"/>
      <c r="F528" s="232"/>
      <c r="G528" s="150"/>
      <c r="H528" s="150"/>
      <c r="I528" s="145"/>
      <c r="J528" s="145"/>
    </row>
    <row r="529" spans="1:10" ht="24.95" hidden="1" customHeight="1">
      <c r="A529" s="141"/>
      <c r="B529" s="141"/>
      <c r="C529" s="143"/>
      <c r="D529" s="143"/>
      <c r="E529" s="141"/>
      <c r="F529" s="232"/>
      <c r="G529" s="150"/>
      <c r="H529" s="150"/>
      <c r="I529" s="145"/>
      <c r="J529" s="145"/>
    </row>
    <row r="530" spans="1:10" ht="24.95" hidden="1" customHeight="1">
      <c r="A530" s="141"/>
      <c r="B530" s="141"/>
      <c r="C530" s="143"/>
      <c r="D530" s="143"/>
      <c r="E530" s="141"/>
      <c r="F530" s="232"/>
      <c r="G530" s="150"/>
      <c r="H530" s="150"/>
      <c r="I530" s="145"/>
      <c r="J530" s="145"/>
    </row>
    <row r="531" spans="1:10" ht="24.95" hidden="1" customHeight="1">
      <c r="A531" s="141"/>
      <c r="B531" s="141"/>
      <c r="C531" s="143"/>
      <c r="D531" s="143"/>
      <c r="E531" s="141"/>
      <c r="F531" s="232"/>
      <c r="G531" s="150"/>
      <c r="H531" s="150"/>
      <c r="I531" s="145"/>
      <c r="J531" s="145"/>
    </row>
    <row r="532" spans="1:10" ht="24.95" hidden="1" customHeight="1">
      <c r="A532" s="141"/>
      <c r="B532" s="141"/>
      <c r="C532" s="143"/>
      <c r="D532" s="143"/>
      <c r="E532" s="141"/>
      <c r="F532" s="232"/>
      <c r="G532" s="150"/>
      <c r="H532" s="150"/>
      <c r="I532" s="145"/>
      <c r="J532" s="145"/>
    </row>
    <row r="533" spans="1:10" ht="24.95" hidden="1" customHeight="1">
      <c r="A533" s="141"/>
      <c r="B533" s="141"/>
      <c r="C533" s="143"/>
      <c r="D533" s="143"/>
      <c r="E533" s="141"/>
      <c r="F533" s="232"/>
      <c r="G533" s="150"/>
      <c r="H533" s="150"/>
      <c r="I533" s="145"/>
      <c r="J533" s="145"/>
    </row>
    <row r="534" spans="1:10" ht="24.95" hidden="1" customHeight="1">
      <c r="A534" s="141"/>
      <c r="B534" s="141"/>
      <c r="C534" s="143"/>
      <c r="D534" s="143"/>
      <c r="E534" s="141"/>
      <c r="F534" s="232"/>
      <c r="G534" s="150"/>
      <c r="H534" s="150"/>
      <c r="I534" s="145"/>
      <c r="J534" s="145"/>
    </row>
    <row r="535" spans="1:10" ht="24.95" hidden="1" customHeight="1">
      <c r="A535" s="141"/>
      <c r="B535" s="141"/>
      <c r="C535" s="143"/>
      <c r="D535" s="143"/>
      <c r="E535" s="141"/>
      <c r="F535" s="232"/>
      <c r="G535" s="150"/>
      <c r="H535" s="150"/>
      <c r="I535" s="145"/>
      <c r="J535" s="145"/>
    </row>
    <row r="536" spans="1:10" ht="24.95" hidden="1" customHeight="1">
      <c r="A536" s="141"/>
      <c r="B536" s="141"/>
      <c r="C536" s="143"/>
      <c r="D536" s="143"/>
      <c r="E536" s="141"/>
      <c r="F536" s="232"/>
      <c r="G536" s="150"/>
      <c r="H536" s="150"/>
      <c r="I536" s="145"/>
      <c r="J536" s="145"/>
    </row>
    <row r="537" spans="1:10" ht="24.95" hidden="1" customHeight="1">
      <c r="A537" s="141"/>
      <c r="B537" s="141"/>
      <c r="C537" s="143"/>
      <c r="D537" s="143"/>
      <c r="E537" s="141"/>
      <c r="F537" s="232"/>
      <c r="G537" s="150"/>
      <c r="H537" s="150"/>
      <c r="I537" s="145"/>
      <c r="J537" s="145"/>
    </row>
    <row r="538" spans="1:10" ht="24.95" hidden="1" customHeight="1">
      <c r="A538" s="141"/>
      <c r="B538" s="141"/>
      <c r="C538" s="143"/>
      <c r="D538" s="143"/>
      <c r="E538" s="141"/>
      <c r="F538" s="232"/>
      <c r="G538" s="150"/>
      <c r="H538" s="150"/>
      <c r="I538" s="145"/>
      <c r="J538" s="145"/>
    </row>
    <row r="539" spans="1:10" ht="24.95" hidden="1" customHeight="1">
      <c r="A539" s="141"/>
      <c r="B539" s="141"/>
      <c r="C539" s="143"/>
      <c r="D539" s="143"/>
      <c r="E539" s="141"/>
      <c r="F539" s="232"/>
      <c r="G539" s="150"/>
      <c r="H539" s="150"/>
      <c r="I539" s="145"/>
      <c r="J539" s="145"/>
    </row>
    <row r="540" spans="1:10" ht="24.95" hidden="1" customHeight="1">
      <c r="A540" s="141"/>
      <c r="B540" s="141"/>
      <c r="C540" s="143"/>
      <c r="D540" s="143"/>
      <c r="E540" s="141"/>
      <c r="F540" s="232"/>
      <c r="G540" s="150"/>
      <c r="H540" s="150"/>
      <c r="I540" s="145"/>
      <c r="J540" s="145"/>
    </row>
    <row r="541" spans="1:10" ht="24.95" hidden="1" customHeight="1">
      <c r="A541" s="141"/>
      <c r="B541" s="141"/>
      <c r="C541" s="143"/>
      <c r="D541" s="143"/>
      <c r="E541" s="141"/>
      <c r="F541" s="232"/>
      <c r="G541" s="150"/>
      <c r="H541" s="150"/>
      <c r="I541" s="145"/>
      <c r="J541" s="145"/>
    </row>
    <row r="542" spans="1:10" ht="24.95" hidden="1" customHeight="1">
      <c r="A542" s="141"/>
      <c r="B542" s="141"/>
      <c r="C542" s="143"/>
      <c r="D542" s="143"/>
      <c r="E542" s="141"/>
      <c r="F542" s="232"/>
      <c r="G542" s="150"/>
      <c r="H542" s="150"/>
      <c r="I542" s="145"/>
      <c r="J542" s="145"/>
    </row>
    <row r="543" spans="1:10" ht="24.95" hidden="1" customHeight="1">
      <c r="A543" s="141"/>
      <c r="B543" s="141"/>
      <c r="C543" s="143"/>
      <c r="D543" s="143"/>
      <c r="E543" s="141"/>
      <c r="F543" s="232"/>
      <c r="G543" s="150"/>
      <c r="H543" s="150"/>
      <c r="I543" s="145"/>
      <c r="J543" s="145"/>
    </row>
    <row r="544" spans="1:10" ht="24.95" hidden="1" customHeight="1">
      <c r="A544" s="141"/>
      <c r="B544" s="141"/>
      <c r="C544" s="143"/>
      <c r="D544" s="143"/>
      <c r="E544" s="141"/>
      <c r="F544" s="232"/>
      <c r="G544" s="150"/>
      <c r="H544" s="150"/>
      <c r="I544" s="145"/>
      <c r="J544" s="145"/>
    </row>
    <row r="545" spans="1:10" ht="24.95" hidden="1" customHeight="1">
      <c r="A545" s="141"/>
      <c r="B545" s="141"/>
      <c r="C545" s="143"/>
      <c r="D545" s="143"/>
      <c r="E545" s="141"/>
      <c r="F545" s="232"/>
      <c r="G545" s="150"/>
      <c r="H545" s="150"/>
      <c r="I545" s="145"/>
      <c r="J545" s="145"/>
    </row>
    <row r="546" spans="1:10" ht="24.95" hidden="1" customHeight="1">
      <c r="A546" s="141"/>
      <c r="B546" s="141"/>
      <c r="C546" s="143"/>
      <c r="D546" s="143"/>
      <c r="E546" s="141"/>
      <c r="F546" s="232"/>
      <c r="G546" s="150"/>
      <c r="H546" s="150"/>
      <c r="I546" s="145"/>
      <c r="J546" s="145"/>
    </row>
    <row r="547" spans="1:10" ht="24.95" hidden="1" customHeight="1">
      <c r="A547" s="141"/>
      <c r="B547" s="141"/>
      <c r="C547" s="143"/>
      <c r="D547" s="143"/>
      <c r="E547" s="141"/>
      <c r="F547" s="232"/>
      <c r="G547" s="150"/>
      <c r="H547" s="150"/>
      <c r="I547" s="145"/>
      <c r="J547" s="145"/>
    </row>
    <row r="548" spans="1:10" ht="24.95" hidden="1" customHeight="1">
      <c r="A548" s="141"/>
      <c r="B548" s="141"/>
      <c r="C548" s="143"/>
      <c r="D548" s="143"/>
      <c r="E548" s="141"/>
      <c r="F548" s="232"/>
      <c r="G548" s="150"/>
      <c r="H548" s="150"/>
      <c r="I548" s="145"/>
      <c r="J548" s="145"/>
    </row>
    <row r="549" spans="1:10" ht="24.95" hidden="1" customHeight="1">
      <c r="A549" s="141"/>
      <c r="B549" s="141"/>
      <c r="C549" s="143"/>
      <c r="D549" s="143"/>
      <c r="E549" s="141"/>
      <c r="F549" s="232"/>
      <c r="G549" s="150"/>
      <c r="H549" s="150"/>
      <c r="I549" s="145"/>
      <c r="J549" s="145"/>
    </row>
    <row r="550" spans="1:10" ht="24.95" hidden="1" customHeight="1">
      <c r="A550" s="141"/>
      <c r="B550" s="141"/>
      <c r="C550" s="143"/>
      <c r="D550" s="143"/>
      <c r="E550" s="141"/>
      <c r="F550" s="232"/>
      <c r="G550" s="150"/>
      <c r="H550" s="150"/>
      <c r="I550" s="145"/>
      <c r="J550" s="145"/>
    </row>
    <row r="551" spans="1:10" ht="24.95" hidden="1" customHeight="1">
      <c r="A551" s="141"/>
      <c r="B551" s="141"/>
      <c r="C551" s="143"/>
      <c r="D551" s="143"/>
      <c r="E551" s="141"/>
      <c r="F551" s="232"/>
      <c r="G551" s="150"/>
      <c r="H551" s="150"/>
      <c r="I551" s="145"/>
      <c r="J551" s="145"/>
    </row>
    <row r="552" spans="1:10" ht="24.95" hidden="1" customHeight="1">
      <c r="A552" s="141"/>
      <c r="B552" s="141"/>
      <c r="C552" s="143"/>
      <c r="D552" s="143"/>
      <c r="E552" s="141"/>
      <c r="F552" s="232"/>
      <c r="G552" s="150"/>
      <c r="H552" s="150"/>
      <c r="I552" s="145"/>
      <c r="J552" s="145"/>
    </row>
    <row r="553" spans="1:10" ht="24.95" hidden="1" customHeight="1">
      <c r="A553" s="141"/>
      <c r="B553" s="141"/>
      <c r="C553" s="143"/>
      <c r="D553" s="143"/>
      <c r="E553" s="141"/>
      <c r="F553" s="232"/>
      <c r="G553" s="150"/>
      <c r="H553" s="150"/>
      <c r="I553" s="145"/>
      <c r="J553" s="145"/>
    </row>
    <row r="554" spans="1:10" ht="24.95" hidden="1" customHeight="1">
      <c r="A554" s="141"/>
      <c r="B554" s="141"/>
      <c r="C554" s="143"/>
      <c r="D554" s="143"/>
      <c r="E554" s="141"/>
      <c r="F554" s="232"/>
      <c r="G554" s="150"/>
      <c r="H554" s="150"/>
      <c r="I554" s="145"/>
      <c r="J554" s="145"/>
    </row>
    <row r="555" spans="1:10" ht="24.95" hidden="1" customHeight="1">
      <c r="A555" s="141"/>
      <c r="B555" s="141"/>
      <c r="C555" s="143"/>
      <c r="D555" s="143"/>
      <c r="E555" s="141"/>
      <c r="F555" s="232"/>
      <c r="G555" s="150"/>
      <c r="H555" s="150"/>
      <c r="I555" s="145"/>
      <c r="J555" s="145"/>
    </row>
    <row r="556" spans="1:10" ht="24.95" hidden="1" customHeight="1">
      <c r="A556" s="141"/>
      <c r="B556" s="141"/>
      <c r="C556" s="143"/>
      <c r="D556" s="143"/>
      <c r="E556" s="141"/>
      <c r="F556" s="232"/>
      <c r="G556" s="150"/>
      <c r="H556" s="150"/>
      <c r="I556" s="145"/>
      <c r="J556" s="145"/>
    </row>
    <row r="557" spans="1:10" ht="24.95" hidden="1" customHeight="1">
      <c r="A557" s="141"/>
      <c r="B557" s="141"/>
      <c r="C557" s="143"/>
      <c r="D557" s="143"/>
      <c r="E557" s="141"/>
      <c r="F557" s="232"/>
      <c r="G557" s="150"/>
      <c r="H557" s="150"/>
      <c r="I557" s="145"/>
      <c r="J557" s="145"/>
    </row>
    <row r="558" spans="1:10" ht="24.95" hidden="1" customHeight="1">
      <c r="A558" s="141"/>
      <c r="B558" s="141"/>
      <c r="C558" s="143"/>
      <c r="D558" s="143"/>
      <c r="E558" s="141"/>
      <c r="F558" s="232"/>
      <c r="G558" s="150"/>
      <c r="H558" s="150"/>
      <c r="I558" s="145"/>
      <c r="J558" s="145"/>
    </row>
    <row r="559" spans="1:10" ht="24.95" hidden="1" customHeight="1">
      <c r="A559" s="141"/>
      <c r="B559" s="141"/>
      <c r="C559" s="143"/>
      <c r="D559" s="143"/>
      <c r="E559" s="141"/>
      <c r="F559" s="232"/>
      <c r="G559" s="150"/>
      <c r="H559" s="150"/>
      <c r="I559" s="145"/>
      <c r="J559" s="145"/>
    </row>
    <row r="560" spans="1:10" ht="24.95" hidden="1" customHeight="1">
      <c r="A560" s="141"/>
      <c r="B560" s="141"/>
      <c r="C560" s="143"/>
      <c r="D560" s="143"/>
      <c r="E560" s="141"/>
      <c r="F560" s="232"/>
      <c r="G560" s="150"/>
      <c r="H560" s="150"/>
      <c r="I560" s="145"/>
      <c r="J560" s="145"/>
    </row>
    <row r="561" spans="1:10" ht="24.95" hidden="1" customHeight="1">
      <c r="A561" s="141"/>
      <c r="B561" s="141"/>
      <c r="C561" s="143"/>
      <c r="D561" s="143"/>
      <c r="E561" s="141"/>
      <c r="F561" s="232"/>
      <c r="G561" s="150"/>
      <c r="H561" s="150"/>
      <c r="I561" s="145"/>
      <c r="J561" s="145"/>
    </row>
    <row r="562" spans="1:10" ht="24.95" hidden="1" customHeight="1">
      <c r="A562" s="141"/>
      <c r="B562" s="141"/>
      <c r="C562" s="143"/>
      <c r="D562" s="143"/>
      <c r="E562" s="141"/>
      <c r="F562" s="232"/>
      <c r="G562" s="150"/>
      <c r="H562" s="150"/>
      <c r="I562" s="145"/>
      <c r="J562" s="145"/>
    </row>
    <row r="563" spans="1:10" ht="24.95" hidden="1" customHeight="1">
      <c r="A563" s="141"/>
      <c r="B563" s="141"/>
      <c r="C563" s="143"/>
      <c r="D563" s="143"/>
      <c r="E563" s="141"/>
      <c r="F563" s="232"/>
      <c r="G563" s="150"/>
      <c r="H563" s="150"/>
      <c r="I563" s="145"/>
      <c r="J563" s="145"/>
    </row>
    <row r="564" spans="1:10" ht="24.95" hidden="1" customHeight="1">
      <c r="A564" s="141"/>
      <c r="B564" s="141"/>
      <c r="C564" s="143"/>
      <c r="D564" s="143"/>
      <c r="E564" s="141"/>
      <c r="F564" s="232"/>
      <c r="G564" s="150"/>
      <c r="H564" s="150"/>
      <c r="I564" s="145"/>
      <c r="J564" s="145"/>
    </row>
    <row r="565" spans="1:10" ht="24.95" hidden="1" customHeight="1">
      <c r="A565" s="141"/>
      <c r="B565" s="141"/>
      <c r="C565" s="143"/>
      <c r="D565" s="143"/>
      <c r="E565" s="141"/>
      <c r="F565" s="232"/>
      <c r="G565" s="150"/>
      <c r="H565" s="150"/>
      <c r="I565" s="145"/>
      <c r="J565" s="145"/>
    </row>
    <row r="566" spans="1:10" ht="24.95" hidden="1" customHeight="1">
      <c r="A566" s="141"/>
      <c r="B566" s="141"/>
      <c r="C566" s="143"/>
      <c r="D566" s="143"/>
      <c r="E566" s="141"/>
      <c r="F566" s="232"/>
      <c r="G566" s="150"/>
      <c r="H566" s="150"/>
      <c r="I566" s="145"/>
      <c r="J566" s="145"/>
    </row>
    <row r="567" spans="1:10" ht="24.95" hidden="1" customHeight="1">
      <c r="A567" s="141"/>
      <c r="B567" s="141"/>
      <c r="C567" s="143"/>
      <c r="D567" s="143"/>
      <c r="E567" s="141"/>
      <c r="F567" s="232"/>
      <c r="G567" s="150"/>
      <c r="H567" s="150"/>
      <c r="I567" s="145"/>
      <c r="J567" s="145"/>
    </row>
    <row r="568" spans="1:10" ht="24.95" hidden="1" customHeight="1">
      <c r="A568" s="141"/>
      <c r="B568" s="141"/>
      <c r="C568" s="143"/>
      <c r="D568" s="143"/>
      <c r="E568" s="141"/>
      <c r="F568" s="232"/>
      <c r="G568" s="150"/>
      <c r="H568" s="150"/>
      <c r="I568" s="145"/>
      <c r="J568" s="145"/>
    </row>
    <row r="569" spans="1:10" ht="24.95" hidden="1" customHeight="1">
      <c r="A569" s="141"/>
      <c r="B569" s="141"/>
      <c r="C569" s="143"/>
      <c r="D569" s="143"/>
      <c r="E569" s="141"/>
      <c r="F569" s="232"/>
      <c r="G569" s="150"/>
      <c r="H569" s="150"/>
      <c r="I569" s="145"/>
      <c r="J569" s="145"/>
    </row>
    <row r="570" spans="1:10" ht="24.95" hidden="1" customHeight="1">
      <c r="A570" s="141"/>
      <c r="B570" s="141"/>
      <c r="C570" s="143"/>
      <c r="D570" s="143"/>
      <c r="E570" s="141"/>
      <c r="F570" s="232"/>
      <c r="G570" s="150"/>
      <c r="H570" s="150"/>
      <c r="I570" s="145"/>
      <c r="J570" s="145"/>
    </row>
    <row r="571" spans="1:10" ht="24.95" hidden="1" customHeight="1">
      <c r="A571" s="141"/>
      <c r="B571" s="141"/>
      <c r="C571" s="143"/>
      <c r="D571" s="143"/>
      <c r="E571" s="141"/>
      <c r="F571" s="232"/>
      <c r="G571" s="150"/>
      <c r="H571" s="150"/>
      <c r="I571" s="145"/>
      <c r="J571" s="145"/>
    </row>
    <row r="572" spans="1:10" ht="24.95" hidden="1" customHeight="1">
      <c r="A572" s="141"/>
      <c r="B572" s="141"/>
      <c r="C572" s="143"/>
      <c r="D572" s="143"/>
      <c r="E572" s="141"/>
      <c r="F572" s="232"/>
      <c r="G572" s="150"/>
      <c r="H572" s="150"/>
      <c r="I572" s="145"/>
      <c r="J572" s="145"/>
    </row>
    <row r="573" spans="1:10" ht="24.95" hidden="1" customHeight="1">
      <c r="A573" s="141"/>
      <c r="B573" s="141"/>
      <c r="C573" s="143"/>
      <c r="D573" s="143"/>
      <c r="E573" s="141"/>
      <c r="F573" s="232"/>
      <c r="G573" s="150"/>
      <c r="H573" s="150"/>
      <c r="I573" s="145"/>
      <c r="J573" s="145"/>
    </row>
    <row r="574" spans="1:10" ht="24.95" hidden="1" customHeight="1">
      <c r="A574" s="141"/>
      <c r="B574" s="141"/>
      <c r="C574" s="143"/>
      <c r="D574" s="143"/>
      <c r="E574" s="141"/>
      <c r="F574" s="232"/>
      <c r="G574" s="150"/>
      <c r="H574" s="150"/>
      <c r="I574" s="145"/>
      <c r="J574" s="145"/>
    </row>
    <row r="575" spans="1:10" ht="24.95" hidden="1" customHeight="1">
      <c r="A575" s="141"/>
      <c r="B575" s="141"/>
      <c r="C575" s="143"/>
      <c r="D575" s="143"/>
      <c r="E575" s="141"/>
      <c r="F575" s="232"/>
      <c r="G575" s="150"/>
      <c r="H575" s="150"/>
      <c r="I575" s="145"/>
      <c r="J575" s="145"/>
    </row>
    <row r="576" spans="1:10" ht="24.95" hidden="1" customHeight="1">
      <c r="A576" s="141"/>
      <c r="B576" s="141"/>
      <c r="C576" s="143"/>
      <c r="D576" s="143"/>
      <c r="E576" s="141"/>
      <c r="F576" s="232"/>
      <c r="G576" s="150"/>
      <c r="H576" s="150"/>
      <c r="I576" s="145"/>
      <c r="J576" s="145"/>
    </row>
    <row r="577" spans="1:10" ht="24.95" hidden="1" customHeight="1">
      <c r="A577" s="141"/>
      <c r="B577" s="141"/>
      <c r="C577" s="143"/>
      <c r="D577" s="143"/>
      <c r="E577" s="141"/>
      <c r="F577" s="232"/>
      <c r="G577" s="150"/>
      <c r="H577" s="150"/>
      <c r="I577" s="145"/>
      <c r="J577" s="145"/>
    </row>
    <row r="578" spans="1:10" ht="24.95" hidden="1" customHeight="1">
      <c r="A578" s="141"/>
      <c r="B578" s="141"/>
      <c r="C578" s="143"/>
      <c r="D578" s="143"/>
      <c r="E578" s="141"/>
      <c r="F578" s="232"/>
      <c r="G578" s="150"/>
      <c r="H578" s="150"/>
      <c r="I578" s="145"/>
      <c r="J578" s="145"/>
    </row>
    <row r="579" spans="1:10" ht="24.95" hidden="1" customHeight="1">
      <c r="A579" s="141"/>
      <c r="B579" s="141"/>
      <c r="C579" s="143"/>
      <c r="D579" s="143"/>
      <c r="E579" s="141"/>
      <c r="F579" s="232"/>
      <c r="G579" s="150"/>
      <c r="H579" s="150"/>
      <c r="I579" s="145"/>
      <c r="J579" s="145"/>
    </row>
    <row r="580" spans="1:10" ht="24.95" hidden="1" customHeight="1">
      <c r="A580" s="141"/>
      <c r="B580" s="141"/>
      <c r="C580" s="143"/>
      <c r="D580" s="143"/>
      <c r="E580" s="141"/>
      <c r="F580" s="232"/>
      <c r="G580" s="150"/>
      <c r="H580" s="150"/>
      <c r="I580" s="145"/>
      <c r="J580" s="145"/>
    </row>
    <row r="581" spans="1:10" ht="24.95" hidden="1" customHeight="1">
      <c r="A581" s="141"/>
      <c r="B581" s="141"/>
      <c r="C581" s="143"/>
      <c r="D581" s="143"/>
      <c r="E581" s="141"/>
      <c r="F581" s="232"/>
      <c r="G581" s="150"/>
      <c r="H581" s="150"/>
      <c r="I581" s="145"/>
      <c r="J581" s="145"/>
    </row>
    <row r="582" spans="1:10" ht="24.95" hidden="1" customHeight="1">
      <c r="A582" s="141"/>
      <c r="B582" s="141"/>
      <c r="C582" s="143"/>
      <c r="D582" s="143"/>
      <c r="E582" s="141"/>
      <c r="F582" s="232"/>
      <c r="G582" s="150"/>
      <c r="H582" s="150"/>
      <c r="I582" s="145"/>
      <c r="J582" s="145"/>
    </row>
    <row r="583" spans="1:10" ht="24.95" hidden="1" customHeight="1">
      <c r="A583" s="141"/>
      <c r="B583" s="141"/>
      <c r="C583" s="143"/>
      <c r="D583" s="143"/>
      <c r="E583" s="141"/>
      <c r="F583" s="232"/>
      <c r="G583" s="150"/>
      <c r="H583" s="150"/>
      <c r="I583" s="145"/>
      <c r="J583" s="145"/>
    </row>
    <row r="584" spans="1:10" ht="24.95" hidden="1" customHeight="1">
      <c r="A584" s="141"/>
      <c r="B584" s="141"/>
      <c r="C584" s="143"/>
      <c r="D584" s="143"/>
      <c r="E584" s="141"/>
      <c r="F584" s="232"/>
      <c r="G584" s="150"/>
      <c r="H584" s="150"/>
      <c r="I584" s="145"/>
      <c r="J584" s="145"/>
    </row>
    <row r="585" spans="1:10" ht="24.95" hidden="1" customHeight="1">
      <c r="A585" s="141"/>
      <c r="B585" s="141"/>
      <c r="C585" s="143"/>
      <c r="D585" s="143"/>
      <c r="E585" s="141"/>
      <c r="F585" s="232"/>
      <c r="G585" s="150"/>
      <c r="H585" s="150"/>
      <c r="I585" s="145"/>
      <c r="J585" s="145"/>
    </row>
    <row r="586" spans="1:10" ht="24.95" hidden="1" customHeight="1">
      <c r="A586" s="141"/>
      <c r="B586" s="141"/>
      <c r="C586" s="143"/>
      <c r="D586" s="143"/>
      <c r="E586" s="141"/>
      <c r="F586" s="232"/>
      <c r="G586" s="150"/>
      <c r="H586" s="150"/>
      <c r="I586" s="145"/>
      <c r="J586" s="145"/>
    </row>
    <row r="587" spans="1:10" ht="24.95" hidden="1" customHeight="1">
      <c r="A587" s="141"/>
      <c r="B587" s="141"/>
      <c r="C587" s="143"/>
      <c r="D587" s="143"/>
      <c r="E587" s="141"/>
      <c r="F587" s="232"/>
      <c r="G587" s="150"/>
      <c r="H587" s="150"/>
      <c r="I587" s="145"/>
      <c r="J587" s="145"/>
    </row>
    <row r="588" spans="1:10" ht="24.95" hidden="1" customHeight="1">
      <c r="A588" s="141"/>
      <c r="B588" s="141"/>
      <c r="C588" s="143"/>
      <c r="D588" s="143"/>
      <c r="E588" s="141"/>
      <c r="F588" s="232"/>
      <c r="G588" s="150"/>
      <c r="H588" s="150"/>
      <c r="I588" s="145"/>
      <c r="J588" s="145"/>
    </row>
    <row r="589" spans="1:10" ht="24.95" hidden="1" customHeight="1">
      <c r="A589" s="141"/>
      <c r="B589" s="141"/>
      <c r="C589" s="143"/>
      <c r="D589" s="143"/>
      <c r="E589" s="141"/>
      <c r="F589" s="232"/>
      <c r="G589" s="150"/>
      <c r="H589" s="150"/>
      <c r="I589" s="145"/>
      <c r="J589" s="145"/>
    </row>
    <row r="590" spans="1:10" ht="24.95" hidden="1" customHeight="1">
      <c r="A590" s="141"/>
      <c r="B590" s="141"/>
      <c r="C590" s="143"/>
      <c r="D590" s="143"/>
      <c r="E590" s="141"/>
      <c r="F590" s="232"/>
      <c r="G590" s="150"/>
      <c r="H590" s="150"/>
      <c r="I590" s="145"/>
      <c r="J590" s="145"/>
    </row>
    <row r="591" spans="1:10" ht="24.95" hidden="1" customHeight="1">
      <c r="A591" s="141"/>
      <c r="B591" s="141"/>
      <c r="C591" s="143"/>
      <c r="D591" s="143"/>
      <c r="E591" s="141"/>
      <c r="F591" s="232"/>
      <c r="G591" s="150"/>
      <c r="H591" s="150"/>
      <c r="I591" s="145"/>
      <c r="J591" s="145"/>
    </row>
    <row r="592" spans="1:10" ht="24.95" hidden="1" customHeight="1">
      <c r="A592" s="141"/>
      <c r="B592" s="141"/>
      <c r="C592" s="143"/>
      <c r="D592" s="143"/>
      <c r="E592" s="141"/>
      <c r="F592" s="232"/>
      <c r="G592" s="150"/>
      <c r="H592" s="150"/>
      <c r="I592" s="145"/>
      <c r="J592" s="145"/>
    </row>
    <row r="593" spans="1:10" ht="24.95" hidden="1" customHeight="1">
      <c r="A593" s="141"/>
      <c r="B593" s="141"/>
      <c r="C593" s="143"/>
      <c r="D593" s="143"/>
      <c r="E593" s="141"/>
      <c r="F593" s="232"/>
      <c r="G593" s="150"/>
      <c r="H593" s="150"/>
      <c r="I593" s="145"/>
      <c r="J593" s="145"/>
    </row>
    <row r="594" spans="1:10" ht="24.95" hidden="1" customHeight="1">
      <c r="A594" s="141"/>
      <c r="B594" s="141"/>
      <c r="C594" s="143"/>
      <c r="D594" s="143"/>
      <c r="E594" s="141"/>
      <c r="F594" s="232"/>
      <c r="G594" s="150"/>
      <c r="H594" s="150"/>
      <c r="I594" s="145"/>
      <c r="J594" s="145"/>
    </row>
    <row r="595" spans="1:10" ht="24.95" hidden="1" customHeight="1">
      <c r="A595" s="141"/>
      <c r="B595" s="141"/>
      <c r="C595" s="143"/>
      <c r="D595" s="143"/>
      <c r="E595" s="141"/>
      <c r="F595" s="232"/>
      <c r="G595" s="150"/>
      <c r="H595" s="150"/>
      <c r="I595" s="145"/>
      <c r="J595" s="145"/>
    </row>
    <row r="596" spans="1:10" ht="24.95" hidden="1" customHeight="1">
      <c r="A596" s="141"/>
      <c r="B596" s="141"/>
      <c r="C596" s="143"/>
      <c r="D596" s="143"/>
      <c r="E596" s="141"/>
      <c r="F596" s="232"/>
      <c r="G596" s="150"/>
      <c r="H596" s="150"/>
      <c r="I596" s="145"/>
      <c r="J596" s="145"/>
    </row>
    <row r="597" spans="1:10" ht="24.95" hidden="1" customHeight="1">
      <c r="A597" s="141"/>
      <c r="B597" s="141"/>
      <c r="C597" s="143"/>
      <c r="D597" s="143"/>
      <c r="E597" s="141"/>
      <c r="F597" s="232"/>
      <c r="G597" s="150"/>
      <c r="H597" s="150"/>
      <c r="I597" s="145"/>
      <c r="J597" s="145"/>
    </row>
    <row r="598" spans="1:10" ht="24.95" hidden="1" customHeight="1">
      <c r="A598" s="141"/>
      <c r="B598" s="141"/>
      <c r="C598" s="143"/>
      <c r="D598" s="143"/>
      <c r="E598" s="141"/>
      <c r="F598" s="232"/>
      <c r="G598" s="150"/>
      <c r="H598" s="150"/>
      <c r="I598" s="145"/>
      <c r="J598" s="145"/>
    </row>
    <row r="599" spans="1:10" ht="24.95" hidden="1" customHeight="1">
      <c r="A599" s="141"/>
      <c r="B599" s="141"/>
      <c r="C599" s="143"/>
      <c r="D599" s="143"/>
      <c r="E599" s="141"/>
      <c r="F599" s="232"/>
      <c r="G599" s="150"/>
      <c r="H599" s="150"/>
      <c r="I599" s="145"/>
      <c r="J599" s="145"/>
    </row>
    <row r="600" spans="1:10" ht="24.95" hidden="1" customHeight="1">
      <c r="A600" s="141"/>
      <c r="B600" s="141"/>
      <c r="C600" s="143"/>
      <c r="D600" s="143"/>
      <c r="E600" s="141"/>
      <c r="F600" s="232"/>
      <c r="G600" s="150"/>
      <c r="H600" s="150"/>
      <c r="I600" s="145"/>
      <c r="J600" s="145"/>
    </row>
    <row r="601" spans="1:10" ht="24.95" hidden="1" customHeight="1">
      <c r="A601" s="141"/>
      <c r="B601" s="141"/>
      <c r="C601" s="143"/>
      <c r="D601" s="143"/>
      <c r="E601" s="141"/>
      <c r="F601" s="232"/>
      <c r="G601" s="150"/>
      <c r="H601" s="150"/>
      <c r="I601" s="145"/>
      <c r="J601" s="145"/>
    </row>
    <row r="602" spans="1:10" ht="24.95" hidden="1" customHeight="1">
      <c r="A602" s="141"/>
      <c r="B602" s="141"/>
      <c r="C602" s="143"/>
      <c r="D602" s="143"/>
      <c r="E602" s="141"/>
      <c r="F602" s="232"/>
      <c r="G602" s="150"/>
      <c r="H602" s="150"/>
      <c r="I602" s="145"/>
      <c r="J602" s="145"/>
    </row>
    <row r="603" spans="1:10" ht="24.95" hidden="1" customHeight="1">
      <c r="A603" s="141"/>
      <c r="B603" s="141"/>
      <c r="C603" s="143"/>
      <c r="D603" s="143"/>
      <c r="E603" s="141"/>
      <c r="F603" s="232"/>
      <c r="G603" s="150"/>
      <c r="H603" s="150"/>
      <c r="I603" s="145"/>
      <c r="J603" s="145"/>
    </row>
    <row r="604" spans="1:10" ht="24.95" hidden="1" customHeight="1">
      <c r="A604" s="141"/>
      <c r="B604" s="141"/>
      <c r="C604" s="143"/>
      <c r="D604" s="143"/>
      <c r="E604" s="141"/>
      <c r="F604" s="232"/>
      <c r="G604" s="150"/>
      <c r="H604" s="150"/>
      <c r="I604" s="145"/>
      <c r="J604" s="145"/>
    </row>
    <row r="605" spans="1:10" ht="24.95" hidden="1" customHeight="1">
      <c r="A605" s="141"/>
      <c r="B605" s="141"/>
      <c r="C605" s="143"/>
      <c r="D605" s="143"/>
      <c r="E605" s="141"/>
      <c r="F605" s="232"/>
      <c r="G605" s="150"/>
      <c r="H605" s="150"/>
      <c r="I605" s="145"/>
      <c r="J605" s="145"/>
    </row>
    <row r="606" spans="1:10" ht="24.95" hidden="1" customHeight="1">
      <c r="A606" s="141"/>
      <c r="B606" s="141"/>
      <c r="C606" s="143"/>
      <c r="D606" s="143"/>
      <c r="E606" s="141"/>
      <c r="F606" s="232"/>
      <c r="G606" s="150"/>
      <c r="H606" s="150"/>
      <c r="I606" s="145"/>
      <c r="J606" s="145"/>
    </row>
    <row r="607" spans="1:10" ht="24.95" hidden="1" customHeight="1">
      <c r="A607" s="141"/>
      <c r="B607" s="141"/>
      <c r="C607" s="143"/>
      <c r="D607" s="143"/>
      <c r="E607" s="141"/>
      <c r="F607" s="232"/>
      <c r="G607" s="150"/>
      <c r="H607" s="150"/>
      <c r="I607" s="145"/>
      <c r="J607" s="145"/>
    </row>
    <row r="608" spans="1:10" ht="24.95" hidden="1" customHeight="1">
      <c r="A608" s="141"/>
      <c r="B608" s="141"/>
      <c r="C608" s="143"/>
      <c r="D608" s="143"/>
      <c r="E608" s="141"/>
      <c r="F608" s="232"/>
      <c r="G608" s="150"/>
      <c r="H608" s="150"/>
      <c r="I608" s="145"/>
      <c r="J608" s="145"/>
    </row>
    <row r="609" spans="1:10" ht="24.95" hidden="1" customHeight="1">
      <c r="A609" s="141"/>
      <c r="B609" s="141"/>
      <c r="C609" s="143"/>
      <c r="D609" s="143"/>
      <c r="E609" s="141"/>
      <c r="F609" s="232"/>
      <c r="G609" s="150"/>
      <c r="H609" s="150"/>
      <c r="I609" s="145"/>
      <c r="J609" s="145"/>
    </row>
    <row r="610" spans="1:10" ht="24.95" hidden="1" customHeight="1">
      <c r="A610" s="141"/>
      <c r="B610" s="141"/>
      <c r="C610" s="143"/>
      <c r="D610" s="143"/>
      <c r="E610" s="141"/>
      <c r="F610" s="232"/>
      <c r="G610" s="150"/>
      <c r="H610" s="150"/>
      <c r="I610" s="145"/>
      <c r="J610" s="145"/>
    </row>
    <row r="611" spans="1:10" ht="24.95" hidden="1" customHeight="1">
      <c r="A611" s="141"/>
      <c r="B611" s="141"/>
      <c r="C611" s="143"/>
      <c r="D611" s="143"/>
      <c r="E611" s="141"/>
      <c r="F611" s="232"/>
      <c r="G611" s="150"/>
      <c r="H611" s="150"/>
      <c r="I611" s="145"/>
      <c r="J611" s="145"/>
    </row>
    <row r="612" spans="1:10" ht="24.95" hidden="1" customHeight="1">
      <c r="A612" s="141"/>
      <c r="B612" s="141"/>
      <c r="C612" s="143"/>
      <c r="D612" s="143"/>
      <c r="E612" s="141"/>
      <c r="F612" s="232"/>
      <c r="G612" s="150"/>
      <c r="H612" s="150"/>
      <c r="I612" s="145"/>
      <c r="J612" s="145"/>
    </row>
    <row r="613" spans="1:10" ht="24.95" hidden="1" customHeight="1">
      <c r="A613" s="141"/>
      <c r="B613" s="141"/>
      <c r="C613" s="143"/>
      <c r="D613" s="143"/>
      <c r="E613" s="141"/>
      <c r="F613" s="232"/>
      <c r="G613" s="150"/>
      <c r="H613" s="150"/>
      <c r="I613" s="145"/>
      <c r="J613" s="145"/>
    </row>
    <row r="614" spans="1:10" ht="24.95" hidden="1" customHeight="1">
      <c r="A614" s="141"/>
      <c r="B614" s="141"/>
      <c r="C614" s="143"/>
      <c r="D614" s="143"/>
      <c r="E614" s="141"/>
      <c r="F614" s="232"/>
      <c r="G614" s="150"/>
      <c r="H614" s="150"/>
      <c r="I614" s="145"/>
      <c r="J614" s="145"/>
    </row>
    <row r="615" spans="1:10" ht="24.95" hidden="1" customHeight="1">
      <c r="A615" s="141"/>
      <c r="B615" s="141"/>
      <c r="C615" s="143"/>
      <c r="D615" s="143"/>
      <c r="E615" s="141"/>
      <c r="F615" s="232"/>
      <c r="G615" s="150"/>
      <c r="H615" s="150"/>
      <c r="I615" s="145"/>
      <c r="J615" s="145"/>
    </row>
    <row r="616" spans="1:10" ht="24.95" hidden="1" customHeight="1">
      <c r="A616" s="141"/>
      <c r="B616" s="141"/>
      <c r="C616" s="143"/>
      <c r="D616" s="143"/>
      <c r="E616" s="141"/>
      <c r="F616" s="232"/>
      <c r="G616" s="150"/>
      <c r="H616" s="150"/>
      <c r="I616" s="145"/>
      <c r="J616" s="145"/>
    </row>
    <row r="617" spans="1:10" ht="24.95" hidden="1" customHeight="1">
      <c r="A617" s="141"/>
      <c r="B617" s="141"/>
      <c r="C617" s="143"/>
      <c r="D617" s="143"/>
      <c r="E617" s="141"/>
      <c r="F617" s="232"/>
      <c r="G617" s="150"/>
      <c r="H617" s="150"/>
      <c r="I617" s="145"/>
      <c r="J617" s="145"/>
    </row>
    <row r="618" spans="1:10" ht="24.95" hidden="1" customHeight="1">
      <c r="A618" s="141"/>
      <c r="B618" s="141"/>
      <c r="C618" s="143"/>
      <c r="D618" s="143"/>
      <c r="E618" s="141"/>
      <c r="F618" s="232"/>
      <c r="G618" s="150"/>
      <c r="H618" s="150"/>
      <c r="I618" s="145"/>
      <c r="J618" s="145"/>
    </row>
    <row r="619" spans="1:10" ht="24.95" hidden="1" customHeight="1">
      <c r="A619" s="141"/>
      <c r="B619" s="141"/>
      <c r="C619" s="143"/>
      <c r="D619" s="143"/>
      <c r="E619" s="141"/>
      <c r="F619" s="232"/>
      <c r="G619" s="150"/>
      <c r="H619" s="150"/>
      <c r="I619" s="145"/>
      <c r="J619" s="145"/>
    </row>
    <row r="620" spans="1:10" ht="24.95" hidden="1" customHeight="1">
      <c r="A620" s="141"/>
      <c r="B620" s="141"/>
      <c r="C620" s="143"/>
      <c r="D620" s="143"/>
      <c r="E620" s="141"/>
      <c r="F620" s="232"/>
      <c r="G620" s="150"/>
      <c r="H620" s="150"/>
      <c r="I620" s="145"/>
      <c r="J620" s="145"/>
    </row>
    <row r="621" spans="1:10" ht="24.95" hidden="1" customHeight="1">
      <c r="A621" s="141"/>
      <c r="B621" s="141"/>
      <c r="C621" s="143"/>
      <c r="D621" s="143"/>
      <c r="E621" s="141"/>
      <c r="F621" s="232"/>
      <c r="G621" s="150"/>
      <c r="H621" s="150"/>
      <c r="I621" s="145"/>
      <c r="J621" s="145"/>
    </row>
    <row r="622" spans="1:10" ht="24.95" hidden="1" customHeight="1">
      <c r="A622" s="141"/>
      <c r="B622" s="141"/>
      <c r="C622" s="143"/>
      <c r="D622" s="143"/>
      <c r="E622" s="141"/>
      <c r="F622" s="232"/>
      <c r="G622" s="150"/>
      <c r="H622" s="150"/>
      <c r="I622" s="145"/>
      <c r="J622" s="145"/>
    </row>
    <row r="623" spans="1:10" ht="24.95" hidden="1" customHeight="1">
      <c r="A623" s="141"/>
      <c r="B623" s="141"/>
      <c r="C623" s="143"/>
      <c r="D623" s="143"/>
      <c r="E623" s="141"/>
      <c r="F623" s="232"/>
      <c r="G623" s="150"/>
      <c r="H623" s="150"/>
      <c r="I623" s="145"/>
      <c r="J623" s="145"/>
    </row>
    <row r="624" spans="1:10" ht="24.95" hidden="1" customHeight="1">
      <c r="A624" s="141"/>
      <c r="B624" s="141"/>
      <c r="C624" s="143"/>
      <c r="D624" s="143"/>
      <c r="E624" s="141"/>
      <c r="F624" s="232"/>
      <c r="G624" s="150"/>
      <c r="H624" s="150"/>
      <c r="I624" s="145"/>
      <c r="J624" s="145"/>
    </row>
    <row r="625" spans="1:10" ht="24.95" hidden="1" customHeight="1">
      <c r="A625" s="141"/>
      <c r="B625" s="141"/>
      <c r="C625" s="143"/>
      <c r="D625" s="143"/>
      <c r="E625" s="141"/>
      <c r="F625" s="232"/>
      <c r="G625" s="150"/>
      <c r="H625" s="150"/>
      <c r="I625" s="145"/>
      <c r="J625" s="145"/>
    </row>
    <row r="626" spans="1:10" ht="24.95" hidden="1" customHeight="1">
      <c r="A626" s="141"/>
      <c r="B626" s="141"/>
      <c r="C626" s="143"/>
      <c r="D626" s="143"/>
      <c r="E626" s="141"/>
      <c r="F626" s="232"/>
      <c r="G626" s="150"/>
      <c r="H626" s="150"/>
      <c r="I626" s="145"/>
      <c r="J626" s="145"/>
    </row>
    <row r="627" spans="1:10" ht="24.95" hidden="1" customHeight="1">
      <c r="A627" s="141"/>
      <c r="B627" s="141"/>
      <c r="C627" s="143"/>
      <c r="D627" s="143"/>
      <c r="E627" s="141"/>
      <c r="F627" s="232"/>
      <c r="G627" s="150"/>
      <c r="H627" s="150"/>
      <c r="I627" s="145"/>
      <c r="J627" s="145"/>
    </row>
    <row r="628" spans="1:10" ht="24.95" hidden="1" customHeight="1">
      <c r="A628" s="141"/>
      <c r="B628" s="141"/>
      <c r="C628" s="143"/>
      <c r="D628" s="143"/>
      <c r="E628" s="141"/>
      <c r="F628" s="232"/>
      <c r="G628" s="150"/>
      <c r="H628" s="150"/>
      <c r="I628" s="145"/>
      <c r="J628" s="145"/>
    </row>
    <row r="629" spans="1:10" ht="24.95" hidden="1" customHeight="1">
      <c r="A629" s="141"/>
      <c r="B629" s="141"/>
      <c r="C629" s="143"/>
      <c r="D629" s="143"/>
      <c r="E629" s="141"/>
      <c r="F629" s="232"/>
      <c r="G629" s="150"/>
      <c r="H629" s="150"/>
      <c r="I629" s="145"/>
      <c r="J629" s="145"/>
    </row>
    <row r="630" spans="1:10" ht="24.95" hidden="1" customHeight="1">
      <c r="A630" s="141"/>
      <c r="B630" s="141"/>
      <c r="C630" s="143"/>
      <c r="D630" s="143"/>
      <c r="E630" s="141"/>
      <c r="F630" s="232"/>
      <c r="G630" s="150"/>
      <c r="H630" s="150"/>
      <c r="I630" s="145"/>
      <c r="J630" s="145"/>
    </row>
    <row r="631" spans="1:10" ht="24.95" hidden="1" customHeight="1">
      <c r="A631" s="141"/>
      <c r="B631" s="141"/>
      <c r="C631" s="143"/>
      <c r="D631" s="143"/>
      <c r="E631" s="141"/>
      <c r="F631" s="232"/>
      <c r="G631" s="150"/>
      <c r="H631" s="150"/>
      <c r="I631" s="145"/>
      <c r="J631" s="145"/>
    </row>
    <row r="632" spans="1:10" ht="24.95" hidden="1" customHeight="1">
      <c r="A632" s="141"/>
      <c r="B632" s="141"/>
      <c r="C632" s="143"/>
      <c r="D632" s="143"/>
      <c r="E632" s="141"/>
      <c r="F632" s="232"/>
      <c r="G632" s="150"/>
      <c r="H632" s="150"/>
      <c r="I632" s="145"/>
      <c r="J632" s="145"/>
    </row>
    <row r="633" spans="1:10" ht="24.95" hidden="1" customHeight="1">
      <c r="A633" s="141"/>
      <c r="B633" s="141"/>
      <c r="C633" s="143"/>
      <c r="D633" s="143"/>
      <c r="E633" s="141"/>
      <c r="F633" s="232"/>
      <c r="G633" s="150"/>
      <c r="H633" s="150"/>
      <c r="I633" s="145"/>
      <c r="J633" s="145"/>
    </row>
    <row r="634" spans="1:10" ht="24.95" hidden="1" customHeight="1">
      <c r="A634" s="141"/>
      <c r="B634" s="141"/>
      <c r="C634" s="143"/>
      <c r="D634" s="143"/>
      <c r="E634" s="141"/>
      <c r="F634" s="232"/>
      <c r="G634" s="150"/>
      <c r="H634" s="150"/>
      <c r="I634" s="145"/>
      <c r="J634" s="145"/>
    </row>
    <row r="635" spans="1:10" ht="24.95" hidden="1" customHeight="1">
      <c r="A635" s="141"/>
      <c r="B635" s="141"/>
      <c r="C635" s="143"/>
      <c r="D635" s="143"/>
      <c r="E635" s="141"/>
      <c r="F635" s="232"/>
      <c r="G635" s="150"/>
      <c r="H635" s="150"/>
      <c r="I635" s="145"/>
      <c r="J635" s="145"/>
    </row>
    <row r="636" spans="1:10" ht="24.95" hidden="1" customHeight="1">
      <c r="A636" s="141"/>
      <c r="B636" s="141"/>
      <c r="C636" s="143"/>
      <c r="D636" s="143"/>
      <c r="E636" s="141"/>
      <c r="F636" s="232"/>
      <c r="G636" s="150"/>
      <c r="H636" s="150"/>
      <c r="I636" s="145"/>
      <c r="J636" s="145"/>
    </row>
    <row r="637" spans="1:10" ht="24.95" hidden="1" customHeight="1">
      <c r="A637" s="141"/>
      <c r="B637" s="141"/>
      <c r="C637" s="143"/>
      <c r="D637" s="143"/>
      <c r="E637" s="141"/>
      <c r="F637" s="232"/>
      <c r="G637" s="150"/>
      <c r="H637" s="150"/>
      <c r="I637" s="145"/>
      <c r="J637" s="145"/>
    </row>
    <row r="638" spans="1:10" ht="24.95" hidden="1" customHeight="1">
      <c r="A638" s="141"/>
      <c r="B638" s="141"/>
      <c r="C638" s="143"/>
      <c r="D638" s="143"/>
      <c r="E638" s="141"/>
      <c r="F638" s="232"/>
      <c r="G638" s="150"/>
      <c r="H638" s="150"/>
      <c r="I638" s="145"/>
      <c r="J638" s="145"/>
    </row>
    <row r="639" spans="1:10" ht="24.95" hidden="1" customHeight="1">
      <c r="A639" s="141"/>
      <c r="B639" s="141"/>
      <c r="C639" s="143"/>
      <c r="D639" s="143"/>
      <c r="E639" s="141"/>
      <c r="F639" s="232"/>
      <c r="G639" s="150"/>
      <c r="H639" s="150"/>
      <c r="I639" s="145"/>
      <c r="J639" s="145"/>
    </row>
    <row r="640" spans="1:10" ht="24.95" hidden="1" customHeight="1">
      <c r="A640" s="141"/>
      <c r="B640" s="141"/>
      <c r="C640" s="143"/>
      <c r="D640" s="143"/>
      <c r="E640" s="141"/>
      <c r="F640" s="232"/>
      <c r="G640" s="150"/>
      <c r="H640" s="150"/>
      <c r="I640" s="145"/>
      <c r="J640" s="145"/>
    </row>
    <row r="641" spans="1:10" ht="24.95" hidden="1" customHeight="1">
      <c r="A641" s="141"/>
      <c r="B641" s="141"/>
      <c r="C641" s="143"/>
      <c r="D641" s="143"/>
      <c r="E641" s="141"/>
      <c r="F641" s="232"/>
      <c r="G641" s="150"/>
      <c r="H641" s="150"/>
      <c r="I641" s="145"/>
      <c r="J641" s="145"/>
    </row>
    <row r="642" spans="1:10" ht="24.95" hidden="1" customHeight="1">
      <c r="A642" s="141"/>
      <c r="B642" s="141"/>
      <c r="C642" s="143"/>
      <c r="D642" s="143"/>
      <c r="E642" s="141"/>
      <c r="F642" s="232"/>
      <c r="G642" s="150"/>
      <c r="H642" s="150"/>
      <c r="I642" s="145"/>
      <c r="J642" s="145"/>
    </row>
    <row r="643" spans="1:10" ht="24.95" hidden="1" customHeight="1">
      <c r="A643" s="141"/>
      <c r="B643" s="141"/>
      <c r="C643" s="143"/>
      <c r="D643" s="143"/>
      <c r="E643" s="141"/>
      <c r="F643" s="232"/>
      <c r="G643" s="150"/>
      <c r="H643" s="150"/>
      <c r="I643" s="145"/>
      <c r="J643" s="145"/>
    </row>
    <row r="644" spans="1:10" ht="24.95" hidden="1" customHeight="1">
      <c r="A644" s="141"/>
      <c r="B644" s="141"/>
      <c r="C644" s="143"/>
      <c r="D644" s="143"/>
      <c r="E644" s="141"/>
      <c r="F644" s="232"/>
      <c r="G644" s="150"/>
      <c r="H644" s="150"/>
      <c r="I644" s="145"/>
      <c r="J644" s="145"/>
    </row>
    <row r="645" spans="1:10" ht="24.95" hidden="1" customHeight="1">
      <c r="A645" s="141"/>
      <c r="B645" s="141"/>
      <c r="C645" s="143"/>
      <c r="D645" s="143"/>
      <c r="E645" s="141"/>
      <c r="F645" s="232"/>
      <c r="G645" s="150"/>
      <c r="H645" s="150"/>
      <c r="I645" s="145"/>
      <c r="J645" s="145"/>
    </row>
    <row r="646" spans="1:10" ht="24.95" hidden="1" customHeight="1">
      <c r="A646" s="141"/>
      <c r="B646" s="141"/>
      <c r="C646" s="143"/>
      <c r="D646" s="143"/>
      <c r="E646" s="141"/>
      <c r="F646" s="232"/>
      <c r="G646" s="150"/>
      <c r="H646" s="150"/>
      <c r="I646" s="145"/>
      <c r="J646" s="145"/>
    </row>
    <row r="647" spans="1:10" ht="24.95" hidden="1" customHeight="1">
      <c r="A647" s="141"/>
      <c r="B647" s="141"/>
      <c r="C647" s="143"/>
      <c r="D647" s="143"/>
      <c r="E647" s="141"/>
      <c r="F647" s="232"/>
      <c r="G647" s="150"/>
      <c r="H647" s="150"/>
      <c r="I647" s="145"/>
      <c r="J647" s="145"/>
    </row>
    <row r="648" spans="1:10" ht="24.95" hidden="1" customHeight="1">
      <c r="A648" s="141"/>
      <c r="B648" s="141"/>
      <c r="C648" s="143"/>
      <c r="D648" s="143"/>
      <c r="E648" s="141"/>
      <c r="F648" s="232"/>
      <c r="G648" s="150"/>
      <c r="H648" s="150"/>
      <c r="I648" s="145"/>
      <c r="J648" s="145"/>
    </row>
    <row r="649" spans="1:10" ht="24.95" hidden="1" customHeight="1">
      <c r="A649" s="141"/>
      <c r="B649" s="141"/>
      <c r="C649" s="143"/>
      <c r="D649" s="143"/>
      <c r="E649" s="141"/>
      <c r="F649" s="232"/>
      <c r="G649" s="150"/>
      <c r="H649" s="150"/>
      <c r="I649" s="145"/>
      <c r="J649" s="145"/>
    </row>
    <row r="650" spans="1:10" ht="24.95" hidden="1" customHeight="1">
      <c r="A650" s="141"/>
      <c r="B650" s="141"/>
      <c r="C650" s="143"/>
      <c r="D650" s="143"/>
      <c r="E650" s="141"/>
      <c r="F650" s="232"/>
      <c r="G650" s="150"/>
      <c r="H650" s="150"/>
      <c r="I650" s="145"/>
      <c r="J650" s="145"/>
    </row>
    <row r="651" spans="1:10" ht="24.95" hidden="1" customHeight="1">
      <c r="A651" s="141"/>
      <c r="B651" s="141"/>
      <c r="C651" s="143"/>
      <c r="D651" s="143"/>
      <c r="E651" s="141"/>
      <c r="F651" s="232"/>
      <c r="G651" s="150"/>
      <c r="H651" s="150"/>
      <c r="I651" s="145"/>
      <c r="J651" s="145"/>
    </row>
    <row r="652" spans="1:10" ht="24.95" hidden="1" customHeight="1">
      <c r="A652" s="141"/>
      <c r="B652" s="141"/>
      <c r="C652" s="143"/>
      <c r="D652" s="143"/>
      <c r="E652" s="141"/>
      <c r="F652" s="232"/>
      <c r="G652" s="150"/>
      <c r="H652" s="150"/>
      <c r="I652" s="145"/>
      <c r="J652" s="145"/>
    </row>
    <row r="653" spans="1:10" ht="24.95" hidden="1" customHeight="1">
      <c r="A653" s="141"/>
      <c r="B653" s="141"/>
      <c r="C653" s="143"/>
      <c r="D653" s="143"/>
      <c r="E653" s="141"/>
      <c r="F653" s="232"/>
      <c r="G653" s="150"/>
      <c r="H653" s="150"/>
      <c r="I653" s="145"/>
      <c r="J653" s="145"/>
    </row>
    <row r="654" spans="1:10" ht="24.95" hidden="1" customHeight="1">
      <c r="A654" s="141"/>
      <c r="B654" s="141"/>
      <c r="C654" s="143"/>
      <c r="D654" s="143"/>
      <c r="E654" s="141"/>
      <c r="F654" s="232"/>
      <c r="G654" s="150"/>
      <c r="H654" s="150"/>
      <c r="I654" s="145"/>
      <c r="J654" s="145"/>
    </row>
    <row r="655" spans="1:10" ht="24.95" hidden="1" customHeight="1">
      <c r="A655" s="141"/>
      <c r="B655" s="141"/>
      <c r="C655" s="143"/>
      <c r="D655" s="143"/>
      <c r="E655" s="141"/>
      <c r="F655" s="232"/>
      <c r="G655" s="150"/>
      <c r="H655" s="150"/>
      <c r="I655" s="145"/>
      <c r="J655" s="145"/>
    </row>
    <row r="656" spans="1:10" ht="24.95" hidden="1" customHeight="1">
      <c r="A656" s="141"/>
      <c r="B656" s="141"/>
      <c r="C656" s="143"/>
      <c r="D656" s="143"/>
      <c r="E656" s="141"/>
      <c r="F656" s="232"/>
      <c r="G656" s="150"/>
      <c r="H656" s="150"/>
      <c r="I656" s="145"/>
      <c r="J656" s="145"/>
    </row>
    <row r="657" spans="1:10" ht="24.95" hidden="1" customHeight="1">
      <c r="A657" s="141"/>
      <c r="B657" s="141"/>
      <c r="C657" s="143"/>
      <c r="D657" s="143"/>
      <c r="E657" s="141"/>
      <c r="F657" s="232"/>
      <c r="G657" s="150"/>
      <c r="H657" s="150"/>
      <c r="I657" s="145"/>
      <c r="J657" s="145"/>
    </row>
    <row r="658" spans="1:10" ht="24.95" hidden="1" customHeight="1">
      <c r="A658" s="141"/>
      <c r="B658" s="141"/>
      <c r="C658" s="143"/>
      <c r="D658" s="143"/>
      <c r="E658" s="141"/>
      <c r="F658" s="232"/>
      <c r="G658" s="150"/>
      <c r="H658" s="150"/>
      <c r="I658" s="145"/>
      <c r="J658" s="145"/>
    </row>
    <row r="659" spans="1:10" ht="24.95" hidden="1" customHeight="1">
      <c r="A659" s="141"/>
      <c r="B659" s="141"/>
      <c r="C659" s="143"/>
      <c r="D659" s="143"/>
      <c r="E659" s="141"/>
      <c r="F659" s="232"/>
      <c r="G659" s="150"/>
      <c r="H659" s="150"/>
      <c r="I659" s="145"/>
      <c r="J659" s="145"/>
    </row>
    <row r="660" spans="1:10" ht="24.95" hidden="1" customHeight="1">
      <c r="A660" s="141"/>
      <c r="B660" s="141"/>
      <c r="C660" s="143"/>
      <c r="D660" s="143"/>
      <c r="E660" s="141"/>
      <c r="F660" s="232"/>
      <c r="G660" s="150"/>
      <c r="H660" s="150"/>
      <c r="I660" s="145"/>
      <c r="J660" s="145"/>
    </row>
    <row r="661" spans="1:10" ht="24.95" hidden="1" customHeight="1">
      <c r="A661" s="141"/>
      <c r="B661" s="141"/>
      <c r="C661" s="143"/>
      <c r="D661" s="143"/>
      <c r="E661" s="141"/>
      <c r="F661" s="232"/>
      <c r="G661" s="150"/>
      <c r="H661" s="150"/>
      <c r="I661" s="145"/>
      <c r="J661" s="145"/>
    </row>
    <row r="662" spans="1:10" ht="24.95" hidden="1" customHeight="1">
      <c r="A662" s="141"/>
      <c r="B662" s="141"/>
      <c r="C662" s="143"/>
      <c r="D662" s="143"/>
      <c r="E662" s="141"/>
      <c r="F662" s="232"/>
      <c r="G662" s="150"/>
      <c r="H662" s="150"/>
      <c r="I662" s="145"/>
      <c r="J662" s="145"/>
    </row>
    <row r="663" spans="1:10" ht="24.95" hidden="1" customHeight="1">
      <c r="A663" s="141"/>
      <c r="B663" s="141"/>
      <c r="C663" s="143"/>
      <c r="D663" s="143"/>
      <c r="E663" s="141"/>
      <c r="F663" s="232"/>
      <c r="G663" s="150"/>
      <c r="H663" s="150"/>
      <c r="I663" s="145"/>
      <c r="J663" s="145"/>
    </row>
    <row r="664" spans="1:10" ht="24.95" hidden="1" customHeight="1">
      <c r="A664" s="141"/>
      <c r="B664" s="141"/>
      <c r="C664" s="143"/>
      <c r="D664" s="143"/>
      <c r="E664" s="141"/>
      <c r="F664" s="232"/>
      <c r="G664" s="150"/>
      <c r="H664" s="150"/>
      <c r="I664" s="145"/>
      <c r="J664" s="145"/>
    </row>
    <row r="665" spans="1:10" ht="24.95" hidden="1" customHeight="1">
      <c r="A665" s="141"/>
      <c r="B665" s="141"/>
      <c r="C665" s="143"/>
      <c r="D665" s="143"/>
      <c r="E665" s="141"/>
      <c r="F665" s="232"/>
      <c r="G665" s="150"/>
      <c r="H665" s="150"/>
      <c r="I665" s="145"/>
      <c r="J665" s="145"/>
    </row>
    <row r="666" spans="1:10" ht="24.95" hidden="1" customHeight="1">
      <c r="A666" s="141"/>
      <c r="B666" s="141"/>
      <c r="C666" s="143"/>
      <c r="D666" s="143"/>
      <c r="E666" s="141"/>
      <c r="F666" s="232"/>
      <c r="G666" s="150"/>
      <c r="H666" s="150"/>
      <c r="I666" s="145"/>
      <c r="J666" s="145"/>
    </row>
    <row r="667" spans="1:10" ht="24.95" hidden="1" customHeight="1">
      <c r="A667" s="141"/>
      <c r="B667" s="141"/>
      <c r="C667" s="143"/>
      <c r="D667" s="143"/>
      <c r="E667" s="141"/>
      <c r="F667" s="232"/>
      <c r="G667" s="150"/>
      <c r="H667" s="150"/>
      <c r="I667" s="145"/>
      <c r="J667" s="145"/>
    </row>
    <row r="668" spans="1:10" ht="24.95" hidden="1" customHeight="1">
      <c r="A668" s="141"/>
      <c r="B668" s="141"/>
      <c r="C668" s="143"/>
      <c r="D668" s="143"/>
      <c r="E668" s="141"/>
      <c r="F668" s="232"/>
      <c r="G668" s="150"/>
      <c r="H668" s="150"/>
      <c r="I668" s="145"/>
      <c r="J668" s="145"/>
    </row>
    <row r="669" spans="1:10" ht="24.95" hidden="1" customHeight="1">
      <c r="A669" s="141"/>
      <c r="B669" s="141"/>
      <c r="C669" s="143"/>
      <c r="D669" s="143"/>
      <c r="E669" s="141"/>
      <c r="F669" s="232"/>
      <c r="G669" s="150"/>
      <c r="H669" s="150"/>
      <c r="I669" s="145"/>
      <c r="J669" s="145"/>
    </row>
    <row r="670" spans="1:10" ht="24.95" hidden="1" customHeight="1">
      <c r="A670" s="141"/>
      <c r="B670" s="141"/>
      <c r="C670" s="143"/>
      <c r="D670" s="143"/>
      <c r="E670" s="141"/>
      <c r="F670" s="232"/>
      <c r="G670" s="150"/>
      <c r="H670" s="150"/>
      <c r="I670" s="145"/>
      <c r="J670" s="145"/>
    </row>
    <row r="671" spans="1:10" ht="24.95" hidden="1" customHeight="1">
      <c r="A671" s="141"/>
      <c r="B671" s="141"/>
      <c r="C671" s="143"/>
      <c r="D671" s="143"/>
      <c r="E671" s="141"/>
      <c r="F671" s="232"/>
      <c r="G671" s="150"/>
      <c r="H671" s="150"/>
      <c r="I671" s="145"/>
      <c r="J671" s="145"/>
    </row>
    <row r="672" spans="1:10" ht="24.95" hidden="1" customHeight="1">
      <c r="A672" s="141"/>
      <c r="B672" s="141"/>
      <c r="C672" s="143"/>
      <c r="D672" s="143"/>
      <c r="E672" s="141"/>
      <c r="F672" s="232"/>
      <c r="G672" s="150"/>
      <c r="H672" s="150"/>
      <c r="I672" s="145"/>
      <c r="J672" s="145"/>
    </row>
    <row r="673" spans="1:10" ht="24.95" hidden="1" customHeight="1">
      <c r="A673" s="141"/>
      <c r="B673" s="141"/>
      <c r="C673" s="143"/>
      <c r="D673" s="143"/>
      <c r="E673" s="141"/>
      <c r="F673" s="232"/>
      <c r="G673" s="150"/>
      <c r="H673" s="150"/>
      <c r="I673" s="145"/>
      <c r="J673" s="145"/>
    </row>
    <row r="674" spans="1:10" ht="24.95" hidden="1" customHeight="1">
      <c r="A674" s="141"/>
      <c r="B674" s="141"/>
      <c r="C674" s="143"/>
      <c r="D674" s="143"/>
      <c r="E674" s="141"/>
      <c r="F674" s="232"/>
      <c r="G674" s="150"/>
      <c r="H674" s="150"/>
      <c r="I674" s="145"/>
      <c r="J674" s="145"/>
    </row>
    <row r="675" spans="1:10" ht="24.95" hidden="1" customHeight="1">
      <c r="A675" s="141"/>
      <c r="B675" s="141"/>
      <c r="C675" s="143"/>
      <c r="D675" s="143"/>
      <c r="E675" s="141"/>
      <c r="F675" s="232"/>
      <c r="G675" s="150"/>
      <c r="H675" s="150"/>
      <c r="I675" s="145"/>
      <c r="J675" s="145"/>
    </row>
    <row r="676" spans="1:10" ht="24.95" hidden="1" customHeight="1">
      <c r="A676" s="141"/>
      <c r="B676" s="141"/>
      <c r="C676" s="143"/>
      <c r="D676" s="143"/>
      <c r="E676" s="141"/>
      <c r="F676" s="232"/>
      <c r="G676" s="150"/>
      <c r="H676" s="150"/>
      <c r="I676" s="145"/>
      <c r="J676" s="145"/>
    </row>
    <row r="677" spans="1:10" ht="24.95" hidden="1" customHeight="1">
      <c r="A677" s="141"/>
      <c r="B677" s="141"/>
      <c r="C677" s="143"/>
      <c r="D677" s="143"/>
      <c r="E677" s="141"/>
      <c r="F677" s="232"/>
      <c r="G677" s="150"/>
      <c r="H677" s="150"/>
      <c r="I677" s="145"/>
      <c r="J677" s="145"/>
    </row>
    <row r="678" spans="1:10" ht="24.95" hidden="1" customHeight="1">
      <c r="A678" s="141"/>
      <c r="B678" s="141"/>
      <c r="C678" s="143"/>
      <c r="D678" s="143"/>
      <c r="E678" s="141"/>
      <c r="F678" s="232"/>
      <c r="G678" s="150"/>
      <c r="H678" s="150"/>
      <c r="I678" s="145"/>
      <c r="J678" s="145"/>
    </row>
    <row r="679" spans="1:10" ht="24.95" hidden="1" customHeight="1">
      <c r="A679" s="141"/>
      <c r="B679" s="141"/>
      <c r="C679" s="143"/>
      <c r="D679" s="143"/>
      <c r="E679" s="141"/>
      <c r="F679" s="232"/>
      <c r="G679" s="150"/>
      <c r="H679" s="150"/>
      <c r="I679" s="145"/>
      <c r="J679" s="145"/>
    </row>
    <row r="680" spans="1:10" ht="24.95" hidden="1" customHeight="1">
      <c r="A680" s="141"/>
      <c r="B680" s="141"/>
      <c r="C680" s="143"/>
      <c r="D680" s="143"/>
      <c r="E680" s="141"/>
      <c r="F680" s="232"/>
      <c r="G680" s="150"/>
      <c r="H680" s="150"/>
      <c r="I680" s="145"/>
      <c r="J680" s="145"/>
    </row>
    <row r="681" spans="1:10" ht="24.95" hidden="1" customHeight="1">
      <c r="A681" s="141"/>
      <c r="B681" s="141"/>
      <c r="C681" s="143"/>
      <c r="D681" s="143"/>
      <c r="E681" s="141"/>
      <c r="F681" s="232"/>
      <c r="G681" s="150"/>
      <c r="H681" s="150"/>
      <c r="I681" s="145"/>
      <c r="J681" s="145"/>
    </row>
    <row r="682" spans="1:10" ht="24.95" hidden="1" customHeight="1">
      <c r="A682" s="141"/>
      <c r="B682" s="141"/>
      <c r="C682" s="143"/>
      <c r="D682" s="143"/>
      <c r="E682" s="141"/>
      <c r="F682" s="232"/>
      <c r="G682" s="150"/>
      <c r="H682" s="150"/>
      <c r="I682" s="145"/>
      <c r="J682" s="145"/>
    </row>
    <row r="683" spans="1:10" ht="24.95" hidden="1" customHeight="1">
      <c r="A683" s="141"/>
      <c r="B683" s="141"/>
      <c r="C683" s="143"/>
      <c r="D683" s="143"/>
      <c r="E683" s="141"/>
      <c r="F683" s="232"/>
      <c r="G683" s="150"/>
      <c r="H683" s="150"/>
      <c r="I683" s="145"/>
      <c r="J683" s="145"/>
    </row>
    <row r="684" spans="1:10" ht="24.95" hidden="1" customHeight="1">
      <c r="A684" s="141"/>
      <c r="B684" s="141"/>
      <c r="C684" s="143"/>
      <c r="D684" s="143"/>
      <c r="E684" s="141"/>
      <c r="F684" s="232"/>
      <c r="G684" s="150"/>
      <c r="H684" s="150"/>
      <c r="I684" s="145"/>
      <c r="J684" s="145"/>
    </row>
    <row r="685" spans="1:10" ht="24.95" hidden="1" customHeight="1">
      <c r="A685" s="141"/>
      <c r="B685" s="141"/>
      <c r="C685" s="143"/>
      <c r="D685" s="143"/>
      <c r="E685" s="141"/>
      <c r="F685" s="232"/>
      <c r="G685" s="150"/>
      <c r="H685" s="150"/>
      <c r="I685" s="145"/>
      <c r="J685" s="145"/>
    </row>
    <row r="686" spans="1:10" ht="24.95" hidden="1" customHeight="1">
      <c r="A686" s="141"/>
      <c r="B686" s="141"/>
      <c r="C686" s="143"/>
      <c r="D686" s="143"/>
      <c r="E686" s="141"/>
      <c r="F686" s="232"/>
      <c r="G686" s="150"/>
      <c r="H686" s="150"/>
      <c r="I686" s="145"/>
      <c r="J686" s="145"/>
    </row>
    <row r="687" spans="1:10" ht="24.95" hidden="1" customHeight="1">
      <c r="A687" s="141"/>
      <c r="B687" s="141"/>
      <c r="C687" s="143"/>
      <c r="D687" s="143"/>
      <c r="E687" s="141"/>
      <c r="F687" s="232"/>
      <c r="G687" s="150"/>
      <c r="H687" s="150"/>
      <c r="I687" s="145"/>
      <c r="J687" s="145"/>
    </row>
    <row r="688" spans="1:10" ht="24.95" hidden="1" customHeight="1">
      <c r="A688" s="141"/>
      <c r="B688" s="141"/>
      <c r="C688" s="143"/>
      <c r="D688" s="143"/>
      <c r="E688" s="141"/>
      <c r="F688" s="232"/>
      <c r="G688" s="150"/>
      <c r="H688" s="150"/>
      <c r="I688" s="145"/>
      <c r="J688" s="145"/>
    </row>
    <row r="689" spans="1:10" ht="24.95" hidden="1" customHeight="1">
      <c r="A689" s="141"/>
      <c r="B689" s="141"/>
      <c r="C689" s="143"/>
      <c r="D689" s="143"/>
      <c r="E689" s="141"/>
      <c r="F689" s="232"/>
      <c r="G689" s="150"/>
      <c r="H689" s="150"/>
      <c r="I689" s="145"/>
      <c r="J689" s="145"/>
    </row>
    <row r="690" spans="1:10" ht="24.95" hidden="1" customHeight="1">
      <c r="A690" s="141"/>
      <c r="B690" s="141"/>
      <c r="C690" s="143"/>
      <c r="D690" s="143"/>
      <c r="E690" s="141"/>
      <c r="F690" s="232"/>
      <c r="G690" s="150"/>
      <c r="H690" s="150"/>
      <c r="I690" s="145"/>
      <c r="J690" s="145"/>
    </row>
    <row r="691" spans="1:10" ht="24.95" hidden="1" customHeight="1">
      <c r="A691" s="141"/>
      <c r="B691" s="141"/>
      <c r="C691" s="143"/>
      <c r="D691" s="143"/>
      <c r="E691" s="141"/>
      <c r="F691" s="232"/>
      <c r="G691" s="150"/>
      <c r="H691" s="150"/>
      <c r="I691" s="145"/>
      <c r="J691" s="145"/>
    </row>
    <row r="692" spans="1:10" ht="24.95" hidden="1" customHeight="1">
      <c r="A692" s="141"/>
      <c r="B692" s="141"/>
      <c r="C692" s="143"/>
      <c r="D692" s="143"/>
      <c r="E692" s="141"/>
      <c r="F692" s="232"/>
      <c r="G692" s="150"/>
      <c r="H692" s="150"/>
      <c r="I692" s="145"/>
      <c r="J692" s="145"/>
    </row>
    <row r="693" spans="1:10" ht="24.95" hidden="1" customHeight="1">
      <c r="A693" s="141"/>
      <c r="B693" s="141"/>
      <c r="C693" s="143"/>
      <c r="D693" s="143"/>
      <c r="E693" s="141"/>
      <c r="F693" s="232"/>
      <c r="G693" s="150"/>
      <c r="H693" s="150"/>
      <c r="I693" s="145"/>
      <c r="J693" s="145"/>
    </row>
    <row r="694" spans="1:10" ht="24.95" hidden="1" customHeight="1">
      <c r="A694" s="141"/>
      <c r="B694" s="141"/>
      <c r="C694" s="143"/>
      <c r="D694" s="143"/>
      <c r="E694" s="141"/>
      <c r="F694" s="232"/>
      <c r="G694" s="150"/>
      <c r="H694" s="150"/>
      <c r="I694" s="145"/>
      <c r="J694" s="145"/>
    </row>
    <row r="695" spans="1:10" ht="24.95" hidden="1" customHeight="1">
      <c r="A695" s="141"/>
      <c r="B695" s="141"/>
      <c r="C695" s="143"/>
      <c r="D695" s="143"/>
      <c r="E695" s="141"/>
      <c r="F695" s="232"/>
      <c r="G695" s="150"/>
      <c r="H695" s="150"/>
      <c r="I695" s="145"/>
      <c r="J695" s="145"/>
    </row>
    <row r="696" spans="1:10" ht="24.95" hidden="1" customHeight="1">
      <c r="A696" s="141"/>
      <c r="B696" s="141"/>
      <c r="C696" s="143"/>
      <c r="D696" s="143"/>
      <c r="E696" s="141"/>
      <c r="F696" s="232"/>
      <c r="G696" s="150"/>
      <c r="H696" s="150"/>
      <c r="I696" s="145"/>
      <c r="J696" s="145"/>
    </row>
    <row r="697" spans="1:10" ht="24.95" hidden="1" customHeight="1">
      <c r="A697" s="141"/>
      <c r="B697" s="141"/>
      <c r="C697" s="143"/>
      <c r="D697" s="143"/>
      <c r="E697" s="141"/>
      <c r="F697" s="232"/>
      <c r="G697" s="150"/>
      <c r="H697" s="150"/>
      <c r="I697" s="145"/>
      <c r="J697" s="145"/>
    </row>
    <row r="698" spans="1:10" ht="24.95" hidden="1" customHeight="1">
      <c r="A698" s="141"/>
      <c r="B698" s="141"/>
      <c r="C698" s="143"/>
      <c r="D698" s="143"/>
      <c r="E698" s="141"/>
      <c r="F698" s="232"/>
      <c r="G698" s="150"/>
      <c r="H698" s="150"/>
      <c r="I698" s="145"/>
      <c r="J698" s="145"/>
    </row>
    <row r="699" spans="1:10" ht="24.95" hidden="1" customHeight="1">
      <c r="A699" s="141"/>
      <c r="B699" s="141"/>
      <c r="C699" s="143"/>
      <c r="D699" s="143"/>
      <c r="E699" s="141"/>
      <c r="F699" s="232"/>
      <c r="G699" s="150"/>
      <c r="H699" s="150"/>
      <c r="I699" s="145"/>
      <c r="J699" s="145"/>
    </row>
    <row r="700" spans="1:10" ht="24.95" hidden="1" customHeight="1">
      <c r="A700" s="141"/>
      <c r="B700" s="141"/>
      <c r="C700" s="143"/>
      <c r="D700" s="143"/>
      <c r="E700" s="141"/>
      <c r="F700" s="232"/>
      <c r="G700" s="150"/>
      <c r="H700" s="150"/>
      <c r="I700" s="145"/>
      <c r="J700" s="145"/>
    </row>
    <row r="701" spans="1:10" ht="24.95" hidden="1" customHeight="1">
      <c r="A701" s="141"/>
      <c r="B701" s="141"/>
      <c r="C701" s="143"/>
      <c r="D701" s="143"/>
      <c r="E701" s="141"/>
      <c r="F701" s="232"/>
      <c r="G701" s="150"/>
      <c r="H701" s="150"/>
      <c r="I701" s="145"/>
      <c r="J701" s="145"/>
    </row>
    <row r="702" spans="1:10" ht="24.95" hidden="1" customHeight="1">
      <c r="A702" s="141"/>
      <c r="B702" s="141"/>
      <c r="C702" s="143"/>
      <c r="D702" s="143"/>
      <c r="E702" s="141"/>
      <c r="F702" s="232"/>
      <c r="G702" s="150"/>
      <c r="H702" s="150"/>
      <c r="I702" s="145"/>
      <c r="J702" s="145"/>
    </row>
    <row r="703" spans="1:10" ht="24.95" hidden="1" customHeight="1">
      <c r="A703" s="141"/>
      <c r="B703" s="141"/>
      <c r="C703" s="143"/>
      <c r="D703" s="143"/>
      <c r="E703" s="141"/>
      <c r="F703" s="232"/>
      <c r="G703" s="150"/>
      <c r="H703" s="150"/>
      <c r="I703" s="145"/>
      <c r="J703" s="145"/>
    </row>
    <row r="704" spans="1:10" ht="24.95" hidden="1" customHeight="1">
      <c r="A704" s="141"/>
      <c r="B704" s="141"/>
      <c r="C704" s="143"/>
      <c r="D704" s="143"/>
      <c r="E704" s="141"/>
      <c r="F704" s="232"/>
      <c r="G704" s="150"/>
      <c r="H704" s="150"/>
      <c r="I704" s="145"/>
      <c r="J704" s="145"/>
    </row>
    <row r="705" spans="1:10" ht="24.95" hidden="1" customHeight="1">
      <c r="A705" s="141"/>
      <c r="B705" s="141"/>
      <c r="C705" s="143"/>
      <c r="D705" s="143"/>
      <c r="E705" s="141"/>
      <c r="F705" s="232"/>
      <c r="G705" s="150"/>
      <c r="H705" s="150"/>
      <c r="I705" s="145"/>
      <c r="J705" s="145"/>
    </row>
    <row r="706" spans="1:10" ht="24.95" hidden="1" customHeight="1">
      <c r="A706" s="141"/>
      <c r="B706" s="141"/>
      <c r="C706" s="143"/>
      <c r="D706" s="143"/>
      <c r="E706" s="141"/>
      <c r="F706" s="232"/>
      <c r="G706" s="150"/>
      <c r="H706" s="150"/>
      <c r="I706" s="145"/>
      <c r="J706" s="145"/>
    </row>
    <row r="707" spans="1:10" ht="24.95" hidden="1" customHeight="1">
      <c r="A707" s="141"/>
      <c r="B707" s="141"/>
      <c r="C707" s="143"/>
      <c r="D707" s="143"/>
      <c r="E707" s="141"/>
      <c r="F707" s="232"/>
      <c r="G707" s="150"/>
      <c r="H707" s="150"/>
      <c r="I707" s="145"/>
      <c r="J707" s="145"/>
    </row>
    <row r="708" spans="1:10" ht="24.95" hidden="1" customHeight="1">
      <c r="A708" s="141"/>
      <c r="B708" s="141"/>
      <c r="C708" s="143"/>
      <c r="D708" s="143"/>
      <c r="E708" s="141"/>
      <c r="F708" s="232"/>
      <c r="G708" s="150"/>
      <c r="H708" s="150"/>
      <c r="I708" s="145"/>
      <c r="J708" s="145"/>
    </row>
    <row r="709" spans="1:10" ht="24.95" hidden="1" customHeight="1">
      <c r="A709" s="141"/>
      <c r="B709" s="141"/>
      <c r="C709" s="143"/>
      <c r="D709" s="143"/>
      <c r="E709" s="141"/>
      <c r="F709" s="232"/>
      <c r="G709" s="150"/>
      <c r="H709" s="150"/>
      <c r="I709" s="145"/>
      <c r="J709" s="145"/>
    </row>
    <row r="710" spans="1:10" ht="24.95" hidden="1" customHeight="1">
      <c r="A710" s="141"/>
      <c r="B710" s="141"/>
      <c r="C710" s="143"/>
      <c r="D710" s="143"/>
      <c r="E710" s="141"/>
      <c r="F710" s="232"/>
      <c r="G710" s="150"/>
      <c r="H710" s="150"/>
      <c r="I710" s="145"/>
      <c r="J710" s="145"/>
    </row>
    <row r="711" spans="1:10" ht="24.95" hidden="1" customHeight="1">
      <c r="A711" s="141"/>
      <c r="B711" s="141"/>
      <c r="C711" s="143"/>
      <c r="D711" s="143"/>
      <c r="E711" s="141"/>
      <c r="F711" s="232"/>
      <c r="G711" s="150"/>
      <c r="H711" s="150"/>
      <c r="I711" s="145"/>
      <c r="J711" s="145"/>
    </row>
    <row r="712" spans="1:10" ht="24.95" hidden="1" customHeight="1">
      <c r="A712" s="141"/>
      <c r="B712" s="141"/>
      <c r="C712" s="143"/>
      <c r="D712" s="143"/>
      <c r="E712" s="141"/>
      <c r="F712" s="232"/>
      <c r="G712" s="150"/>
      <c r="H712" s="150"/>
      <c r="I712" s="145"/>
      <c r="J712" s="145"/>
    </row>
    <row r="713" spans="1:10" ht="24.95" hidden="1" customHeight="1">
      <c r="A713" s="141"/>
      <c r="B713" s="141"/>
      <c r="C713" s="143"/>
      <c r="D713" s="143"/>
      <c r="E713" s="141"/>
      <c r="F713" s="232"/>
      <c r="G713" s="150"/>
      <c r="H713" s="150"/>
      <c r="I713" s="145"/>
      <c r="J713" s="145"/>
    </row>
    <row r="714" spans="1:10" ht="24.95" hidden="1" customHeight="1">
      <c r="A714" s="141"/>
      <c r="B714" s="141"/>
      <c r="C714" s="143"/>
      <c r="D714" s="143"/>
      <c r="E714" s="141"/>
      <c r="F714" s="232"/>
      <c r="G714" s="150"/>
      <c r="H714" s="150"/>
      <c r="I714" s="145"/>
      <c r="J714" s="145"/>
    </row>
    <row r="715" spans="1:10" ht="24.95" hidden="1" customHeight="1">
      <c r="A715" s="141"/>
      <c r="B715" s="141"/>
      <c r="C715" s="143"/>
      <c r="D715" s="143"/>
      <c r="E715" s="141"/>
      <c r="F715" s="232"/>
      <c r="G715" s="150"/>
      <c r="H715" s="150"/>
      <c r="I715" s="145"/>
      <c r="J715" s="145"/>
    </row>
    <row r="716" spans="1:10" ht="24.95" hidden="1" customHeight="1">
      <c r="A716" s="141"/>
      <c r="B716" s="141"/>
      <c r="C716" s="143"/>
      <c r="D716" s="143"/>
      <c r="E716" s="141"/>
      <c r="F716" s="232"/>
      <c r="G716" s="150"/>
      <c r="H716" s="150"/>
      <c r="I716" s="145"/>
      <c r="J716" s="145"/>
    </row>
    <row r="717" spans="1:10" ht="24.95" hidden="1" customHeight="1">
      <c r="A717" s="141"/>
      <c r="B717" s="141"/>
      <c r="C717" s="143"/>
      <c r="D717" s="143"/>
      <c r="E717" s="141"/>
      <c r="F717" s="232"/>
      <c r="G717" s="150"/>
      <c r="H717" s="150"/>
      <c r="I717" s="145"/>
      <c r="J717" s="145"/>
    </row>
    <row r="718" spans="1:10" ht="24.95" hidden="1" customHeight="1">
      <c r="A718" s="141"/>
      <c r="B718" s="141"/>
      <c r="C718" s="143"/>
      <c r="D718" s="143"/>
      <c r="E718" s="141"/>
      <c r="F718" s="232"/>
      <c r="G718" s="150"/>
      <c r="H718" s="150"/>
      <c r="I718" s="145"/>
      <c r="J718" s="145"/>
    </row>
    <row r="719" spans="1:10" ht="24.95" hidden="1" customHeight="1">
      <c r="A719" s="141"/>
      <c r="B719" s="141"/>
      <c r="C719" s="143"/>
      <c r="D719" s="143"/>
      <c r="E719" s="141"/>
      <c r="F719" s="232"/>
      <c r="G719" s="150"/>
      <c r="H719" s="150"/>
      <c r="I719" s="145"/>
      <c r="J719" s="145"/>
    </row>
    <row r="720" spans="1:10" ht="24.95" hidden="1" customHeight="1">
      <c r="A720" s="141"/>
      <c r="B720" s="141"/>
      <c r="C720" s="143"/>
      <c r="D720" s="143"/>
      <c r="E720" s="141"/>
      <c r="F720" s="232"/>
      <c r="G720" s="150"/>
      <c r="H720" s="150"/>
      <c r="I720" s="145"/>
      <c r="J720" s="145"/>
    </row>
    <row r="721" spans="1:10" ht="24.95" hidden="1" customHeight="1">
      <c r="A721" s="141"/>
      <c r="B721" s="141"/>
      <c r="C721" s="143"/>
      <c r="D721" s="143"/>
      <c r="E721" s="141"/>
      <c r="F721" s="232"/>
      <c r="G721" s="150"/>
      <c r="H721" s="150"/>
      <c r="I721" s="145"/>
      <c r="J721" s="145"/>
    </row>
    <row r="722" spans="1:10" ht="24.95" hidden="1" customHeight="1">
      <c r="A722" s="141"/>
      <c r="B722" s="141"/>
      <c r="C722" s="143"/>
      <c r="D722" s="143"/>
      <c r="E722" s="141"/>
      <c r="F722" s="232"/>
      <c r="G722" s="150"/>
      <c r="H722" s="150"/>
      <c r="I722" s="145"/>
      <c r="J722" s="145"/>
    </row>
    <row r="723" spans="1:10" ht="24.95" hidden="1" customHeight="1">
      <c r="A723" s="141"/>
      <c r="B723" s="141"/>
      <c r="C723" s="143"/>
      <c r="D723" s="143"/>
      <c r="E723" s="141"/>
      <c r="F723" s="232"/>
      <c r="G723" s="150"/>
      <c r="H723" s="150"/>
      <c r="I723" s="145"/>
      <c r="J723" s="145"/>
    </row>
    <row r="724" spans="1:10" ht="24.95" hidden="1" customHeight="1">
      <c r="A724" s="141"/>
      <c r="B724" s="141"/>
      <c r="C724" s="143"/>
      <c r="D724" s="143"/>
      <c r="E724" s="141"/>
      <c r="F724" s="232"/>
      <c r="G724" s="150"/>
      <c r="H724" s="150"/>
      <c r="I724" s="145"/>
      <c r="J724" s="145"/>
    </row>
    <row r="725" spans="1:10" ht="24.95" hidden="1" customHeight="1">
      <c r="A725" s="141"/>
      <c r="B725" s="141"/>
      <c r="C725" s="143"/>
      <c r="D725" s="143"/>
      <c r="E725" s="141"/>
      <c r="F725" s="232"/>
      <c r="G725" s="150"/>
      <c r="H725" s="150"/>
      <c r="I725" s="145"/>
      <c r="J725" s="145"/>
    </row>
    <row r="726" spans="1:10" ht="24.95" hidden="1" customHeight="1">
      <c r="A726" s="141"/>
      <c r="B726" s="141"/>
      <c r="C726" s="143"/>
      <c r="D726" s="143"/>
      <c r="E726" s="141"/>
      <c r="F726" s="232"/>
      <c r="G726" s="150"/>
      <c r="H726" s="150"/>
      <c r="I726" s="145"/>
      <c r="J726" s="145"/>
    </row>
    <row r="727" spans="1:10" ht="24.95" hidden="1" customHeight="1">
      <c r="A727" s="141"/>
      <c r="B727" s="141"/>
      <c r="C727" s="143"/>
      <c r="D727" s="143"/>
      <c r="E727" s="141"/>
      <c r="F727" s="232"/>
      <c r="G727" s="150"/>
      <c r="H727" s="150"/>
      <c r="I727" s="145"/>
      <c r="J727" s="145"/>
    </row>
    <row r="728" spans="1:10" ht="24.95" hidden="1" customHeight="1">
      <c r="A728" s="141"/>
      <c r="B728" s="141"/>
      <c r="C728" s="143"/>
      <c r="D728" s="143"/>
      <c r="E728" s="141"/>
      <c r="F728" s="232"/>
      <c r="G728" s="150"/>
      <c r="H728" s="150"/>
      <c r="I728" s="145"/>
      <c r="J728" s="145"/>
    </row>
    <row r="729" spans="1:10" ht="24.95" hidden="1" customHeight="1">
      <c r="A729" s="141"/>
      <c r="B729" s="141"/>
      <c r="C729" s="143"/>
      <c r="D729" s="143"/>
      <c r="E729" s="141"/>
      <c r="F729" s="232"/>
      <c r="G729" s="150"/>
      <c r="H729" s="150"/>
      <c r="I729" s="145"/>
      <c r="J729" s="145"/>
    </row>
    <row r="730" spans="1:10" ht="24.95" hidden="1" customHeight="1">
      <c r="A730" s="141"/>
      <c r="B730" s="141"/>
      <c r="C730" s="143"/>
      <c r="D730" s="143"/>
      <c r="E730" s="141"/>
      <c r="F730" s="232"/>
      <c r="G730" s="150"/>
      <c r="H730" s="150"/>
      <c r="I730" s="145"/>
      <c r="J730" s="145"/>
    </row>
    <row r="731" spans="1:10" ht="24.95" hidden="1" customHeight="1">
      <c r="A731" s="141"/>
      <c r="B731" s="141"/>
      <c r="C731" s="143"/>
      <c r="D731" s="143"/>
      <c r="E731" s="141"/>
      <c r="F731" s="232"/>
      <c r="G731" s="150"/>
      <c r="H731" s="150"/>
      <c r="I731" s="145"/>
      <c r="J731" s="145"/>
    </row>
    <row r="732" spans="1:10" ht="24.95" hidden="1" customHeight="1">
      <c r="A732" s="141"/>
      <c r="B732" s="141"/>
      <c r="C732" s="143"/>
      <c r="D732" s="143"/>
      <c r="E732" s="141"/>
      <c r="F732" s="232"/>
      <c r="G732" s="150"/>
      <c r="H732" s="150"/>
      <c r="I732" s="145"/>
      <c r="J732" s="145"/>
    </row>
    <row r="733" spans="1:10" ht="24.95" hidden="1" customHeight="1">
      <c r="A733" s="141"/>
      <c r="B733" s="141"/>
      <c r="C733" s="143"/>
      <c r="D733" s="143"/>
      <c r="E733" s="141"/>
      <c r="F733" s="232"/>
      <c r="G733" s="150"/>
      <c r="H733" s="150"/>
      <c r="I733" s="145"/>
      <c r="J733" s="145"/>
    </row>
    <row r="734" spans="1:10" ht="24.95" hidden="1" customHeight="1">
      <c r="A734" s="141"/>
      <c r="B734" s="141"/>
      <c r="C734" s="143"/>
      <c r="D734" s="143"/>
      <c r="E734" s="141"/>
      <c r="F734" s="232"/>
      <c r="G734" s="150"/>
      <c r="H734" s="150"/>
      <c r="I734" s="145"/>
      <c r="J734" s="145"/>
    </row>
    <row r="735" spans="1:10" ht="24.95" hidden="1" customHeight="1">
      <c r="A735" s="141"/>
      <c r="B735" s="141"/>
      <c r="C735" s="143"/>
      <c r="D735" s="143"/>
      <c r="E735" s="141"/>
      <c r="F735" s="232"/>
      <c r="G735" s="150"/>
      <c r="H735" s="150"/>
      <c r="I735" s="145"/>
      <c r="J735" s="145"/>
    </row>
    <row r="736" spans="1:10" ht="24.95" hidden="1" customHeight="1">
      <c r="A736" s="141"/>
      <c r="B736" s="141"/>
      <c r="C736" s="143"/>
      <c r="D736" s="143"/>
      <c r="E736" s="141"/>
      <c r="F736" s="232"/>
      <c r="G736" s="150"/>
      <c r="H736" s="150"/>
      <c r="I736" s="145"/>
      <c r="J736" s="145"/>
    </row>
    <row r="737" spans="1:10" ht="24.95" hidden="1" customHeight="1">
      <c r="A737" s="141"/>
      <c r="B737" s="141"/>
      <c r="C737" s="143"/>
      <c r="D737" s="143"/>
      <c r="E737" s="141"/>
      <c r="F737" s="232"/>
      <c r="G737" s="150"/>
      <c r="H737" s="150"/>
      <c r="I737" s="145"/>
      <c r="J737" s="145"/>
    </row>
    <row r="738" spans="1:10" ht="24.95" hidden="1" customHeight="1">
      <c r="A738" s="141"/>
      <c r="B738" s="141"/>
      <c r="C738" s="143"/>
      <c r="D738" s="143"/>
      <c r="E738" s="141"/>
      <c r="F738" s="232"/>
      <c r="G738" s="150"/>
      <c r="H738" s="150"/>
      <c r="I738" s="145"/>
      <c r="J738" s="145"/>
    </row>
    <row r="739" spans="1:10" ht="24.95" hidden="1" customHeight="1">
      <c r="A739" s="141"/>
      <c r="B739" s="141"/>
      <c r="C739" s="143"/>
      <c r="D739" s="143"/>
      <c r="E739" s="141"/>
      <c r="F739" s="232"/>
      <c r="G739" s="150"/>
      <c r="H739" s="150"/>
      <c r="I739" s="145"/>
      <c r="J739" s="145"/>
    </row>
    <row r="740" spans="1:10" ht="24.95" hidden="1" customHeight="1">
      <c r="A740" s="141"/>
      <c r="B740" s="141"/>
      <c r="C740" s="143"/>
      <c r="D740" s="143"/>
      <c r="E740" s="141"/>
      <c r="F740" s="232"/>
      <c r="G740" s="150"/>
      <c r="H740" s="150"/>
      <c r="I740" s="145"/>
      <c r="J740" s="145"/>
    </row>
    <row r="741" spans="1:10" ht="24.95" hidden="1" customHeight="1">
      <c r="A741" s="141"/>
      <c r="B741" s="141"/>
      <c r="C741" s="143"/>
      <c r="D741" s="143"/>
      <c r="E741" s="141"/>
      <c r="F741" s="232"/>
      <c r="G741" s="150"/>
      <c r="H741" s="150"/>
      <c r="I741" s="145"/>
      <c r="J741" s="145"/>
    </row>
    <row r="742" spans="1:10" ht="24.95" hidden="1" customHeight="1">
      <c r="A742" s="141"/>
      <c r="B742" s="141"/>
      <c r="C742" s="143"/>
      <c r="D742" s="143"/>
      <c r="E742" s="141"/>
      <c r="F742" s="232"/>
      <c r="G742" s="150"/>
      <c r="H742" s="150"/>
      <c r="I742" s="145"/>
      <c r="J742" s="145"/>
    </row>
    <row r="743" spans="1:10" ht="24.95" hidden="1" customHeight="1">
      <c r="A743" s="141"/>
      <c r="B743" s="141"/>
      <c r="C743" s="143"/>
      <c r="D743" s="143"/>
      <c r="E743" s="141"/>
      <c r="F743" s="232"/>
      <c r="G743" s="150"/>
      <c r="H743" s="150"/>
      <c r="I743" s="145"/>
      <c r="J743" s="145"/>
    </row>
    <row r="744" spans="1:10" ht="24.95" hidden="1" customHeight="1">
      <c r="A744" s="141"/>
      <c r="B744" s="141"/>
      <c r="C744" s="143"/>
      <c r="D744" s="143"/>
      <c r="E744" s="141"/>
      <c r="F744" s="232"/>
      <c r="G744" s="150"/>
      <c r="H744" s="150"/>
      <c r="I744" s="145"/>
      <c r="J744" s="145"/>
    </row>
    <row r="745" spans="1:10" ht="24.95" hidden="1" customHeight="1">
      <c r="A745" s="141"/>
      <c r="B745" s="141"/>
      <c r="C745" s="143"/>
      <c r="D745" s="143"/>
      <c r="E745" s="141"/>
      <c r="F745" s="232"/>
      <c r="G745" s="150"/>
      <c r="H745" s="150"/>
      <c r="I745" s="145"/>
      <c r="J745" s="145"/>
    </row>
    <row r="746" spans="1:10" ht="24.95" hidden="1" customHeight="1">
      <c r="A746" s="141"/>
      <c r="B746" s="141"/>
      <c r="C746" s="143"/>
      <c r="D746" s="143"/>
      <c r="E746" s="141"/>
      <c r="F746" s="232"/>
      <c r="G746" s="150"/>
      <c r="H746" s="150"/>
      <c r="I746" s="145"/>
      <c r="J746" s="145"/>
    </row>
    <row r="747" spans="1:10" ht="24.95" hidden="1" customHeight="1">
      <c r="A747" s="141"/>
      <c r="B747" s="141"/>
      <c r="C747" s="143"/>
      <c r="D747" s="143"/>
      <c r="E747" s="141"/>
      <c r="F747" s="232"/>
      <c r="G747" s="150"/>
      <c r="H747" s="150"/>
      <c r="I747" s="145"/>
      <c r="J747" s="145"/>
    </row>
    <row r="748" spans="1:10" ht="24.95" hidden="1" customHeight="1">
      <c r="A748" s="141"/>
      <c r="B748" s="141"/>
      <c r="C748" s="143"/>
      <c r="D748" s="143"/>
      <c r="E748" s="141"/>
      <c r="F748" s="232"/>
      <c r="G748" s="150"/>
      <c r="H748" s="150"/>
      <c r="I748" s="145"/>
      <c r="J748" s="145"/>
    </row>
    <row r="749" spans="1:10" ht="24.95" hidden="1" customHeight="1">
      <c r="A749" s="141"/>
      <c r="B749" s="141"/>
      <c r="C749" s="143"/>
      <c r="D749" s="143"/>
      <c r="E749" s="141"/>
      <c r="F749" s="232"/>
      <c r="G749" s="150"/>
      <c r="H749" s="150"/>
      <c r="I749" s="145"/>
      <c r="J749" s="145"/>
    </row>
    <row r="750" spans="1:10" ht="24.95" hidden="1" customHeight="1">
      <c r="A750" s="141"/>
      <c r="B750" s="141"/>
      <c r="C750" s="143"/>
      <c r="D750" s="143"/>
      <c r="E750" s="141"/>
      <c r="F750" s="232"/>
      <c r="G750" s="150"/>
      <c r="H750" s="150"/>
      <c r="I750" s="145"/>
      <c r="J750" s="145"/>
    </row>
    <row r="751" spans="1:10" ht="24.95" hidden="1" customHeight="1">
      <c r="A751" s="141"/>
      <c r="B751" s="141"/>
      <c r="C751" s="143"/>
      <c r="D751" s="143"/>
      <c r="E751" s="141"/>
      <c r="F751" s="232"/>
      <c r="G751" s="150"/>
      <c r="H751" s="150"/>
      <c r="I751" s="145"/>
      <c r="J751" s="145"/>
    </row>
    <row r="752" spans="1:10" ht="24.95" hidden="1" customHeight="1">
      <c r="A752" s="141"/>
      <c r="B752" s="141"/>
      <c r="C752" s="143"/>
      <c r="D752" s="143"/>
      <c r="E752" s="141"/>
      <c r="F752" s="232"/>
      <c r="G752" s="150"/>
      <c r="H752" s="150"/>
      <c r="I752" s="145"/>
      <c r="J752" s="145"/>
    </row>
    <row r="753" spans="1:10" ht="24.95" hidden="1" customHeight="1">
      <c r="A753" s="141"/>
      <c r="B753" s="141"/>
      <c r="C753" s="143"/>
      <c r="D753" s="143"/>
      <c r="E753" s="141"/>
      <c r="F753" s="232"/>
      <c r="G753" s="150"/>
      <c r="H753" s="150"/>
      <c r="I753" s="145"/>
      <c r="J753" s="145"/>
    </row>
    <row r="754" spans="1:10" ht="24.95" hidden="1" customHeight="1">
      <c r="A754" s="141"/>
      <c r="B754" s="141"/>
      <c r="C754" s="143"/>
      <c r="D754" s="143"/>
      <c r="E754" s="141"/>
      <c r="F754" s="232"/>
      <c r="G754" s="150"/>
      <c r="H754" s="150"/>
      <c r="I754" s="145"/>
      <c r="J754" s="145"/>
    </row>
    <row r="755" spans="1:10" ht="24.95" hidden="1" customHeight="1">
      <c r="A755" s="141"/>
      <c r="B755" s="141"/>
      <c r="C755" s="143"/>
      <c r="D755" s="143"/>
      <c r="E755" s="141"/>
      <c r="F755" s="232"/>
      <c r="G755" s="150"/>
      <c r="H755" s="150"/>
      <c r="I755" s="145"/>
      <c r="J755" s="145"/>
    </row>
    <row r="756" spans="1:10" ht="24.95" hidden="1" customHeight="1">
      <c r="A756" s="141"/>
      <c r="B756" s="141"/>
      <c r="C756" s="143"/>
      <c r="D756" s="143"/>
      <c r="E756" s="141"/>
      <c r="F756" s="232"/>
      <c r="G756" s="150"/>
      <c r="H756" s="150"/>
      <c r="I756" s="145"/>
      <c r="J756" s="145"/>
    </row>
    <row r="757" spans="1:10" ht="24.95" hidden="1" customHeight="1">
      <c r="A757" s="141"/>
      <c r="B757" s="141"/>
      <c r="C757" s="143"/>
      <c r="D757" s="143"/>
      <c r="E757" s="141"/>
      <c r="F757" s="232"/>
      <c r="G757" s="150"/>
      <c r="H757" s="150"/>
      <c r="I757" s="145"/>
      <c r="J757" s="145"/>
    </row>
    <row r="758" spans="1:10" ht="24.95" hidden="1" customHeight="1">
      <c r="A758" s="141"/>
      <c r="B758" s="141"/>
      <c r="C758" s="143"/>
      <c r="D758" s="143"/>
      <c r="E758" s="141"/>
      <c r="F758" s="232"/>
      <c r="G758" s="150"/>
      <c r="H758" s="150"/>
      <c r="I758" s="145"/>
      <c r="J758" s="145"/>
    </row>
    <row r="759" spans="1:10" ht="24.95" hidden="1" customHeight="1">
      <c r="A759" s="141"/>
      <c r="B759" s="141"/>
      <c r="C759" s="143"/>
      <c r="D759" s="143"/>
      <c r="E759" s="141"/>
      <c r="F759" s="232"/>
      <c r="G759" s="150"/>
      <c r="H759" s="150"/>
      <c r="I759" s="145"/>
      <c r="J759" s="145"/>
    </row>
    <row r="760" spans="1:10" ht="24.95" hidden="1" customHeight="1">
      <c r="A760" s="141"/>
      <c r="B760" s="141"/>
      <c r="C760" s="143"/>
      <c r="D760" s="143"/>
      <c r="E760" s="141"/>
      <c r="F760" s="232"/>
      <c r="G760" s="150"/>
      <c r="H760" s="150"/>
      <c r="I760" s="145"/>
      <c r="J760" s="145"/>
    </row>
    <row r="761" spans="1:10" ht="24.95" hidden="1" customHeight="1">
      <c r="A761" s="141"/>
      <c r="B761" s="141"/>
      <c r="C761" s="143"/>
      <c r="D761" s="143"/>
      <c r="E761" s="141"/>
      <c r="F761" s="232"/>
      <c r="G761" s="150"/>
      <c r="H761" s="150"/>
      <c r="I761" s="145"/>
      <c r="J761" s="145"/>
    </row>
    <row r="762" spans="1:10" ht="24.95" hidden="1" customHeight="1">
      <c r="A762" s="141"/>
      <c r="B762" s="141"/>
      <c r="C762" s="143"/>
      <c r="D762" s="143"/>
      <c r="E762" s="141"/>
      <c r="F762" s="232"/>
      <c r="G762" s="150"/>
      <c r="H762" s="150"/>
      <c r="I762" s="145"/>
      <c r="J762" s="145"/>
    </row>
    <row r="763" spans="1:10" ht="24.95" hidden="1" customHeight="1">
      <c r="A763" s="141"/>
      <c r="B763" s="141"/>
      <c r="C763" s="143"/>
      <c r="D763" s="143"/>
      <c r="E763" s="141"/>
      <c r="F763" s="232"/>
      <c r="G763" s="150"/>
      <c r="H763" s="150"/>
      <c r="I763" s="145"/>
      <c r="J763" s="145"/>
    </row>
    <row r="764" spans="1:10" ht="24.95" hidden="1" customHeight="1">
      <c r="A764" s="141"/>
      <c r="B764" s="141"/>
      <c r="C764" s="143"/>
      <c r="D764" s="143"/>
      <c r="E764" s="141"/>
      <c r="F764" s="232"/>
      <c r="G764" s="150"/>
      <c r="H764" s="150"/>
      <c r="I764" s="145"/>
      <c r="J764" s="145"/>
    </row>
    <row r="765" spans="1:10" ht="24.95" hidden="1" customHeight="1">
      <c r="A765" s="141"/>
      <c r="B765" s="141"/>
      <c r="C765" s="143"/>
      <c r="D765" s="143"/>
      <c r="E765" s="141"/>
      <c r="F765" s="232"/>
      <c r="G765" s="150"/>
      <c r="H765" s="150"/>
      <c r="I765" s="145"/>
      <c r="J765" s="145"/>
    </row>
    <row r="766" spans="1:10" ht="24.95" hidden="1" customHeight="1">
      <c r="A766" s="141"/>
      <c r="B766" s="141"/>
      <c r="C766" s="143"/>
      <c r="D766" s="143"/>
      <c r="E766" s="141"/>
      <c r="F766" s="232"/>
      <c r="G766" s="150"/>
      <c r="H766" s="150"/>
      <c r="I766" s="145"/>
      <c r="J766" s="145"/>
    </row>
    <row r="767" spans="1:10" ht="24.95" hidden="1" customHeight="1">
      <c r="A767" s="141"/>
      <c r="B767" s="141"/>
      <c r="C767" s="143"/>
      <c r="D767" s="143"/>
      <c r="E767" s="141"/>
      <c r="F767" s="232"/>
      <c r="G767" s="150"/>
      <c r="H767" s="150"/>
      <c r="I767" s="145"/>
      <c r="J767" s="145"/>
    </row>
    <row r="768" spans="1:10" ht="24.95" hidden="1" customHeight="1">
      <c r="A768" s="141"/>
      <c r="B768" s="141"/>
      <c r="C768" s="143"/>
      <c r="D768" s="143"/>
      <c r="E768" s="141"/>
      <c r="F768" s="232"/>
      <c r="G768" s="150"/>
      <c r="H768" s="150"/>
      <c r="I768" s="145"/>
      <c r="J768" s="145"/>
    </row>
    <row r="769" spans="1:10" ht="24.95" hidden="1" customHeight="1">
      <c r="A769" s="141"/>
      <c r="B769" s="141"/>
      <c r="C769" s="143"/>
      <c r="D769" s="143"/>
      <c r="E769" s="141"/>
      <c r="F769" s="232"/>
      <c r="G769" s="150"/>
      <c r="H769" s="150"/>
      <c r="I769" s="145"/>
      <c r="J769" s="145"/>
    </row>
    <row r="770" spans="1:10" ht="24.95" hidden="1" customHeight="1">
      <c r="A770" s="141"/>
      <c r="B770" s="141"/>
      <c r="C770" s="143"/>
      <c r="D770" s="143"/>
      <c r="E770" s="141"/>
      <c r="F770" s="232"/>
      <c r="G770" s="150"/>
      <c r="H770" s="150"/>
      <c r="I770" s="145"/>
      <c r="J770" s="145"/>
    </row>
    <row r="771" spans="1:10" ht="24.95" hidden="1" customHeight="1">
      <c r="A771" s="141"/>
      <c r="B771" s="141"/>
      <c r="C771" s="143"/>
      <c r="D771" s="143"/>
      <c r="E771" s="141"/>
      <c r="F771" s="232"/>
      <c r="G771" s="150"/>
      <c r="H771" s="150"/>
      <c r="I771" s="145"/>
      <c r="J771" s="145"/>
    </row>
    <row r="772" spans="1:10" ht="24.95" hidden="1" customHeight="1">
      <c r="A772" s="141"/>
      <c r="B772" s="141"/>
      <c r="C772" s="143"/>
      <c r="D772" s="143"/>
      <c r="E772" s="141"/>
      <c r="F772" s="232"/>
      <c r="G772" s="150"/>
      <c r="H772" s="150"/>
      <c r="I772" s="145"/>
      <c r="J772" s="145"/>
    </row>
    <row r="773" spans="1:10" ht="24.95" hidden="1" customHeight="1">
      <c r="A773" s="141"/>
      <c r="B773" s="141"/>
      <c r="C773" s="143"/>
      <c r="D773" s="143"/>
      <c r="E773" s="141"/>
      <c r="F773" s="232"/>
      <c r="G773" s="150"/>
      <c r="H773" s="150"/>
      <c r="I773" s="145"/>
      <c r="J773" s="145"/>
    </row>
    <row r="774" spans="1:10" ht="24.95" hidden="1" customHeight="1">
      <c r="A774" s="141"/>
      <c r="B774" s="141"/>
      <c r="C774" s="143"/>
      <c r="D774" s="143"/>
      <c r="E774" s="141"/>
      <c r="F774" s="232"/>
      <c r="G774" s="150"/>
      <c r="H774" s="150"/>
      <c r="I774" s="145"/>
      <c r="J774" s="145"/>
    </row>
    <row r="775" spans="1:10" ht="24.95" hidden="1" customHeight="1">
      <c r="A775" s="141"/>
      <c r="B775" s="141"/>
      <c r="C775" s="143"/>
      <c r="D775" s="143"/>
      <c r="E775" s="141"/>
      <c r="F775" s="232"/>
      <c r="G775" s="150"/>
      <c r="H775" s="150"/>
      <c r="I775" s="145"/>
      <c r="J775" s="145"/>
    </row>
    <row r="776" spans="1:10" ht="24.95" hidden="1" customHeight="1">
      <c r="A776" s="141"/>
      <c r="B776" s="141"/>
      <c r="C776" s="143"/>
      <c r="D776" s="143"/>
      <c r="E776" s="141"/>
      <c r="F776" s="232"/>
      <c r="G776" s="150"/>
      <c r="H776" s="150"/>
      <c r="I776" s="145"/>
      <c r="J776" s="145"/>
    </row>
    <row r="777" spans="1:10" ht="24.95" hidden="1" customHeight="1">
      <c r="A777" s="141"/>
      <c r="B777" s="141"/>
      <c r="C777" s="143"/>
      <c r="D777" s="143"/>
      <c r="E777" s="141"/>
      <c r="F777" s="232"/>
      <c r="G777" s="150"/>
      <c r="H777" s="150"/>
      <c r="I777" s="145"/>
      <c r="J777" s="145"/>
    </row>
    <row r="778" spans="1:10" ht="24.95" hidden="1" customHeight="1">
      <c r="A778" s="141"/>
      <c r="B778" s="141"/>
      <c r="C778" s="143"/>
      <c r="D778" s="143"/>
      <c r="E778" s="141"/>
      <c r="F778" s="232"/>
      <c r="G778" s="150"/>
      <c r="H778" s="150"/>
      <c r="I778" s="145"/>
      <c r="J778" s="145"/>
    </row>
    <row r="779" spans="1:10" ht="24.95" hidden="1" customHeight="1">
      <c r="A779" s="141"/>
      <c r="B779" s="141"/>
      <c r="C779" s="143"/>
      <c r="D779" s="143"/>
      <c r="E779" s="141"/>
      <c r="F779" s="232"/>
      <c r="G779" s="150"/>
      <c r="H779" s="150"/>
      <c r="I779" s="145"/>
      <c r="J779" s="145"/>
    </row>
    <row r="780" spans="1:10" ht="24.95" hidden="1" customHeight="1">
      <c r="A780" s="141"/>
      <c r="B780" s="141"/>
      <c r="C780" s="143"/>
      <c r="D780" s="143"/>
      <c r="E780" s="141"/>
      <c r="F780" s="232"/>
      <c r="G780" s="150"/>
      <c r="H780" s="150"/>
      <c r="I780" s="145"/>
      <c r="J780" s="145"/>
    </row>
    <row r="781" spans="1:10" ht="24.95" hidden="1" customHeight="1">
      <c r="A781" s="141"/>
      <c r="B781" s="141"/>
      <c r="C781" s="143"/>
      <c r="D781" s="143"/>
      <c r="E781" s="141"/>
      <c r="F781" s="232"/>
      <c r="G781" s="150"/>
      <c r="H781" s="150"/>
      <c r="I781" s="145"/>
      <c r="J781" s="145"/>
    </row>
    <row r="782" spans="1:10" ht="24.95" hidden="1" customHeight="1">
      <c r="A782" s="141"/>
      <c r="B782" s="141"/>
      <c r="C782" s="143"/>
      <c r="D782" s="143"/>
      <c r="E782" s="141"/>
      <c r="F782" s="232"/>
      <c r="G782" s="150"/>
      <c r="H782" s="150"/>
      <c r="I782" s="145"/>
      <c r="J782" s="145"/>
    </row>
    <row r="783" spans="1:10" ht="24.95" hidden="1" customHeight="1">
      <c r="A783" s="141"/>
      <c r="B783" s="141"/>
      <c r="C783" s="143"/>
      <c r="D783" s="143"/>
      <c r="E783" s="141"/>
      <c r="F783" s="232"/>
      <c r="G783" s="150"/>
      <c r="H783" s="150"/>
      <c r="I783" s="145"/>
      <c r="J783" s="145"/>
    </row>
    <row r="784" spans="1:10" ht="24.95" hidden="1" customHeight="1">
      <c r="A784" s="141"/>
      <c r="B784" s="141"/>
      <c r="C784" s="143"/>
      <c r="D784" s="143"/>
      <c r="E784" s="141"/>
      <c r="F784" s="232"/>
      <c r="G784" s="150"/>
      <c r="H784" s="150"/>
      <c r="I784" s="145"/>
      <c r="J784" s="145"/>
    </row>
    <row r="785" spans="1:10" ht="24.95" hidden="1" customHeight="1">
      <c r="A785" s="141"/>
      <c r="B785" s="141"/>
      <c r="C785" s="143"/>
      <c r="D785" s="143"/>
      <c r="E785" s="141"/>
      <c r="F785" s="232"/>
      <c r="G785" s="150"/>
      <c r="H785" s="150"/>
      <c r="I785" s="145"/>
      <c r="J785" s="145"/>
    </row>
    <row r="786" spans="1:10" ht="24.95" hidden="1" customHeight="1">
      <c r="A786" s="141"/>
      <c r="B786" s="141"/>
      <c r="C786" s="143"/>
      <c r="D786" s="143"/>
      <c r="E786" s="141"/>
      <c r="F786" s="232"/>
      <c r="G786" s="150"/>
      <c r="H786" s="150"/>
      <c r="I786" s="145"/>
      <c r="J786" s="145"/>
    </row>
    <row r="787" spans="1:10" ht="24.95" hidden="1" customHeight="1">
      <c r="A787" s="141"/>
      <c r="B787" s="141"/>
      <c r="C787" s="143"/>
      <c r="D787" s="143"/>
      <c r="E787" s="141"/>
      <c r="F787" s="232"/>
      <c r="G787" s="150"/>
      <c r="H787" s="150"/>
      <c r="I787" s="145"/>
      <c r="J787" s="145"/>
    </row>
    <row r="788" spans="1:10" ht="24.95" hidden="1" customHeight="1">
      <c r="A788" s="141"/>
      <c r="B788" s="141"/>
      <c r="C788" s="143"/>
      <c r="D788" s="143"/>
      <c r="E788" s="141"/>
      <c r="F788" s="232"/>
      <c r="G788" s="150"/>
      <c r="H788" s="150"/>
      <c r="I788" s="145"/>
      <c r="J788" s="145"/>
    </row>
    <row r="789" spans="1:10" ht="24.95" hidden="1" customHeight="1">
      <c r="A789" s="141"/>
      <c r="B789" s="141"/>
      <c r="C789" s="143"/>
      <c r="D789" s="143"/>
      <c r="E789" s="141"/>
      <c r="F789" s="232"/>
      <c r="G789" s="150"/>
      <c r="H789" s="150"/>
      <c r="I789" s="145"/>
      <c r="J789" s="145"/>
    </row>
    <row r="790" spans="1:10" ht="24.95" hidden="1" customHeight="1">
      <c r="A790" s="141"/>
      <c r="B790" s="141"/>
      <c r="C790" s="143"/>
      <c r="D790" s="143"/>
      <c r="E790" s="141"/>
      <c r="F790" s="232"/>
      <c r="G790" s="150"/>
      <c r="H790" s="150"/>
      <c r="I790" s="145"/>
      <c r="J790" s="145"/>
    </row>
    <row r="791" spans="1:10" ht="24.95" hidden="1" customHeight="1">
      <c r="A791" s="141"/>
      <c r="B791" s="141"/>
      <c r="C791" s="143"/>
      <c r="D791" s="143"/>
      <c r="E791" s="141"/>
      <c r="F791" s="232"/>
      <c r="G791" s="150"/>
      <c r="H791" s="150"/>
      <c r="I791" s="145"/>
      <c r="J791" s="145"/>
    </row>
    <row r="792" spans="1:10" ht="24.95" hidden="1" customHeight="1">
      <c r="A792" s="141"/>
      <c r="B792" s="141"/>
      <c r="C792" s="143"/>
      <c r="D792" s="143"/>
      <c r="E792" s="141"/>
      <c r="F792" s="232"/>
      <c r="G792" s="150"/>
      <c r="H792" s="150"/>
      <c r="I792" s="145"/>
      <c r="J792" s="145"/>
    </row>
    <row r="793" spans="1:10" ht="24.95" hidden="1" customHeight="1">
      <c r="A793" s="141"/>
      <c r="B793" s="141"/>
      <c r="C793" s="143"/>
      <c r="D793" s="143"/>
      <c r="E793" s="141"/>
      <c r="F793" s="232"/>
      <c r="G793" s="150"/>
      <c r="H793" s="150"/>
      <c r="I793" s="145"/>
      <c r="J793" s="145"/>
    </row>
    <row r="794" spans="1:10" ht="24.95" hidden="1" customHeight="1">
      <c r="A794" s="141"/>
      <c r="B794" s="141"/>
      <c r="C794" s="143"/>
      <c r="D794" s="143"/>
      <c r="E794" s="141"/>
      <c r="F794" s="232"/>
      <c r="G794" s="150"/>
      <c r="H794" s="150"/>
      <c r="I794" s="145"/>
      <c r="J794" s="145"/>
    </row>
    <row r="795" spans="1:10" ht="24.95" hidden="1" customHeight="1">
      <c r="A795" s="141"/>
      <c r="B795" s="141"/>
      <c r="C795" s="143"/>
      <c r="D795" s="143"/>
      <c r="E795" s="141"/>
      <c r="F795" s="232"/>
      <c r="G795" s="150"/>
      <c r="H795" s="150"/>
      <c r="I795" s="145"/>
      <c r="J795" s="145"/>
    </row>
    <row r="796" spans="1:10" ht="24.95" hidden="1" customHeight="1">
      <c r="A796" s="141"/>
      <c r="B796" s="141"/>
      <c r="C796" s="143"/>
      <c r="D796" s="143"/>
      <c r="E796" s="141"/>
      <c r="F796" s="232"/>
      <c r="G796" s="150"/>
      <c r="H796" s="150"/>
      <c r="I796" s="145"/>
      <c r="J796" s="145"/>
    </row>
    <row r="797" spans="1:10" ht="24.95" hidden="1" customHeight="1">
      <c r="A797" s="141"/>
      <c r="B797" s="141"/>
      <c r="C797" s="143"/>
      <c r="D797" s="143"/>
      <c r="E797" s="141"/>
      <c r="F797" s="232"/>
      <c r="G797" s="150"/>
      <c r="H797" s="150"/>
      <c r="I797" s="145"/>
      <c r="J797" s="145"/>
    </row>
    <row r="798" spans="1:10" ht="24.95" hidden="1" customHeight="1">
      <c r="A798" s="141"/>
      <c r="B798" s="141"/>
      <c r="C798" s="143"/>
      <c r="D798" s="143"/>
      <c r="E798" s="141"/>
      <c r="F798" s="232"/>
      <c r="G798" s="150"/>
      <c r="H798" s="150"/>
      <c r="I798" s="145"/>
      <c r="J798" s="145"/>
    </row>
    <row r="799" spans="1:10" ht="24.95" hidden="1" customHeight="1">
      <c r="A799" s="141"/>
      <c r="B799" s="141"/>
      <c r="C799" s="143"/>
      <c r="D799" s="143"/>
      <c r="E799" s="141"/>
      <c r="F799" s="232"/>
      <c r="G799" s="150"/>
      <c r="H799" s="150"/>
      <c r="I799" s="145"/>
      <c r="J799" s="145"/>
    </row>
    <row r="800" spans="1:10" ht="24.95" hidden="1" customHeight="1">
      <c r="A800" s="141"/>
      <c r="B800" s="141"/>
      <c r="C800" s="143"/>
      <c r="D800" s="143"/>
      <c r="E800" s="141"/>
      <c r="F800" s="232"/>
      <c r="G800" s="150"/>
      <c r="H800" s="150"/>
      <c r="I800" s="145"/>
      <c r="J800" s="145"/>
    </row>
    <row r="801" spans="1:10" ht="24.95" hidden="1" customHeight="1">
      <c r="A801" s="141"/>
      <c r="B801" s="141"/>
      <c r="C801" s="143"/>
      <c r="D801" s="143"/>
      <c r="E801" s="141"/>
      <c r="F801" s="232"/>
      <c r="G801" s="150"/>
      <c r="H801" s="150"/>
      <c r="I801" s="145"/>
      <c r="J801" s="145"/>
    </row>
    <row r="802" spans="1:10" ht="24.95" hidden="1" customHeight="1">
      <c r="A802" s="141"/>
      <c r="B802" s="141"/>
      <c r="C802" s="143"/>
      <c r="D802" s="143"/>
      <c r="E802" s="141"/>
      <c r="F802" s="232"/>
      <c r="G802" s="150"/>
      <c r="H802" s="150"/>
      <c r="I802" s="145"/>
      <c r="J802" s="145"/>
    </row>
    <row r="803" spans="1:10" ht="24.95" hidden="1" customHeight="1">
      <c r="A803" s="141"/>
      <c r="B803" s="141"/>
      <c r="C803" s="143"/>
      <c r="D803" s="143"/>
      <c r="E803" s="141"/>
      <c r="F803" s="232"/>
      <c r="G803" s="150"/>
      <c r="H803" s="150"/>
      <c r="I803" s="145"/>
      <c r="J803" s="145"/>
    </row>
    <row r="804" spans="1:10" ht="24.95" hidden="1" customHeight="1">
      <c r="A804" s="141"/>
      <c r="B804" s="141"/>
      <c r="C804" s="143"/>
      <c r="D804" s="143"/>
      <c r="E804" s="141"/>
      <c r="F804" s="232"/>
      <c r="G804" s="150"/>
      <c r="H804" s="150"/>
      <c r="I804" s="145"/>
      <c r="J804" s="145"/>
    </row>
    <row r="805" spans="1:10" ht="24.95" hidden="1" customHeight="1">
      <c r="A805" s="141"/>
      <c r="B805" s="141"/>
      <c r="C805" s="143"/>
      <c r="D805" s="143"/>
      <c r="E805" s="141"/>
      <c r="F805" s="232"/>
      <c r="G805" s="150"/>
      <c r="H805" s="150"/>
      <c r="I805" s="145"/>
      <c r="J805" s="145"/>
    </row>
    <row r="806" spans="1:10" ht="24.95" hidden="1" customHeight="1">
      <c r="A806" s="141"/>
      <c r="B806" s="141"/>
      <c r="C806" s="143"/>
      <c r="D806" s="143"/>
      <c r="E806" s="141"/>
      <c r="F806" s="232"/>
      <c r="G806" s="150"/>
      <c r="H806" s="150"/>
      <c r="I806" s="145"/>
      <c r="J806" s="145"/>
    </row>
    <row r="807" spans="1:10" ht="24.95" hidden="1" customHeight="1">
      <c r="A807" s="141"/>
      <c r="B807" s="141"/>
      <c r="C807" s="143"/>
      <c r="D807" s="143"/>
      <c r="E807" s="141"/>
      <c r="F807" s="232"/>
      <c r="G807" s="150"/>
      <c r="H807" s="150"/>
      <c r="I807" s="145"/>
      <c r="J807" s="145"/>
    </row>
    <row r="808" spans="1:10" ht="24.95" hidden="1" customHeight="1">
      <c r="A808" s="141"/>
      <c r="B808" s="141"/>
      <c r="C808" s="143"/>
      <c r="D808" s="143"/>
      <c r="E808" s="141"/>
      <c r="F808" s="232"/>
      <c r="G808" s="150"/>
      <c r="H808" s="150"/>
      <c r="I808" s="145"/>
      <c r="J808" s="145"/>
    </row>
    <row r="809" spans="1:10" ht="24.95" hidden="1" customHeight="1">
      <c r="A809" s="141"/>
      <c r="B809" s="141"/>
      <c r="C809" s="143"/>
      <c r="D809" s="143"/>
      <c r="E809" s="141"/>
      <c r="F809" s="232"/>
      <c r="G809" s="150"/>
      <c r="H809" s="150"/>
      <c r="I809" s="145"/>
      <c r="J809" s="145"/>
    </row>
    <row r="810" spans="1:10" ht="24.95" hidden="1" customHeight="1">
      <c r="A810" s="141"/>
      <c r="B810" s="141"/>
      <c r="C810" s="143"/>
      <c r="D810" s="143"/>
      <c r="E810" s="141"/>
      <c r="F810" s="232"/>
      <c r="G810" s="150"/>
      <c r="H810" s="150"/>
      <c r="I810" s="145"/>
      <c r="J810" s="145"/>
    </row>
    <row r="811" spans="1:10" ht="24.95" hidden="1" customHeight="1">
      <c r="A811" s="141"/>
      <c r="B811" s="141"/>
      <c r="C811" s="143"/>
      <c r="D811" s="143"/>
      <c r="E811" s="141"/>
      <c r="F811" s="232"/>
      <c r="G811" s="150"/>
      <c r="H811" s="150"/>
      <c r="I811" s="145"/>
      <c r="J811" s="145"/>
    </row>
    <row r="812" spans="1:10" ht="24.95" hidden="1" customHeight="1">
      <c r="A812" s="141"/>
      <c r="B812" s="141"/>
      <c r="C812" s="143"/>
      <c r="D812" s="143"/>
      <c r="E812" s="141"/>
      <c r="F812" s="232"/>
      <c r="G812" s="150"/>
      <c r="H812" s="150"/>
      <c r="I812" s="145"/>
      <c r="J812" s="145"/>
    </row>
    <row r="813" spans="1:10" ht="24.95" hidden="1" customHeight="1">
      <c r="A813" s="141"/>
      <c r="B813" s="141"/>
      <c r="C813" s="143"/>
      <c r="D813" s="143"/>
      <c r="E813" s="141"/>
      <c r="F813" s="232"/>
      <c r="G813" s="150"/>
      <c r="H813" s="150"/>
      <c r="I813" s="145"/>
      <c r="J813" s="145"/>
    </row>
    <row r="814" spans="1:10" ht="24.95" hidden="1" customHeight="1">
      <c r="A814" s="141"/>
      <c r="B814" s="141"/>
      <c r="C814" s="143"/>
      <c r="D814" s="143"/>
      <c r="E814" s="141"/>
      <c r="F814" s="232"/>
      <c r="G814" s="150"/>
      <c r="H814" s="150"/>
      <c r="I814" s="145"/>
      <c r="J814" s="145"/>
    </row>
    <row r="815" spans="1:10" ht="24.95" hidden="1" customHeight="1">
      <c r="A815" s="141"/>
      <c r="B815" s="141"/>
      <c r="C815" s="143"/>
      <c r="D815" s="143"/>
      <c r="E815" s="141"/>
      <c r="F815" s="232"/>
      <c r="G815" s="150"/>
      <c r="H815" s="150"/>
      <c r="I815" s="145"/>
      <c r="J815" s="145"/>
    </row>
    <row r="816" spans="1:10" ht="24.95" hidden="1" customHeight="1">
      <c r="A816" s="141"/>
      <c r="B816" s="141"/>
      <c r="C816" s="143"/>
      <c r="D816" s="143"/>
      <c r="E816" s="141"/>
      <c r="F816" s="232"/>
      <c r="G816" s="150"/>
      <c r="H816" s="150"/>
      <c r="I816" s="145"/>
      <c r="J816" s="145"/>
    </row>
    <row r="817" spans="1:10" ht="24.95" hidden="1" customHeight="1">
      <c r="A817" s="141"/>
      <c r="B817" s="141"/>
      <c r="C817" s="143"/>
      <c r="D817" s="143"/>
      <c r="E817" s="141"/>
      <c r="F817" s="232"/>
      <c r="G817" s="150"/>
      <c r="H817" s="150"/>
      <c r="I817" s="145"/>
      <c r="J817" s="145"/>
    </row>
    <row r="818" spans="1:10" ht="24.95" hidden="1" customHeight="1">
      <c r="A818" s="141"/>
      <c r="B818" s="141"/>
      <c r="C818" s="143"/>
      <c r="D818" s="143"/>
      <c r="E818" s="141"/>
      <c r="F818" s="232"/>
      <c r="G818" s="150"/>
      <c r="H818" s="150"/>
      <c r="I818" s="145"/>
      <c r="J818" s="145"/>
    </row>
    <row r="819" spans="1:10" ht="24.95" hidden="1" customHeight="1">
      <c r="A819" s="141"/>
      <c r="B819" s="141"/>
      <c r="C819" s="143"/>
      <c r="D819" s="143"/>
      <c r="E819" s="141"/>
      <c r="F819" s="232"/>
      <c r="G819" s="150"/>
      <c r="H819" s="150"/>
      <c r="I819" s="145"/>
      <c r="J819" s="145"/>
    </row>
    <row r="820" spans="1:10" ht="24.95" hidden="1" customHeight="1">
      <c r="A820" s="141"/>
      <c r="B820" s="141"/>
      <c r="C820" s="143"/>
      <c r="D820" s="143"/>
      <c r="E820" s="141"/>
      <c r="F820" s="232"/>
      <c r="G820" s="150"/>
      <c r="H820" s="150"/>
      <c r="I820" s="145"/>
      <c r="J820" s="145"/>
    </row>
    <row r="821" spans="1:10" ht="24.95" hidden="1" customHeight="1">
      <c r="A821" s="141"/>
      <c r="B821" s="141"/>
      <c r="C821" s="143"/>
      <c r="D821" s="143"/>
      <c r="E821" s="141"/>
      <c r="F821" s="232"/>
      <c r="G821" s="150"/>
      <c r="H821" s="150"/>
      <c r="I821" s="145"/>
      <c r="J821" s="145"/>
    </row>
    <row r="822" spans="1:10" ht="24.95" hidden="1" customHeight="1">
      <c r="A822" s="141"/>
      <c r="B822" s="141"/>
      <c r="C822" s="143"/>
      <c r="D822" s="143"/>
      <c r="E822" s="141"/>
      <c r="F822" s="232"/>
      <c r="G822" s="150"/>
      <c r="H822" s="150"/>
      <c r="I822" s="145"/>
      <c r="J822" s="145"/>
    </row>
    <row r="823" spans="1:10" ht="24.95" hidden="1" customHeight="1">
      <c r="A823" s="141"/>
      <c r="B823" s="141"/>
      <c r="C823" s="143"/>
      <c r="D823" s="143"/>
      <c r="E823" s="141"/>
      <c r="F823" s="232"/>
      <c r="G823" s="150"/>
      <c r="H823" s="150"/>
      <c r="I823" s="145"/>
      <c r="J823" s="145"/>
    </row>
    <row r="824" spans="1:10" ht="24.95" hidden="1" customHeight="1">
      <c r="A824" s="141"/>
      <c r="B824" s="141"/>
      <c r="C824" s="143"/>
      <c r="D824" s="143"/>
      <c r="E824" s="141"/>
      <c r="F824" s="232"/>
      <c r="G824" s="150"/>
      <c r="H824" s="150"/>
      <c r="I824" s="145"/>
      <c r="J824" s="145"/>
    </row>
    <row r="825" spans="1:10" ht="24.95" hidden="1" customHeight="1">
      <c r="A825" s="141"/>
      <c r="B825" s="141"/>
      <c r="C825" s="143"/>
      <c r="D825" s="143"/>
      <c r="E825" s="141"/>
      <c r="F825" s="232"/>
      <c r="G825" s="150"/>
      <c r="H825" s="150"/>
      <c r="I825" s="145"/>
      <c r="J825" s="145"/>
    </row>
    <row r="826" spans="1:10" ht="24.95" hidden="1" customHeight="1">
      <c r="A826" s="141"/>
      <c r="B826" s="141"/>
      <c r="C826" s="143"/>
      <c r="D826" s="143"/>
      <c r="E826" s="141"/>
      <c r="F826" s="232"/>
      <c r="G826" s="150"/>
      <c r="H826" s="150"/>
      <c r="I826" s="145"/>
      <c r="J826" s="145"/>
    </row>
    <row r="827" spans="1:10" ht="24.95" hidden="1" customHeight="1">
      <c r="A827" s="141"/>
      <c r="B827" s="141"/>
      <c r="C827" s="143"/>
      <c r="D827" s="143"/>
      <c r="E827" s="141"/>
      <c r="F827" s="232"/>
      <c r="G827" s="150"/>
      <c r="H827" s="150"/>
      <c r="I827" s="145"/>
      <c r="J827" s="145"/>
    </row>
    <row r="828" spans="1:10" ht="24.95" hidden="1" customHeight="1">
      <c r="A828" s="141"/>
      <c r="B828" s="141"/>
      <c r="C828" s="143"/>
      <c r="D828" s="143"/>
      <c r="E828" s="141"/>
      <c r="F828" s="232"/>
      <c r="G828" s="150"/>
      <c r="H828" s="150"/>
      <c r="I828" s="145"/>
      <c r="J828" s="145"/>
    </row>
    <row r="829" spans="1:10" ht="24.95" hidden="1" customHeight="1">
      <c r="A829" s="141"/>
      <c r="B829" s="141"/>
      <c r="C829" s="143"/>
      <c r="D829" s="143"/>
      <c r="E829" s="141"/>
      <c r="F829" s="232"/>
      <c r="G829" s="150"/>
      <c r="H829" s="150"/>
      <c r="I829" s="145"/>
      <c r="J829" s="145"/>
    </row>
    <row r="830" spans="1:10" ht="24.95" hidden="1" customHeight="1">
      <c r="A830" s="141"/>
      <c r="B830" s="141"/>
      <c r="C830" s="143"/>
      <c r="D830" s="143"/>
      <c r="E830" s="141"/>
      <c r="F830" s="232"/>
      <c r="G830" s="150"/>
      <c r="H830" s="150"/>
      <c r="I830" s="145"/>
      <c r="J830" s="145"/>
    </row>
    <row r="831" spans="1:10" ht="24.95" hidden="1" customHeight="1">
      <c r="A831" s="141"/>
      <c r="B831" s="141"/>
      <c r="C831" s="143"/>
      <c r="D831" s="143"/>
      <c r="E831" s="141"/>
      <c r="F831" s="232"/>
      <c r="G831" s="150"/>
      <c r="H831" s="150"/>
      <c r="I831" s="145"/>
      <c r="J831" s="145"/>
    </row>
    <row r="832" spans="1:10" ht="24.95" hidden="1" customHeight="1">
      <c r="A832" s="141"/>
      <c r="B832" s="141"/>
      <c r="C832" s="143"/>
      <c r="D832" s="143"/>
      <c r="E832" s="141"/>
      <c r="F832" s="232"/>
      <c r="G832" s="150"/>
      <c r="H832" s="150"/>
      <c r="I832" s="145"/>
      <c r="J832" s="145"/>
    </row>
    <row r="833" spans="1:10" ht="24.95" hidden="1" customHeight="1">
      <c r="A833" s="141"/>
      <c r="B833" s="141"/>
      <c r="C833" s="143"/>
      <c r="D833" s="143"/>
      <c r="E833" s="141"/>
      <c r="F833" s="232"/>
      <c r="G833" s="150"/>
      <c r="H833" s="150"/>
      <c r="I833" s="145"/>
      <c r="J833" s="145"/>
    </row>
    <row r="834" spans="1:10" ht="24.95" hidden="1" customHeight="1">
      <c r="A834" s="141"/>
      <c r="B834" s="141"/>
      <c r="C834" s="143"/>
      <c r="D834" s="143"/>
      <c r="E834" s="141"/>
      <c r="F834" s="232"/>
      <c r="G834" s="150"/>
      <c r="H834" s="150"/>
      <c r="I834" s="145"/>
      <c r="J834" s="145"/>
    </row>
    <row r="835" spans="1:10" ht="24.95" hidden="1" customHeight="1">
      <c r="A835" s="141"/>
      <c r="B835" s="141"/>
      <c r="C835" s="143"/>
      <c r="D835" s="143"/>
      <c r="E835" s="141"/>
      <c r="F835" s="232"/>
      <c r="G835" s="150"/>
      <c r="H835" s="150"/>
      <c r="I835" s="145"/>
      <c r="J835" s="145"/>
    </row>
    <row r="836" spans="1:10" ht="24.95" hidden="1" customHeight="1">
      <c r="A836" s="141"/>
      <c r="B836" s="141"/>
      <c r="C836" s="143"/>
      <c r="D836" s="143"/>
      <c r="E836" s="141"/>
      <c r="F836" s="232"/>
      <c r="G836" s="150"/>
      <c r="H836" s="150"/>
      <c r="I836" s="145"/>
      <c r="J836" s="145"/>
    </row>
    <row r="837" spans="1:10" ht="24.95" hidden="1" customHeight="1">
      <c r="A837" s="141"/>
      <c r="B837" s="141"/>
      <c r="C837" s="143"/>
      <c r="D837" s="143"/>
      <c r="E837" s="141"/>
      <c r="F837" s="232"/>
      <c r="G837" s="150"/>
      <c r="H837" s="150"/>
      <c r="I837" s="145"/>
      <c r="J837" s="145"/>
    </row>
    <row r="838" spans="1:10" ht="24.95" hidden="1" customHeight="1">
      <c r="A838" s="141"/>
      <c r="B838" s="141"/>
      <c r="C838" s="143"/>
      <c r="D838" s="143"/>
      <c r="E838" s="141"/>
      <c r="F838" s="232"/>
      <c r="G838" s="150"/>
      <c r="H838" s="150"/>
      <c r="I838" s="145"/>
      <c r="J838" s="145"/>
    </row>
    <row r="839" spans="1:10" ht="24.95" hidden="1" customHeight="1">
      <c r="A839" s="141"/>
      <c r="B839" s="141"/>
      <c r="C839" s="143"/>
      <c r="D839" s="143"/>
      <c r="E839" s="141"/>
      <c r="F839" s="232"/>
      <c r="G839" s="150"/>
      <c r="H839" s="150"/>
      <c r="I839" s="145"/>
      <c r="J839" s="145"/>
    </row>
    <row r="840" spans="1:10" ht="24.95" hidden="1" customHeight="1">
      <c r="A840" s="141"/>
      <c r="B840" s="141"/>
      <c r="C840" s="143"/>
      <c r="D840" s="143"/>
      <c r="E840" s="141"/>
      <c r="F840" s="232"/>
      <c r="G840" s="150"/>
      <c r="H840" s="150"/>
      <c r="I840" s="145"/>
      <c r="J840" s="145"/>
    </row>
    <row r="841" spans="1:10" ht="24.95" hidden="1" customHeight="1">
      <c r="A841" s="141"/>
      <c r="B841" s="141"/>
      <c r="C841" s="143"/>
      <c r="D841" s="143"/>
      <c r="E841" s="141"/>
      <c r="F841" s="232"/>
      <c r="G841" s="150"/>
      <c r="H841" s="150"/>
      <c r="I841" s="145"/>
      <c r="J841" s="145"/>
    </row>
    <row r="842" spans="1:10" ht="24.95" hidden="1" customHeight="1">
      <c r="A842" s="141"/>
      <c r="B842" s="141"/>
      <c r="C842" s="143"/>
      <c r="D842" s="143"/>
      <c r="E842" s="141"/>
      <c r="F842" s="232"/>
      <c r="G842" s="150"/>
      <c r="H842" s="150"/>
      <c r="I842" s="145"/>
      <c r="J842" s="145"/>
    </row>
    <row r="843" spans="1:10" ht="24.95" hidden="1" customHeight="1">
      <c r="A843" s="141"/>
      <c r="B843" s="141"/>
      <c r="C843" s="143"/>
      <c r="D843" s="143"/>
      <c r="E843" s="141"/>
      <c r="F843" s="232"/>
      <c r="G843" s="150"/>
      <c r="H843" s="150"/>
      <c r="I843" s="145"/>
      <c r="J843" s="145"/>
    </row>
    <row r="844" spans="1:10" ht="24.95" hidden="1" customHeight="1">
      <c r="A844" s="141"/>
      <c r="B844" s="141"/>
      <c r="C844" s="143"/>
      <c r="D844" s="143"/>
      <c r="E844" s="141"/>
      <c r="F844" s="232"/>
      <c r="G844" s="150"/>
      <c r="H844" s="150"/>
      <c r="I844" s="145"/>
      <c r="J844" s="145"/>
    </row>
    <row r="845" spans="1:10" ht="24.95" hidden="1" customHeight="1">
      <c r="A845" s="141"/>
      <c r="B845" s="141"/>
      <c r="C845" s="143"/>
      <c r="D845" s="143"/>
      <c r="E845" s="141"/>
      <c r="F845" s="232"/>
      <c r="G845" s="150"/>
      <c r="H845" s="150"/>
      <c r="I845" s="145"/>
      <c r="J845" s="145"/>
    </row>
    <row r="846" spans="1:10" ht="24.95" hidden="1" customHeight="1">
      <c r="A846" s="141"/>
      <c r="B846" s="141"/>
      <c r="C846" s="143"/>
      <c r="D846" s="143"/>
      <c r="E846" s="141"/>
      <c r="F846" s="232"/>
      <c r="G846" s="150"/>
      <c r="H846" s="150"/>
      <c r="I846" s="145"/>
      <c r="J846" s="145"/>
    </row>
    <row r="847" spans="1:10" ht="24.95" hidden="1" customHeight="1">
      <c r="A847" s="141"/>
      <c r="B847" s="141"/>
      <c r="C847" s="143"/>
      <c r="D847" s="143"/>
      <c r="E847" s="141"/>
      <c r="F847" s="232"/>
      <c r="G847" s="150"/>
      <c r="H847" s="150"/>
      <c r="I847" s="145"/>
      <c r="J847" s="145"/>
    </row>
    <row r="848" spans="1:10" ht="24.95" hidden="1" customHeight="1">
      <c r="A848" s="141"/>
      <c r="B848" s="141"/>
      <c r="C848" s="143"/>
      <c r="D848" s="143"/>
      <c r="E848" s="141"/>
      <c r="F848" s="232"/>
      <c r="G848" s="150"/>
      <c r="H848" s="150"/>
      <c r="I848" s="145"/>
      <c r="J848" s="145"/>
    </row>
    <row r="849" spans="1:10" ht="24.95" hidden="1" customHeight="1">
      <c r="A849" s="141"/>
      <c r="B849" s="141"/>
      <c r="C849" s="143"/>
      <c r="D849" s="143"/>
      <c r="E849" s="141"/>
      <c r="F849" s="232"/>
      <c r="G849" s="150"/>
      <c r="H849" s="150"/>
      <c r="I849" s="145"/>
      <c r="J849" s="145"/>
    </row>
    <row r="850" spans="1:10" ht="24.95" hidden="1" customHeight="1">
      <c r="A850" s="141"/>
      <c r="B850" s="141"/>
      <c r="C850" s="143"/>
      <c r="D850" s="143"/>
      <c r="E850" s="141"/>
      <c r="F850" s="232"/>
      <c r="G850" s="150"/>
      <c r="H850" s="150"/>
      <c r="I850" s="145"/>
      <c r="J850" s="145"/>
    </row>
    <row r="851" spans="1:10" ht="24.95" hidden="1" customHeight="1">
      <c r="A851" s="141"/>
      <c r="B851" s="141"/>
      <c r="C851" s="143"/>
      <c r="D851" s="143"/>
      <c r="E851" s="141"/>
      <c r="F851" s="232"/>
      <c r="G851" s="150"/>
      <c r="H851" s="150"/>
      <c r="I851" s="145"/>
      <c r="J851" s="145"/>
    </row>
    <row r="852" spans="1:10" ht="24.95" hidden="1" customHeight="1">
      <c r="A852" s="141"/>
      <c r="B852" s="141"/>
      <c r="C852" s="143"/>
      <c r="D852" s="143"/>
      <c r="E852" s="141"/>
      <c r="F852" s="232"/>
      <c r="G852" s="150"/>
      <c r="H852" s="150"/>
      <c r="I852" s="145"/>
      <c r="J852" s="145"/>
    </row>
    <row r="853" spans="1:10" ht="24.95" hidden="1" customHeight="1">
      <c r="A853" s="141"/>
      <c r="B853" s="141"/>
      <c r="C853" s="143"/>
      <c r="D853" s="143"/>
      <c r="E853" s="141"/>
      <c r="F853" s="232"/>
      <c r="G853" s="150"/>
      <c r="H853" s="150"/>
      <c r="I853" s="145"/>
      <c r="J853" s="145"/>
    </row>
    <row r="854" spans="1:10" ht="24.95" hidden="1" customHeight="1">
      <c r="A854" s="141"/>
      <c r="B854" s="141"/>
      <c r="C854" s="143"/>
      <c r="D854" s="143"/>
      <c r="E854" s="141"/>
      <c r="F854" s="232"/>
      <c r="G854" s="150"/>
      <c r="H854" s="150"/>
      <c r="I854" s="145"/>
      <c r="J854" s="145"/>
    </row>
    <row r="855" spans="1:10" ht="24.95" hidden="1" customHeight="1">
      <c r="A855" s="141"/>
      <c r="B855" s="141"/>
      <c r="C855" s="143"/>
      <c r="D855" s="143"/>
      <c r="E855" s="141"/>
      <c r="F855" s="232"/>
      <c r="G855" s="150"/>
      <c r="H855" s="150"/>
      <c r="I855" s="145"/>
      <c r="J855" s="145"/>
    </row>
    <row r="856" spans="1:10" ht="24.95" hidden="1" customHeight="1">
      <c r="A856" s="141"/>
      <c r="B856" s="141"/>
      <c r="C856" s="143"/>
      <c r="D856" s="143"/>
      <c r="E856" s="141"/>
      <c r="F856" s="232"/>
      <c r="G856" s="150"/>
      <c r="H856" s="150"/>
      <c r="I856" s="145"/>
      <c r="J856" s="145"/>
    </row>
    <row r="857" spans="1:10" ht="24.95" hidden="1" customHeight="1">
      <c r="A857" s="141"/>
      <c r="B857" s="141"/>
      <c r="C857" s="143"/>
      <c r="D857" s="143"/>
      <c r="E857" s="141"/>
      <c r="F857" s="232"/>
      <c r="G857" s="150"/>
      <c r="H857" s="150"/>
      <c r="I857" s="145"/>
      <c r="J857" s="145"/>
    </row>
    <row r="858" spans="1:10" ht="24.95" hidden="1" customHeight="1">
      <c r="A858" s="141"/>
      <c r="B858" s="141"/>
      <c r="C858" s="143"/>
      <c r="D858" s="143"/>
      <c r="E858" s="141"/>
      <c r="F858" s="232"/>
      <c r="G858" s="150"/>
      <c r="H858" s="150"/>
      <c r="I858" s="145"/>
      <c r="J858" s="145"/>
    </row>
    <row r="859" spans="1:10" ht="24.95" hidden="1" customHeight="1">
      <c r="A859" s="141"/>
      <c r="B859" s="141"/>
      <c r="C859" s="143"/>
      <c r="D859" s="143"/>
      <c r="E859" s="141"/>
      <c r="F859" s="232"/>
      <c r="G859" s="150"/>
      <c r="H859" s="150"/>
      <c r="I859" s="145"/>
      <c r="J859" s="145"/>
    </row>
    <row r="860" spans="1:10" ht="24.95" hidden="1" customHeight="1">
      <c r="A860" s="141"/>
      <c r="B860" s="141"/>
      <c r="C860" s="143"/>
      <c r="D860" s="143"/>
      <c r="E860" s="141"/>
      <c r="F860" s="232"/>
      <c r="G860" s="150"/>
      <c r="H860" s="150"/>
      <c r="I860" s="145"/>
      <c r="J860" s="145"/>
    </row>
    <row r="861" spans="1:10" ht="24.95" hidden="1" customHeight="1">
      <c r="A861" s="141"/>
      <c r="B861" s="141"/>
      <c r="C861" s="143"/>
      <c r="D861" s="143"/>
      <c r="E861" s="141"/>
      <c r="F861" s="232"/>
      <c r="G861" s="150"/>
      <c r="H861" s="150"/>
      <c r="I861" s="145"/>
      <c r="J861" s="145"/>
    </row>
    <row r="862" spans="1:10" ht="24.95" hidden="1" customHeight="1">
      <c r="A862" s="141"/>
      <c r="B862" s="141"/>
      <c r="C862" s="143"/>
      <c r="D862" s="143"/>
      <c r="E862" s="141"/>
      <c r="F862" s="232"/>
      <c r="G862" s="150"/>
      <c r="H862" s="150"/>
      <c r="I862" s="145"/>
      <c r="J862" s="145"/>
    </row>
    <row r="863" spans="1:10" ht="24.95" hidden="1" customHeight="1">
      <c r="A863" s="141"/>
      <c r="B863" s="141"/>
      <c r="C863" s="143"/>
      <c r="D863" s="143"/>
      <c r="E863" s="141"/>
      <c r="F863" s="232"/>
      <c r="G863" s="150"/>
      <c r="H863" s="150"/>
      <c r="I863" s="145"/>
      <c r="J863" s="145"/>
    </row>
    <row r="864" spans="1:10" ht="24.95" hidden="1" customHeight="1">
      <c r="A864" s="141"/>
      <c r="B864" s="141"/>
      <c r="C864" s="143"/>
      <c r="D864" s="143"/>
      <c r="E864" s="141"/>
      <c r="F864" s="232"/>
      <c r="G864" s="150"/>
      <c r="H864" s="150"/>
      <c r="I864" s="145"/>
      <c r="J864" s="145"/>
    </row>
    <row r="865" spans="1:10" ht="24.95" hidden="1" customHeight="1">
      <c r="A865" s="141"/>
      <c r="B865" s="141"/>
      <c r="C865" s="143"/>
      <c r="D865" s="143"/>
      <c r="E865" s="141"/>
      <c r="F865" s="232"/>
      <c r="G865" s="150"/>
      <c r="H865" s="150"/>
      <c r="I865" s="145"/>
      <c r="J865" s="145"/>
    </row>
    <row r="866" spans="1:10" ht="24.95" hidden="1" customHeight="1">
      <c r="A866" s="141"/>
      <c r="B866" s="141"/>
      <c r="C866" s="143"/>
      <c r="D866" s="143"/>
      <c r="E866" s="141"/>
      <c r="F866" s="232"/>
      <c r="G866" s="150"/>
      <c r="H866" s="150"/>
      <c r="I866" s="145"/>
      <c r="J866" s="145"/>
    </row>
    <row r="867" spans="1:10" ht="24.95" hidden="1" customHeight="1">
      <c r="A867" s="141"/>
      <c r="B867" s="141"/>
      <c r="C867" s="143"/>
      <c r="D867" s="143"/>
      <c r="E867" s="141"/>
      <c r="F867" s="232"/>
      <c r="G867" s="150"/>
      <c r="H867" s="150"/>
      <c r="I867" s="145"/>
      <c r="J867" s="145"/>
    </row>
    <row r="868" spans="1:10" ht="24.95" hidden="1" customHeight="1">
      <c r="A868" s="141"/>
      <c r="B868" s="141"/>
      <c r="C868" s="143"/>
      <c r="D868" s="143"/>
      <c r="E868" s="141"/>
      <c r="F868" s="232"/>
      <c r="G868" s="150"/>
      <c r="H868" s="150"/>
      <c r="I868" s="145"/>
      <c r="J868" s="145"/>
    </row>
    <row r="869" spans="1:10" ht="24.95" hidden="1" customHeight="1">
      <c r="A869" s="141"/>
      <c r="B869" s="141"/>
      <c r="C869" s="143"/>
      <c r="D869" s="143"/>
      <c r="E869" s="141"/>
      <c r="F869" s="232"/>
      <c r="G869" s="150"/>
      <c r="H869" s="150"/>
      <c r="I869" s="145"/>
      <c r="J869" s="145"/>
    </row>
    <row r="870" spans="1:10" ht="24.95" hidden="1" customHeight="1">
      <c r="A870" s="141"/>
      <c r="B870" s="141"/>
      <c r="C870" s="143"/>
      <c r="D870" s="143"/>
      <c r="E870" s="141"/>
      <c r="F870" s="232"/>
      <c r="G870" s="150"/>
      <c r="H870" s="150"/>
      <c r="I870" s="145"/>
      <c r="J870" s="145"/>
    </row>
    <row r="871" spans="1:10" ht="24.95" hidden="1" customHeight="1">
      <c r="A871" s="141"/>
      <c r="B871" s="141"/>
      <c r="C871" s="143"/>
      <c r="D871" s="143"/>
      <c r="E871" s="141"/>
      <c r="F871" s="232"/>
      <c r="G871" s="150"/>
      <c r="H871" s="150"/>
      <c r="I871" s="145"/>
      <c r="J871" s="145"/>
    </row>
    <row r="872" spans="1:10" ht="24.95" hidden="1" customHeight="1">
      <c r="A872" s="141"/>
      <c r="B872" s="141"/>
      <c r="C872" s="143"/>
      <c r="D872" s="143"/>
      <c r="E872" s="141"/>
      <c r="F872" s="232"/>
      <c r="G872" s="150"/>
      <c r="H872" s="150"/>
      <c r="I872" s="145"/>
      <c r="J872" s="145"/>
    </row>
    <row r="873" spans="1:10" ht="24.95" hidden="1" customHeight="1">
      <c r="A873" s="141"/>
      <c r="B873" s="141"/>
      <c r="C873" s="143"/>
      <c r="D873" s="143"/>
      <c r="E873" s="141"/>
      <c r="F873" s="232"/>
      <c r="G873" s="150"/>
      <c r="H873" s="150"/>
      <c r="I873" s="145"/>
      <c r="J873" s="145"/>
    </row>
    <row r="874" spans="1:10" ht="24.95" hidden="1" customHeight="1">
      <c r="A874" s="141"/>
      <c r="B874" s="141"/>
      <c r="C874" s="143"/>
      <c r="D874" s="143"/>
      <c r="E874" s="141"/>
      <c r="F874" s="232"/>
      <c r="G874" s="150"/>
      <c r="H874" s="150"/>
      <c r="I874" s="145"/>
      <c r="J874" s="145"/>
    </row>
    <row r="875" spans="1:10" ht="24.95" hidden="1" customHeight="1">
      <c r="A875" s="141"/>
      <c r="B875" s="141"/>
      <c r="C875" s="143"/>
      <c r="D875" s="143"/>
      <c r="E875" s="141"/>
      <c r="F875" s="232"/>
      <c r="G875" s="150"/>
      <c r="H875" s="150"/>
      <c r="I875" s="145"/>
      <c r="J875" s="145"/>
    </row>
    <row r="876" spans="1:10" ht="24.95" hidden="1" customHeight="1">
      <c r="A876" s="141"/>
      <c r="B876" s="141"/>
      <c r="C876" s="143"/>
      <c r="D876" s="143"/>
      <c r="E876" s="141"/>
      <c r="F876" s="232"/>
      <c r="G876" s="150"/>
      <c r="H876" s="150"/>
      <c r="I876" s="145"/>
      <c r="J876" s="145"/>
    </row>
    <row r="877" spans="1:10" ht="24.95" hidden="1" customHeight="1">
      <c r="A877" s="141"/>
      <c r="B877" s="141"/>
      <c r="C877" s="143"/>
      <c r="D877" s="143"/>
      <c r="E877" s="141"/>
      <c r="F877" s="232"/>
      <c r="G877" s="150"/>
      <c r="H877" s="150"/>
      <c r="I877" s="145"/>
      <c r="J877" s="145"/>
    </row>
    <row r="878" spans="1:10" ht="24.95" hidden="1" customHeight="1">
      <c r="A878" s="141"/>
      <c r="B878" s="141"/>
      <c r="C878" s="143"/>
      <c r="D878" s="143"/>
      <c r="E878" s="141"/>
      <c r="F878" s="232"/>
      <c r="G878" s="150"/>
      <c r="H878" s="150"/>
      <c r="I878" s="145"/>
      <c r="J878" s="145"/>
    </row>
    <row r="879" spans="1:10" ht="24.95" hidden="1" customHeight="1">
      <c r="A879" s="141"/>
      <c r="B879" s="141"/>
      <c r="C879" s="143"/>
      <c r="D879" s="143"/>
      <c r="E879" s="141"/>
      <c r="F879" s="232"/>
      <c r="G879" s="150"/>
      <c r="H879" s="150"/>
      <c r="I879" s="145"/>
      <c r="J879" s="145"/>
    </row>
    <row r="880" spans="1:10" ht="24.95" hidden="1" customHeight="1">
      <c r="A880" s="141"/>
      <c r="B880" s="141"/>
      <c r="C880" s="143"/>
      <c r="D880" s="143"/>
      <c r="E880" s="141"/>
      <c r="F880" s="232"/>
      <c r="G880" s="150"/>
      <c r="H880" s="150"/>
      <c r="I880" s="145"/>
      <c r="J880" s="145"/>
    </row>
    <row r="881" spans="1:10" ht="24.95" hidden="1" customHeight="1">
      <c r="A881" s="141"/>
      <c r="B881" s="141"/>
      <c r="C881" s="143"/>
      <c r="D881" s="143"/>
      <c r="E881" s="141"/>
      <c r="F881" s="232"/>
      <c r="G881" s="150"/>
      <c r="H881" s="150"/>
      <c r="I881" s="145"/>
      <c r="J881" s="145"/>
    </row>
    <row r="882" spans="1:10" ht="24.95" hidden="1" customHeight="1">
      <c r="A882" s="141"/>
      <c r="B882" s="141"/>
      <c r="C882" s="143"/>
      <c r="D882" s="143"/>
      <c r="E882" s="141"/>
      <c r="F882" s="232"/>
      <c r="G882" s="150"/>
      <c r="H882" s="150"/>
      <c r="I882" s="145"/>
      <c r="J882" s="145"/>
    </row>
    <row r="883" spans="1:10" ht="24.95" hidden="1" customHeight="1">
      <c r="A883" s="141"/>
      <c r="B883" s="141"/>
      <c r="C883" s="143"/>
      <c r="D883" s="143"/>
      <c r="E883" s="141"/>
      <c r="F883" s="232"/>
      <c r="G883" s="150"/>
      <c r="H883" s="150"/>
      <c r="I883" s="145"/>
      <c r="J883" s="145"/>
    </row>
    <row r="884" spans="1:10" ht="24.95" hidden="1" customHeight="1">
      <c r="A884" s="141"/>
      <c r="B884" s="141"/>
      <c r="C884" s="143"/>
      <c r="D884" s="143"/>
      <c r="E884" s="141"/>
      <c r="F884" s="232"/>
      <c r="G884" s="150"/>
      <c r="H884" s="150"/>
      <c r="I884" s="145"/>
      <c r="J884" s="145"/>
    </row>
    <row r="885" spans="1:10" ht="24.95" hidden="1" customHeight="1">
      <c r="A885" s="141"/>
      <c r="B885" s="141"/>
      <c r="C885" s="143"/>
      <c r="D885" s="143"/>
      <c r="E885" s="141"/>
      <c r="F885" s="232"/>
      <c r="G885" s="150"/>
      <c r="H885" s="150"/>
      <c r="I885" s="145"/>
      <c r="J885" s="145"/>
    </row>
    <row r="886" spans="1:10" ht="24.95" hidden="1" customHeight="1">
      <c r="A886" s="141"/>
      <c r="B886" s="141"/>
      <c r="C886" s="143"/>
      <c r="D886" s="143"/>
      <c r="E886" s="141"/>
      <c r="F886" s="232"/>
      <c r="G886" s="150"/>
      <c r="H886" s="150"/>
      <c r="I886" s="145"/>
      <c r="J886" s="145"/>
    </row>
    <row r="887" spans="1:10" ht="24.95" hidden="1" customHeight="1">
      <c r="A887" s="141"/>
      <c r="B887" s="141"/>
      <c r="C887" s="143"/>
      <c r="D887" s="143"/>
      <c r="E887" s="141"/>
      <c r="F887" s="232"/>
      <c r="G887" s="150"/>
      <c r="H887" s="150"/>
      <c r="I887" s="145"/>
      <c r="J887" s="145"/>
    </row>
    <row r="888" spans="1:10" ht="24.95" hidden="1" customHeight="1">
      <c r="A888" s="141"/>
      <c r="B888" s="141"/>
      <c r="C888" s="143"/>
      <c r="D888" s="143"/>
      <c r="E888" s="141"/>
      <c r="F888" s="232"/>
      <c r="G888" s="150"/>
      <c r="H888" s="150"/>
      <c r="I888" s="145"/>
      <c r="J888" s="145"/>
    </row>
    <row r="889" spans="1:10" ht="24.95" hidden="1" customHeight="1">
      <c r="A889" s="141"/>
      <c r="B889" s="141"/>
      <c r="C889" s="143"/>
      <c r="D889" s="143"/>
      <c r="E889" s="141"/>
      <c r="F889" s="232"/>
      <c r="G889" s="150"/>
      <c r="H889" s="150"/>
      <c r="I889" s="145"/>
      <c r="J889" s="145"/>
    </row>
    <row r="890" spans="1:10" ht="24.95" hidden="1" customHeight="1">
      <c r="A890" s="141"/>
      <c r="B890" s="141"/>
      <c r="C890" s="143"/>
      <c r="D890" s="143"/>
      <c r="E890" s="141"/>
      <c r="F890" s="232"/>
      <c r="G890" s="150"/>
      <c r="H890" s="150"/>
      <c r="I890" s="145"/>
      <c r="J890" s="145"/>
    </row>
    <row r="891" spans="1:10" ht="24.95" hidden="1" customHeight="1">
      <c r="A891" s="141"/>
      <c r="B891" s="141"/>
      <c r="C891" s="143"/>
      <c r="D891" s="143"/>
      <c r="E891" s="141"/>
      <c r="F891" s="232"/>
      <c r="G891" s="150"/>
      <c r="H891" s="150"/>
      <c r="I891" s="145"/>
      <c r="J891" s="145"/>
    </row>
    <row r="892" spans="1:10" ht="24.95" hidden="1" customHeight="1">
      <c r="A892" s="141"/>
      <c r="B892" s="141"/>
      <c r="C892" s="143"/>
      <c r="D892" s="143"/>
      <c r="E892" s="141"/>
      <c r="F892" s="232"/>
      <c r="G892" s="150"/>
      <c r="H892" s="150"/>
      <c r="I892" s="145"/>
      <c r="J892" s="145"/>
    </row>
    <row r="893" spans="1:10" ht="24.95" hidden="1" customHeight="1">
      <c r="A893" s="141"/>
      <c r="B893" s="141"/>
      <c r="C893" s="143"/>
      <c r="D893" s="143"/>
      <c r="E893" s="141"/>
      <c r="F893" s="232"/>
      <c r="G893" s="150"/>
      <c r="H893" s="150"/>
      <c r="I893" s="145"/>
      <c r="J893" s="145"/>
    </row>
    <row r="894" spans="1:10" ht="24.95" hidden="1" customHeight="1">
      <c r="A894" s="141"/>
      <c r="B894" s="141"/>
      <c r="C894" s="143"/>
      <c r="D894" s="143"/>
      <c r="E894" s="141"/>
      <c r="F894" s="232"/>
      <c r="G894" s="150"/>
      <c r="H894" s="150"/>
      <c r="I894" s="145"/>
      <c r="J894" s="145"/>
    </row>
    <row r="895" spans="1:10" ht="24.95" hidden="1" customHeight="1">
      <c r="A895" s="141"/>
      <c r="B895" s="141"/>
      <c r="C895" s="143"/>
      <c r="D895" s="143"/>
      <c r="E895" s="141"/>
      <c r="F895" s="232"/>
      <c r="G895" s="150"/>
      <c r="H895" s="150"/>
      <c r="I895" s="145"/>
      <c r="J895" s="145"/>
    </row>
    <row r="896" spans="1:10" ht="24.95" hidden="1" customHeight="1">
      <c r="A896" s="141"/>
      <c r="B896" s="141"/>
      <c r="C896" s="143"/>
      <c r="D896" s="143"/>
      <c r="E896" s="141"/>
      <c r="F896" s="232"/>
      <c r="G896" s="150"/>
      <c r="H896" s="150"/>
      <c r="I896" s="145"/>
      <c r="J896" s="145"/>
    </row>
    <row r="897" spans="1:10" ht="24.95" hidden="1" customHeight="1">
      <c r="A897" s="141"/>
      <c r="B897" s="141"/>
      <c r="C897" s="143"/>
      <c r="D897" s="143"/>
      <c r="E897" s="141"/>
      <c r="F897" s="232"/>
      <c r="G897" s="150"/>
      <c r="H897" s="150"/>
      <c r="I897" s="145"/>
      <c r="J897" s="145"/>
    </row>
    <row r="898" spans="1:10" ht="24.95" hidden="1" customHeight="1">
      <c r="A898" s="141"/>
      <c r="B898" s="141"/>
      <c r="C898" s="143"/>
      <c r="D898" s="143"/>
      <c r="E898" s="141"/>
      <c r="F898" s="232"/>
      <c r="G898" s="150"/>
      <c r="H898" s="150"/>
      <c r="I898" s="145"/>
      <c r="J898" s="145"/>
    </row>
    <row r="899" spans="1:10" ht="24.95" hidden="1" customHeight="1">
      <c r="A899" s="141"/>
      <c r="B899" s="141"/>
      <c r="C899" s="143"/>
      <c r="D899" s="143"/>
      <c r="E899" s="141"/>
      <c r="F899" s="232"/>
      <c r="G899" s="150"/>
      <c r="H899" s="150"/>
      <c r="I899" s="145"/>
      <c r="J899" s="145"/>
    </row>
    <row r="900" spans="1:10" ht="24.95" hidden="1" customHeight="1">
      <c r="A900" s="141"/>
      <c r="B900" s="141"/>
      <c r="C900" s="143"/>
      <c r="D900" s="143"/>
      <c r="E900" s="141"/>
      <c r="F900" s="232"/>
      <c r="G900" s="150"/>
      <c r="H900" s="150"/>
      <c r="I900" s="145"/>
      <c r="J900" s="145"/>
    </row>
    <row r="901" spans="1:10" ht="24.95" hidden="1" customHeight="1">
      <c r="A901" s="141"/>
      <c r="B901" s="141"/>
      <c r="C901" s="143"/>
      <c r="D901" s="143"/>
      <c r="E901" s="141"/>
      <c r="F901" s="232"/>
      <c r="G901" s="150"/>
      <c r="H901" s="150"/>
      <c r="I901" s="145"/>
      <c r="J901" s="145"/>
    </row>
    <row r="902" spans="1:10" ht="24.95" hidden="1" customHeight="1">
      <c r="A902" s="141"/>
      <c r="B902" s="141"/>
      <c r="C902" s="143"/>
      <c r="D902" s="143"/>
      <c r="E902" s="141"/>
      <c r="F902" s="232"/>
      <c r="G902" s="150"/>
      <c r="H902" s="150"/>
      <c r="I902" s="145"/>
      <c r="J902" s="145"/>
    </row>
    <row r="903" spans="1:10" ht="24.95" hidden="1" customHeight="1">
      <c r="A903" s="141"/>
      <c r="B903" s="141"/>
      <c r="C903" s="143"/>
      <c r="D903" s="143"/>
      <c r="E903" s="141"/>
      <c r="F903" s="232"/>
      <c r="G903" s="150"/>
      <c r="H903" s="150"/>
      <c r="I903" s="145"/>
      <c r="J903" s="145"/>
    </row>
    <row r="904" spans="1:10" ht="24.95" hidden="1" customHeight="1">
      <c r="A904" s="141"/>
      <c r="B904" s="141"/>
      <c r="C904" s="143"/>
      <c r="D904" s="143"/>
      <c r="E904" s="141"/>
      <c r="F904" s="232"/>
      <c r="G904" s="150"/>
      <c r="H904" s="150"/>
      <c r="I904" s="145"/>
      <c r="J904" s="145"/>
    </row>
    <row r="905" spans="1:10" ht="24.95" hidden="1" customHeight="1">
      <c r="A905" s="141"/>
      <c r="B905" s="141"/>
      <c r="C905" s="143"/>
      <c r="D905" s="143"/>
      <c r="E905" s="141"/>
      <c r="F905" s="232"/>
      <c r="G905" s="150"/>
      <c r="H905" s="150"/>
      <c r="I905" s="145"/>
      <c r="J905" s="145"/>
    </row>
    <row r="906" spans="1:10" ht="24.95" hidden="1" customHeight="1">
      <c r="A906" s="141"/>
      <c r="B906" s="141"/>
      <c r="C906" s="143"/>
      <c r="D906" s="143"/>
      <c r="E906" s="141"/>
      <c r="F906" s="232"/>
      <c r="G906" s="150"/>
      <c r="H906" s="150"/>
      <c r="I906" s="145"/>
      <c r="J906" s="145"/>
    </row>
    <row r="907" spans="1:10" ht="24.95" hidden="1" customHeight="1">
      <c r="A907" s="141"/>
      <c r="B907" s="141"/>
      <c r="C907" s="143"/>
      <c r="D907" s="143"/>
      <c r="E907" s="141"/>
      <c r="F907" s="232"/>
      <c r="G907" s="150"/>
      <c r="H907" s="150"/>
      <c r="I907" s="145"/>
      <c r="J907" s="145"/>
    </row>
    <row r="908" spans="1:10" ht="24.95" hidden="1" customHeight="1">
      <c r="A908" s="141"/>
      <c r="B908" s="141"/>
      <c r="C908" s="143"/>
      <c r="D908" s="143"/>
      <c r="E908" s="141"/>
      <c r="F908" s="232"/>
      <c r="G908" s="150"/>
      <c r="H908" s="150"/>
      <c r="I908" s="145"/>
      <c r="J908" s="145"/>
    </row>
    <row r="909" spans="1:10" ht="24.95" hidden="1" customHeight="1">
      <c r="A909" s="141"/>
      <c r="B909" s="141"/>
      <c r="C909" s="143"/>
      <c r="D909" s="143"/>
      <c r="E909" s="141"/>
      <c r="F909" s="232"/>
      <c r="G909" s="150"/>
      <c r="H909" s="150"/>
      <c r="I909" s="145"/>
      <c r="J909" s="145"/>
    </row>
    <row r="910" spans="1:10" ht="24.95" hidden="1" customHeight="1">
      <c r="A910" s="141"/>
      <c r="B910" s="141"/>
      <c r="C910" s="143"/>
      <c r="D910" s="143"/>
      <c r="E910" s="141"/>
      <c r="F910" s="232"/>
      <c r="G910" s="150"/>
      <c r="H910" s="150"/>
      <c r="I910" s="145"/>
      <c r="J910" s="145"/>
    </row>
    <row r="911" spans="1:10" ht="24.95" hidden="1" customHeight="1">
      <c r="A911" s="141"/>
      <c r="B911" s="141"/>
      <c r="C911" s="143"/>
      <c r="D911" s="143"/>
      <c r="E911" s="141"/>
      <c r="F911" s="232"/>
      <c r="G911" s="150"/>
      <c r="H911" s="150"/>
      <c r="I911" s="145"/>
      <c r="J911" s="145"/>
    </row>
    <row r="912" spans="1:10" ht="24.95" hidden="1" customHeight="1">
      <c r="A912" s="141"/>
      <c r="B912" s="141"/>
      <c r="C912" s="143"/>
      <c r="D912" s="143"/>
      <c r="E912" s="141"/>
      <c r="F912" s="232"/>
      <c r="G912" s="150"/>
      <c r="H912" s="150"/>
      <c r="I912" s="145"/>
      <c r="J912" s="145"/>
    </row>
    <row r="913" spans="1:10" ht="24.95" hidden="1" customHeight="1">
      <c r="A913" s="141"/>
      <c r="B913" s="141"/>
      <c r="C913" s="143"/>
      <c r="D913" s="143"/>
      <c r="E913" s="141"/>
      <c r="F913" s="232"/>
      <c r="G913" s="150"/>
      <c r="H913" s="150"/>
      <c r="I913" s="145"/>
      <c r="J913" s="145"/>
    </row>
    <row r="914" spans="1:10" ht="24.95" hidden="1" customHeight="1">
      <c r="A914" s="141"/>
      <c r="B914" s="141"/>
      <c r="C914" s="143"/>
      <c r="D914" s="143"/>
      <c r="E914" s="141"/>
      <c r="F914" s="232"/>
      <c r="G914" s="150"/>
      <c r="H914" s="150"/>
      <c r="I914" s="145"/>
      <c r="J914" s="145"/>
    </row>
    <row r="915" spans="1:10" ht="24.95" hidden="1" customHeight="1">
      <c r="A915" s="141"/>
      <c r="B915" s="141"/>
      <c r="C915" s="143"/>
      <c r="D915" s="143"/>
      <c r="E915" s="141"/>
      <c r="F915" s="232"/>
      <c r="G915" s="150"/>
      <c r="H915" s="150"/>
      <c r="I915" s="145"/>
      <c r="J915" s="145"/>
    </row>
    <row r="916" spans="1:10" ht="24.95" hidden="1" customHeight="1">
      <c r="A916" s="141"/>
      <c r="B916" s="141"/>
      <c r="C916" s="143"/>
      <c r="D916" s="143"/>
      <c r="E916" s="141"/>
      <c r="F916" s="232"/>
      <c r="G916" s="150"/>
      <c r="H916" s="150"/>
      <c r="I916" s="145"/>
      <c r="J916" s="145"/>
    </row>
    <row r="917" spans="1:10" ht="24.95" hidden="1" customHeight="1">
      <c r="A917" s="141"/>
      <c r="B917" s="141"/>
      <c r="C917" s="143"/>
      <c r="D917" s="143"/>
      <c r="E917" s="141"/>
      <c r="F917" s="232"/>
      <c r="G917" s="150"/>
      <c r="H917" s="150"/>
      <c r="I917" s="145"/>
      <c r="J917" s="145"/>
    </row>
    <row r="918" spans="1:10" ht="24.95" hidden="1" customHeight="1">
      <c r="A918" s="141"/>
      <c r="B918" s="141"/>
      <c r="C918" s="143"/>
      <c r="D918" s="143"/>
      <c r="E918" s="141"/>
      <c r="F918" s="232"/>
      <c r="G918" s="150"/>
      <c r="H918" s="150"/>
      <c r="I918" s="145"/>
      <c r="J918" s="145"/>
    </row>
    <row r="919" spans="1:10" ht="24.95" hidden="1" customHeight="1">
      <c r="A919" s="141"/>
      <c r="B919" s="141"/>
      <c r="C919" s="143"/>
      <c r="D919" s="143"/>
      <c r="E919" s="141"/>
      <c r="F919" s="232"/>
      <c r="G919" s="150"/>
      <c r="H919" s="150"/>
      <c r="I919" s="145"/>
      <c r="J919" s="145"/>
    </row>
    <row r="920" spans="1:10" ht="24.95" hidden="1" customHeight="1">
      <c r="A920" s="141"/>
      <c r="B920" s="141"/>
      <c r="C920" s="143"/>
      <c r="D920" s="143"/>
      <c r="E920" s="141"/>
      <c r="F920" s="232"/>
      <c r="G920" s="150"/>
      <c r="H920" s="150"/>
      <c r="I920" s="145"/>
      <c r="J920" s="145"/>
    </row>
    <row r="921" spans="1:10" ht="24.95" hidden="1" customHeight="1">
      <c r="A921" s="141"/>
      <c r="B921" s="141"/>
      <c r="C921" s="143"/>
      <c r="D921" s="143"/>
      <c r="E921" s="141"/>
      <c r="F921" s="232"/>
      <c r="G921" s="150"/>
      <c r="H921" s="150"/>
      <c r="I921" s="145"/>
      <c r="J921" s="145"/>
    </row>
    <row r="922" spans="1:10" ht="24.95" hidden="1" customHeight="1">
      <c r="A922" s="141"/>
      <c r="B922" s="141"/>
      <c r="C922" s="143"/>
      <c r="D922" s="143"/>
      <c r="E922" s="141"/>
      <c r="F922" s="232"/>
      <c r="G922" s="150"/>
      <c r="H922" s="150"/>
      <c r="I922" s="145"/>
      <c r="J922" s="145"/>
    </row>
    <row r="923" spans="1:10" ht="24.95" hidden="1" customHeight="1">
      <c r="A923" s="141"/>
      <c r="B923" s="141"/>
      <c r="C923" s="143"/>
      <c r="D923" s="143"/>
      <c r="E923" s="141"/>
      <c r="F923" s="232"/>
      <c r="G923" s="150"/>
      <c r="H923" s="150"/>
      <c r="I923" s="145"/>
      <c r="J923" s="145"/>
    </row>
    <row r="924" spans="1:10" ht="24.95" hidden="1" customHeight="1">
      <c r="A924" s="141"/>
      <c r="B924" s="141"/>
      <c r="C924" s="143"/>
      <c r="D924" s="143"/>
      <c r="E924" s="141"/>
      <c r="F924" s="232"/>
      <c r="G924" s="150"/>
      <c r="H924" s="150"/>
      <c r="I924" s="145"/>
      <c r="J924" s="145"/>
    </row>
    <row r="925" spans="1:10" ht="24.95" hidden="1" customHeight="1">
      <c r="A925" s="141"/>
      <c r="B925" s="141"/>
      <c r="C925" s="143"/>
      <c r="D925" s="143"/>
      <c r="E925" s="141"/>
      <c r="F925" s="232"/>
      <c r="G925" s="150"/>
      <c r="H925" s="150"/>
      <c r="I925" s="145"/>
      <c r="J925" s="145"/>
    </row>
    <row r="926" spans="1:10" ht="24.95" hidden="1" customHeight="1">
      <c r="A926" s="141"/>
      <c r="B926" s="141"/>
      <c r="C926" s="143"/>
      <c r="D926" s="143"/>
      <c r="E926" s="141"/>
      <c r="F926" s="232"/>
      <c r="G926" s="150"/>
      <c r="H926" s="150"/>
      <c r="I926" s="145"/>
      <c r="J926" s="145"/>
    </row>
    <row r="927" spans="1:10" ht="24.95" hidden="1" customHeight="1">
      <c r="A927" s="141"/>
      <c r="B927" s="141"/>
      <c r="C927" s="143"/>
      <c r="D927" s="143"/>
      <c r="E927" s="141"/>
      <c r="F927" s="232"/>
      <c r="G927" s="150"/>
      <c r="H927" s="150"/>
      <c r="I927" s="145"/>
      <c r="J927" s="145"/>
    </row>
    <row r="928" spans="1:10" ht="24.95" hidden="1" customHeight="1">
      <c r="A928" s="141"/>
      <c r="B928" s="141"/>
      <c r="C928" s="143"/>
      <c r="D928" s="143"/>
      <c r="E928" s="141"/>
      <c r="F928" s="232"/>
      <c r="G928" s="150"/>
      <c r="H928" s="150"/>
      <c r="I928" s="145"/>
      <c r="J928" s="145"/>
    </row>
    <row r="929" spans="1:10" ht="24.95" hidden="1" customHeight="1">
      <c r="A929" s="141"/>
      <c r="B929" s="141"/>
      <c r="C929" s="143"/>
      <c r="D929" s="143"/>
      <c r="E929" s="141"/>
      <c r="F929" s="232"/>
      <c r="G929" s="150"/>
      <c r="H929" s="150"/>
      <c r="I929" s="145"/>
      <c r="J929" s="145"/>
    </row>
    <row r="930" spans="1:10" ht="24.95" hidden="1" customHeight="1">
      <c r="A930" s="141"/>
      <c r="B930" s="141"/>
      <c r="C930" s="143"/>
      <c r="D930" s="143"/>
      <c r="E930" s="141"/>
      <c r="F930" s="232"/>
      <c r="G930" s="150"/>
      <c r="H930" s="150"/>
      <c r="I930" s="145"/>
      <c r="J930" s="145"/>
    </row>
    <row r="931" spans="1:10" ht="24.95" hidden="1" customHeight="1">
      <c r="A931" s="141"/>
      <c r="B931" s="141"/>
      <c r="C931" s="143"/>
      <c r="D931" s="143"/>
      <c r="E931" s="141"/>
      <c r="F931" s="232"/>
      <c r="G931" s="150"/>
      <c r="H931" s="150"/>
      <c r="I931" s="145"/>
      <c r="J931" s="145"/>
    </row>
    <row r="932" spans="1:10" ht="24.95" hidden="1" customHeight="1">
      <c r="A932" s="141"/>
      <c r="B932" s="141"/>
      <c r="C932" s="143"/>
      <c r="D932" s="143"/>
      <c r="E932" s="141"/>
      <c r="F932" s="232"/>
      <c r="G932" s="150"/>
      <c r="H932" s="150"/>
      <c r="I932" s="145"/>
      <c r="J932" s="145"/>
    </row>
    <row r="933" spans="1:10" ht="24.95" hidden="1" customHeight="1">
      <c r="A933" s="141"/>
      <c r="B933" s="141"/>
      <c r="C933" s="143"/>
      <c r="D933" s="143"/>
      <c r="E933" s="141"/>
      <c r="F933" s="232"/>
      <c r="G933" s="150"/>
      <c r="H933" s="150"/>
      <c r="I933" s="145"/>
      <c r="J933" s="145"/>
    </row>
    <row r="934" spans="1:10" ht="24.95" hidden="1" customHeight="1">
      <c r="A934" s="141"/>
      <c r="B934" s="141"/>
      <c r="C934" s="143"/>
      <c r="D934" s="143"/>
      <c r="E934" s="141"/>
      <c r="F934" s="232"/>
      <c r="G934" s="150"/>
      <c r="H934" s="150"/>
      <c r="I934" s="145"/>
      <c r="J934" s="145"/>
    </row>
    <row r="935" spans="1:10" ht="24.95" hidden="1" customHeight="1">
      <c r="A935" s="141"/>
      <c r="B935" s="141"/>
      <c r="C935" s="143"/>
      <c r="D935" s="143"/>
      <c r="E935" s="141"/>
      <c r="F935" s="232"/>
      <c r="G935" s="150"/>
      <c r="H935" s="150"/>
      <c r="I935" s="145"/>
      <c r="J935" s="145"/>
    </row>
    <row r="936" spans="1:10" ht="24.95" hidden="1" customHeight="1">
      <c r="A936" s="141"/>
      <c r="B936" s="141"/>
      <c r="C936" s="143"/>
      <c r="D936" s="143"/>
      <c r="E936" s="141"/>
      <c r="F936" s="232"/>
      <c r="G936" s="150"/>
      <c r="H936" s="150"/>
      <c r="I936" s="145"/>
      <c r="J936" s="145"/>
    </row>
    <row r="937" spans="1:10" ht="24.95" hidden="1" customHeight="1">
      <c r="A937" s="141"/>
      <c r="B937" s="141"/>
      <c r="C937" s="143"/>
      <c r="D937" s="143"/>
      <c r="E937" s="141"/>
      <c r="F937" s="232"/>
      <c r="G937" s="150"/>
      <c r="H937" s="150"/>
      <c r="I937" s="145"/>
      <c r="J937" s="145"/>
    </row>
    <row r="938" spans="1:10" ht="24.95" hidden="1" customHeight="1">
      <c r="A938" s="141"/>
      <c r="B938" s="141"/>
      <c r="C938" s="143"/>
      <c r="D938" s="143"/>
      <c r="E938" s="141"/>
      <c r="F938" s="232"/>
      <c r="G938" s="150"/>
      <c r="H938" s="150"/>
      <c r="I938" s="145"/>
      <c r="J938" s="145"/>
    </row>
    <row r="939" spans="1:10" ht="24.95" hidden="1" customHeight="1">
      <c r="A939" s="141"/>
      <c r="B939" s="141"/>
      <c r="C939" s="143"/>
      <c r="D939" s="143"/>
      <c r="E939" s="141"/>
      <c r="F939" s="232"/>
      <c r="G939" s="150"/>
      <c r="H939" s="150"/>
      <c r="I939" s="145"/>
      <c r="J939" s="145"/>
    </row>
    <row r="940" spans="1:10" ht="24.95" hidden="1" customHeight="1">
      <c r="A940" s="141"/>
      <c r="B940" s="141"/>
      <c r="C940" s="143"/>
      <c r="D940" s="143"/>
      <c r="E940" s="141"/>
      <c r="F940" s="232"/>
      <c r="G940" s="150"/>
      <c r="H940" s="150"/>
      <c r="I940" s="145"/>
      <c r="J940" s="145"/>
    </row>
    <row r="941" spans="1:10" ht="24.95" hidden="1" customHeight="1">
      <c r="A941" s="141"/>
      <c r="B941" s="141"/>
      <c r="C941" s="143"/>
      <c r="D941" s="143"/>
      <c r="E941" s="141"/>
      <c r="F941" s="232"/>
      <c r="G941" s="150"/>
      <c r="H941" s="150"/>
      <c r="I941" s="145"/>
      <c r="J941" s="145"/>
    </row>
    <row r="942" spans="1:10" ht="24.95" hidden="1" customHeight="1">
      <c r="A942" s="141"/>
      <c r="B942" s="141"/>
      <c r="C942" s="143"/>
      <c r="D942" s="143"/>
      <c r="E942" s="141"/>
      <c r="F942" s="232"/>
      <c r="G942" s="150"/>
      <c r="H942" s="150"/>
      <c r="I942" s="145"/>
      <c r="J942" s="145"/>
    </row>
    <row r="943" spans="1:10" ht="24.95" hidden="1" customHeight="1">
      <c r="A943" s="141"/>
      <c r="B943" s="141"/>
      <c r="C943" s="143"/>
      <c r="D943" s="143"/>
      <c r="E943" s="141"/>
      <c r="F943" s="232"/>
      <c r="G943" s="150"/>
      <c r="H943" s="150"/>
      <c r="I943" s="145"/>
      <c r="J943" s="145"/>
    </row>
    <row r="944" spans="1:10" ht="24.95" hidden="1" customHeight="1">
      <c r="A944" s="141"/>
      <c r="B944" s="141"/>
      <c r="C944" s="143"/>
      <c r="D944" s="143"/>
      <c r="E944" s="141"/>
      <c r="F944" s="232"/>
      <c r="G944" s="150"/>
      <c r="H944" s="150"/>
      <c r="I944" s="145"/>
      <c r="J944" s="145"/>
    </row>
    <row r="945" spans="1:10" ht="24.95" hidden="1" customHeight="1">
      <c r="A945" s="141"/>
      <c r="B945" s="141"/>
      <c r="C945" s="143"/>
      <c r="D945" s="143"/>
      <c r="E945" s="141"/>
      <c r="F945" s="232"/>
      <c r="G945" s="150"/>
      <c r="H945" s="150"/>
      <c r="I945" s="145"/>
      <c r="J945" s="145"/>
    </row>
    <row r="946" spans="1:10" ht="24.95" hidden="1" customHeight="1">
      <c r="A946" s="141"/>
      <c r="B946" s="141"/>
      <c r="C946" s="143"/>
      <c r="D946" s="143"/>
      <c r="E946" s="141"/>
      <c r="F946" s="232"/>
      <c r="G946" s="150"/>
      <c r="H946" s="150"/>
      <c r="I946" s="145"/>
      <c r="J946" s="145"/>
    </row>
    <row r="947" spans="1:10" ht="24.95" hidden="1" customHeight="1">
      <c r="A947" s="141"/>
      <c r="B947" s="141"/>
      <c r="C947" s="143"/>
      <c r="D947" s="143"/>
      <c r="E947" s="141"/>
      <c r="F947" s="232"/>
      <c r="G947" s="150"/>
      <c r="H947" s="150"/>
      <c r="I947" s="145"/>
      <c r="J947" s="145"/>
    </row>
    <row r="948" spans="1:10" ht="24.95" hidden="1" customHeight="1">
      <c r="A948" s="141"/>
      <c r="B948" s="141"/>
      <c r="C948" s="143"/>
      <c r="D948" s="143"/>
      <c r="E948" s="141"/>
      <c r="F948" s="232"/>
      <c r="G948" s="150"/>
      <c r="H948" s="150"/>
      <c r="I948" s="145"/>
      <c r="J948" s="145"/>
    </row>
    <row r="949" spans="1:10" ht="24.95" hidden="1" customHeight="1">
      <c r="A949" s="141"/>
      <c r="B949" s="141"/>
      <c r="C949" s="143"/>
      <c r="D949" s="143"/>
      <c r="E949" s="141"/>
      <c r="F949" s="232"/>
      <c r="G949" s="150"/>
      <c r="H949" s="150"/>
      <c r="I949" s="145"/>
      <c r="J949" s="145"/>
    </row>
    <row r="950" spans="1:10" ht="24.95" hidden="1" customHeight="1">
      <c r="A950" s="141"/>
      <c r="B950" s="141"/>
      <c r="C950" s="143"/>
      <c r="D950" s="143"/>
      <c r="E950" s="141"/>
      <c r="F950" s="232"/>
      <c r="G950" s="150"/>
      <c r="H950" s="150"/>
      <c r="I950" s="145"/>
      <c r="J950" s="145"/>
    </row>
    <row r="951" spans="1:10" ht="24.95" hidden="1" customHeight="1">
      <c r="A951" s="141"/>
      <c r="B951" s="141"/>
      <c r="C951" s="143"/>
      <c r="D951" s="143"/>
      <c r="E951" s="141"/>
      <c r="F951" s="232"/>
      <c r="G951" s="150"/>
      <c r="H951" s="150"/>
      <c r="I951" s="145"/>
      <c r="J951" s="145"/>
    </row>
    <row r="952" spans="1:10" ht="24.95" hidden="1" customHeight="1">
      <c r="A952" s="141"/>
      <c r="B952" s="141"/>
      <c r="C952" s="143"/>
      <c r="D952" s="143"/>
      <c r="E952" s="141"/>
      <c r="F952" s="232"/>
      <c r="G952" s="150"/>
      <c r="H952" s="150"/>
      <c r="I952" s="145"/>
      <c r="J952" s="145"/>
    </row>
    <row r="953" spans="1:10" ht="24.95" hidden="1" customHeight="1">
      <c r="A953" s="141"/>
      <c r="B953" s="141"/>
      <c r="C953" s="143"/>
      <c r="D953" s="143"/>
      <c r="E953" s="141"/>
      <c r="F953" s="232"/>
      <c r="G953" s="150"/>
      <c r="H953" s="150"/>
      <c r="I953" s="145"/>
      <c r="J953" s="145"/>
    </row>
    <row r="954" spans="1:10" ht="24.95" hidden="1" customHeight="1">
      <c r="A954" s="141"/>
      <c r="B954" s="141"/>
      <c r="C954" s="143"/>
      <c r="D954" s="143"/>
      <c r="E954" s="141"/>
      <c r="F954" s="232"/>
      <c r="G954" s="150"/>
      <c r="H954" s="150"/>
      <c r="I954" s="145"/>
      <c r="J954" s="145"/>
    </row>
    <row r="955" spans="1:10" ht="24.95" hidden="1" customHeight="1">
      <c r="A955" s="141"/>
      <c r="B955" s="141"/>
      <c r="C955" s="143"/>
      <c r="D955" s="143"/>
      <c r="E955" s="141"/>
      <c r="F955" s="232"/>
      <c r="G955" s="150"/>
      <c r="H955" s="150"/>
      <c r="I955" s="145"/>
      <c r="J955" s="145"/>
    </row>
    <row r="956" spans="1:10" ht="24.95" hidden="1" customHeight="1">
      <c r="A956" s="141"/>
      <c r="B956" s="141"/>
      <c r="C956" s="143"/>
      <c r="D956" s="143"/>
      <c r="E956" s="141"/>
      <c r="F956" s="232"/>
      <c r="G956" s="150"/>
      <c r="H956" s="150"/>
      <c r="I956" s="145"/>
      <c r="J956" s="145"/>
    </row>
    <row r="957" spans="1:10" ht="24.95" hidden="1" customHeight="1">
      <c r="A957" s="141"/>
      <c r="B957" s="141"/>
      <c r="C957" s="143"/>
      <c r="D957" s="143"/>
      <c r="E957" s="141"/>
      <c r="F957" s="232"/>
      <c r="G957" s="150"/>
      <c r="H957" s="150"/>
      <c r="I957" s="145"/>
      <c r="J957" s="145"/>
    </row>
    <row r="958" spans="1:10" ht="24.95" hidden="1" customHeight="1">
      <c r="A958" s="141"/>
      <c r="B958" s="141"/>
      <c r="C958" s="143"/>
      <c r="D958" s="143"/>
      <c r="E958" s="141"/>
      <c r="F958" s="232"/>
      <c r="G958" s="150"/>
      <c r="H958" s="150"/>
      <c r="I958" s="145"/>
      <c r="J958" s="145"/>
    </row>
    <row r="959" spans="1:10" ht="24.95" hidden="1" customHeight="1">
      <c r="A959" s="141"/>
      <c r="B959" s="141"/>
      <c r="C959" s="143"/>
      <c r="D959" s="143"/>
      <c r="E959" s="141"/>
      <c r="F959" s="232"/>
      <c r="G959" s="150"/>
      <c r="H959" s="150"/>
      <c r="I959" s="145"/>
      <c r="J959" s="145"/>
    </row>
    <row r="960" spans="1:10" ht="24.95" hidden="1" customHeight="1">
      <c r="A960" s="141"/>
      <c r="B960" s="141"/>
      <c r="C960" s="143"/>
      <c r="D960" s="143"/>
      <c r="E960" s="141"/>
      <c r="F960" s="232"/>
      <c r="G960" s="150"/>
      <c r="H960" s="150"/>
      <c r="I960" s="145"/>
      <c r="J960" s="145"/>
    </row>
    <row r="961" spans="1:10" ht="24.95" hidden="1" customHeight="1">
      <c r="A961" s="141"/>
      <c r="B961" s="141"/>
      <c r="C961" s="143"/>
      <c r="D961" s="143"/>
      <c r="E961" s="141"/>
      <c r="F961" s="232"/>
      <c r="G961" s="150"/>
      <c r="H961" s="150"/>
      <c r="I961" s="145"/>
      <c r="J961" s="145"/>
    </row>
    <row r="962" spans="1:10" ht="24.95" hidden="1" customHeight="1">
      <c r="A962" s="141"/>
      <c r="B962" s="141"/>
      <c r="C962" s="143"/>
      <c r="D962" s="143"/>
      <c r="E962" s="141"/>
      <c r="F962" s="232"/>
      <c r="G962" s="150"/>
      <c r="H962" s="150"/>
      <c r="I962" s="145"/>
      <c r="J962" s="145"/>
    </row>
    <row r="963" spans="1:10" ht="24.95" hidden="1" customHeight="1">
      <c r="A963" s="141"/>
      <c r="B963" s="141"/>
      <c r="C963" s="143"/>
      <c r="D963" s="143"/>
      <c r="E963" s="141"/>
      <c r="F963" s="232"/>
      <c r="G963" s="150"/>
      <c r="H963" s="150"/>
      <c r="I963" s="145"/>
      <c r="J963" s="145"/>
    </row>
    <row r="964" spans="1:10" ht="24.95" hidden="1" customHeight="1">
      <c r="A964" s="141"/>
      <c r="B964" s="141"/>
      <c r="C964" s="143"/>
      <c r="D964" s="143"/>
      <c r="E964" s="141"/>
      <c r="F964" s="232"/>
      <c r="G964" s="150"/>
      <c r="H964" s="150"/>
      <c r="I964" s="145"/>
      <c r="J964" s="145"/>
    </row>
    <row r="965" spans="1:10" ht="24.95" hidden="1" customHeight="1">
      <c r="A965" s="141"/>
      <c r="B965" s="141"/>
      <c r="C965" s="143"/>
      <c r="D965" s="143"/>
      <c r="E965" s="141"/>
      <c r="F965" s="232"/>
      <c r="G965" s="150"/>
      <c r="H965" s="150"/>
      <c r="I965" s="145"/>
      <c r="J965" s="145"/>
    </row>
    <row r="966" spans="1:10" ht="24.95" hidden="1" customHeight="1">
      <c r="A966" s="141"/>
      <c r="B966" s="141"/>
      <c r="C966" s="143"/>
      <c r="D966" s="143"/>
      <c r="E966" s="141"/>
      <c r="F966" s="232"/>
      <c r="G966" s="150"/>
      <c r="H966" s="150"/>
      <c r="I966" s="145"/>
      <c r="J966" s="145"/>
    </row>
    <row r="967" spans="1:10" ht="24.95" hidden="1" customHeight="1">
      <c r="A967" s="141"/>
      <c r="B967" s="141"/>
      <c r="C967" s="143"/>
      <c r="D967" s="143"/>
      <c r="E967" s="141"/>
      <c r="F967" s="232"/>
      <c r="G967" s="150"/>
      <c r="H967" s="150"/>
      <c r="I967" s="145"/>
      <c r="J967" s="145"/>
    </row>
    <row r="968" spans="1:10" ht="24.95" hidden="1" customHeight="1">
      <c r="A968" s="141"/>
      <c r="B968" s="141"/>
      <c r="C968" s="143"/>
      <c r="D968" s="143"/>
      <c r="E968" s="141"/>
      <c r="F968" s="232"/>
      <c r="G968" s="150"/>
      <c r="H968" s="150"/>
      <c r="I968" s="145"/>
      <c r="J968" s="145"/>
    </row>
    <row r="969" spans="1:10" ht="24.95" hidden="1" customHeight="1">
      <c r="A969" s="141"/>
      <c r="B969" s="141"/>
      <c r="C969" s="143"/>
      <c r="D969" s="143"/>
      <c r="E969" s="141"/>
      <c r="F969" s="232"/>
      <c r="G969" s="150"/>
      <c r="H969" s="150"/>
      <c r="I969" s="145"/>
      <c r="J969" s="145"/>
    </row>
    <row r="970" spans="1:10" ht="24.95" hidden="1" customHeight="1">
      <c r="A970" s="141"/>
      <c r="B970" s="141"/>
      <c r="C970" s="143"/>
      <c r="D970" s="143"/>
      <c r="E970" s="141"/>
      <c r="F970" s="232"/>
      <c r="G970" s="150"/>
      <c r="H970" s="150"/>
      <c r="I970" s="145"/>
      <c r="J970" s="145"/>
    </row>
    <row r="971" spans="1:10" ht="24.95" hidden="1" customHeight="1">
      <c r="A971" s="141"/>
      <c r="B971" s="141"/>
      <c r="C971" s="143"/>
      <c r="D971" s="143"/>
      <c r="E971" s="141"/>
      <c r="F971" s="232"/>
      <c r="G971" s="150"/>
      <c r="H971" s="150"/>
      <c r="I971" s="145"/>
      <c r="J971" s="145"/>
    </row>
    <row r="972" spans="1:10" ht="24.95" hidden="1" customHeight="1">
      <c r="A972" s="141"/>
      <c r="B972" s="141"/>
      <c r="C972" s="143"/>
      <c r="D972" s="143"/>
      <c r="E972" s="141"/>
      <c r="F972" s="232"/>
      <c r="G972" s="150"/>
      <c r="H972" s="150"/>
      <c r="I972" s="145"/>
      <c r="J972" s="145"/>
    </row>
    <row r="973" spans="1:10" ht="24.95" hidden="1" customHeight="1">
      <c r="A973" s="141"/>
      <c r="B973" s="141"/>
      <c r="C973" s="143"/>
      <c r="D973" s="143"/>
      <c r="E973" s="141"/>
      <c r="F973" s="232"/>
      <c r="G973" s="150"/>
      <c r="H973" s="150"/>
      <c r="I973" s="145"/>
      <c r="J973" s="145"/>
    </row>
    <row r="974" spans="1:10" ht="24.95" hidden="1" customHeight="1">
      <c r="A974" s="141"/>
      <c r="B974" s="141"/>
      <c r="C974" s="143"/>
      <c r="D974" s="143"/>
      <c r="E974" s="141"/>
      <c r="F974" s="232"/>
      <c r="G974" s="150"/>
      <c r="H974" s="150"/>
      <c r="I974" s="145"/>
      <c r="J974" s="145"/>
    </row>
    <row r="975" spans="1:10" ht="24.95" hidden="1" customHeight="1">
      <c r="A975" s="141"/>
      <c r="B975" s="141"/>
      <c r="C975" s="143"/>
      <c r="D975" s="143"/>
      <c r="E975" s="141"/>
      <c r="F975" s="232"/>
      <c r="G975" s="150"/>
      <c r="H975" s="150"/>
      <c r="I975" s="145"/>
      <c r="J975" s="145"/>
    </row>
    <row r="976" spans="1:10" ht="24.95" hidden="1" customHeight="1">
      <c r="A976" s="141"/>
      <c r="B976" s="141"/>
      <c r="C976" s="143"/>
      <c r="D976" s="143"/>
      <c r="E976" s="141"/>
      <c r="F976" s="232"/>
      <c r="G976" s="150"/>
      <c r="H976" s="150"/>
      <c r="I976" s="145"/>
      <c r="J976" s="145"/>
    </row>
    <row r="977" spans="1:10" ht="24.95" hidden="1" customHeight="1">
      <c r="A977" s="141"/>
      <c r="B977" s="141"/>
      <c r="C977" s="143"/>
      <c r="D977" s="143"/>
      <c r="E977" s="141"/>
      <c r="F977" s="232"/>
      <c r="G977" s="150"/>
      <c r="H977" s="150"/>
      <c r="I977" s="145"/>
      <c r="J977" s="145"/>
    </row>
    <row r="978" spans="1:10" ht="24.95" hidden="1" customHeight="1">
      <c r="A978" s="141"/>
      <c r="B978" s="141"/>
      <c r="C978" s="143"/>
      <c r="D978" s="143"/>
      <c r="E978" s="141"/>
      <c r="F978" s="232"/>
      <c r="G978" s="150"/>
      <c r="H978" s="150"/>
      <c r="I978" s="145"/>
      <c r="J978" s="145"/>
    </row>
    <row r="979" spans="1:10" ht="24.95" hidden="1" customHeight="1">
      <c r="A979" s="141"/>
      <c r="B979" s="141"/>
      <c r="C979" s="143"/>
      <c r="D979" s="143"/>
      <c r="E979" s="141"/>
      <c r="F979" s="232"/>
      <c r="G979" s="150"/>
      <c r="H979" s="150"/>
      <c r="I979" s="145"/>
      <c r="J979" s="145"/>
    </row>
    <row r="980" spans="1:10" ht="24.95" hidden="1" customHeight="1">
      <c r="A980" s="141"/>
      <c r="B980" s="141"/>
      <c r="C980" s="143"/>
      <c r="D980" s="143"/>
      <c r="E980" s="141"/>
      <c r="F980" s="232"/>
      <c r="G980" s="150"/>
      <c r="H980" s="150"/>
      <c r="I980" s="145"/>
      <c r="J980" s="145"/>
    </row>
    <row r="981" spans="1:10" ht="24.95" hidden="1" customHeight="1">
      <c r="A981" s="141"/>
      <c r="B981" s="141"/>
      <c r="C981" s="143"/>
      <c r="D981" s="143"/>
      <c r="E981" s="141"/>
      <c r="F981" s="232"/>
      <c r="G981" s="150"/>
      <c r="H981" s="150"/>
      <c r="I981" s="145"/>
      <c r="J981" s="145"/>
    </row>
    <row r="982" spans="1:10" ht="24.95" hidden="1" customHeight="1">
      <c r="A982" s="141"/>
      <c r="B982" s="141"/>
      <c r="C982" s="143"/>
      <c r="D982" s="143"/>
      <c r="E982" s="141"/>
      <c r="F982" s="232"/>
      <c r="G982" s="150"/>
      <c r="H982" s="150"/>
      <c r="I982" s="145"/>
      <c r="J982" s="145"/>
    </row>
    <row r="983" spans="1:10" ht="24.95" hidden="1" customHeight="1">
      <c r="A983" s="141"/>
      <c r="B983" s="141"/>
      <c r="C983" s="143"/>
      <c r="D983" s="143"/>
      <c r="E983" s="141"/>
      <c r="F983" s="232"/>
      <c r="G983" s="150"/>
      <c r="H983" s="150"/>
      <c r="I983" s="145"/>
      <c r="J983" s="145"/>
    </row>
    <row r="984" spans="1:10" ht="24.95" hidden="1" customHeight="1">
      <c r="A984" s="141"/>
      <c r="B984" s="141"/>
      <c r="C984" s="143"/>
      <c r="D984" s="143"/>
      <c r="E984" s="141"/>
      <c r="F984" s="232"/>
      <c r="G984" s="150"/>
      <c r="H984" s="150"/>
      <c r="I984" s="145"/>
      <c r="J984" s="145"/>
    </row>
    <row r="985" spans="1:10" ht="24.95" hidden="1" customHeight="1">
      <c r="A985" s="141"/>
      <c r="B985" s="141"/>
      <c r="C985" s="143"/>
      <c r="D985" s="143"/>
      <c r="E985" s="141"/>
      <c r="F985" s="232"/>
      <c r="G985" s="150"/>
      <c r="H985" s="150"/>
      <c r="I985" s="145"/>
      <c r="J985" s="145"/>
    </row>
    <row r="986" spans="1:10" ht="24.95" hidden="1" customHeight="1">
      <c r="A986" s="141"/>
      <c r="B986" s="141"/>
      <c r="C986" s="143"/>
      <c r="D986" s="143"/>
      <c r="E986" s="141"/>
      <c r="F986" s="232"/>
      <c r="G986" s="150"/>
      <c r="H986" s="150"/>
      <c r="I986" s="145"/>
      <c r="J986" s="145"/>
    </row>
    <row r="987" spans="1:10" ht="24.95" hidden="1" customHeight="1">
      <c r="A987" s="141"/>
      <c r="B987" s="141"/>
      <c r="C987" s="143"/>
      <c r="D987" s="143"/>
      <c r="E987" s="141"/>
      <c r="F987" s="232"/>
      <c r="G987" s="150"/>
      <c r="H987" s="150"/>
      <c r="I987" s="145"/>
      <c r="J987" s="145"/>
    </row>
    <row r="988" spans="1:10" ht="24.95" hidden="1" customHeight="1">
      <c r="A988" s="141"/>
      <c r="B988" s="141"/>
      <c r="C988" s="143"/>
      <c r="D988" s="143"/>
      <c r="E988" s="141"/>
      <c r="F988" s="232"/>
      <c r="G988" s="150"/>
      <c r="H988" s="150"/>
      <c r="I988" s="145"/>
      <c r="J988" s="145"/>
    </row>
    <row r="989" spans="1:10" ht="24.95" hidden="1" customHeight="1">
      <c r="A989" s="141"/>
      <c r="B989" s="141"/>
      <c r="C989" s="143"/>
      <c r="D989" s="143"/>
      <c r="E989" s="141"/>
      <c r="F989" s="232"/>
      <c r="G989" s="150"/>
      <c r="H989" s="150"/>
      <c r="I989" s="145"/>
      <c r="J989" s="145"/>
    </row>
    <row r="990" spans="1:10" ht="24.95" hidden="1" customHeight="1">
      <c r="A990" s="141"/>
      <c r="B990" s="141"/>
      <c r="C990" s="143"/>
      <c r="D990" s="143"/>
      <c r="E990" s="141"/>
      <c r="F990" s="232"/>
      <c r="G990" s="150"/>
      <c r="H990" s="150"/>
      <c r="I990" s="145"/>
      <c r="J990" s="145"/>
    </row>
    <row r="991" spans="1:10" ht="24.95" hidden="1" customHeight="1">
      <c r="A991" s="141"/>
      <c r="B991" s="141"/>
      <c r="C991" s="143"/>
      <c r="D991" s="143"/>
      <c r="E991" s="141"/>
      <c r="F991" s="232"/>
      <c r="G991" s="150"/>
      <c r="H991" s="150"/>
      <c r="I991" s="145"/>
      <c r="J991" s="145"/>
    </row>
    <row r="992" spans="1:10" ht="24.95" hidden="1" customHeight="1">
      <c r="A992" s="141"/>
      <c r="B992" s="141"/>
      <c r="C992" s="143"/>
      <c r="D992" s="143"/>
      <c r="E992" s="141"/>
      <c r="F992" s="232"/>
      <c r="G992" s="150"/>
      <c r="H992" s="150"/>
      <c r="I992" s="145"/>
      <c r="J992" s="145"/>
    </row>
    <row r="993" spans="1:10" ht="24.95" hidden="1" customHeight="1">
      <c r="A993" s="141"/>
      <c r="B993" s="141"/>
      <c r="C993" s="143"/>
      <c r="D993" s="143"/>
      <c r="E993" s="141"/>
      <c r="F993" s="232"/>
      <c r="G993" s="150"/>
      <c r="H993" s="150"/>
      <c r="I993" s="145"/>
      <c r="J993" s="145"/>
    </row>
    <row r="994" spans="1:10" ht="24.95" hidden="1" customHeight="1">
      <c r="A994" s="141"/>
      <c r="B994" s="141"/>
      <c r="C994" s="143"/>
      <c r="D994" s="143"/>
      <c r="E994" s="141"/>
      <c r="F994" s="232"/>
      <c r="G994" s="150"/>
      <c r="H994" s="150"/>
      <c r="I994" s="145"/>
      <c r="J994" s="145"/>
    </row>
    <row r="995" spans="1:10" ht="24.95" hidden="1" customHeight="1">
      <c r="A995" s="141"/>
      <c r="B995" s="141"/>
      <c r="C995" s="143"/>
      <c r="D995" s="143"/>
      <c r="E995" s="141"/>
      <c r="F995" s="232"/>
      <c r="G995" s="150"/>
      <c r="H995" s="150"/>
      <c r="I995" s="145"/>
      <c r="J995" s="145"/>
    </row>
    <row r="996" spans="1:10" ht="24.95" hidden="1" customHeight="1">
      <c r="A996" s="141"/>
      <c r="B996" s="141"/>
      <c r="C996" s="143"/>
      <c r="D996" s="143"/>
      <c r="E996" s="141"/>
      <c r="F996" s="232"/>
      <c r="G996" s="150"/>
      <c r="H996" s="150"/>
      <c r="I996" s="145"/>
      <c r="J996" s="145"/>
    </row>
    <row r="997" spans="1:10" ht="24.95" hidden="1" customHeight="1">
      <c r="A997" s="141"/>
      <c r="B997" s="141"/>
      <c r="C997" s="143"/>
      <c r="D997" s="143"/>
      <c r="E997" s="141"/>
      <c r="F997" s="232"/>
      <c r="G997" s="150"/>
      <c r="H997" s="150"/>
      <c r="I997" s="145"/>
      <c r="J997" s="145"/>
    </row>
    <row r="998" spans="1:10" ht="15" hidden="1" customHeight="1"/>
    <row r="999" spans="1:10" ht="15" hidden="1" customHeight="1"/>
    <row r="1000" spans="1:10" ht="15" hidden="1" customHeight="1"/>
  </sheetData>
  <pageMargins left="0.2" right="0.2" top="0.16" bottom="0.75" header="0.16" footer="0.3"/>
  <pageSetup paperSize="9" scale="67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theme="7" tint="-0.249977111117893"/>
    <pageSetUpPr fitToPage="1"/>
  </sheetPr>
  <dimension ref="B1:K16"/>
  <sheetViews>
    <sheetView view="pageBreakPreview" topLeftCell="A4" zoomScale="115" zoomScaleNormal="100" zoomScaleSheetLayoutView="115" workbookViewId="0">
      <selection activeCell="O18" sqref="O18"/>
    </sheetView>
  </sheetViews>
  <sheetFormatPr defaultRowHeight="14.25"/>
  <cols>
    <col min="1" max="1" width="3.265625" customWidth="1"/>
    <col min="2" max="2" width="11" customWidth="1"/>
    <col min="3" max="3" width="20.59765625" customWidth="1"/>
    <col min="4" max="4" width="11.86328125" bestFit="1" customWidth="1"/>
    <col min="6" max="6" width="7.265625" customWidth="1"/>
    <col min="7" max="7" width="7.59765625" customWidth="1"/>
    <col min="8" max="8" width="7" customWidth="1"/>
    <col min="10" max="10" width="5.3984375" customWidth="1"/>
    <col min="11" max="11" width="7.1328125" customWidth="1"/>
    <col min="12" max="12" width="4.265625" customWidth="1"/>
  </cols>
  <sheetData>
    <row r="1" spans="2:11">
      <c r="B1" t="s">
        <v>296</v>
      </c>
    </row>
    <row r="2" spans="2:11" ht="12" customHeight="1">
      <c r="C2" s="51" t="str">
        <f>"Tên công ty"&amp;" : "&amp;KhaiBaoThongTinDN!C3</f>
        <v>Tên công ty : CÔNG TY CỔ PHẦN BÓNG ĐÈN ĐIỆN QUANG</v>
      </c>
      <c r="D2" s="51"/>
      <c r="E2" s="52"/>
      <c r="F2" s="53"/>
      <c r="G2" s="53"/>
      <c r="H2" s="53"/>
      <c r="I2" s="46"/>
      <c r="J2" s="46"/>
    </row>
    <row r="3" spans="2:11" ht="12" customHeight="1">
      <c r="C3" s="55" t="str">
        <f>"Địa chỉ"&amp;" : "&amp;KhaiBaoThongTinDN!C4</f>
        <v>Địa chỉ : 32 Linh trung , Thủ Đức , TP HCM</v>
      </c>
      <c r="D3" s="55"/>
      <c r="E3" s="56"/>
      <c r="F3" s="56"/>
      <c r="G3" s="56"/>
      <c r="H3" s="57"/>
      <c r="I3" s="46"/>
      <c r="J3" s="46"/>
    </row>
    <row r="4" spans="2:11" ht="12" customHeight="1">
      <c r="C4" s="58" t="str">
        <f>"Số điện thoại"&amp;" : "&amp;KhaiBaoThongTinDN!C5</f>
        <v>Số điện thoại : 0773447837</v>
      </c>
      <c r="D4" s="58"/>
      <c r="E4" s="53"/>
      <c r="F4" s="53"/>
      <c r="G4" s="53"/>
      <c r="H4" s="53"/>
      <c r="I4" s="46"/>
      <c r="J4" s="46"/>
    </row>
    <row r="5" spans="2:11" ht="12" customHeight="1">
      <c r="C5" s="58" t="str">
        <f>"Mã số thuế"&amp;" : "&amp;KhaiBaoThongTinDN!C7</f>
        <v>Mã số thuế : 5645645645645</v>
      </c>
      <c r="D5" s="58"/>
      <c r="E5" s="53"/>
      <c r="F5" s="53"/>
      <c r="G5" s="53"/>
      <c r="H5" s="53"/>
      <c r="I5" s="46"/>
      <c r="J5" s="46"/>
    </row>
    <row r="7" spans="2:11">
      <c r="I7" t="s">
        <v>269</v>
      </c>
      <c r="J7" s="306" t="s">
        <v>289</v>
      </c>
      <c r="K7" s="306"/>
    </row>
    <row r="8" spans="2:11" ht="8.25" customHeight="1"/>
    <row r="9" spans="2:11">
      <c r="D9" s="368">
        <f ca="1">TODAY()</f>
        <v>44825</v>
      </c>
      <c r="E9" s="368"/>
      <c r="F9" s="368"/>
      <c r="G9" s="368"/>
      <c r="H9" s="368"/>
    </row>
    <row r="11" spans="2:11" ht="18.95" customHeight="1">
      <c r="B11" s="307" t="s">
        <v>270</v>
      </c>
      <c r="C11" s="315" t="str">
        <f>IFERROR(VLOOKUP(J7,DATA_NX!$B$104:$O$1048576,2,0),"")</f>
        <v/>
      </c>
      <c r="D11" s="307" t="s">
        <v>271</v>
      </c>
      <c r="E11" s="314" t="str">
        <f>IF(LEFT(C11,2)="NC",VLOOKUP(C11,DM_NhaCungCap!$C$3:$L$1048576,3,0),IF(LEFT(C11,2)="KH",VLOOKUP(C11,DM_KhachHang!$C$3:$J$1048576,3,0),""))</f>
        <v/>
      </c>
      <c r="F11" s="306"/>
      <c r="G11" s="306"/>
      <c r="H11" s="306"/>
      <c r="I11" s="306"/>
      <c r="J11" s="306"/>
      <c r="K11" s="306"/>
    </row>
    <row r="12" spans="2:11" ht="18.95" customHeight="1">
      <c r="B12" s="307" t="s">
        <v>272</v>
      </c>
      <c r="C12" s="314" t="str">
        <f>IF(LEFT(C11,2)="NC",VLOOKUP(C11,DM_NhaCungCap!$C$3:$L$1048576,4,0),IF(LEFT(C11,2)="KH",VLOOKUP(C11,DM_KhachHang!$C$3:$J$1048576,4,0),""))</f>
        <v/>
      </c>
      <c r="D12" s="306"/>
      <c r="E12" s="306"/>
      <c r="F12" s="306"/>
      <c r="G12" s="306"/>
      <c r="H12" s="306"/>
      <c r="I12" s="306"/>
      <c r="J12" s="306"/>
      <c r="K12" s="306"/>
    </row>
    <row r="13" spans="2:11" ht="18.95" customHeight="1">
      <c r="B13" s="307" t="s">
        <v>273</v>
      </c>
      <c r="C13" s="313" t="str">
        <f>IFERROR(VLOOKUP(J7,DATA_NX!$B$104:$O$1048576,14,0),"")</f>
        <v/>
      </c>
      <c r="D13" s="308"/>
      <c r="E13" s="308"/>
      <c r="F13" s="308"/>
      <c r="G13" s="308"/>
      <c r="H13" s="308"/>
      <c r="I13" s="308"/>
      <c r="J13" s="308"/>
      <c r="K13" s="308"/>
    </row>
    <row r="14" spans="2:11" ht="18.95" customHeight="1">
      <c r="B14" s="307" t="s">
        <v>274</v>
      </c>
      <c r="C14" s="316" t="str">
        <f>IFERROR(VLOOKUP(J7,DATA_NX!$B$104:$O$1048576,12,0),"")</f>
        <v/>
      </c>
      <c r="D14" s="308"/>
      <c r="E14" s="308"/>
      <c r="F14" s="308"/>
      <c r="G14" s="308"/>
      <c r="H14" s="308"/>
      <c r="I14" s="308"/>
      <c r="J14" s="308"/>
      <c r="K14" s="308"/>
    </row>
    <row r="15" spans="2:11" ht="18.95" customHeight="1">
      <c r="B15" s="307" t="s">
        <v>275</v>
      </c>
      <c r="C15" s="313" t="str">
        <f>DocSoUni(C14) &amp; " đồng"</f>
        <v xml:space="preserve"> đồng</v>
      </c>
      <c r="D15" s="308"/>
      <c r="E15" s="308"/>
      <c r="F15" s="308"/>
      <c r="G15" s="308"/>
      <c r="H15" s="308"/>
      <c r="I15" s="308"/>
      <c r="J15" s="308"/>
      <c r="K15" s="308"/>
    </row>
    <row r="16" spans="2:11" ht="18.95" customHeight="1">
      <c r="B16" s="307" t="s">
        <v>276</v>
      </c>
      <c r="C16" s="308"/>
      <c r="D16" s="308"/>
      <c r="E16" s="308"/>
      <c r="F16" t="s">
        <v>277</v>
      </c>
      <c r="H16" s="308"/>
      <c r="I16" s="308"/>
      <c r="J16" s="308"/>
      <c r="K16" s="308"/>
    </row>
  </sheetData>
  <mergeCells count="1">
    <mergeCell ref="D9:H9"/>
  </mergeCells>
  <pageMargins left="0.2" right="0.2" top="0.21" bottom="0.75" header="0.16" footer="0.3"/>
  <pageSetup paperSize="9" scale="97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2" tint="-0.749992370372631"/>
  </sheetPr>
  <dimension ref="A1:B40"/>
  <sheetViews>
    <sheetView topLeftCell="A19" workbookViewId="0">
      <selection activeCell="M7" sqref="M7"/>
    </sheetView>
  </sheetViews>
  <sheetFormatPr defaultRowHeight="14.25"/>
  <cols>
    <col min="1" max="1" width="12.3984375" customWidth="1"/>
    <col min="2" max="2" width="10.73046875" bestFit="1" customWidth="1"/>
  </cols>
  <sheetData>
    <row r="1" spans="1:2">
      <c r="A1" s="318" t="s">
        <v>290</v>
      </c>
      <c r="B1" s="318">
        <f>COUNTA(DM_HangHoa!C3:C1048576)</f>
        <v>4</v>
      </c>
    </row>
    <row r="2" spans="1:2">
      <c r="A2" s="318" t="s">
        <v>291</v>
      </c>
      <c r="B2" s="318">
        <f>COUNTA(DM_KhachHang!$C$3:$C$1048576)</f>
        <v>2</v>
      </c>
    </row>
    <row r="3" spans="1:2">
      <c r="A3" s="318" t="s">
        <v>292</v>
      </c>
      <c r="B3" s="318">
        <f>COUNTA(DM_NhaCungCap!C3:C1048576)</f>
        <v>2</v>
      </c>
    </row>
    <row r="4" spans="1:2">
      <c r="A4" s="318" t="s">
        <v>293</v>
      </c>
      <c r="B4" s="318">
        <f>SETTING!N2-1</f>
        <v>0</v>
      </c>
    </row>
    <row r="5" spans="1:2">
      <c r="A5" s="318" t="s">
        <v>294</v>
      </c>
      <c r="B5" s="318">
        <f>SETTING!O2-1</f>
        <v>0</v>
      </c>
    </row>
    <row r="6" spans="1:2">
      <c r="A6" s="318" t="s">
        <v>295</v>
      </c>
      <c r="B6" s="318">
        <f>SETTING!P2-1</f>
        <v>0</v>
      </c>
    </row>
    <row r="7" spans="1:2">
      <c r="A7" s="369">
        <f ca="1">TODAY()</f>
        <v>44825</v>
      </c>
      <c r="B7" s="320">
        <f ca="1">EOMONTH(A7,0)</f>
        <v>44834</v>
      </c>
    </row>
    <row r="8" spans="1:2">
      <c r="A8" s="369"/>
      <c r="B8" s="320">
        <f ca="1">EOMONTH(A7,0-1)+1</f>
        <v>44805</v>
      </c>
    </row>
    <row r="9" spans="1:2">
      <c r="A9" s="319" t="s">
        <v>297</v>
      </c>
      <c r="B9" s="319" t="s">
        <v>298</v>
      </c>
    </row>
    <row r="10" spans="1:2">
      <c r="A10" s="321">
        <f ca="1">B8</f>
        <v>44805</v>
      </c>
      <c r="B10" s="319">
        <f ca="1">COUNTIFS(DATA_NX!$A$17:$A$1048576,CHART!A10)</f>
        <v>0</v>
      </c>
    </row>
    <row r="11" spans="1:2">
      <c r="A11" s="321">
        <f ca="1">A10+1</f>
        <v>44806</v>
      </c>
      <c r="B11" s="319">
        <f ca="1">COUNTIFS(DATA_NX!$A$17:$A$1048576,CHART!A11)</f>
        <v>0</v>
      </c>
    </row>
    <row r="12" spans="1:2">
      <c r="A12" s="321">
        <f t="shared" ref="A12:A40" ca="1" si="0">A11+1</f>
        <v>44807</v>
      </c>
      <c r="B12" s="319">
        <f ca="1">COUNTIFS(DATA_NX!$A$17:$A$1048576,CHART!A12)</f>
        <v>0</v>
      </c>
    </row>
    <row r="13" spans="1:2">
      <c r="A13" s="321">
        <f t="shared" ca="1" si="0"/>
        <v>44808</v>
      </c>
      <c r="B13" s="319">
        <f ca="1">COUNTIFS(DATA_NX!$A$17:$A$1048576,CHART!A13)</f>
        <v>0</v>
      </c>
    </row>
    <row r="14" spans="1:2">
      <c r="A14" s="321">
        <f t="shared" ca="1" si="0"/>
        <v>44809</v>
      </c>
      <c r="B14" s="319">
        <f ca="1">COUNTIFS(DATA_NX!$A$17:$A$1048576,CHART!A14)</f>
        <v>0</v>
      </c>
    </row>
    <row r="15" spans="1:2">
      <c r="A15" s="321">
        <f t="shared" ca="1" si="0"/>
        <v>44810</v>
      </c>
      <c r="B15" s="319">
        <f ca="1">COUNTIFS(DATA_NX!$A$17:$A$1048576,CHART!A15)</f>
        <v>0</v>
      </c>
    </row>
    <row r="16" spans="1:2">
      <c r="A16" s="321">
        <f t="shared" ca="1" si="0"/>
        <v>44811</v>
      </c>
      <c r="B16" s="319">
        <f ca="1">COUNTIFS(DATA_NX!$A$17:$A$1048576,CHART!A16)</f>
        <v>0</v>
      </c>
    </row>
    <row r="17" spans="1:2">
      <c r="A17" s="321">
        <f t="shared" ca="1" si="0"/>
        <v>44812</v>
      </c>
      <c r="B17" s="319">
        <f ca="1">COUNTIFS(DATA_NX!$A$17:$A$1048576,CHART!A17)</f>
        <v>0</v>
      </c>
    </row>
    <row r="18" spans="1:2">
      <c r="A18" s="321">
        <f t="shared" ca="1" si="0"/>
        <v>44813</v>
      </c>
      <c r="B18" s="319">
        <f ca="1">COUNTIFS(DATA_NX!$A$17:$A$1048576,CHART!A18)</f>
        <v>0</v>
      </c>
    </row>
    <row r="19" spans="1:2">
      <c r="A19" s="321">
        <f t="shared" ca="1" si="0"/>
        <v>44814</v>
      </c>
      <c r="B19" s="319">
        <f ca="1">COUNTIFS(DATA_NX!$A$17:$A$1048576,CHART!A19)</f>
        <v>0</v>
      </c>
    </row>
    <row r="20" spans="1:2">
      <c r="A20" s="321">
        <f t="shared" ca="1" si="0"/>
        <v>44815</v>
      </c>
      <c r="B20" s="319">
        <f ca="1">COUNTIFS(DATA_NX!$A$17:$A$1048576,CHART!A20)</f>
        <v>0</v>
      </c>
    </row>
    <row r="21" spans="1:2">
      <c r="A21" s="321">
        <f t="shared" ca="1" si="0"/>
        <v>44816</v>
      </c>
      <c r="B21" s="319">
        <f ca="1">COUNTIFS(DATA_NX!$A$17:$A$1048576,CHART!A21)</f>
        <v>0</v>
      </c>
    </row>
    <row r="22" spans="1:2">
      <c r="A22" s="321">
        <f t="shared" ca="1" si="0"/>
        <v>44817</v>
      </c>
      <c r="B22" s="319">
        <f ca="1">COUNTIFS(DATA_NX!$A$17:$A$1048576,CHART!A22)</f>
        <v>0</v>
      </c>
    </row>
    <row r="23" spans="1:2">
      <c r="A23" s="321">
        <f t="shared" ca="1" si="0"/>
        <v>44818</v>
      </c>
      <c r="B23" s="319">
        <f ca="1">COUNTIFS(DATA_NX!$A$17:$A$1048576,CHART!A23)</f>
        <v>0</v>
      </c>
    </row>
    <row r="24" spans="1:2">
      <c r="A24" s="321">
        <f t="shared" ca="1" si="0"/>
        <v>44819</v>
      </c>
      <c r="B24" s="319">
        <f ca="1">COUNTIFS(DATA_NX!$A$17:$A$1048576,CHART!A24)</f>
        <v>0</v>
      </c>
    </row>
    <row r="25" spans="1:2">
      <c r="A25" s="321">
        <f t="shared" ca="1" si="0"/>
        <v>44820</v>
      </c>
      <c r="B25" s="319">
        <f ca="1">COUNTIFS(DATA_NX!$A$17:$A$1048576,CHART!A25)</f>
        <v>0</v>
      </c>
    </row>
    <row r="26" spans="1:2">
      <c r="A26" s="321">
        <f t="shared" ca="1" si="0"/>
        <v>44821</v>
      </c>
      <c r="B26" s="319">
        <f ca="1">COUNTIFS(DATA_NX!$A$17:$A$1048576,CHART!A26)</f>
        <v>0</v>
      </c>
    </row>
    <row r="27" spans="1:2">
      <c r="A27" s="321">
        <f t="shared" ca="1" si="0"/>
        <v>44822</v>
      </c>
      <c r="B27" s="319">
        <f ca="1">COUNTIFS(DATA_NX!$A$17:$A$1048576,CHART!A27)</f>
        <v>0</v>
      </c>
    </row>
    <row r="28" spans="1:2">
      <c r="A28" s="321">
        <f t="shared" ca="1" si="0"/>
        <v>44823</v>
      </c>
      <c r="B28" s="319">
        <f ca="1">COUNTIFS(DATA_NX!$A$17:$A$1048576,CHART!A28)</f>
        <v>0</v>
      </c>
    </row>
    <row r="29" spans="1:2">
      <c r="A29" s="321">
        <f t="shared" ca="1" si="0"/>
        <v>44824</v>
      </c>
      <c r="B29" s="319">
        <f ca="1">COUNTIFS(DATA_NX!$A$17:$A$1048576,CHART!A29)</f>
        <v>0</v>
      </c>
    </row>
    <row r="30" spans="1:2">
      <c r="A30" s="321">
        <f t="shared" ca="1" si="0"/>
        <v>44825</v>
      </c>
      <c r="B30" s="319">
        <f ca="1">COUNTIFS(DATA_NX!$A$17:$A$1048576,CHART!A30)</f>
        <v>0</v>
      </c>
    </row>
    <row r="31" spans="1:2">
      <c r="A31" s="321">
        <f t="shared" ca="1" si="0"/>
        <v>44826</v>
      </c>
      <c r="B31" s="319">
        <f ca="1">COUNTIFS(DATA_NX!$A$17:$A$1048576,CHART!A31)</f>
        <v>0</v>
      </c>
    </row>
    <row r="32" spans="1:2">
      <c r="A32" s="321">
        <f t="shared" ca="1" si="0"/>
        <v>44827</v>
      </c>
      <c r="B32" s="319">
        <f ca="1">COUNTIFS(DATA_NX!$A$17:$A$1048576,CHART!A32)</f>
        <v>0</v>
      </c>
    </row>
    <row r="33" spans="1:2">
      <c r="A33" s="321">
        <f t="shared" ca="1" si="0"/>
        <v>44828</v>
      </c>
      <c r="B33" s="319">
        <f ca="1">COUNTIFS(DATA_NX!$A$17:$A$1048576,CHART!A33)</f>
        <v>0</v>
      </c>
    </row>
    <row r="34" spans="1:2">
      <c r="A34" s="321">
        <f t="shared" ca="1" si="0"/>
        <v>44829</v>
      </c>
      <c r="B34" s="319">
        <f ca="1">COUNTIFS(DATA_NX!$A$17:$A$1048576,CHART!A34)</f>
        <v>0</v>
      </c>
    </row>
    <row r="35" spans="1:2">
      <c r="A35" s="321">
        <f t="shared" ca="1" si="0"/>
        <v>44830</v>
      </c>
      <c r="B35" s="319">
        <f ca="1">COUNTIFS(DATA_NX!$A$17:$A$1048576,CHART!A35)</f>
        <v>0</v>
      </c>
    </row>
    <row r="36" spans="1:2">
      <c r="A36" s="321">
        <f t="shared" ca="1" si="0"/>
        <v>44831</v>
      </c>
      <c r="B36" s="319">
        <f ca="1">COUNTIFS(DATA_NX!$A$17:$A$1048576,CHART!A36)</f>
        <v>0</v>
      </c>
    </row>
    <row r="37" spans="1:2">
      <c r="A37" s="321">
        <f t="shared" ca="1" si="0"/>
        <v>44832</v>
      </c>
      <c r="B37" s="319">
        <f ca="1">COUNTIFS(DATA_NX!$A$17:$A$1048576,CHART!A37)</f>
        <v>0</v>
      </c>
    </row>
    <row r="38" spans="1:2">
      <c r="A38" s="321">
        <f t="shared" ca="1" si="0"/>
        <v>44833</v>
      </c>
      <c r="B38" s="319">
        <f ca="1">COUNTIFS(DATA_NX!$A$17:$A$1048576,CHART!A38)</f>
        <v>0</v>
      </c>
    </row>
    <row r="39" spans="1:2">
      <c r="A39" s="321">
        <f t="shared" ca="1" si="0"/>
        <v>44834</v>
      </c>
      <c r="B39" s="319">
        <f ca="1">COUNTIFS(DATA_NX!$A$17:$A$1048576,CHART!A39)</f>
        <v>0</v>
      </c>
    </row>
    <row r="40" spans="1:2">
      <c r="A40" s="321">
        <f t="shared" ca="1" si="0"/>
        <v>44835</v>
      </c>
      <c r="B40" s="319">
        <f ca="1">COUNTIFS(DATA_NX!$A$17:$A$1048576,CHART!A40)</f>
        <v>0</v>
      </c>
    </row>
  </sheetData>
  <mergeCells count="1">
    <mergeCell ref="A7:A8"/>
  </mergeCells>
  <pageMargins left="0.7" right="0.7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B247"/>
  <sheetViews>
    <sheetView workbookViewId="0">
      <selection activeCell="M43" sqref="M43"/>
    </sheetView>
  </sheetViews>
  <sheetFormatPr defaultRowHeight="14.25"/>
  <cols>
    <col min="1" max="1" width="65.59765625" bestFit="1" customWidth="1"/>
  </cols>
  <sheetData>
    <row r="1" spans="1:2">
      <c r="A1" t="s">
        <v>32</v>
      </c>
      <c r="B1" t="s">
        <v>33</v>
      </c>
    </row>
    <row r="2" spans="1:2">
      <c r="A2" t="s">
        <v>34</v>
      </c>
      <c r="B2" t="s">
        <v>35</v>
      </c>
    </row>
    <row r="3" spans="1:2">
      <c r="A3" t="s">
        <v>36</v>
      </c>
      <c r="B3" t="s">
        <v>37</v>
      </c>
    </row>
    <row r="4" spans="1:2">
      <c r="A4" t="s">
        <v>38</v>
      </c>
      <c r="B4" t="str">
        <f t="shared" ref="B4" si="0">UniVba(A4)</f>
        <v>"[ GIÁ BÁN ] không " &amp; ChrW(273) &amp; ChrW(432) &amp; ChrW(7907) &amp; "c " &amp; ChrW(273) &amp; ChrW(7875) &amp; " tr" &amp; ChrW(7889) &amp; "ng và có [ " &amp; ChrW(272) &amp; ChrW(416) &amp; "N BÁN ] l" &amp; ChrW(7899) &amp; "n h" &amp; ChrW(417) &amp; "n 0"</v>
      </c>
    </row>
    <row r="5" spans="1:2">
      <c r="A5" t="s">
        <v>39</v>
      </c>
      <c r="B5" t="s">
        <v>40</v>
      </c>
    </row>
    <row r="6" spans="1:2">
      <c r="A6" t="s">
        <v>41</v>
      </c>
      <c r="B6" t="s">
        <v>40</v>
      </c>
    </row>
    <row r="7" spans="1:2">
      <c r="A7" t="s">
        <v>42</v>
      </c>
      <c r="B7" t="s">
        <v>40</v>
      </c>
    </row>
    <row r="8" spans="1:2">
      <c r="A8" t="s">
        <v>43</v>
      </c>
      <c r="B8" t="s">
        <v>44</v>
      </c>
    </row>
    <row r="9" spans="1:2">
      <c r="A9" t="s">
        <v>71</v>
      </c>
      <c r="B9" t="s">
        <v>72</v>
      </c>
    </row>
    <row r="10" spans="1:2">
      <c r="A10" t="s">
        <v>73</v>
      </c>
      <c r="B10" t="s">
        <v>74</v>
      </c>
    </row>
    <row r="11" spans="1:2">
      <c r="A11" t="s">
        <v>75</v>
      </c>
      <c r="B11" t="s">
        <v>76</v>
      </c>
    </row>
    <row r="12" spans="1:2">
      <c r="A12" t="s">
        <v>77</v>
      </c>
      <c r="B12" t="s">
        <v>78</v>
      </c>
    </row>
    <row r="13" spans="1:2">
      <c r="A13" t="s">
        <v>79</v>
      </c>
      <c r="B13" t="s">
        <v>80</v>
      </c>
    </row>
    <row r="14" spans="1:2">
      <c r="A14" t="s">
        <v>81</v>
      </c>
      <c r="B14" t="s">
        <v>82</v>
      </c>
    </row>
    <row r="15" spans="1:2">
      <c r="A15" t="s">
        <v>84</v>
      </c>
      <c r="B15" t="s">
        <v>85</v>
      </c>
    </row>
    <row r="16" spans="1:2">
      <c r="A16" t="s">
        <v>104</v>
      </c>
      <c r="B16" t="s">
        <v>86</v>
      </c>
    </row>
    <row r="17" spans="1:2">
      <c r="A17" t="s">
        <v>96</v>
      </c>
      <c r="B17" t="s">
        <v>97</v>
      </c>
    </row>
    <row r="18" spans="1:2">
      <c r="A18" t="s">
        <v>98</v>
      </c>
      <c r="B18" t="s">
        <v>99</v>
      </c>
    </row>
    <row r="19" spans="1:2">
      <c r="A19" t="s">
        <v>100</v>
      </c>
      <c r="B19" t="s">
        <v>101</v>
      </c>
    </row>
    <row r="20" spans="1:2">
      <c r="A20" t="s">
        <v>102</v>
      </c>
      <c r="B20" t="s">
        <v>103</v>
      </c>
    </row>
    <row r="21" spans="1:2">
      <c r="A21" t="s">
        <v>104</v>
      </c>
      <c r="B21" t="s">
        <v>105</v>
      </c>
    </row>
    <row r="22" spans="1:2">
      <c r="A22" t="s">
        <v>106</v>
      </c>
      <c r="B22" t="s">
        <v>107</v>
      </c>
    </row>
    <row r="23" spans="1:2">
      <c r="A23" t="s">
        <v>113</v>
      </c>
      <c r="B23" t="s">
        <v>114</v>
      </c>
    </row>
    <row r="24" spans="1:2">
      <c r="A24" t="s">
        <v>115</v>
      </c>
      <c r="B24" t="str">
        <f t="shared" ref="B24:B73" si="1">UniVba(A24)</f>
        <v>"[ " &amp; ChrW(272) &amp; ChrW(416) &amp; "N V" &amp; ChrW(7882) &amp; " TÍNH ] không " &amp; ChrW(273) &amp; ChrW(432) &amp; ChrW(7907) &amp; "c " &amp; ChrW(273) &amp; ChrW(7875) &amp; " tr" &amp; ChrW(7889) &amp; "ng"</v>
      </c>
    </row>
    <row r="25" spans="1:2">
      <c r="A25" t="s">
        <v>116</v>
      </c>
      <c r="B25" t="s">
        <v>117</v>
      </c>
    </row>
    <row r="26" spans="1:2">
      <c r="A26" t="s">
        <v>118</v>
      </c>
      <c r="B26" t="s">
        <v>119</v>
      </c>
    </row>
    <row r="27" spans="1:2">
      <c r="A27" t="s">
        <v>155</v>
      </c>
      <c r="B27" t="s">
        <v>156</v>
      </c>
    </row>
    <row r="28" spans="1:2">
      <c r="A28" t="s">
        <v>161</v>
      </c>
      <c r="B28" t="s">
        <v>162</v>
      </c>
    </row>
    <row r="29" spans="1:2">
      <c r="A29" t="s">
        <v>163</v>
      </c>
      <c r="B29" t="s">
        <v>164</v>
      </c>
    </row>
    <row r="30" spans="1:2">
      <c r="A30" t="s">
        <v>165</v>
      </c>
      <c r="B30" t="s">
        <v>166</v>
      </c>
    </row>
    <row r="31" spans="1:2">
      <c r="A31" t="s">
        <v>181</v>
      </c>
      <c r="B31" t="s">
        <v>182</v>
      </c>
    </row>
    <row r="32" spans="1:2">
      <c r="A32" t="s">
        <v>183</v>
      </c>
      <c r="B32" t="str">
        <f t="shared" si="1"/>
        <v>"[ S" &amp; ChrW(7888) &amp; " L" &amp; ChrW(431) &amp; ChrW(7906) &amp; "NG XU" &amp; ChrW(7844) &amp; "T ] không th" &amp; ChrW(7875) &amp; " nhìu h" &amp; ChrW(417) &amp; "n [ S" &amp; ChrW(7888) &amp; " L" &amp; ChrW(431) &amp; ChrW(7906) &amp; "NG T" &amp; ChrW(7890) &amp; "N KHO ]...!"</v>
      </c>
    </row>
    <row r="33" spans="1:2">
      <c r="A33" t="s">
        <v>185</v>
      </c>
      <c r="B33" t="s">
        <v>186</v>
      </c>
    </row>
    <row r="34" spans="1:2">
      <c r="A34" t="s">
        <v>187</v>
      </c>
      <c r="B34" t="str">
        <f t="shared" si="1"/>
        <v>"[ XU" &amp; ChrW(7844) &amp; "T PHI" &amp; ChrW(7870) &amp; "U THÀNH CÔNG ] " &amp; ChrW(8230)</v>
      </c>
    </row>
    <row r="35" spans="1:2">
      <c r="A35" t="s">
        <v>195</v>
      </c>
      <c r="B35" t="s">
        <v>196</v>
      </c>
    </row>
    <row r="36" spans="1:2">
      <c r="A36" t="s">
        <v>259</v>
      </c>
      <c r="B36" t="s">
        <v>260</v>
      </c>
    </row>
    <row r="37" spans="1:2">
      <c r="A37" t="s">
        <v>283</v>
      </c>
      <c r="B37" t="s">
        <v>284</v>
      </c>
    </row>
    <row r="38" spans="1:2">
      <c r="A38" t="s">
        <v>285</v>
      </c>
      <c r="B38" t="s">
        <v>286</v>
      </c>
    </row>
    <row r="39" spans="1:2">
      <c r="B39" t="str">
        <f t="shared" si="1"/>
        <v>""</v>
      </c>
    </row>
    <row r="40" spans="1:2">
      <c r="B40" t="str">
        <f t="shared" si="1"/>
        <v>""</v>
      </c>
    </row>
    <row r="41" spans="1:2">
      <c r="B41" t="str">
        <f t="shared" si="1"/>
        <v>""</v>
      </c>
    </row>
    <row r="42" spans="1:2">
      <c r="B42" t="str">
        <f t="shared" si="1"/>
        <v>""</v>
      </c>
    </row>
    <row r="43" spans="1:2">
      <c r="B43" t="str">
        <f t="shared" si="1"/>
        <v>""</v>
      </c>
    </row>
    <row r="44" spans="1:2">
      <c r="B44" t="str">
        <f t="shared" si="1"/>
        <v>""</v>
      </c>
    </row>
    <row r="45" spans="1:2">
      <c r="B45" t="str">
        <f t="shared" si="1"/>
        <v>""</v>
      </c>
    </row>
    <row r="46" spans="1:2">
      <c r="B46" t="str">
        <f t="shared" si="1"/>
        <v>""</v>
      </c>
    </row>
    <row r="47" spans="1:2">
      <c r="B47" t="str">
        <f t="shared" si="1"/>
        <v>""</v>
      </c>
    </row>
    <row r="48" spans="1:2">
      <c r="B48" t="str">
        <f t="shared" si="1"/>
        <v>""</v>
      </c>
    </row>
    <row r="49" spans="2:2">
      <c r="B49" t="str">
        <f t="shared" si="1"/>
        <v>""</v>
      </c>
    </row>
    <row r="50" spans="2:2">
      <c r="B50" t="str">
        <f t="shared" si="1"/>
        <v>""</v>
      </c>
    </row>
    <row r="51" spans="2:2">
      <c r="B51" t="str">
        <f t="shared" si="1"/>
        <v>""</v>
      </c>
    </row>
    <row r="52" spans="2:2">
      <c r="B52" t="str">
        <f t="shared" si="1"/>
        <v>""</v>
      </c>
    </row>
    <row r="53" spans="2:2">
      <c r="B53" t="str">
        <f t="shared" si="1"/>
        <v>""</v>
      </c>
    </row>
    <row r="54" spans="2:2">
      <c r="B54" t="str">
        <f t="shared" si="1"/>
        <v>""</v>
      </c>
    </row>
    <row r="55" spans="2:2">
      <c r="B55" t="str">
        <f t="shared" si="1"/>
        <v>""</v>
      </c>
    </row>
    <row r="56" spans="2:2">
      <c r="B56" t="str">
        <f t="shared" si="1"/>
        <v>""</v>
      </c>
    </row>
    <row r="57" spans="2:2">
      <c r="B57" t="str">
        <f t="shared" si="1"/>
        <v>""</v>
      </c>
    </row>
    <row r="58" spans="2:2">
      <c r="B58" t="str">
        <f t="shared" si="1"/>
        <v>""</v>
      </c>
    </row>
    <row r="59" spans="2:2">
      <c r="B59" t="str">
        <f t="shared" si="1"/>
        <v>""</v>
      </c>
    </row>
    <row r="60" spans="2:2">
      <c r="B60" t="str">
        <f t="shared" si="1"/>
        <v>""</v>
      </c>
    </row>
    <row r="61" spans="2:2">
      <c r="B61" t="str">
        <f t="shared" si="1"/>
        <v>""</v>
      </c>
    </row>
    <row r="62" spans="2:2">
      <c r="B62" t="str">
        <f t="shared" si="1"/>
        <v>""</v>
      </c>
    </row>
    <row r="63" spans="2:2">
      <c r="B63" t="str">
        <f t="shared" si="1"/>
        <v>""</v>
      </c>
    </row>
    <row r="64" spans="2:2">
      <c r="B64" t="str">
        <f t="shared" si="1"/>
        <v>""</v>
      </c>
    </row>
    <row r="65" spans="2:2">
      <c r="B65" t="str">
        <f t="shared" si="1"/>
        <v>""</v>
      </c>
    </row>
    <row r="66" spans="2:2">
      <c r="B66" t="str">
        <f t="shared" si="1"/>
        <v>""</v>
      </c>
    </row>
    <row r="67" spans="2:2">
      <c r="B67" t="str">
        <f t="shared" si="1"/>
        <v>""</v>
      </c>
    </row>
    <row r="68" spans="2:2">
      <c r="B68" t="str">
        <f t="shared" si="1"/>
        <v>""</v>
      </c>
    </row>
    <row r="69" spans="2:2">
      <c r="B69" t="str">
        <f t="shared" si="1"/>
        <v>""</v>
      </c>
    </row>
    <row r="70" spans="2:2">
      <c r="B70" t="str">
        <f t="shared" si="1"/>
        <v>""</v>
      </c>
    </row>
    <row r="71" spans="2:2">
      <c r="B71" t="str">
        <f t="shared" si="1"/>
        <v>""</v>
      </c>
    </row>
    <row r="72" spans="2:2">
      <c r="B72" t="str">
        <f t="shared" si="1"/>
        <v>""</v>
      </c>
    </row>
    <row r="73" spans="2:2">
      <c r="B73" t="str">
        <f t="shared" si="1"/>
        <v>""</v>
      </c>
    </row>
    <row r="74" spans="2:2">
      <c r="B74" t="str">
        <f t="shared" ref="B74:B137" si="2">UniVba(A74)</f>
        <v>""</v>
      </c>
    </row>
    <row r="75" spans="2:2">
      <c r="B75" t="str">
        <f t="shared" si="2"/>
        <v>""</v>
      </c>
    </row>
    <row r="76" spans="2:2">
      <c r="B76" t="str">
        <f t="shared" si="2"/>
        <v>""</v>
      </c>
    </row>
    <row r="77" spans="2:2">
      <c r="B77" t="str">
        <f t="shared" si="2"/>
        <v>""</v>
      </c>
    </row>
    <row r="78" spans="2:2">
      <c r="B78" t="str">
        <f t="shared" si="2"/>
        <v>""</v>
      </c>
    </row>
    <row r="79" spans="2:2">
      <c r="B79" t="str">
        <f t="shared" si="2"/>
        <v>""</v>
      </c>
    </row>
    <row r="80" spans="2:2">
      <c r="B80" t="str">
        <f t="shared" si="2"/>
        <v>""</v>
      </c>
    </row>
    <row r="81" spans="2:2">
      <c r="B81" t="str">
        <f t="shared" si="2"/>
        <v>""</v>
      </c>
    </row>
    <row r="82" spans="2:2">
      <c r="B82" t="str">
        <f t="shared" si="2"/>
        <v>""</v>
      </c>
    </row>
    <row r="83" spans="2:2">
      <c r="B83" t="str">
        <f t="shared" si="2"/>
        <v>""</v>
      </c>
    </row>
    <row r="84" spans="2:2">
      <c r="B84" t="str">
        <f t="shared" si="2"/>
        <v>""</v>
      </c>
    </row>
    <row r="85" spans="2:2">
      <c r="B85" t="str">
        <f t="shared" si="2"/>
        <v>""</v>
      </c>
    </row>
    <row r="86" spans="2:2">
      <c r="B86" t="str">
        <f t="shared" si="2"/>
        <v>""</v>
      </c>
    </row>
    <row r="87" spans="2:2">
      <c r="B87" t="str">
        <f t="shared" si="2"/>
        <v>""</v>
      </c>
    </row>
    <row r="88" spans="2:2">
      <c r="B88" t="str">
        <f t="shared" si="2"/>
        <v>""</v>
      </c>
    </row>
    <row r="89" spans="2:2">
      <c r="B89" t="str">
        <f t="shared" si="2"/>
        <v>""</v>
      </c>
    </row>
    <row r="90" spans="2:2">
      <c r="B90" t="str">
        <f t="shared" si="2"/>
        <v>""</v>
      </c>
    </row>
    <row r="91" spans="2:2">
      <c r="B91" t="str">
        <f t="shared" si="2"/>
        <v>""</v>
      </c>
    </row>
    <row r="92" spans="2:2">
      <c r="B92" t="str">
        <f t="shared" si="2"/>
        <v>""</v>
      </c>
    </row>
    <row r="93" spans="2:2">
      <c r="B93" t="str">
        <f t="shared" si="2"/>
        <v>""</v>
      </c>
    </row>
    <row r="94" spans="2:2">
      <c r="B94" t="str">
        <f t="shared" si="2"/>
        <v>""</v>
      </c>
    </row>
    <row r="95" spans="2:2">
      <c r="B95" t="str">
        <f t="shared" si="2"/>
        <v>""</v>
      </c>
    </row>
    <row r="96" spans="2:2">
      <c r="B96" t="str">
        <f t="shared" si="2"/>
        <v>""</v>
      </c>
    </row>
    <row r="97" spans="2:2">
      <c r="B97" t="str">
        <f t="shared" si="2"/>
        <v>""</v>
      </c>
    </row>
    <row r="98" spans="2:2">
      <c r="B98" t="str">
        <f t="shared" si="2"/>
        <v>""</v>
      </c>
    </row>
    <row r="99" spans="2:2">
      <c r="B99" t="str">
        <f t="shared" si="2"/>
        <v>""</v>
      </c>
    </row>
    <row r="100" spans="2:2">
      <c r="B100" t="str">
        <f t="shared" si="2"/>
        <v>""</v>
      </c>
    </row>
    <row r="101" spans="2:2">
      <c r="B101" t="str">
        <f t="shared" si="2"/>
        <v>""</v>
      </c>
    </row>
    <row r="102" spans="2:2">
      <c r="B102" t="str">
        <f t="shared" si="2"/>
        <v>""</v>
      </c>
    </row>
    <row r="103" spans="2:2">
      <c r="B103" t="str">
        <f t="shared" si="2"/>
        <v>""</v>
      </c>
    </row>
    <row r="104" spans="2:2">
      <c r="B104" t="str">
        <f t="shared" si="2"/>
        <v>""</v>
      </c>
    </row>
    <row r="105" spans="2:2">
      <c r="B105" t="str">
        <f t="shared" si="2"/>
        <v>""</v>
      </c>
    </row>
    <row r="106" spans="2:2">
      <c r="B106" t="str">
        <f t="shared" si="2"/>
        <v>""</v>
      </c>
    </row>
    <row r="107" spans="2:2">
      <c r="B107" t="str">
        <f t="shared" si="2"/>
        <v>""</v>
      </c>
    </row>
    <row r="108" spans="2:2">
      <c r="B108" t="str">
        <f t="shared" si="2"/>
        <v>""</v>
      </c>
    </row>
    <row r="109" spans="2:2">
      <c r="B109" t="str">
        <f t="shared" si="2"/>
        <v>""</v>
      </c>
    </row>
    <row r="110" spans="2:2">
      <c r="B110" t="str">
        <f t="shared" si="2"/>
        <v>""</v>
      </c>
    </row>
    <row r="111" spans="2:2">
      <c r="B111" t="str">
        <f t="shared" si="2"/>
        <v>""</v>
      </c>
    </row>
    <row r="112" spans="2:2">
      <c r="B112" t="str">
        <f t="shared" si="2"/>
        <v>""</v>
      </c>
    </row>
    <row r="113" spans="2:2">
      <c r="B113" t="str">
        <f t="shared" si="2"/>
        <v>""</v>
      </c>
    </row>
    <row r="114" spans="2:2">
      <c r="B114" t="str">
        <f t="shared" si="2"/>
        <v>""</v>
      </c>
    </row>
    <row r="115" spans="2:2">
      <c r="B115" t="str">
        <f t="shared" si="2"/>
        <v>""</v>
      </c>
    </row>
    <row r="116" spans="2:2">
      <c r="B116" t="str">
        <f t="shared" si="2"/>
        <v>""</v>
      </c>
    </row>
    <row r="117" spans="2:2">
      <c r="B117" t="str">
        <f t="shared" si="2"/>
        <v>""</v>
      </c>
    </row>
    <row r="118" spans="2:2">
      <c r="B118" t="str">
        <f t="shared" si="2"/>
        <v>""</v>
      </c>
    </row>
    <row r="119" spans="2:2">
      <c r="B119" t="str">
        <f t="shared" si="2"/>
        <v>""</v>
      </c>
    </row>
    <row r="120" spans="2:2">
      <c r="B120" t="str">
        <f t="shared" si="2"/>
        <v>""</v>
      </c>
    </row>
    <row r="121" spans="2:2">
      <c r="B121" t="str">
        <f t="shared" si="2"/>
        <v>""</v>
      </c>
    </row>
    <row r="122" spans="2:2">
      <c r="B122" t="str">
        <f t="shared" si="2"/>
        <v>""</v>
      </c>
    </row>
    <row r="123" spans="2:2">
      <c r="B123" t="str">
        <f t="shared" si="2"/>
        <v>""</v>
      </c>
    </row>
    <row r="124" spans="2:2">
      <c r="B124" t="str">
        <f t="shared" si="2"/>
        <v>""</v>
      </c>
    </row>
    <row r="125" spans="2:2">
      <c r="B125" t="str">
        <f t="shared" si="2"/>
        <v>""</v>
      </c>
    </row>
    <row r="126" spans="2:2">
      <c r="B126" t="str">
        <f t="shared" si="2"/>
        <v>""</v>
      </c>
    </row>
    <row r="127" spans="2:2">
      <c r="B127" t="str">
        <f t="shared" si="2"/>
        <v>""</v>
      </c>
    </row>
    <row r="128" spans="2:2">
      <c r="B128" t="str">
        <f t="shared" si="2"/>
        <v>""</v>
      </c>
    </row>
    <row r="129" spans="2:2">
      <c r="B129" t="str">
        <f t="shared" si="2"/>
        <v>""</v>
      </c>
    </row>
    <row r="130" spans="2:2">
      <c r="B130" t="str">
        <f t="shared" si="2"/>
        <v>""</v>
      </c>
    </row>
    <row r="131" spans="2:2">
      <c r="B131" t="str">
        <f t="shared" si="2"/>
        <v>""</v>
      </c>
    </row>
    <row r="132" spans="2:2">
      <c r="B132" t="str">
        <f t="shared" si="2"/>
        <v>""</v>
      </c>
    </row>
    <row r="133" spans="2:2">
      <c r="B133" t="str">
        <f t="shared" si="2"/>
        <v>""</v>
      </c>
    </row>
    <row r="134" spans="2:2">
      <c r="B134" t="str">
        <f t="shared" si="2"/>
        <v>""</v>
      </c>
    </row>
    <row r="135" spans="2:2">
      <c r="B135" t="str">
        <f t="shared" si="2"/>
        <v>""</v>
      </c>
    </row>
    <row r="136" spans="2:2">
      <c r="B136" t="str">
        <f t="shared" si="2"/>
        <v>""</v>
      </c>
    </row>
    <row r="137" spans="2:2">
      <c r="B137" t="str">
        <f t="shared" si="2"/>
        <v>""</v>
      </c>
    </row>
    <row r="138" spans="2:2">
      <c r="B138" t="str">
        <f t="shared" ref="B138:B201" si="3">UniVba(A138)</f>
        <v>""</v>
      </c>
    </row>
    <row r="139" spans="2:2">
      <c r="B139" t="str">
        <f t="shared" si="3"/>
        <v>""</v>
      </c>
    </row>
    <row r="140" spans="2:2">
      <c r="B140" t="str">
        <f t="shared" si="3"/>
        <v>""</v>
      </c>
    </row>
    <row r="141" spans="2:2">
      <c r="B141" t="str">
        <f t="shared" si="3"/>
        <v>""</v>
      </c>
    </row>
    <row r="142" spans="2:2">
      <c r="B142" t="str">
        <f t="shared" si="3"/>
        <v>""</v>
      </c>
    </row>
    <row r="143" spans="2:2">
      <c r="B143" t="str">
        <f t="shared" si="3"/>
        <v>""</v>
      </c>
    </row>
    <row r="144" spans="2:2">
      <c r="B144" t="str">
        <f t="shared" si="3"/>
        <v>""</v>
      </c>
    </row>
    <row r="145" spans="2:2">
      <c r="B145" t="str">
        <f t="shared" si="3"/>
        <v>""</v>
      </c>
    </row>
    <row r="146" spans="2:2">
      <c r="B146" t="str">
        <f t="shared" si="3"/>
        <v>""</v>
      </c>
    </row>
    <row r="147" spans="2:2">
      <c r="B147" t="str">
        <f t="shared" si="3"/>
        <v>""</v>
      </c>
    </row>
    <row r="148" spans="2:2">
      <c r="B148" t="str">
        <f t="shared" si="3"/>
        <v>""</v>
      </c>
    </row>
    <row r="149" spans="2:2">
      <c r="B149" t="str">
        <f t="shared" si="3"/>
        <v>""</v>
      </c>
    </row>
    <row r="150" spans="2:2">
      <c r="B150" t="str">
        <f t="shared" si="3"/>
        <v>""</v>
      </c>
    </row>
    <row r="151" spans="2:2">
      <c r="B151" t="str">
        <f t="shared" si="3"/>
        <v>""</v>
      </c>
    </row>
    <row r="152" spans="2:2">
      <c r="B152" t="str">
        <f t="shared" si="3"/>
        <v>""</v>
      </c>
    </row>
    <row r="153" spans="2:2">
      <c r="B153" t="str">
        <f t="shared" si="3"/>
        <v>""</v>
      </c>
    </row>
    <row r="154" spans="2:2">
      <c r="B154" t="str">
        <f t="shared" si="3"/>
        <v>""</v>
      </c>
    </row>
    <row r="155" spans="2:2">
      <c r="B155" t="str">
        <f t="shared" si="3"/>
        <v>""</v>
      </c>
    </row>
    <row r="156" spans="2:2">
      <c r="B156" t="str">
        <f t="shared" si="3"/>
        <v>""</v>
      </c>
    </row>
    <row r="157" spans="2:2">
      <c r="B157" t="str">
        <f t="shared" si="3"/>
        <v>""</v>
      </c>
    </row>
    <row r="158" spans="2:2">
      <c r="B158" t="str">
        <f t="shared" si="3"/>
        <v>""</v>
      </c>
    </row>
    <row r="159" spans="2:2">
      <c r="B159" t="str">
        <f t="shared" si="3"/>
        <v>""</v>
      </c>
    </row>
    <row r="160" spans="2:2">
      <c r="B160" t="str">
        <f t="shared" si="3"/>
        <v>""</v>
      </c>
    </row>
    <row r="161" spans="2:2">
      <c r="B161" t="str">
        <f t="shared" si="3"/>
        <v>""</v>
      </c>
    </row>
    <row r="162" spans="2:2">
      <c r="B162" t="str">
        <f t="shared" si="3"/>
        <v>""</v>
      </c>
    </row>
    <row r="163" spans="2:2">
      <c r="B163" t="str">
        <f t="shared" si="3"/>
        <v>""</v>
      </c>
    </row>
    <row r="164" spans="2:2">
      <c r="B164" t="str">
        <f t="shared" si="3"/>
        <v>""</v>
      </c>
    </row>
    <row r="165" spans="2:2">
      <c r="B165" t="str">
        <f t="shared" si="3"/>
        <v>""</v>
      </c>
    </row>
    <row r="166" spans="2:2">
      <c r="B166" t="str">
        <f t="shared" si="3"/>
        <v>""</v>
      </c>
    </row>
    <row r="167" spans="2:2">
      <c r="B167" t="str">
        <f t="shared" si="3"/>
        <v>""</v>
      </c>
    </row>
    <row r="168" spans="2:2">
      <c r="B168" t="str">
        <f t="shared" si="3"/>
        <v>""</v>
      </c>
    </row>
    <row r="169" spans="2:2">
      <c r="B169" t="str">
        <f t="shared" si="3"/>
        <v>""</v>
      </c>
    </row>
    <row r="170" spans="2:2">
      <c r="B170" t="str">
        <f t="shared" si="3"/>
        <v>""</v>
      </c>
    </row>
    <row r="171" spans="2:2">
      <c r="B171" t="str">
        <f t="shared" si="3"/>
        <v>""</v>
      </c>
    </row>
    <row r="172" spans="2:2">
      <c r="B172" t="str">
        <f t="shared" si="3"/>
        <v>""</v>
      </c>
    </row>
    <row r="173" spans="2:2">
      <c r="B173" t="str">
        <f t="shared" si="3"/>
        <v>""</v>
      </c>
    </row>
    <row r="174" spans="2:2">
      <c r="B174" t="str">
        <f t="shared" si="3"/>
        <v>""</v>
      </c>
    </row>
    <row r="175" spans="2:2">
      <c r="B175" t="str">
        <f t="shared" si="3"/>
        <v>""</v>
      </c>
    </row>
    <row r="176" spans="2:2">
      <c r="B176" t="str">
        <f t="shared" si="3"/>
        <v>""</v>
      </c>
    </row>
    <row r="177" spans="2:2">
      <c r="B177" t="str">
        <f t="shared" si="3"/>
        <v>""</v>
      </c>
    </row>
    <row r="178" spans="2:2">
      <c r="B178" t="str">
        <f t="shared" si="3"/>
        <v>""</v>
      </c>
    </row>
    <row r="179" spans="2:2">
      <c r="B179" t="str">
        <f t="shared" si="3"/>
        <v>""</v>
      </c>
    </row>
    <row r="180" spans="2:2">
      <c r="B180" t="str">
        <f t="shared" si="3"/>
        <v>""</v>
      </c>
    </row>
    <row r="181" spans="2:2">
      <c r="B181" t="str">
        <f t="shared" si="3"/>
        <v>""</v>
      </c>
    </row>
    <row r="182" spans="2:2">
      <c r="B182" t="str">
        <f t="shared" si="3"/>
        <v>""</v>
      </c>
    </row>
    <row r="183" spans="2:2">
      <c r="B183" t="str">
        <f t="shared" si="3"/>
        <v>""</v>
      </c>
    </row>
    <row r="184" spans="2:2">
      <c r="B184" t="str">
        <f t="shared" si="3"/>
        <v>""</v>
      </c>
    </row>
    <row r="185" spans="2:2">
      <c r="B185" t="str">
        <f t="shared" si="3"/>
        <v>""</v>
      </c>
    </row>
    <row r="186" spans="2:2">
      <c r="B186" t="str">
        <f t="shared" si="3"/>
        <v>""</v>
      </c>
    </row>
    <row r="187" spans="2:2">
      <c r="B187" t="str">
        <f t="shared" si="3"/>
        <v>""</v>
      </c>
    </row>
    <row r="188" spans="2:2">
      <c r="B188" t="str">
        <f t="shared" si="3"/>
        <v>""</v>
      </c>
    </row>
    <row r="189" spans="2:2">
      <c r="B189" t="str">
        <f t="shared" si="3"/>
        <v>""</v>
      </c>
    </row>
    <row r="190" spans="2:2">
      <c r="B190" t="str">
        <f t="shared" si="3"/>
        <v>""</v>
      </c>
    </row>
    <row r="191" spans="2:2">
      <c r="B191" t="str">
        <f t="shared" si="3"/>
        <v>""</v>
      </c>
    </row>
    <row r="192" spans="2:2">
      <c r="B192" t="str">
        <f t="shared" si="3"/>
        <v>""</v>
      </c>
    </row>
    <row r="193" spans="2:2">
      <c r="B193" t="str">
        <f t="shared" si="3"/>
        <v>""</v>
      </c>
    </row>
    <row r="194" spans="2:2">
      <c r="B194" t="str">
        <f t="shared" si="3"/>
        <v>""</v>
      </c>
    </row>
    <row r="195" spans="2:2">
      <c r="B195" t="str">
        <f t="shared" si="3"/>
        <v>""</v>
      </c>
    </row>
    <row r="196" spans="2:2">
      <c r="B196" t="str">
        <f t="shared" si="3"/>
        <v>""</v>
      </c>
    </row>
    <row r="197" spans="2:2">
      <c r="B197" t="str">
        <f t="shared" si="3"/>
        <v>""</v>
      </c>
    </row>
    <row r="198" spans="2:2">
      <c r="B198" t="str">
        <f t="shared" si="3"/>
        <v>""</v>
      </c>
    </row>
    <row r="199" spans="2:2">
      <c r="B199" t="str">
        <f t="shared" si="3"/>
        <v>""</v>
      </c>
    </row>
    <row r="200" spans="2:2">
      <c r="B200" t="str">
        <f t="shared" si="3"/>
        <v>""</v>
      </c>
    </row>
    <row r="201" spans="2:2">
      <c r="B201" t="str">
        <f t="shared" si="3"/>
        <v>""</v>
      </c>
    </row>
    <row r="202" spans="2:2">
      <c r="B202" t="str">
        <f t="shared" ref="B202:B247" si="4">UniVba(A202)</f>
        <v>""</v>
      </c>
    </row>
    <row r="203" spans="2:2">
      <c r="B203" t="str">
        <f t="shared" si="4"/>
        <v>""</v>
      </c>
    </row>
    <row r="204" spans="2:2">
      <c r="B204" t="str">
        <f t="shared" si="4"/>
        <v>""</v>
      </c>
    </row>
    <row r="205" spans="2:2">
      <c r="B205" t="str">
        <f t="shared" si="4"/>
        <v>""</v>
      </c>
    </row>
    <row r="206" spans="2:2">
      <c r="B206" t="str">
        <f t="shared" si="4"/>
        <v>""</v>
      </c>
    </row>
    <row r="207" spans="2:2">
      <c r="B207" t="str">
        <f t="shared" si="4"/>
        <v>""</v>
      </c>
    </row>
    <row r="208" spans="2:2">
      <c r="B208" t="str">
        <f t="shared" si="4"/>
        <v>""</v>
      </c>
    </row>
    <row r="209" spans="2:2">
      <c r="B209" t="str">
        <f t="shared" si="4"/>
        <v>""</v>
      </c>
    </row>
    <row r="210" spans="2:2">
      <c r="B210" t="str">
        <f t="shared" si="4"/>
        <v>""</v>
      </c>
    </row>
    <row r="211" spans="2:2">
      <c r="B211" t="str">
        <f t="shared" si="4"/>
        <v>""</v>
      </c>
    </row>
    <row r="212" spans="2:2">
      <c r="B212" t="str">
        <f t="shared" si="4"/>
        <v>""</v>
      </c>
    </row>
    <row r="213" spans="2:2">
      <c r="B213" t="str">
        <f t="shared" si="4"/>
        <v>""</v>
      </c>
    </row>
    <row r="214" spans="2:2">
      <c r="B214" t="str">
        <f t="shared" si="4"/>
        <v>""</v>
      </c>
    </row>
    <row r="215" spans="2:2">
      <c r="B215" t="str">
        <f t="shared" si="4"/>
        <v>""</v>
      </c>
    </row>
    <row r="216" spans="2:2">
      <c r="B216" t="str">
        <f t="shared" si="4"/>
        <v>""</v>
      </c>
    </row>
    <row r="217" spans="2:2">
      <c r="B217" t="str">
        <f t="shared" si="4"/>
        <v>""</v>
      </c>
    </row>
    <row r="218" spans="2:2">
      <c r="B218" t="str">
        <f t="shared" si="4"/>
        <v>""</v>
      </c>
    </row>
    <row r="219" spans="2:2">
      <c r="B219" t="str">
        <f t="shared" si="4"/>
        <v>""</v>
      </c>
    </row>
    <row r="220" spans="2:2">
      <c r="B220" t="str">
        <f t="shared" si="4"/>
        <v>""</v>
      </c>
    </row>
    <row r="221" spans="2:2">
      <c r="B221" t="str">
        <f t="shared" si="4"/>
        <v>""</v>
      </c>
    </row>
    <row r="222" spans="2:2">
      <c r="B222" t="str">
        <f t="shared" si="4"/>
        <v>""</v>
      </c>
    </row>
    <row r="223" spans="2:2">
      <c r="B223" t="str">
        <f t="shared" si="4"/>
        <v>""</v>
      </c>
    </row>
    <row r="224" spans="2:2">
      <c r="B224" t="str">
        <f t="shared" si="4"/>
        <v>""</v>
      </c>
    </row>
    <row r="225" spans="2:2">
      <c r="B225" t="str">
        <f t="shared" si="4"/>
        <v>""</v>
      </c>
    </row>
    <row r="226" spans="2:2">
      <c r="B226" t="str">
        <f t="shared" si="4"/>
        <v>""</v>
      </c>
    </row>
    <row r="227" spans="2:2">
      <c r="B227" t="str">
        <f t="shared" si="4"/>
        <v>""</v>
      </c>
    </row>
    <row r="228" spans="2:2">
      <c r="B228" t="str">
        <f t="shared" si="4"/>
        <v>""</v>
      </c>
    </row>
    <row r="229" spans="2:2">
      <c r="B229" t="str">
        <f t="shared" si="4"/>
        <v>""</v>
      </c>
    </row>
    <row r="230" spans="2:2">
      <c r="B230" t="str">
        <f t="shared" si="4"/>
        <v>""</v>
      </c>
    </row>
    <row r="231" spans="2:2">
      <c r="B231" t="str">
        <f t="shared" si="4"/>
        <v>""</v>
      </c>
    </row>
    <row r="232" spans="2:2">
      <c r="B232" t="str">
        <f t="shared" si="4"/>
        <v>""</v>
      </c>
    </row>
    <row r="233" spans="2:2">
      <c r="B233" t="str">
        <f t="shared" si="4"/>
        <v>""</v>
      </c>
    </row>
    <row r="234" spans="2:2">
      <c r="B234" t="str">
        <f t="shared" si="4"/>
        <v>""</v>
      </c>
    </row>
    <row r="235" spans="2:2">
      <c r="B235" t="str">
        <f t="shared" si="4"/>
        <v>""</v>
      </c>
    </row>
    <row r="236" spans="2:2">
      <c r="B236" t="str">
        <f t="shared" si="4"/>
        <v>""</v>
      </c>
    </row>
    <row r="237" spans="2:2">
      <c r="B237" t="str">
        <f t="shared" si="4"/>
        <v>""</v>
      </c>
    </row>
    <row r="238" spans="2:2">
      <c r="B238" t="str">
        <f t="shared" si="4"/>
        <v>""</v>
      </c>
    </row>
    <row r="239" spans="2:2">
      <c r="B239" t="str">
        <f t="shared" si="4"/>
        <v>""</v>
      </c>
    </row>
    <row r="240" spans="2:2">
      <c r="B240" t="str">
        <f t="shared" si="4"/>
        <v>""</v>
      </c>
    </row>
    <row r="241" spans="2:2">
      <c r="B241" t="str">
        <f t="shared" si="4"/>
        <v>""</v>
      </c>
    </row>
    <row r="242" spans="2:2">
      <c r="B242" t="str">
        <f t="shared" si="4"/>
        <v>""</v>
      </c>
    </row>
    <row r="243" spans="2:2">
      <c r="B243" t="str">
        <f t="shared" si="4"/>
        <v>""</v>
      </c>
    </row>
    <row r="244" spans="2:2">
      <c r="B244" t="str">
        <f t="shared" si="4"/>
        <v>""</v>
      </c>
    </row>
    <row r="245" spans="2:2">
      <c r="B245" t="str">
        <f t="shared" si="4"/>
        <v>""</v>
      </c>
    </row>
    <row r="246" spans="2:2">
      <c r="B246" t="str">
        <f t="shared" si="4"/>
        <v>""</v>
      </c>
    </row>
    <row r="247" spans="2:2">
      <c r="B247" t="str">
        <f t="shared" si="4"/>
        <v>""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4"/>
  <sheetViews>
    <sheetView tabSelected="1" workbookViewId="0">
      <selection activeCell="H10" sqref="H10"/>
    </sheetView>
  </sheetViews>
  <sheetFormatPr defaultColWidth="9.1328125" defaultRowHeight="14.25"/>
  <cols>
    <col min="1" max="16384" width="9.1328125" style="322"/>
  </cols>
  <sheetData>
    <row r="4" spans="2:2">
      <c r="B4" s="322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KhaiBaoThongTinDN</vt:lpstr>
      <vt:lpstr>DM_HangHoa</vt:lpstr>
      <vt:lpstr>DM_KhachHang</vt:lpstr>
      <vt:lpstr>DM_KhoHang</vt:lpstr>
      <vt:lpstr>DM_NhaCungCap</vt:lpstr>
      <vt:lpstr>SETTING</vt:lpstr>
      <vt:lpstr>DATA_NX</vt:lpstr>
      <vt:lpstr>PHIEU_X_N</vt:lpstr>
      <vt:lpstr>XuatNhapTon</vt:lpstr>
      <vt:lpstr>THEKHO_CHITIET</vt:lpstr>
      <vt:lpstr>BC_Chitiet_CongNo_KH_NCC</vt:lpstr>
      <vt:lpstr>BC_TongHopCongNo</vt:lpstr>
      <vt:lpstr>BC_NX_NGAY</vt:lpstr>
      <vt:lpstr>PHIEUTHU</vt:lpstr>
      <vt:lpstr>CHART</vt:lpstr>
      <vt:lpstr>SHEET1</vt:lpstr>
      <vt:lpstr>DATAA</vt:lpstr>
      <vt:lpstr>BC_Chitiet_CongNo_KH_NCC!Print_Area</vt:lpstr>
      <vt:lpstr>BC_NX_NGAY!Print_Area</vt:lpstr>
      <vt:lpstr>BC_TongHopCongNo!Print_Area</vt:lpstr>
      <vt:lpstr>PHIEU_X_N!Print_Area</vt:lpstr>
      <vt:lpstr>PHIEUTHU!Print_Area</vt:lpstr>
      <vt:lpstr>THEKHO_CHITIET!Print_Area</vt:lpstr>
      <vt:lpstr>XuatNhapTon!Print_Area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Danh1</cp:lastModifiedBy>
  <cp:lastPrinted>2020-12-19T05:26:56Z</cp:lastPrinted>
  <dcterms:created xsi:type="dcterms:W3CDTF">2006-09-16T00:00:00Z</dcterms:created>
  <dcterms:modified xsi:type="dcterms:W3CDTF">2022-09-21T02:23:21Z</dcterms:modified>
</cp:coreProperties>
</file>