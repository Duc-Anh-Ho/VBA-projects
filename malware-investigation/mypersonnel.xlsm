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VBA-projects\malware-investigation\"/>
    </mc:Choice>
  </mc:AlternateContent>
  <xr:revisionPtr revIDLastSave="0" documentId="8_{C5F646C3-1CC7-4076-84D9-E0A53EBE7E86}" xr6:coauthVersionLast="47" xr6:coauthVersionMax="47" xr10:uidLastSave="{00000000-0000-0000-0000-000000000000}"/>
  <bookViews>
    <workbookView xWindow="-98" yWindow="-98" windowWidth="22695" windowHeight="14595" tabRatio="561" firstSheet="2" activeTab="6"/>
  </bookViews>
  <sheets>
    <sheet name="Kangatangggg" sheetId="38" state="veryHidden" r:id=""/>
    <sheet name="Kangatangggg_2" sheetId="40" state="veryHidden" r:id=""/>
    <sheet name="Ton am t1" sheetId="15" r:id="rId1"/>
    <sheet name="Ton am t2" sheetId="27" r:id="rId2"/>
    <sheet name="Ton am t3" sheetId="28" r:id="rId3"/>
    <sheet name="Ton am T4" sheetId="29" r:id="rId4"/>
    <sheet name="Chart1" sheetId="39" r:id="rId5"/>
    <sheet name="Ton am T5" sheetId="30" r:id="rId6"/>
    <sheet name="Ton am T6" sheetId="31" r:id="rId7"/>
    <sheet name="Ton am T7" sheetId="32" r:id="rId8"/>
    <sheet name="Ton am T8" sheetId="34" r:id="rId9"/>
    <sheet name="Ton am T9" sheetId="33" r:id="rId10"/>
    <sheet name="Ton am T10" sheetId="35" r:id="rId11"/>
    <sheet name="Ton am T11" sheetId="36" r:id="rId12"/>
    <sheet name="Ton am T12" sheetId="37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vlookup" localSheetId="2">'Ton am t1'!$B$15</definedName>
    <definedName name="vlookup" localSheetId="12">'Ton am T10'!$B$16</definedName>
    <definedName name="vlookup" localSheetId="13">'Ton am T11'!$B$16</definedName>
    <definedName name="vlookup" localSheetId="14">'Ton am T12'!$B$16</definedName>
    <definedName name="vlookup" localSheetId="3">'Ton am t2'!$B$16</definedName>
    <definedName name="vlookup" localSheetId="4">'Ton am t3'!$B$16</definedName>
    <definedName name="vlookup" localSheetId="5">'Ton am T4'!$B$16</definedName>
    <definedName name="vlookup" localSheetId="7">'Ton am T5'!$B$16</definedName>
    <definedName name="vlookup" localSheetId="8">'Ton am T6'!$B$16</definedName>
    <definedName name="vlookup" localSheetId="9">'Ton am T7'!$B$16</definedName>
    <definedName name="vlookup" localSheetId="10">'Ton am T8'!$B$16</definedName>
    <definedName name="vlookup" localSheetId="11">'Ton am T9'!$B$16</definedName>
    <definedName name="vlookup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41" i="29" l="1"/>
  <c r="T41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G41" i="29"/>
  <c r="F41" i="29"/>
  <c r="E41" i="29"/>
  <c r="D41" i="29"/>
  <c r="C41" i="29"/>
  <c r="B41" i="29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B41" i="28"/>
  <c r="C41" i="28"/>
  <c r="V32" i="27"/>
  <c r="V33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C42" i="27"/>
  <c r="B42" i="27"/>
  <c r="B41" i="15"/>
  <c r="U41" i="15"/>
  <c r="T41" i="15"/>
  <c r="S41" i="15"/>
  <c r="R41" i="15"/>
  <c r="Q41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V16" i="15"/>
  <c r="V5" i="15"/>
  <c r="U41" i="37"/>
  <c r="T41" i="37"/>
  <c r="S41" i="37"/>
  <c r="R41" i="37"/>
  <c r="Q41" i="37"/>
  <c r="P41" i="37"/>
  <c r="O41" i="37"/>
  <c r="N41" i="37"/>
  <c r="M41" i="37"/>
  <c r="L41" i="37"/>
  <c r="K41" i="37"/>
  <c r="J41" i="37"/>
  <c r="I41" i="37"/>
  <c r="H41" i="37"/>
  <c r="G41" i="37"/>
  <c r="F41" i="37"/>
  <c r="E41" i="37"/>
  <c r="D41" i="37"/>
  <c r="C41" i="37"/>
  <c r="B41" i="37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B41" i="36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C41" i="35"/>
  <c r="B41" i="35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C41" i="33"/>
  <c r="B41" i="33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E41" i="34"/>
  <c r="D41" i="34"/>
  <c r="C41" i="34"/>
  <c r="B41" i="34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C41" i="32"/>
  <c r="B41" i="32"/>
  <c r="U41" i="31"/>
  <c r="T41" i="31"/>
  <c r="S41" i="31"/>
  <c r="R41" i="31"/>
  <c r="Q41" i="31"/>
  <c r="P41" i="31"/>
  <c r="O41" i="31"/>
  <c r="N41" i="31"/>
  <c r="M41" i="31"/>
  <c r="L41" i="31"/>
  <c r="K41" i="31"/>
  <c r="J41" i="31"/>
  <c r="I41" i="31"/>
  <c r="H41" i="31"/>
  <c r="G41" i="31"/>
  <c r="F41" i="31"/>
  <c r="E41" i="31"/>
  <c r="D41" i="31"/>
  <c r="C41" i="31"/>
  <c r="B41" i="31"/>
  <c r="B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C41" i="30"/>
  <c r="T36" i="15"/>
  <c r="T39" i="15"/>
  <c r="S36" i="15"/>
  <c r="S39" i="15"/>
  <c r="R36" i="15"/>
  <c r="R39" i="15"/>
  <c r="P36" i="15"/>
  <c r="P39" i="15"/>
  <c r="O36" i="15"/>
  <c r="O39" i="15"/>
  <c r="N36" i="15"/>
  <c r="N39" i="15"/>
  <c r="L36" i="15"/>
  <c r="L39" i="15"/>
  <c r="K36" i="15"/>
  <c r="K39" i="15"/>
  <c r="J36" i="15"/>
  <c r="J39" i="15"/>
  <c r="H36" i="15"/>
  <c r="H39" i="15"/>
  <c r="G36" i="15"/>
  <c r="F36" i="15"/>
  <c r="F39" i="15"/>
  <c r="D36" i="15"/>
  <c r="D39" i="15"/>
  <c r="C36" i="15"/>
  <c r="E36" i="15"/>
  <c r="E38" i="15"/>
  <c r="B36" i="15"/>
  <c r="B39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5" i="15"/>
  <c r="V14" i="15"/>
  <c r="V13" i="15"/>
  <c r="V12" i="15"/>
  <c r="V11" i="15"/>
  <c r="V10" i="15"/>
  <c r="V9" i="15"/>
  <c r="V8" i="15"/>
  <c r="V7" i="15"/>
  <c r="V6" i="15"/>
  <c r="V36" i="15"/>
  <c r="V38" i="15"/>
  <c r="I36" i="15"/>
  <c r="I38" i="15"/>
  <c r="G39" i="15"/>
  <c r="M36" i="15"/>
  <c r="M38" i="15"/>
  <c r="Q36" i="15"/>
  <c r="Q38" i="15"/>
  <c r="U36" i="15"/>
  <c r="U38" i="15"/>
  <c r="T36" i="37"/>
  <c r="T39" i="37"/>
  <c r="S36" i="37"/>
  <c r="S39" i="37"/>
  <c r="R36" i="37"/>
  <c r="R39" i="37"/>
  <c r="P36" i="37"/>
  <c r="P39" i="37"/>
  <c r="O36" i="37"/>
  <c r="O39" i="37"/>
  <c r="N36" i="37"/>
  <c r="N39" i="37"/>
  <c r="L36" i="37"/>
  <c r="L39" i="37"/>
  <c r="K36" i="37"/>
  <c r="K39" i="37"/>
  <c r="J36" i="37"/>
  <c r="J39" i="37"/>
  <c r="B44" i="37"/>
  <c r="H36" i="37"/>
  <c r="H39" i="37"/>
  <c r="G36" i="37"/>
  <c r="G39" i="37"/>
  <c r="F36" i="37"/>
  <c r="D36" i="37"/>
  <c r="D39" i="37"/>
  <c r="C36" i="37"/>
  <c r="C39" i="37"/>
  <c r="B36" i="37"/>
  <c r="B39" i="37"/>
  <c r="V35" i="37"/>
  <c r="V34" i="37"/>
  <c r="V33" i="37"/>
  <c r="V32" i="37"/>
  <c r="V31" i="37"/>
  <c r="V30" i="37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5" i="37"/>
  <c r="T36" i="36"/>
  <c r="T39" i="36"/>
  <c r="S36" i="36"/>
  <c r="S39" i="36"/>
  <c r="R36" i="36"/>
  <c r="R39" i="36"/>
  <c r="P36" i="36"/>
  <c r="P39" i="36"/>
  <c r="O36" i="36"/>
  <c r="N36" i="36"/>
  <c r="N39" i="36"/>
  <c r="L36" i="36"/>
  <c r="L39" i="36"/>
  <c r="K36" i="36"/>
  <c r="J36" i="36"/>
  <c r="J39" i="36"/>
  <c r="H36" i="36"/>
  <c r="H39" i="36"/>
  <c r="G36" i="36"/>
  <c r="G39" i="36"/>
  <c r="F36" i="36"/>
  <c r="F39" i="36"/>
  <c r="D36" i="36"/>
  <c r="D39" i="36"/>
  <c r="C36" i="36"/>
  <c r="C39" i="36"/>
  <c r="C44" i="36"/>
  <c r="B36" i="36"/>
  <c r="B39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T36" i="35"/>
  <c r="T39" i="35"/>
  <c r="S36" i="35"/>
  <c r="S39" i="35"/>
  <c r="R36" i="35"/>
  <c r="R39" i="35"/>
  <c r="P36" i="35"/>
  <c r="P39" i="35"/>
  <c r="O36" i="35"/>
  <c r="O39" i="35"/>
  <c r="C44" i="35"/>
  <c r="N36" i="35"/>
  <c r="N39" i="35"/>
  <c r="L36" i="35"/>
  <c r="L39" i="35"/>
  <c r="K36" i="35"/>
  <c r="K39" i="35"/>
  <c r="J36" i="35"/>
  <c r="J39" i="35"/>
  <c r="H36" i="35"/>
  <c r="H39" i="35"/>
  <c r="G36" i="35"/>
  <c r="G39" i="35"/>
  <c r="F36" i="35"/>
  <c r="F39" i="35"/>
  <c r="D36" i="35"/>
  <c r="D39" i="35"/>
  <c r="C36" i="35"/>
  <c r="C39" i="35"/>
  <c r="B36" i="35"/>
  <c r="B39" i="35"/>
  <c r="B44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V7" i="35"/>
  <c r="V6" i="35"/>
  <c r="V5" i="35"/>
  <c r="T36" i="34"/>
  <c r="T39" i="34"/>
  <c r="S36" i="34"/>
  <c r="S39" i="34"/>
  <c r="R36" i="34"/>
  <c r="R39" i="34"/>
  <c r="P36" i="34"/>
  <c r="P39" i="34"/>
  <c r="O36" i="34"/>
  <c r="O39" i="34"/>
  <c r="N36" i="34"/>
  <c r="N39" i="34"/>
  <c r="L36" i="34"/>
  <c r="L39" i="34"/>
  <c r="K36" i="34"/>
  <c r="J36" i="34"/>
  <c r="J39" i="34"/>
  <c r="H36" i="34"/>
  <c r="H39" i="34"/>
  <c r="G36" i="34"/>
  <c r="G39" i="34"/>
  <c r="C44" i="34"/>
  <c r="E44" i="34"/>
  <c r="F36" i="34"/>
  <c r="F39" i="34"/>
  <c r="D36" i="34"/>
  <c r="D39" i="34"/>
  <c r="C36" i="34"/>
  <c r="C39" i="34"/>
  <c r="B36" i="34"/>
  <c r="B39" i="34"/>
  <c r="B44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V6" i="34"/>
  <c r="V5" i="34"/>
  <c r="T36" i="33"/>
  <c r="T39" i="33"/>
  <c r="S36" i="33"/>
  <c r="S39" i="33"/>
  <c r="R36" i="33"/>
  <c r="R39" i="33"/>
  <c r="P36" i="33"/>
  <c r="P39" i="33"/>
  <c r="O36" i="33"/>
  <c r="N36" i="33"/>
  <c r="N39" i="33"/>
  <c r="L36" i="33"/>
  <c r="L39" i="33"/>
  <c r="K36" i="33"/>
  <c r="J36" i="33"/>
  <c r="J39" i="33"/>
  <c r="H36" i="33"/>
  <c r="H39" i="33"/>
  <c r="G36" i="33"/>
  <c r="G39" i="33"/>
  <c r="F36" i="33"/>
  <c r="F39" i="33"/>
  <c r="D36" i="33"/>
  <c r="D39" i="33"/>
  <c r="C36" i="33"/>
  <c r="C39" i="33"/>
  <c r="B36" i="33"/>
  <c r="B39" i="33"/>
  <c r="B44" i="33"/>
  <c r="V35" i="33"/>
  <c r="V34" i="33"/>
  <c r="V33" i="33"/>
  <c r="V32" i="33"/>
  <c r="V31" i="33"/>
  <c r="V30" i="33"/>
  <c r="V29" i="33"/>
  <c r="V28" i="33"/>
  <c r="V27" i="33"/>
  <c r="V26" i="33"/>
  <c r="V25" i="33"/>
  <c r="V24" i="33"/>
  <c r="V23" i="33"/>
  <c r="V22" i="33"/>
  <c r="V21" i="33"/>
  <c r="V20" i="33"/>
  <c r="V19" i="33"/>
  <c r="V18" i="33"/>
  <c r="V17" i="33"/>
  <c r="V16" i="33"/>
  <c r="V15" i="33"/>
  <c r="V14" i="33"/>
  <c r="V13" i="33"/>
  <c r="V12" i="33"/>
  <c r="V11" i="33"/>
  <c r="V10" i="33"/>
  <c r="V9" i="33"/>
  <c r="V8" i="33"/>
  <c r="V7" i="33"/>
  <c r="V6" i="33"/>
  <c r="V5" i="33"/>
  <c r="T36" i="32"/>
  <c r="T39" i="32"/>
  <c r="S36" i="32"/>
  <c r="S39" i="32"/>
  <c r="R36" i="32"/>
  <c r="R39" i="32"/>
  <c r="P36" i="32"/>
  <c r="P39" i="32"/>
  <c r="O36" i="32"/>
  <c r="N36" i="32"/>
  <c r="N39" i="32"/>
  <c r="L36" i="32"/>
  <c r="L39" i="32"/>
  <c r="K36" i="32"/>
  <c r="J36" i="32"/>
  <c r="J39" i="32"/>
  <c r="H36" i="32"/>
  <c r="H39" i="32"/>
  <c r="G36" i="32"/>
  <c r="G39" i="32"/>
  <c r="F36" i="32"/>
  <c r="F39" i="32"/>
  <c r="D36" i="32"/>
  <c r="D39" i="32"/>
  <c r="C36" i="32"/>
  <c r="C39" i="32"/>
  <c r="C44" i="32"/>
  <c r="B36" i="32"/>
  <c r="B39" i="32"/>
  <c r="V35" i="32"/>
  <c r="V34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T36" i="31"/>
  <c r="T39" i="31"/>
  <c r="S36" i="31"/>
  <c r="S39" i="31"/>
  <c r="R36" i="31"/>
  <c r="R39" i="31"/>
  <c r="P36" i="31"/>
  <c r="P39" i="31"/>
  <c r="O36" i="31"/>
  <c r="O39" i="31"/>
  <c r="N36" i="31"/>
  <c r="N39" i="31"/>
  <c r="L36" i="31"/>
  <c r="L39" i="31"/>
  <c r="K36" i="31"/>
  <c r="K39" i="31"/>
  <c r="J36" i="31"/>
  <c r="J39" i="31"/>
  <c r="H36" i="31"/>
  <c r="H39" i="31"/>
  <c r="G36" i="31"/>
  <c r="G39" i="31"/>
  <c r="F36" i="31"/>
  <c r="F39" i="31"/>
  <c r="D36" i="31"/>
  <c r="D39" i="31"/>
  <c r="C36" i="31"/>
  <c r="C39" i="31"/>
  <c r="B36" i="31"/>
  <c r="B39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T36" i="30"/>
  <c r="T39" i="30"/>
  <c r="S36" i="30"/>
  <c r="S39" i="30"/>
  <c r="R36" i="30"/>
  <c r="R39" i="30"/>
  <c r="P36" i="30"/>
  <c r="P39" i="30"/>
  <c r="O36" i="30"/>
  <c r="O39" i="30"/>
  <c r="N36" i="30"/>
  <c r="N39" i="30"/>
  <c r="L36" i="30"/>
  <c r="L39" i="30"/>
  <c r="K36" i="30"/>
  <c r="J36" i="30"/>
  <c r="J39" i="30"/>
  <c r="H36" i="30"/>
  <c r="H39" i="30"/>
  <c r="G36" i="30"/>
  <c r="G39" i="30"/>
  <c r="F36" i="30"/>
  <c r="F39" i="30"/>
  <c r="D36" i="30"/>
  <c r="D39" i="30"/>
  <c r="C36" i="30"/>
  <c r="C39" i="30"/>
  <c r="C44" i="30"/>
  <c r="B36" i="30"/>
  <c r="B39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36" i="30"/>
  <c r="V38" i="30"/>
  <c r="V11" i="30"/>
  <c r="V10" i="30"/>
  <c r="V9" i="30"/>
  <c r="V8" i="30"/>
  <c r="V7" i="30"/>
  <c r="V6" i="30"/>
  <c r="V5" i="30"/>
  <c r="T36" i="29"/>
  <c r="T39" i="29"/>
  <c r="S36" i="29"/>
  <c r="S39" i="29"/>
  <c r="R36" i="29"/>
  <c r="R39" i="29"/>
  <c r="P36" i="29"/>
  <c r="P39" i="29"/>
  <c r="O36" i="29"/>
  <c r="Q36" i="29"/>
  <c r="Q38" i="29"/>
  <c r="N36" i="29"/>
  <c r="N39" i="29"/>
  <c r="L36" i="29"/>
  <c r="L39" i="29"/>
  <c r="K36" i="29"/>
  <c r="J36" i="29"/>
  <c r="J39" i="29"/>
  <c r="B44" i="29"/>
  <c r="H36" i="29"/>
  <c r="H39" i="29"/>
  <c r="G36" i="29"/>
  <c r="G39" i="29"/>
  <c r="F36" i="29"/>
  <c r="F39" i="29"/>
  <c r="D36" i="29"/>
  <c r="D39" i="29"/>
  <c r="C36" i="29"/>
  <c r="E36" i="29"/>
  <c r="E38" i="29"/>
  <c r="B36" i="29"/>
  <c r="B39" i="29"/>
  <c r="V35" i="29"/>
  <c r="V34" i="29"/>
  <c r="V33" i="29"/>
  <c r="V32" i="29"/>
  <c r="V31" i="29"/>
  <c r="V30" i="29"/>
  <c r="V29" i="29"/>
  <c r="V28" i="29"/>
  <c r="V27" i="29"/>
  <c r="V26" i="29"/>
  <c r="V25" i="29"/>
  <c r="V24" i="29"/>
  <c r="V23" i="29"/>
  <c r="V22" i="29"/>
  <c r="V21" i="29"/>
  <c r="V20" i="29"/>
  <c r="V19" i="29"/>
  <c r="V18" i="29"/>
  <c r="V17" i="29"/>
  <c r="V16" i="29"/>
  <c r="V15" i="29"/>
  <c r="V14" i="29"/>
  <c r="V13" i="29"/>
  <c r="V12" i="29"/>
  <c r="V11" i="29"/>
  <c r="V10" i="29"/>
  <c r="V9" i="29"/>
  <c r="V8" i="29"/>
  <c r="V7" i="29"/>
  <c r="V36" i="29"/>
  <c r="V38" i="29"/>
  <c r="V6" i="29"/>
  <c r="V5" i="29"/>
  <c r="I36" i="37"/>
  <c r="I38" i="37"/>
  <c r="V36" i="37"/>
  <c r="V38" i="37"/>
  <c r="V36" i="36"/>
  <c r="V38" i="36"/>
  <c r="V36" i="35"/>
  <c r="V38" i="35"/>
  <c r="V36" i="34"/>
  <c r="V38" i="34"/>
  <c r="V36" i="32"/>
  <c r="V38" i="32"/>
  <c r="E36" i="31"/>
  <c r="E38" i="31"/>
  <c r="I36" i="31"/>
  <c r="I38" i="31"/>
  <c r="M36" i="31"/>
  <c r="M38" i="31"/>
  <c r="Q36" i="31"/>
  <c r="Q38" i="31"/>
  <c r="V36" i="31"/>
  <c r="V38" i="31"/>
  <c r="U36" i="31"/>
  <c r="U38" i="31"/>
  <c r="Q36" i="32"/>
  <c r="Q38" i="32"/>
  <c r="Q36" i="36"/>
  <c r="Q38" i="36"/>
  <c r="M36" i="33"/>
  <c r="M38" i="33"/>
  <c r="E36" i="35"/>
  <c r="E38" i="35"/>
  <c r="I36" i="35"/>
  <c r="I38" i="35"/>
  <c r="M36" i="35"/>
  <c r="M38" i="35"/>
  <c r="Q36" i="35"/>
  <c r="Q38" i="35"/>
  <c r="U36" i="35"/>
  <c r="U38" i="35"/>
  <c r="M36" i="29"/>
  <c r="M38" i="29"/>
  <c r="U36" i="29"/>
  <c r="U38" i="29"/>
  <c r="M36" i="30"/>
  <c r="M38" i="30"/>
  <c r="M36" i="32"/>
  <c r="M38" i="32"/>
  <c r="K39" i="32"/>
  <c r="M36" i="34"/>
  <c r="M38" i="34"/>
  <c r="V36" i="33"/>
  <c r="V38" i="33"/>
  <c r="Q36" i="33"/>
  <c r="Q38" i="33"/>
  <c r="E36" i="33"/>
  <c r="E38" i="33"/>
  <c r="U36" i="33"/>
  <c r="U38" i="33"/>
  <c r="K39" i="33"/>
  <c r="M36" i="36"/>
  <c r="M38" i="36"/>
  <c r="F39" i="37"/>
  <c r="E36" i="37"/>
  <c r="E38" i="37"/>
  <c r="M36" i="37"/>
  <c r="M38" i="37"/>
  <c r="Q36" i="37"/>
  <c r="Q38" i="37"/>
  <c r="U36" i="37"/>
  <c r="U38" i="37"/>
  <c r="O39" i="36"/>
  <c r="K39" i="36"/>
  <c r="E36" i="36"/>
  <c r="E38" i="36"/>
  <c r="I36" i="36"/>
  <c r="I38" i="36"/>
  <c r="U36" i="36"/>
  <c r="U38" i="36"/>
  <c r="K39" i="34"/>
  <c r="E36" i="34"/>
  <c r="E38" i="34"/>
  <c r="I36" i="34"/>
  <c r="I38" i="34"/>
  <c r="Q36" i="34"/>
  <c r="Q38" i="34"/>
  <c r="U36" i="34"/>
  <c r="U38" i="34"/>
  <c r="O39" i="33"/>
  <c r="I36" i="33"/>
  <c r="I38" i="33"/>
  <c r="O39" i="32"/>
  <c r="E36" i="32"/>
  <c r="E38" i="32"/>
  <c r="I36" i="32"/>
  <c r="I38" i="32"/>
  <c r="U36" i="32"/>
  <c r="U38" i="32"/>
  <c r="K39" i="30"/>
  <c r="E36" i="30"/>
  <c r="E38" i="30"/>
  <c r="I36" i="30"/>
  <c r="I38" i="30"/>
  <c r="Q36" i="30"/>
  <c r="Q38" i="30"/>
  <c r="U36" i="30"/>
  <c r="U38" i="30"/>
  <c r="K39" i="29"/>
  <c r="I36" i="29"/>
  <c r="I38" i="29"/>
  <c r="T36" i="28"/>
  <c r="T39" i="28"/>
  <c r="S36" i="28"/>
  <c r="S39" i="28"/>
  <c r="R36" i="28"/>
  <c r="R39" i="28"/>
  <c r="P36" i="28"/>
  <c r="P39" i="28"/>
  <c r="O36" i="28"/>
  <c r="O39" i="28"/>
  <c r="C44" i="28"/>
  <c r="N36" i="28"/>
  <c r="L36" i="28"/>
  <c r="L39" i="28"/>
  <c r="K36" i="28"/>
  <c r="K39" i="28"/>
  <c r="J36" i="28"/>
  <c r="H36" i="28"/>
  <c r="H39" i="28"/>
  <c r="G36" i="28"/>
  <c r="G39" i="28"/>
  <c r="F36" i="28"/>
  <c r="I36" i="28"/>
  <c r="I38" i="28"/>
  <c r="D36" i="28"/>
  <c r="D39" i="28"/>
  <c r="C36" i="28"/>
  <c r="B36" i="28"/>
  <c r="B39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36" i="28"/>
  <c r="V38" i="28"/>
  <c r="V5" i="28"/>
  <c r="T34" i="27"/>
  <c r="T37" i="27"/>
  <c r="S34" i="27"/>
  <c r="U34" i="27"/>
  <c r="U36" i="27"/>
  <c r="R34" i="27"/>
  <c r="R37" i="27"/>
  <c r="P34" i="27"/>
  <c r="P37" i="27"/>
  <c r="O34" i="27"/>
  <c r="N34" i="27"/>
  <c r="N37" i="27"/>
  <c r="L34" i="27"/>
  <c r="L37" i="27"/>
  <c r="K34" i="27"/>
  <c r="J34" i="27"/>
  <c r="M34" i="27"/>
  <c r="M36" i="27"/>
  <c r="J37" i="27"/>
  <c r="H34" i="27"/>
  <c r="H37" i="27"/>
  <c r="G34" i="27"/>
  <c r="I34" i="27"/>
  <c r="I36" i="27"/>
  <c r="G37" i="27"/>
  <c r="F34" i="27"/>
  <c r="F37" i="27"/>
  <c r="D34" i="27"/>
  <c r="D37" i="27"/>
  <c r="C34" i="27"/>
  <c r="B34" i="27"/>
  <c r="B37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9" i="27"/>
  <c r="V18" i="27"/>
  <c r="V17" i="27"/>
  <c r="V16" i="27"/>
  <c r="V15" i="27"/>
  <c r="V14" i="27"/>
  <c r="V13" i="27"/>
  <c r="V12" i="27"/>
  <c r="V11" i="27"/>
  <c r="V10" i="27"/>
  <c r="V9" i="27"/>
  <c r="V8" i="27"/>
  <c r="V7" i="27"/>
  <c r="V6" i="27"/>
  <c r="V34" i="27"/>
  <c r="V36" i="27"/>
  <c r="V5" i="27"/>
  <c r="E36" i="28"/>
  <c r="E38" i="28"/>
  <c r="M36" i="28"/>
  <c r="M38" i="28"/>
  <c r="C39" i="28"/>
  <c r="Q36" i="28"/>
  <c r="Q38" i="28"/>
  <c r="E34" i="27"/>
  <c r="E36" i="27"/>
  <c r="Q34" i="27"/>
  <c r="Q36" i="27"/>
  <c r="J39" i="28"/>
  <c r="N39" i="28"/>
  <c r="U36" i="28"/>
  <c r="U38" i="28"/>
  <c r="C37" i="27"/>
  <c r="K37" i="27"/>
  <c r="O37" i="27"/>
  <c r="B44" i="30"/>
  <c r="C44" i="37"/>
  <c r="E44" i="37"/>
  <c r="B44" i="15"/>
  <c r="C44" i="31"/>
  <c r="C44" i="33"/>
  <c r="E44" i="33"/>
  <c r="E44" i="35"/>
  <c r="B44" i="31"/>
  <c r="B44" i="32"/>
  <c r="E44" i="32"/>
  <c r="B44" i="36"/>
  <c r="E44" i="36"/>
  <c r="E44" i="30"/>
  <c r="F39" i="28"/>
  <c r="B44" i="28"/>
  <c r="E44" i="28"/>
  <c r="O39" i="29"/>
  <c r="C39" i="29"/>
  <c r="C39" i="15"/>
  <c r="C44" i="15"/>
  <c r="E44" i="15"/>
  <c r="S37" i="27"/>
  <c r="E44" i="31"/>
  <c r="C44" i="29"/>
  <c r="E44" i="29"/>
</calcChain>
</file>

<file path=xl/sharedStrings.xml><?xml version="1.0" encoding="utf-8"?>
<sst xmlns="http://schemas.openxmlformats.org/spreadsheetml/2006/main" count="384" uniqueCount="16">
  <si>
    <t>Ngày</t>
  </si>
  <si>
    <t>Tổ TPTS</t>
  </si>
  <si>
    <t>Tổ TPCN</t>
  </si>
  <si>
    <t>Tổ HP</t>
  </si>
  <si>
    <t>Tổ SPC</t>
  </si>
  <si>
    <t>Tổ SPM</t>
  </si>
  <si>
    <t>Tỷ Lệ</t>
  </si>
  <si>
    <t>Tổng số SKU</t>
  </si>
  <si>
    <t>Tồn âm</t>
  </si>
  <si>
    <t>Tồn dương</t>
  </si>
  <si>
    <t>Tỷ lệ (%)</t>
  </si>
  <si>
    <t>ST</t>
  </si>
  <si>
    <t>KE HOACH</t>
  </si>
  <si>
    <t>SO KH</t>
  </si>
  <si>
    <t>THUC HIEN</t>
  </si>
  <si>
    <t>TỶ LỆ TỒN ÂM CỦA SIÊU THỊ 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</si>
</sst>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;[Red]#,##0"/>
    <numFmt numFmtId="165" formatCode="0.0%"/>
  </numFmts>
  <fonts count="2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22"/>
      <name val="Times New Roman"/>
      <family val="1"/>
    </font>
    <font>
      <sz val="12"/>
      <name val="Times New Roman"/>
      <family val="1"/>
    </font>
    <font>
      <sz val="12"/>
      <color indexed="9"/>
      <name val="Times New Roman"/>
      <family val="1"/>
    </font>
    <font>
      <b/>
      <sz val="12"/>
      <color indexed="48"/>
      <name val="Times New Roman"/>
      <family val="1"/>
    </font>
    <font>
      <b/>
      <sz val="8"/>
      <color indexed="48"/>
      <name val="Times New Roman"/>
      <family val="1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sz val="8"/>
      <name val="Times New Roman"/>
      <family val="1"/>
    </font>
    <font>
      <sz val="10"/>
      <color indexed="8"/>
      <name val="Calibri"/>
    </font>
    <font>
      <b/>
      <sz val="12"/>
      <color theme="3" tint="-0.499984740745262"/>
      <name val="Arial"/>
      <family val="2"/>
    </font>
    <font>
      <b/>
      <sz val="12"/>
      <color rgb="FFFF0000"/>
      <name val="Arial"/>
      <family val="2"/>
    </font>
    <font>
      <b/>
      <sz val="11"/>
      <color rgb="FF7030A0"/>
      <name val="Times New Roman"/>
      <family val="1"/>
    </font>
    <font>
      <b/>
      <sz val="11"/>
      <color rgb="FF7030A0"/>
      <name val="Verdana"/>
      <family val="2"/>
    </font>
    <font>
      <sz val="11"/>
      <color rgb="FF7030A0"/>
      <name val="Arial"/>
      <family val="2"/>
    </font>
    <font>
      <sz val="16"/>
      <color rgb="FFFF0000"/>
      <name val="Arial"/>
      <family val="2"/>
    </font>
    <font>
      <sz val="12"/>
      <color theme="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4" fillId="0" borderId="0" xfId="0" applyFont="1"/>
    <xf numFmtId="0" fontId="6" fillId="0" borderId="1" xfId="0" applyFont="1" applyBorder="1" applyAlignment="1" applyProtection="1">
      <alignment horizontal="center"/>
    </xf>
    <xf numFmtId="0" fontId="6" fillId="2" borderId="1" xfId="0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0" fontId="9" fillId="3" borderId="2" xfId="2" applyFont="1" applyFill="1" applyBorder="1" applyAlignment="1" applyProtection="1">
      <alignment horizontal="center" wrapText="1"/>
    </xf>
    <xf numFmtId="43" fontId="10" fillId="3" borderId="2" xfId="1" applyFont="1" applyFill="1" applyBorder="1" applyAlignment="1">
      <alignment horizontal="center" wrapText="1"/>
    </xf>
    <xf numFmtId="10" fontId="11" fillId="4" borderId="1" xfId="0" applyNumberFormat="1" applyFont="1" applyFill="1" applyBorder="1" applyAlignment="1">
      <alignment horizontal="right" wrapText="1"/>
    </xf>
    <xf numFmtId="43" fontId="11" fillId="4" borderId="1" xfId="1" applyFont="1" applyFill="1" applyBorder="1" applyAlignment="1">
      <alignment horizontal="right" wrapText="1"/>
    </xf>
    <xf numFmtId="0" fontId="6" fillId="2" borderId="1" xfId="0" applyFont="1" applyFill="1" applyBorder="1" applyAlignment="1" applyProtection="1">
      <alignment horizontal="center" vertical="center"/>
    </xf>
    <xf numFmtId="14" fontId="12" fillId="0" borderId="1" xfId="0" applyNumberFormat="1" applyFont="1" applyBorder="1"/>
    <xf numFmtId="0" fontId="11" fillId="5" borderId="2" xfId="0" applyFont="1" applyFill="1" applyBorder="1" applyAlignment="1">
      <alignment horizontal="right" wrapText="1"/>
    </xf>
    <xf numFmtId="10" fontId="11" fillId="2" borderId="3" xfId="0" applyNumberFormat="1" applyFont="1" applyFill="1" applyBorder="1"/>
    <xf numFmtId="165" fontId="0" fillId="0" borderId="0" xfId="3" applyNumberFormat="1" applyFont="1"/>
    <xf numFmtId="10" fontId="0" fillId="0" borderId="0" xfId="3" applyNumberFormat="1" applyFont="1"/>
    <xf numFmtId="0" fontId="14" fillId="6" borderId="1" xfId="0" applyFont="1" applyFill="1" applyBorder="1"/>
    <xf numFmtId="10" fontId="14" fillId="6" borderId="1" xfId="3" applyNumberFormat="1" applyFont="1" applyFill="1" applyBorder="1"/>
    <xf numFmtId="0" fontId="14" fillId="6" borderId="0" xfId="0" applyFont="1" applyFill="1"/>
    <xf numFmtId="0" fontId="15" fillId="7" borderId="1" xfId="0" applyFont="1" applyFill="1" applyBorder="1"/>
    <xf numFmtId="10" fontId="15" fillId="7" borderId="1" xfId="3" applyNumberFormat="1" applyFont="1" applyFill="1" applyBorder="1"/>
    <xf numFmtId="0" fontId="15" fillId="7" borderId="0" xfId="0" applyFont="1" applyFill="1"/>
    <xf numFmtId="14" fontId="16" fillId="8" borderId="4" xfId="0" applyNumberFormat="1" applyFont="1" applyFill="1" applyBorder="1"/>
    <xf numFmtId="164" fontId="16" fillId="8" borderId="4" xfId="0" applyNumberFormat="1" applyFont="1" applyFill="1" applyBorder="1"/>
    <xf numFmtId="10" fontId="17" fillId="8" borderId="5" xfId="3" applyNumberFormat="1" applyFont="1" applyFill="1" applyBorder="1" applyAlignment="1">
      <alignment horizontal="right" wrapText="1"/>
    </xf>
    <xf numFmtId="10" fontId="17" fillId="8" borderId="5" xfId="0" applyNumberFormat="1" applyFont="1" applyFill="1" applyBorder="1" applyAlignment="1">
      <alignment horizontal="right" wrapText="1"/>
    </xf>
    <xf numFmtId="0" fontId="18" fillId="8" borderId="0" xfId="0" applyFont="1" applyFill="1"/>
    <xf numFmtId="10" fontId="11" fillId="5" borderId="2" xfId="3" applyNumberFormat="1" applyFont="1" applyFill="1" applyBorder="1" applyAlignment="1">
      <alignment horizontal="right" wrapText="1"/>
    </xf>
    <xf numFmtId="0" fontId="19" fillId="9" borderId="0" xfId="0" applyFont="1" applyFill="1" applyAlignment="1">
      <alignment vertical="center"/>
    </xf>
    <xf numFmtId="9" fontId="19" fillId="9" borderId="0" xfId="3" applyFont="1" applyFill="1" applyAlignment="1">
      <alignment vertical="center"/>
    </xf>
    <xf numFmtId="10" fontId="19" fillId="9" borderId="0" xfId="3" applyNumberFormat="1" applyFont="1" applyFill="1" applyAlignment="1">
      <alignment vertical="center"/>
    </xf>
    <xf numFmtId="0" fontId="19" fillId="0" borderId="0" xfId="0" applyFont="1"/>
    <xf numFmtId="9" fontId="19" fillId="0" borderId="0" xfId="3" applyFont="1"/>
    <xf numFmtId="10" fontId="19" fillId="0" borderId="0" xfId="3" applyNumberFormat="1" applyFont="1"/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8" xfId="0" applyFont="1" applyBorder="1" applyAlignment="1" applyProtection="1">
      <alignment horizontal="center"/>
    </xf>
    <xf numFmtId="0" fontId="6" fillId="0" borderId="9" xfId="0" applyFont="1" applyBorder="1" applyAlignment="1" applyProtection="1">
      <alignment horizontal="center"/>
    </xf>
    <xf numFmtId="0" fontId="3" fillId="0" borderId="0" xfId="0" applyFont="1" applyAlignment="1">
      <alignment horizontal="center"/>
    </xf>
    <xf numFmtId="0" fontId="20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</cellXfs>
  <cellStyles count="5">
    <cellStyle name="Comma 2" xfId="1"/>
    <cellStyle name="Hyperlink" xfId="2" builtinId="8"/>
    <cellStyle name="Normal" xfId="0" builtinId="0"/>
    <cellStyle name="Percent" xfId="3" builtinId="5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externalLink" Target="externalLinks/externalLink11.xml"/><Relationship Id="rId5" Type="http://schemas.openxmlformats.org/officeDocument/2006/relationships/chartsheet" Target="chartsheets/sheet1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7323407"/>
        <c:axId val="1"/>
      </c:barChart>
      <c:catAx>
        <c:axId val="20473234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323407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3"/>
  <sheetViews>
    <sheetView tabSelected="1" zoomScale="113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007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98972A-9006-5111-1008-441714F0DC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20\Ton%20Am\2020\02-20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20\Ton%20Am\2020\01-20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20\Ton%20Am\2020\03-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20\Ton%20Am\2020\04-2020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05-201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06-201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07-2019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09-2019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10-2019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11-2019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UNG\sieu%20thi\doanh%20so%20sieu%20thi\DS%202019\Ton%20Am\2019\12-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220"/>
      <sheetName val="020220"/>
      <sheetName val="030220"/>
      <sheetName val="040220"/>
      <sheetName val="050220"/>
      <sheetName val="060220"/>
      <sheetName val="070220"/>
      <sheetName val="080220"/>
      <sheetName val="090220"/>
      <sheetName val="100220"/>
      <sheetName val="110220"/>
      <sheetName val="120220"/>
      <sheetName val="130220"/>
      <sheetName val="140220"/>
      <sheetName val="150220"/>
      <sheetName val="160220"/>
      <sheetName val="170220"/>
      <sheetName val="180220"/>
      <sheetName val="190220"/>
      <sheetName val="200220"/>
      <sheetName val="210220"/>
      <sheetName val="220220"/>
      <sheetName val="230220"/>
      <sheetName val="240220"/>
      <sheetName val="250220"/>
      <sheetName val="260220"/>
      <sheetName val="270220"/>
      <sheetName val="280220"/>
      <sheetName val="290220"/>
      <sheetName val="300120"/>
      <sheetName val="310120"/>
      <sheetName val="Sheet1"/>
      <sheetName val="010320"/>
      <sheetName val="290120"/>
      <sheetName val="3103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2">
          <cell r="A2">
            <v>1</v>
          </cell>
          <cell r="B2" t="str">
            <v>1 - Thực phẩm tươi sống</v>
          </cell>
          <cell r="C2">
            <v>613</v>
          </cell>
          <cell r="D2">
            <v>327</v>
          </cell>
          <cell r="E2">
            <v>286</v>
          </cell>
          <cell r="F2">
            <v>0.53339999999999999</v>
          </cell>
        </row>
        <row r="3">
          <cell r="A3">
            <v>2</v>
          </cell>
          <cell r="B3" t="str">
            <v>2 - Thực phẩm công nghệ</v>
          </cell>
          <cell r="C3">
            <v>3238</v>
          </cell>
          <cell r="D3">
            <v>236</v>
          </cell>
          <cell r="E3">
            <v>3002</v>
          </cell>
          <cell r="F3">
            <v>7.2900000000000006E-2</v>
          </cell>
        </row>
        <row r="4">
          <cell r="A4">
            <v>3</v>
          </cell>
          <cell r="B4" t="str">
            <v>3 - Hóa phẩm</v>
          </cell>
          <cell r="C4">
            <v>2183</v>
          </cell>
          <cell r="D4">
            <v>101</v>
          </cell>
          <cell r="E4">
            <v>2082</v>
          </cell>
          <cell r="F4">
            <v>4.6300000000000001E-2</v>
          </cell>
        </row>
        <row r="5">
          <cell r="A5">
            <v>4</v>
          </cell>
          <cell r="B5" t="str">
            <v>4 - Đồ dùng</v>
          </cell>
          <cell r="C5">
            <v>2025</v>
          </cell>
          <cell r="D5">
            <v>78</v>
          </cell>
          <cell r="E5">
            <v>1947</v>
          </cell>
          <cell r="F5">
            <v>3.85E-2</v>
          </cell>
        </row>
        <row r="6">
          <cell r="A6">
            <v>5</v>
          </cell>
          <cell r="B6" t="str">
            <v>5 - May mặc</v>
          </cell>
          <cell r="C6">
            <v>2059</v>
          </cell>
          <cell r="D6">
            <v>25</v>
          </cell>
          <cell r="E6">
            <v>2034</v>
          </cell>
          <cell r="F6">
            <v>1.21E-2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B8">
            <v>0</v>
          </cell>
          <cell r="C8">
            <v>10126</v>
          </cell>
          <cell r="D8">
            <v>767</v>
          </cell>
          <cell r="E8">
            <v>9359</v>
          </cell>
          <cell r="F8">
            <v>0.70319999999999994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23331767.680199999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3300258067.9784999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2447671010.3930001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846952947.16600001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1435310050.6059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40992784.276799999</v>
          </cell>
          <cell r="E25" t="str">
            <v>518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20"/>
      <sheetName val="020120"/>
      <sheetName val="030120"/>
      <sheetName val="040120"/>
      <sheetName val="050120"/>
      <sheetName val="060120"/>
      <sheetName val="070120"/>
      <sheetName val="080120"/>
      <sheetName val="090120"/>
      <sheetName val="100120"/>
      <sheetName val="110120"/>
      <sheetName val="120120"/>
      <sheetName val="130120"/>
      <sheetName val="140120"/>
      <sheetName val="150120"/>
      <sheetName val="160120"/>
      <sheetName val="170120"/>
      <sheetName val="180120"/>
      <sheetName val="190120"/>
      <sheetName val="200120"/>
      <sheetName val="210120"/>
      <sheetName val="220120"/>
      <sheetName val="230120"/>
      <sheetName val="240120"/>
      <sheetName val="250119"/>
      <sheetName val="260119"/>
      <sheetName val="270119"/>
      <sheetName val="280119"/>
      <sheetName val="290120"/>
      <sheetName val="300120"/>
      <sheetName val="310120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A2">
            <v>1</v>
          </cell>
          <cell r="B2" t="str">
            <v>1 - Thực phẩm tươi sống</v>
          </cell>
          <cell r="C2">
            <v>594</v>
          </cell>
          <cell r="D2">
            <v>284</v>
          </cell>
          <cell r="E2">
            <v>310</v>
          </cell>
          <cell r="F2">
            <v>0.47810000000000002</v>
          </cell>
        </row>
        <row r="3">
          <cell r="A3">
            <v>2</v>
          </cell>
          <cell r="B3" t="str">
            <v>2 - Thực phẩm công nghệ</v>
          </cell>
          <cell r="C3">
            <v>3280</v>
          </cell>
          <cell r="D3">
            <v>204</v>
          </cell>
          <cell r="E3">
            <v>3076</v>
          </cell>
          <cell r="F3">
            <v>6.2199999999999998E-2</v>
          </cell>
        </row>
        <row r="4">
          <cell r="A4">
            <v>3</v>
          </cell>
          <cell r="B4" t="str">
            <v>3 - Hóa phẩm</v>
          </cell>
          <cell r="C4">
            <v>2136</v>
          </cell>
          <cell r="D4">
            <v>78</v>
          </cell>
          <cell r="E4">
            <v>2058</v>
          </cell>
          <cell r="F4">
            <v>3.6499999999999998E-2</v>
          </cell>
        </row>
        <row r="5">
          <cell r="A5">
            <v>4</v>
          </cell>
          <cell r="B5" t="str">
            <v>4 - Đồ dùng</v>
          </cell>
          <cell r="C5">
            <v>2276</v>
          </cell>
          <cell r="D5">
            <v>58</v>
          </cell>
          <cell r="E5">
            <v>2218</v>
          </cell>
          <cell r="F5">
            <v>2.5499999999999998E-2</v>
          </cell>
        </row>
        <row r="6">
          <cell r="A6">
            <v>5</v>
          </cell>
          <cell r="B6" t="str">
            <v>5 - May mặc</v>
          </cell>
          <cell r="C6">
            <v>2100</v>
          </cell>
          <cell r="D6">
            <v>21</v>
          </cell>
          <cell r="E6">
            <v>2079</v>
          </cell>
          <cell r="F6">
            <v>0.01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B8">
            <v>0</v>
          </cell>
          <cell r="C8">
            <v>10394</v>
          </cell>
          <cell r="D8">
            <v>645</v>
          </cell>
          <cell r="E8">
            <v>9749</v>
          </cell>
          <cell r="F8">
            <v>0.61229999999999996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62949076.4406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3287516881.9906001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2230963222.6778002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1191912177.5802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1413767702.5903001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55610177.276799999</v>
          </cell>
          <cell r="E25" t="str">
            <v>518</v>
          </cell>
        </row>
      </sheetData>
      <sheetData sheetId="3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320"/>
      <sheetName val="020320"/>
      <sheetName val="030320"/>
      <sheetName val="040320"/>
      <sheetName val="050320"/>
      <sheetName val="060320"/>
      <sheetName val="070320"/>
      <sheetName val="080320"/>
      <sheetName val="090320"/>
      <sheetName val="100320"/>
      <sheetName val="110320"/>
      <sheetName val="120320"/>
      <sheetName val="130320"/>
      <sheetName val="140320"/>
      <sheetName val="150320"/>
      <sheetName val="160320"/>
      <sheetName val="170320"/>
      <sheetName val="180320"/>
      <sheetName val="190320"/>
      <sheetName val="200320"/>
      <sheetName val="210320"/>
      <sheetName val="220320"/>
      <sheetName val="230320"/>
      <sheetName val="240320"/>
      <sheetName val="250320"/>
      <sheetName val="260320"/>
      <sheetName val="270320"/>
      <sheetName val="280320"/>
      <sheetName val="290320"/>
      <sheetName val="300320"/>
      <sheetName val="310320"/>
      <sheetName val="Sheet1"/>
      <sheetName val="310120"/>
      <sheetName val="010420"/>
    </sheetNames>
    <sheetDataSet>
      <sheetData sheetId="0">
        <row r="2">
          <cell r="A2">
            <v>1</v>
          </cell>
          <cell r="B2" t="str">
            <v>1 - Thực phẩm tươi sống</v>
          </cell>
          <cell r="C2">
            <v>384</v>
          </cell>
          <cell r="D2">
            <v>108</v>
          </cell>
          <cell r="E2">
            <v>276</v>
          </cell>
          <cell r="F2">
            <v>0.28129999999999999</v>
          </cell>
        </row>
        <row r="3">
          <cell r="A3">
            <v>2</v>
          </cell>
          <cell r="B3" t="str">
            <v>2 - Thực phẩm công nghệ</v>
          </cell>
          <cell r="C3">
            <v>3064</v>
          </cell>
          <cell r="D3">
            <v>27</v>
          </cell>
          <cell r="E3">
            <v>3037</v>
          </cell>
          <cell r="F3">
            <v>8.8000000000000005E-3</v>
          </cell>
        </row>
        <row r="4">
          <cell r="A4">
            <v>3</v>
          </cell>
          <cell r="B4" t="str">
            <v>3 - Hóa phẩm</v>
          </cell>
          <cell r="C4">
            <v>2172</v>
          </cell>
          <cell r="D4">
            <v>27</v>
          </cell>
          <cell r="E4">
            <v>2145</v>
          </cell>
          <cell r="F4">
            <v>1.24E-2</v>
          </cell>
        </row>
        <row r="5">
          <cell r="A5">
            <v>4</v>
          </cell>
          <cell r="B5" t="str">
            <v>4 - Đồ dùng</v>
          </cell>
          <cell r="C5">
            <v>2036</v>
          </cell>
          <cell r="D5">
            <v>9</v>
          </cell>
          <cell r="E5">
            <v>2027</v>
          </cell>
          <cell r="F5">
            <v>4.4000000000000003E-3</v>
          </cell>
        </row>
        <row r="6">
          <cell r="A6">
            <v>5</v>
          </cell>
          <cell r="B6" t="str">
            <v>5 - May mặc</v>
          </cell>
          <cell r="C6">
            <v>2050</v>
          </cell>
          <cell r="D6">
            <v>8</v>
          </cell>
          <cell r="E6">
            <v>2042</v>
          </cell>
          <cell r="F6">
            <v>3.8999999999999998E-3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C8">
            <v>9714</v>
          </cell>
          <cell r="D8">
            <v>179</v>
          </cell>
          <cell r="E8">
            <v>9535</v>
          </cell>
          <cell r="F8">
            <v>0.31080000000000002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86115690.782700002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3562579077.2679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3197971100.8439999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937624298.91600001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1475288972.9965999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42852788.276799999</v>
          </cell>
          <cell r="E25" t="str">
            <v>518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ngatang"/>
      <sheetName val="010420"/>
      <sheetName val="020420"/>
      <sheetName val="030420"/>
      <sheetName val="040420"/>
      <sheetName val="050420"/>
      <sheetName val="060420"/>
      <sheetName val="070420"/>
      <sheetName val="080420"/>
      <sheetName val="090420"/>
      <sheetName val="100420"/>
      <sheetName val="110420"/>
      <sheetName val="120420"/>
      <sheetName val="130420"/>
      <sheetName val="140420"/>
      <sheetName val="150420"/>
      <sheetName val="160420"/>
      <sheetName val="170420"/>
      <sheetName val="180420"/>
      <sheetName val="190420"/>
      <sheetName val="200320"/>
      <sheetName val="210320"/>
      <sheetName val="220320"/>
      <sheetName val="230320"/>
      <sheetName val="240320"/>
      <sheetName val="250320"/>
      <sheetName val="260320"/>
      <sheetName val="270320"/>
      <sheetName val="280320"/>
      <sheetName val="290320"/>
      <sheetName val="300320"/>
      <sheetName val="190320"/>
      <sheetName val="180320"/>
      <sheetName val="170320"/>
    </sheetNames>
    <sheetDataSet>
      <sheetData sheetId="0"/>
      <sheetData sheetId="1">
        <row r="2">
          <cell r="A2">
            <v>1</v>
          </cell>
          <cell r="B2" t="str">
            <v>1 - Thực phẩm tươi sống</v>
          </cell>
          <cell r="C2">
            <v>487</v>
          </cell>
          <cell r="D2">
            <v>213</v>
          </cell>
          <cell r="E2">
            <v>274</v>
          </cell>
          <cell r="F2">
            <v>0.43740000000000001</v>
          </cell>
        </row>
        <row r="3">
          <cell r="A3">
            <v>2</v>
          </cell>
          <cell r="B3" t="str">
            <v>2 - Thực phẩm công nghệ</v>
          </cell>
          <cell r="C3">
            <v>3030</v>
          </cell>
          <cell r="D3">
            <v>144</v>
          </cell>
          <cell r="E3">
            <v>2886</v>
          </cell>
          <cell r="F3">
            <v>4.7500000000000001E-2</v>
          </cell>
        </row>
        <row r="4">
          <cell r="A4">
            <v>3</v>
          </cell>
          <cell r="B4" t="str">
            <v>3 - Hóa phẩm</v>
          </cell>
          <cell r="C4">
            <v>2202</v>
          </cell>
          <cell r="D4">
            <v>24</v>
          </cell>
          <cell r="E4">
            <v>2178</v>
          </cell>
          <cell r="F4">
            <v>1.09E-2</v>
          </cell>
        </row>
        <row r="5">
          <cell r="A5">
            <v>4</v>
          </cell>
          <cell r="B5" t="str">
            <v>4 - Đồ dùng</v>
          </cell>
          <cell r="C5">
            <v>2130</v>
          </cell>
          <cell r="D5">
            <v>23</v>
          </cell>
          <cell r="E5">
            <v>2107</v>
          </cell>
          <cell r="F5">
            <v>1.0800000000000001E-2</v>
          </cell>
        </row>
        <row r="6">
          <cell r="A6">
            <v>5</v>
          </cell>
          <cell r="B6" t="str">
            <v>5 - May mặc</v>
          </cell>
          <cell r="C6">
            <v>1938</v>
          </cell>
          <cell r="D6">
            <v>30</v>
          </cell>
          <cell r="E6">
            <v>1908</v>
          </cell>
          <cell r="F6">
            <v>1.55E-2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C8">
            <v>9795</v>
          </cell>
          <cell r="D8">
            <v>434</v>
          </cell>
          <cell r="E8">
            <v>9361</v>
          </cell>
          <cell r="F8">
            <v>0.52210000000000001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67079880.7773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3523307004.1322999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3688659432.8225002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907601910.20410001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1571406676.6800001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65089186.276799999</v>
          </cell>
          <cell r="E25" t="str">
            <v>518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>
            <v>1</v>
          </cell>
          <cell r="B2" t="str">
            <v>1 - Thực phẩm tươi sống</v>
          </cell>
          <cell r="C2">
            <v>541</v>
          </cell>
          <cell r="D2">
            <v>220</v>
          </cell>
          <cell r="E2">
            <v>321</v>
          </cell>
          <cell r="F2">
            <v>0.40670000000000001</v>
          </cell>
        </row>
        <row r="3">
          <cell r="A3">
            <v>2</v>
          </cell>
          <cell r="B3" t="str">
            <v>2 - Thực phẩm công nghệ</v>
          </cell>
          <cell r="C3">
            <v>3107</v>
          </cell>
          <cell r="D3">
            <v>141</v>
          </cell>
          <cell r="E3">
            <v>2966</v>
          </cell>
          <cell r="F3">
            <v>4.5400000000000003E-2</v>
          </cell>
        </row>
        <row r="4">
          <cell r="A4">
            <v>3</v>
          </cell>
          <cell r="B4" t="str">
            <v>3 - Hóa phẩm</v>
          </cell>
          <cell r="C4">
            <v>2250</v>
          </cell>
          <cell r="D4">
            <v>32</v>
          </cell>
          <cell r="E4">
            <v>2218</v>
          </cell>
          <cell r="F4">
            <v>1.4200000000000001E-2</v>
          </cell>
        </row>
        <row r="5">
          <cell r="A5">
            <v>4</v>
          </cell>
          <cell r="B5" t="str">
            <v>4 - Đồ dùng</v>
          </cell>
          <cell r="C5">
            <v>2056</v>
          </cell>
          <cell r="D5">
            <v>30</v>
          </cell>
          <cell r="E5">
            <v>2026</v>
          </cell>
          <cell r="F5">
            <v>1.46E-2</v>
          </cell>
        </row>
        <row r="6">
          <cell r="A6">
            <v>5</v>
          </cell>
          <cell r="B6" t="str">
            <v>5 - May mặc</v>
          </cell>
          <cell r="C6">
            <v>1909</v>
          </cell>
          <cell r="D6">
            <v>21</v>
          </cell>
          <cell r="E6">
            <v>1888</v>
          </cell>
          <cell r="F6">
            <v>1.0999999999999999E-2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B8"/>
          <cell r="C8">
            <v>9871</v>
          </cell>
          <cell r="D8">
            <v>444</v>
          </cell>
          <cell r="E8">
            <v>9427</v>
          </cell>
          <cell r="F8">
            <v>0.4919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68390772.725799993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4147639110.8641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3556461872.8699999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842123010.32570004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1622183585.1666999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39590117.276799999</v>
          </cell>
          <cell r="E25" t="str">
            <v>518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519"/>
      <sheetName val="020519"/>
      <sheetName val="030519"/>
      <sheetName val="040519"/>
      <sheetName val="050519"/>
      <sheetName val="060519"/>
      <sheetName val="070519"/>
      <sheetName val="080519"/>
      <sheetName val="090519"/>
      <sheetName val="100519"/>
      <sheetName val="110519"/>
      <sheetName val="120519"/>
      <sheetName val="130519"/>
      <sheetName val="140519"/>
      <sheetName val="150519"/>
      <sheetName val="160519"/>
      <sheetName val="170519"/>
      <sheetName val="180519"/>
      <sheetName val="190519"/>
      <sheetName val="200519"/>
      <sheetName val="210519"/>
      <sheetName val="220519"/>
      <sheetName val="230519"/>
      <sheetName val="240519"/>
      <sheetName val="250519"/>
      <sheetName val="260519"/>
      <sheetName val="270519"/>
      <sheetName val="280519"/>
      <sheetName val="290519"/>
      <sheetName val="300519"/>
      <sheetName val="310519"/>
      <sheetName val="310518"/>
      <sheetName val="3005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A2">
            <v>1</v>
          </cell>
          <cell r="B2" t="str">
            <v>1 - Thực phẩm tươi sống</v>
          </cell>
          <cell r="C2">
            <v>533</v>
          </cell>
          <cell r="D2">
            <v>204</v>
          </cell>
          <cell r="E2">
            <v>329</v>
          </cell>
          <cell r="F2">
            <v>0.38269999999999998</v>
          </cell>
        </row>
        <row r="3">
          <cell r="A3">
            <v>2</v>
          </cell>
          <cell r="B3" t="str">
            <v>2 - Thực phẩm công nghệ</v>
          </cell>
          <cell r="C3">
            <v>3402</v>
          </cell>
          <cell r="D3">
            <v>127</v>
          </cell>
          <cell r="E3">
            <v>3275</v>
          </cell>
          <cell r="F3">
            <v>3.73E-2</v>
          </cell>
        </row>
        <row r="4">
          <cell r="A4">
            <v>3</v>
          </cell>
          <cell r="B4" t="str">
            <v>3 - Hóa phẩm</v>
          </cell>
          <cell r="C4">
            <v>2564</v>
          </cell>
          <cell r="D4">
            <v>43</v>
          </cell>
          <cell r="E4">
            <v>2521</v>
          </cell>
          <cell r="F4">
            <v>1.6799999999999999E-2</v>
          </cell>
        </row>
        <row r="5">
          <cell r="A5">
            <v>4</v>
          </cell>
          <cell r="B5" t="str">
            <v>4 - Đồ dùng</v>
          </cell>
          <cell r="C5">
            <v>3064</v>
          </cell>
          <cell r="D5">
            <v>35</v>
          </cell>
          <cell r="E5">
            <v>3029</v>
          </cell>
          <cell r="F5">
            <v>1.14E-2</v>
          </cell>
        </row>
        <row r="6">
          <cell r="A6">
            <v>5</v>
          </cell>
          <cell r="B6" t="str">
            <v>5 - May mặc</v>
          </cell>
          <cell r="C6">
            <v>2963</v>
          </cell>
          <cell r="D6">
            <v>30</v>
          </cell>
          <cell r="E6">
            <v>2933</v>
          </cell>
          <cell r="F6">
            <v>1.01E-2</v>
          </cell>
        </row>
        <row r="7">
          <cell r="A7">
            <v>6</v>
          </cell>
          <cell r="B7" t="str">
            <v>6 - Ngành khác</v>
          </cell>
          <cell r="C7">
            <v>7</v>
          </cell>
          <cell r="D7">
            <v>0</v>
          </cell>
          <cell r="E7">
            <v>7</v>
          </cell>
          <cell r="F7">
            <v>0</v>
          </cell>
        </row>
        <row r="8">
          <cell r="C8">
            <v>12533</v>
          </cell>
          <cell r="D8">
            <v>439</v>
          </cell>
          <cell r="E8">
            <v>12094</v>
          </cell>
          <cell r="F8">
            <v>0.45829999999999999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90784085.594699994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3985244808.6928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4347702385.9083004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1574143171.9869001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2163667995.5471001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74486286</v>
          </cell>
          <cell r="E25">
            <v>518</v>
          </cell>
        </row>
      </sheetData>
      <sheetData sheetId="31" refreshError="1"/>
      <sheetData sheetId="3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619"/>
      <sheetName val="020619"/>
      <sheetName val="030619"/>
      <sheetName val="040619"/>
      <sheetName val="050619"/>
      <sheetName val="060619"/>
      <sheetName val="070619"/>
      <sheetName val="080619"/>
      <sheetName val="090619"/>
      <sheetName val="100619"/>
      <sheetName val="110619"/>
      <sheetName val="120619"/>
      <sheetName val="130619"/>
      <sheetName val="140619"/>
      <sheetName val="150619"/>
      <sheetName val="160619"/>
      <sheetName val="170619"/>
      <sheetName val="180619"/>
      <sheetName val="190619"/>
      <sheetName val="200619"/>
      <sheetName val="210619"/>
      <sheetName val="220619"/>
      <sheetName val="230619"/>
      <sheetName val="240619"/>
      <sheetName val="250619"/>
      <sheetName val="260619"/>
      <sheetName val="270619"/>
      <sheetName val="280619"/>
      <sheetName val="290619"/>
      <sheetName val="300619"/>
      <sheetName val="300519"/>
      <sheetName val="3105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2">
          <cell r="A2">
            <v>1</v>
          </cell>
          <cell r="B2" t="str">
            <v>1 - Thực phẩm tươi sống</v>
          </cell>
          <cell r="C2">
            <v>485</v>
          </cell>
          <cell r="D2">
            <v>161</v>
          </cell>
          <cell r="E2">
            <v>324</v>
          </cell>
          <cell r="F2">
            <v>0.33200000000000002</v>
          </cell>
        </row>
        <row r="3">
          <cell r="A3">
            <v>2</v>
          </cell>
          <cell r="B3" t="str">
            <v>2 - Thực phẩm công nghệ</v>
          </cell>
          <cell r="C3">
            <v>3364</v>
          </cell>
          <cell r="D3">
            <v>72</v>
          </cell>
          <cell r="E3">
            <v>3292</v>
          </cell>
          <cell r="F3">
            <v>2.1399999999999999E-2</v>
          </cell>
        </row>
        <row r="4">
          <cell r="A4">
            <v>3</v>
          </cell>
          <cell r="B4" t="str">
            <v>3 - Hóa phẩm</v>
          </cell>
          <cell r="C4">
            <v>2484</v>
          </cell>
          <cell r="D4">
            <v>27</v>
          </cell>
          <cell r="E4">
            <v>2457</v>
          </cell>
          <cell r="F4">
            <v>1.09E-2</v>
          </cell>
        </row>
        <row r="5">
          <cell r="A5">
            <v>4</v>
          </cell>
          <cell r="B5" t="str">
            <v>4 - Đồ dùng</v>
          </cell>
          <cell r="C5">
            <v>2973</v>
          </cell>
          <cell r="D5">
            <v>27</v>
          </cell>
          <cell r="E5">
            <v>2946</v>
          </cell>
          <cell r="F5">
            <v>9.1000000000000004E-3</v>
          </cell>
        </row>
        <row r="6">
          <cell r="A6">
            <v>5</v>
          </cell>
          <cell r="B6" t="str">
            <v>5 - May mặc</v>
          </cell>
          <cell r="C6">
            <v>2867</v>
          </cell>
          <cell r="D6">
            <v>48</v>
          </cell>
          <cell r="E6">
            <v>2819</v>
          </cell>
          <cell r="F6">
            <v>1.67E-2</v>
          </cell>
        </row>
        <row r="7">
          <cell r="A7">
            <v>6</v>
          </cell>
          <cell r="B7" t="str">
            <v>6 - Ngành khác</v>
          </cell>
          <cell r="C7">
            <v>7</v>
          </cell>
          <cell r="D7">
            <v>0</v>
          </cell>
          <cell r="E7">
            <v>7</v>
          </cell>
          <cell r="F7">
            <v>0</v>
          </cell>
        </row>
        <row r="8">
          <cell r="C8">
            <v>12180</v>
          </cell>
          <cell r="D8">
            <v>335</v>
          </cell>
          <cell r="E8">
            <v>11845</v>
          </cell>
          <cell r="F8">
            <v>0.3901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101589220.3867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4218842474.5106001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4015622450.9285998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1493210424.1524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1998842281.9240999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47801301</v>
          </cell>
          <cell r="E25">
            <v>518</v>
          </cell>
        </row>
      </sheetData>
      <sheetData sheetId="30" refreshError="1"/>
      <sheetData sheetId="3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719"/>
      <sheetName val="020719"/>
      <sheetName val="030719"/>
      <sheetName val="040719"/>
      <sheetName val="050719"/>
      <sheetName val="060719"/>
      <sheetName val="070719"/>
      <sheetName val="080719"/>
      <sheetName val="090719"/>
      <sheetName val="100719"/>
      <sheetName val="110719"/>
      <sheetName val="120719"/>
      <sheetName val="130719"/>
      <sheetName val="140719"/>
      <sheetName val="150719"/>
      <sheetName val="160719"/>
      <sheetName val="170719"/>
      <sheetName val="180719"/>
      <sheetName val="190719"/>
      <sheetName val="200719"/>
      <sheetName val="210719"/>
      <sheetName val="220719"/>
      <sheetName val="230719"/>
      <sheetName val="240719"/>
      <sheetName val="250719"/>
      <sheetName val="260719"/>
      <sheetName val="270719"/>
      <sheetName val="280719"/>
      <sheetName val="290719"/>
      <sheetName val="300719"/>
      <sheetName val="3107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A2">
            <v>1</v>
          </cell>
          <cell r="B2" t="str">
            <v>1 - Thực phẩm tươi sống</v>
          </cell>
          <cell r="C2">
            <v>569</v>
          </cell>
          <cell r="D2">
            <v>226</v>
          </cell>
          <cell r="E2">
            <v>343</v>
          </cell>
          <cell r="F2">
            <v>0.3972</v>
          </cell>
        </row>
        <row r="3">
          <cell r="A3">
            <v>2</v>
          </cell>
          <cell r="B3" t="str">
            <v>2 - Thực phẩm công nghệ</v>
          </cell>
          <cell r="C3">
            <v>3390</v>
          </cell>
          <cell r="D3">
            <v>110</v>
          </cell>
          <cell r="E3">
            <v>3280</v>
          </cell>
          <cell r="F3">
            <v>3.2399999999999998E-2</v>
          </cell>
        </row>
        <row r="4">
          <cell r="A4">
            <v>3</v>
          </cell>
          <cell r="B4" t="str">
            <v>3 - Hóa phẩm</v>
          </cell>
          <cell r="C4">
            <v>2477</v>
          </cell>
          <cell r="D4">
            <v>55</v>
          </cell>
          <cell r="E4">
            <v>2422</v>
          </cell>
          <cell r="F4">
            <v>2.2200000000000001E-2</v>
          </cell>
        </row>
        <row r="5">
          <cell r="A5">
            <v>4</v>
          </cell>
          <cell r="B5" t="str">
            <v>4 - Đồ dùng</v>
          </cell>
          <cell r="C5">
            <v>2766</v>
          </cell>
          <cell r="D5">
            <v>39</v>
          </cell>
          <cell r="E5">
            <v>2727</v>
          </cell>
          <cell r="F5">
            <v>1.41E-2</v>
          </cell>
        </row>
        <row r="6">
          <cell r="A6">
            <v>5</v>
          </cell>
          <cell r="B6" t="str">
            <v>5 - May mặc</v>
          </cell>
          <cell r="C6">
            <v>2353</v>
          </cell>
          <cell r="D6">
            <v>78</v>
          </cell>
          <cell r="E6">
            <v>2275</v>
          </cell>
          <cell r="F6">
            <v>3.3099999999999997E-2</v>
          </cell>
        </row>
        <row r="7">
          <cell r="A7">
            <v>6</v>
          </cell>
          <cell r="B7" t="str">
            <v>6 - Ngành khác</v>
          </cell>
          <cell r="C7">
            <v>7</v>
          </cell>
          <cell r="D7">
            <v>0</v>
          </cell>
          <cell r="E7">
            <v>7</v>
          </cell>
          <cell r="F7">
            <v>0</v>
          </cell>
        </row>
        <row r="8">
          <cell r="C8">
            <v>11562</v>
          </cell>
          <cell r="D8">
            <v>508</v>
          </cell>
          <cell r="E8">
            <v>11054</v>
          </cell>
          <cell r="F8">
            <v>0.499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80159460.072300002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3921703669.2114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2727952699.4277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1210789383.3469999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1518723902.6303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147903413</v>
          </cell>
          <cell r="E25">
            <v>518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919"/>
      <sheetName val="020919"/>
      <sheetName val="030919"/>
      <sheetName val="040919"/>
      <sheetName val="050919"/>
      <sheetName val="060919"/>
      <sheetName val="070919"/>
      <sheetName val="080919"/>
      <sheetName val="090919"/>
      <sheetName val="100919"/>
      <sheetName val="110919"/>
      <sheetName val="120919"/>
      <sheetName val="130919"/>
      <sheetName val="140919"/>
      <sheetName val="150919"/>
      <sheetName val="160919"/>
      <sheetName val="170919"/>
      <sheetName val="180919"/>
      <sheetName val="190919"/>
      <sheetName val="200919"/>
      <sheetName val="210919"/>
      <sheetName val="220919"/>
      <sheetName val="230919"/>
      <sheetName val="240919"/>
      <sheetName val="250919"/>
      <sheetName val="260919"/>
      <sheetName val="270919"/>
      <sheetName val="280919"/>
      <sheetName val="290919"/>
      <sheetName val="300919"/>
      <sheetName val="310719"/>
      <sheetName val="300819"/>
    </sheetNames>
    <sheetDataSet>
      <sheetData sheetId="0">
        <row r="2">
          <cell r="A2">
            <v>1</v>
          </cell>
          <cell r="B2" t="str">
            <v>1 - Thực phẩm tươi sống</v>
          </cell>
          <cell r="C2">
            <v>383</v>
          </cell>
          <cell r="D2">
            <v>74</v>
          </cell>
          <cell r="E2">
            <v>309</v>
          </cell>
          <cell r="F2">
            <v>0.19320000000000001</v>
          </cell>
        </row>
        <row r="3">
          <cell r="A3">
            <v>2</v>
          </cell>
          <cell r="B3" t="str">
            <v>2 - Thực phẩm công nghệ</v>
          </cell>
          <cell r="C3">
            <v>3223</v>
          </cell>
          <cell r="D3">
            <v>20</v>
          </cell>
          <cell r="E3">
            <v>3203</v>
          </cell>
          <cell r="F3">
            <v>6.1999999999999998E-3</v>
          </cell>
        </row>
        <row r="4">
          <cell r="A4">
            <v>3</v>
          </cell>
          <cell r="B4" t="str">
            <v>3 - Hóa phẩm</v>
          </cell>
          <cell r="C4">
            <v>2322</v>
          </cell>
          <cell r="D4">
            <v>3</v>
          </cell>
          <cell r="E4">
            <v>2319</v>
          </cell>
          <cell r="F4">
            <v>1.2999999999999999E-3</v>
          </cell>
        </row>
        <row r="5">
          <cell r="A5">
            <v>4</v>
          </cell>
          <cell r="B5" t="str">
            <v>4 - Đồ dùng</v>
          </cell>
          <cell r="C5">
            <v>2539</v>
          </cell>
          <cell r="D5">
            <v>9</v>
          </cell>
          <cell r="E5">
            <v>2530</v>
          </cell>
          <cell r="F5">
            <v>3.5000000000000001E-3</v>
          </cell>
        </row>
        <row r="6">
          <cell r="A6">
            <v>5</v>
          </cell>
          <cell r="B6" t="str">
            <v>5 - May mặc</v>
          </cell>
          <cell r="C6">
            <v>2053</v>
          </cell>
          <cell r="D6">
            <v>36</v>
          </cell>
          <cell r="E6">
            <v>2017</v>
          </cell>
          <cell r="F6">
            <v>1.7500000000000002E-2</v>
          </cell>
        </row>
        <row r="7">
          <cell r="A7">
            <v>6</v>
          </cell>
          <cell r="B7" t="str">
            <v>6 - Ngành khác</v>
          </cell>
          <cell r="C7">
            <v>7</v>
          </cell>
          <cell r="D7">
            <v>0</v>
          </cell>
          <cell r="E7">
            <v>7</v>
          </cell>
          <cell r="F7">
            <v>0</v>
          </cell>
        </row>
        <row r="8">
          <cell r="C8">
            <v>10527</v>
          </cell>
          <cell r="D8">
            <v>142</v>
          </cell>
          <cell r="E8">
            <v>10385</v>
          </cell>
          <cell r="F8">
            <v>0.22170000000000001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95855051.934499994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3478003642.7329998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2831761010.0323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1108796998.5866001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1461032687.3741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34080146</v>
          </cell>
          <cell r="E25">
            <v>518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1019"/>
      <sheetName val="021019"/>
      <sheetName val="031019"/>
      <sheetName val="041019"/>
      <sheetName val="051019"/>
      <sheetName val="061019"/>
      <sheetName val="071019"/>
      <sheetName val="081019"/>
      <sheetName val="091019"/>
      <sheetName val="101019"/>
      <sheetName val="111019"/>
      <sheetName val="121019"/>
      <sheetName val="131019"/>
      <sheetName val="141019"/>
      <sheetName val="151019"/>
      <sheetName val="161019"/>
      <sheetName val="171019"/>
      <sheetName val="181019"/>
      <sheetName val="191019"/>
      <sheetName val="201019"/>
      <sheetName val="211019"/>
      <sheetName val="221019"/>
      <sheetName val="231019"/>
      <sheetName val="241019"/>
      <sheetName val="251019"/>
      <sheetName val="261019"/>
      <sheetName val="271019"/>
      <sheetName val="281019"/>
      <sheetName val="291019"/>
      <sheetName val="301019"/>
      <sheetName val="311019"/>
    </sheetNames>
    <sheetDataSet>
      <sheetData sheetId="0">
        <row r="2">
          <cell r="A2">
            <v>1</v>
          </cell>
          <cell r="B2" t="str">
            <v>1 - Thực phẩm tươi sống</v>
          </cell>
          <cell r="C2">
            <v>509</v>
          </cell>
          <cell r="D2">
            <v>148</v>
          </cell>
          <cell r="E2">
            <v>361</v>
          </cell>
          <cell r="F2">
            <v>0.2908</v>
          </cell>
        </row>
        <row r="3">
          <cell r="A3">
            <v>2</v>
          </cell>
          <cell r="B3" t="str">
            <v>2 - Thực phẩm công nghệ</v>
          </cell>
          <cell r="C3">
            <v>3205</v>
          </cell>
          <cell r="D3">
            <v>89</v>
          </cell>
          <cell r="E3">
            <v>3116</v>
          </cell>
          <cell r="F3">
            <v>2.7799999999999998E-2</v>
          </cell>
        </row>
        <row r="4">
          <cell r="A4">
            <v>3</v>
          </cell>
          <cell r="B4" t="str">
            <v>3 - Hóa phẩm</v>
          </cell>
          <cell r="C4">
            <v>2311</v>
          </cell>
          <cell r="D4">
            <v>38</v>
          </cell>
          <cell r="E4">
            <v>2273</v>
          </cell>
          <cell r="F4">
            <v>1.6400000000000001E-2</v>
          </cell>
        </row>
        <row r="5">
          <cell r="A5">
            <v>4</v>
          </cell>
          <cell r="B5" t="str">
            <v>4 - Đồ dùng</v>
          </cell>
          <cell r="C5">
            <v>2528</v>
          </cell>
          <cell r="D5">
            <v>37</v>
          </cell>
          <cell r="E5">
            <v>2491</v>
          </cell>
          <cell r="F5">
            <v>1.46E-2</v>
          </cell>
        </row>
        <row r="6">
          <cell r="A6">
            <v>5</v>
          </cell>
          <cell r="B6" t="str">
            <v>5 - May mặc</v>
          </cell>
          <cell r="C6">
            <v>2047</v>
          </cell>
          <cell r="D6">
            <v>18</v>
          </cell>
          <cell r="E6">
            <v>2029</v>
          </cell>
          <cell r="F6">
            <v>8.8000000000000005E-3</v>
          </cell>
        </row>
        <row r="7">
          <cell r="A7">
            <v>6</v>
          </cell>
          <cell r="B7" t="str">
            <v>6 - Ngành khác</v>
          </cell>
          <cell r="C7">
            <v>3</v>
          </cell>
          <cell r="D7">
            <v>0</v>
          </cell>
          <cell r="E7">
            <v>3</v>
          </cell>
          <cell r="F7">
            <v>0</v>
          </cell>
        </row>
        <row r="8">
          <cell r="C8">
            <v>10603</v>
          </cell>
          <cell r="D8">
            <v>330</v>
          </cell>
          <cell r="E8">
            <v>10273</v>
          </cell>
          <cell r="F8">
            <v>0.3584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106277474.2342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2862645459.9549999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2497079404.7618999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1056867415.4301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1629010062.9874001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21561817</v>
          </cell>
          <cell r="E25">
            <v>518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A2">
            <v>1</v>
          </cell>
          <cell r="B2" t="str">
            <v>1 - Thực phẩm tươi sống</v>
          </cell>
          <cell r="C2">
            <v>600</v>
          </cell>
          <cell r="D2">
            <v>216</v>
          </cell>
          <cell r="E2">
            <v>384</v>
          </cell>
          <cell r="F2">
            <v>0.36</v>
          </cell>
        </row>
        <row r="3">
          <cell r="A3">
            <v>2</v>
          </cell>
          <cell r="B3" t="str">
            <v>2 - Thực phẩm công nghệ</v>
          </cell>
          <cell r="C3">
            <v>3262</v>
          </cell>
          <cell r="D3">
            <v>93</v>
          </cell>
          <cell r="E3">
            <v>3169</v>
          </cell>
          <cell r="F3">
            <v>2.8500000000000001E-2</v>
          </cell>
        </row>
        <row r="4">
          <cell r="A4">
            <v>3</v>
          </cell>
          <cell r="B4" t="str">
            <v>3 - Hóa phẩm</v>
          </cell>
          <cell r="C4">
            <v>2383</v>
          </cell>
          <cell r="D4">
            <v>63</v>
          </cell>
          <cell r="E4">
            <v>2320</v>
          </cell>
          <cell r="F4">
            <v>2.64E-2</v>
          </cell>
        </row>
        <row r="5">
          <cell r="A5">
            <v>4</v>
          </cell>
          <cell r="B5" t="str">
            <v>4 - Đồ dùng</v>
          </cell>
          <cell r="C5">
            <v>2523</v>
          </cell>
          <cell r="D5">
            <v>38</v>
          </cell>
          <cell r="E5">
            <v>2485</v>
          </cell>
          <cell r="F5">
            <v>1.5100000000000001E-2</v>
          </cell>
        </row>
        <row r="6">
          <cell r="A6">
            <v>5</v>
          </cell>
          <cell r="B6" t="str">
            <v>5 - May mặc</v>
          </cell>
          <cell r="C6">
            <v>2021</v>
          </cell>
          <cell r="D6">
            <v>39</v>
          </cell>
          <cell r="E6">
            <v>1982</v>
          </cell>
          <cell r="F6">
            <v>1.9300000000000001E-2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C8">
            <v>10797</v>
          </cell>
          <cell r="D8">
            <v>449</v>
          </cell>
          <cell r="E8">
            <v>10348</v>
          </cell>
          <cell r="F8">
            <v>0.44929999999999998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87476063.141100004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5016451568.8705997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3040268422.3158998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1111296708.0739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1584090908.6726999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148240883.02239999</v>
          </cell>
          <cell r="E25">
            <v>518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1119"/>
      <sheetName val="021119"/>
      <sheetName val="031119"/>
      <sheetName val="041119"/>
      <sheetName val="051119"/>
      <sheetName val="061119"/>
      <sheetName val="071119"/>
      <sheetName val="081119"/>
      <sheetName val="091119"/>
      <sheetName val="101119"/>
      <sheetName val="111119"/>
      <sheetName val="121119"/>
      <sheetName val="131119"/>
      <sheetName val="141119"/>
      <sheetName val="151119"/>
      <sheetName val="161119"/>
      <sheetName val="171119"/>
      <sheetName val="181119"/>
      <sheetName val="191119"/>
      <sheetName val="201119"/>
      <sheetName val="211119"/>
      <sheetName val="221119"/>
      <sheetName val="231119"/>
      <sheetName val="241119"/>
      <sheetName val="251119"/>
      <sheetName val="261119"/>
      <sheetName val="271119"/>
      <sheetName val="281119"/>
      <sheetName val="291119"/>
      <sheetName val="301119"/>
      <sheetName val="311019"/>
      <sheetName val="301019"/>
      <sheetName val="0112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2">
          <cell r="A2">
            <v>1</v>
          </cell>
          <cell r="B2" t="str">
            <v>1 - Thực phẩm tươi sống</v>
          </cell>
          <cell r="C2">
            <v>429</v>
          </cell>
          <cell r="D2">
            <v>100</v>
          </cell>
          <cell r="E2">
            <v>329</v>
          </cell>
          <cell r="F2">
            <v>0.2331</v>
          </cell>
        </row>
        <row r="3">
          <cell r="A3">
            <v>2</v>
          </cell>
          <cell r="B3" t="str">
            <v>2 - Thực phẩm công nghệ</v>
          </cell>
          <cell r="C3">
            <v>3358</v>
          </cell>
          <cell r="D3">
            <v>21</v>
          </cell>
          <cell r="E3">
            <v>3337</v>
          </cell>
          <cell r="F3">
            <v>6.3E-3</v>
          </cell>
        </row>
        <row r="4">
          <cell r="A4">
            <v>3</v>
          </cell>
          <cell r="B4" t="str">
            <v>3 - Hóa phẩm</v>
          </cell>
          <cell r="C4">
            <v>2299</v>
          </cell>
          <cell r="D4">
            <v>14</v>
          </cell>
          <cell r="E4">
            <v>2285</v>
          </cell>
          <cell r="F4">
            <v>6.1000000000000004E-3</v>
          </cell>
        </row>
        <row r="5">
          <cell r="A5">
            <v>4</v>
          </cell>
          <cell r="B5" t="str">
            <v>4 - Đồ dùng</v>
          </cell>
          <cell r="C5">
            <v>2289</v>
          </cell>
          <cell r="D5">
            <v>10</v>
          </cell>
          <cell r="E5">
            <v>2279</v>
          </cell>
          <cell r="F5">
            <v>4.4000000000000003E-3</v>
          </cell>
        </row>
        <row r="6">
          <cell r="A6">
            <v>5</v>
          </cell>
          <cell r="B6" t="str">
            <v>5 - May mặc</v>
          </cell>
          <cell r="C6">
            <v>1950</v>
          </cell>
          <cell r="D6">
            <v>3</v>
          </cell>
          <cell r="E6">
            <v>1947</v>
          </cell>
          <cell r="F6">
            <v>1.5E-3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C8">
            <v>10333</v>
          </cell>
          <cell r="D8">
            <v>148</v>
          </cell>
          <cell r="E8">
            <v>10185</v>
          </cell>
          <cell r="F8">
            <v>0.25139999999999996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123459780.04520001</v>
          </cell>
          <cell r="E20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3894869501.5180001</v>
          </cell>
          <cell r="E21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3458339351.9179001</v>
          </cell>
          <cell r="E22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1015085281.5559</v>
          </cell>
          <cell r="E23">
            <v>518</v>
          </cell>
        </row>
        <row r="24">
          <cell r="B24">
            <v>5</v>
          </cell>
          <cell r="C24" t="str">
            <v>Ngành Hàng May Mặc</v>
          </cell>
          <cell r="D24">
            <v>1636567187.9435999</v>
          </cell>
          <cell r="E24">
            <v>518</v>
          </cell>
        </row>
        <row r="25">
          <cell r="B25">
            <v>6</v>
          </cell>
          <cell r="C25" t="str">
            <v>Ngành Khác</v>
          </cell>
          <cell r="D25">
            <v>233991602.05680001</v>
          </cell>
          <cell r="E25">
            <v>518</v>
          </cell>
        </row>
      </sheetData>
      <sheetData sheetId="30"/>
      <sheetData sheetId="31" refreshError="1"/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1219"/>
      <sheetName val="021219"/>
      <sheetName val="031219"/>
      <sheetName val="041219"/>
      <sheetName val="051219"/>
      <sheetName val="061219"/>
      <sheetName val="071219"/>
      <sheetName val="081219"/>
      <sheetName val="091219"/>
      <sheetName val="101219"/>
      <sheetName val="111219"/>
      <sheetName val="121219"/>
      <sheetName val="131219"/>
      <sheetName val="141219"/>
      <sheetName val="151219"/>
      <sheetName val="161219"/>
      <sheetName val="171219"/>
      <sheetName val="181219"/>
      <sheetName val="191219"/>
      <sheetName val="201219"/>
      <sheetName val="211219"/>
      <sheetName val="221219"/>
      <sheetName val="231219"/>
      <sheetName val="241219"/>
      <sheetName val="251219"/>
      <sheetName val="261219"/>
      <sheetName val="271219"/>
      <sheetName val="281219"/>
      <sheetName val="291219"/>
      <sheetName val="301219"/>
      <sheetName val="311219"/>
      <sheetName val="3011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A2">
            <v>1</v>
          </cell>
          <cell r="B2" t="str">
            <v>1 - Thực phẩm tươi sống</v>
          </cell>
          <cell r="C2">
            <v>534</v>
          </cell>
          <cell r="D2">
            <v>174</v>
          </cell>
          <cell r="E2">
            <v>360</v>
          </cell>
          <cell r="F2">
            <v>0.32579999999999998</v>
          </cell>
        </row>
        <row r="3">
          <cell r="A3">
            <v>2</v>
          </cell>
          <cell r="B3" t="str">
            <v>2 - Thực phẩm công nghệ</v>
          </cell>
          <cell r="C3">
            <v>3544</v>
          </cell>
          <cell r="D3">
            <v>98</v>
          </cell>
          <cell r="E3">
            <v>3446</v>
          </cell>
          <cell r="F3">
            <v>2.7699999999999999E-2</v>
          </cell>
        </row>
        <row r="4">
          <cell r="A4">
            <v>3</v>
          </cell>
          <cell r="B4" t="str">
            <v>3 - Hóa phẩm</v>
          </cell>
          <cell r="C4">
            <v>2344</v>
          </cell>
          <cell r="D4">
            <v>33</v>
          </cell>
          <cell r="E4">
            <v>2311</v>
          </cell>
          <cell r="F4">
            <v>1.41E-2</v>
          </cell>
        </row>
        <row r="5">
          <cell r="A5">
            <v>4</v>
          </cell>
          <cell r="B5" t="str">
            <v>4 - Đồ dùng</v>
          </cell>
          <cell r="C5">
            <v>2452</v>
          </cell>
          <cell r="D5">
            <v>24</v>
          </cell>
          <cell r="E5">
            <v>2428</v>
          </cell>
          <cell r="F5">
            <v>9.7999999999999997E-3</v>
          </cell>
        </row>
        <row r="6">
          <cell r="A6">
            <v>5</v>
          </cell>
          <cell r="B6" t="str">
            <v>5 - May mặc</v>
          </cell>
          <cell r="C6">
            <v>2142</v>
          </cell>
          <cell r="D6">
            <v>14</v>
          </cell>
          <cell r="E6">
            <v>2128</v>
          </cell>
          <cell r="F6">
            <v>6.4999999999999997E-3</v>
          </cell>
        </row>
        <row r="7">
          <cell r="A7">
            <v>6</v>
          </cell>
          <cell r="B7" t="str">
            <v>6 - Ngành khác</v>
          </cell>
          <cell r="C7">
            <v>8</v>
          </cell>
          <cell r="D7">
            <v>0</v>
          </cell>
          <cell r="E7">
            <v>8</v>
          </cell>
          <cell r="F7">
            <v>0</v>
          </cell>
        </row>
        <row r="8">
          <cell r="B8">
            <v>0</v>
          </cell>
          <cell r="C8">
            <v>11024</v>
          </cell>
          <cell r="D8">
            <v>343</v>
          </cell>
          <cell r="E8">
            <v>10681</v>
          </cell>
          <cell r="F8">
            <v>0.38389999999999996</v>
          </cell>
        </row>
        <row r="19">
          <cell r="B19" t="str">
            <v>Mã 5NH</v>
          </cell>
          <cell r="C19" t="str">
            <v>Tên Ngành Hàng</v>
          </cell>
          <cell r="D19" t="str">
            <v>Trị Giá Tồn Hiện Tại</v>
          </cell>
          <cell r="E19" t="str">
            <v>Mã ST</v>
          </cell>
        </row>
        <row r="20">
          <cell r="B20">
            <v>1</v>
          </cell>
          <cell r="C20" t="str">
            <v>Ngành Hàng Thực Phẩm Tươi Sống</v>
          </cell>
          <cell r="D20">
            <v>83278949.209000006</v>
          </cell>
          <cell r="E20" t="str">
            <v>518</v>
          </cell>
        </row>
        <row r="21">
          <cell r="B21">
            <v>2</v>
          </cell>
          <cell r="C21" t="str">
            <v>Ngành Hàng Thực Phẩm Công Nghệ</v>
          </cell>
          <cell r="D21">
            <v>5090021964.5539999</v>
          </cell>
          <cell r="E21" t="str">
            <v>518</v>
          </cell>
        </row>
        <row r="22">
          <cell r="B22">
            <v>3</v>
          </cell>
          <cell r="C22" t="str">
            <v>Ngành Hàng Hóa Mỹ Phẩm</v>
          </cell>
          <cell r="D22">
            <v>3816590756.3302002</v>
          </cell>
          <cell r="E22" t="str">
            <v>518</v>
          </cell>
        </row>
        <row r="23">
          <cell r="B23">
            <v>4</v>
          </cell>
          <cell r="C23" t="str">
            <v>Ngành Hàng Đồ Dùng</v>
          </cell>
          <cell r="D23">
            <v>1568289189.2550001</v>
          </cell>
          <cell r="E23" t="str">
            <v>518</v>
          </cell>
        </row>
        <row r="24">
          <cell r="B24">
            <v>5</v>
          </cell>
          <cell r="C24" t="str">
            <v>Ngành Hàng May Mặc</v>
          </cell>
          <cell r="D24">
            <v>1969125582.9247999</v>
          </cell>
          <cell r="E24" t="str">
            <v>518</v>
          </cell>
        </row>
        <row r="25">
          <cell r="B25">
            <v>6</v>
          </cell>
          <cell r="C25" t="str">
            <v>Ngành Khác</v>
          </cell>
          <cell r="D25">
            <v>256419664.05680001</v>
          </cell>
          <cell r="E25" t="str">
            <v>518</v>
          </cell>
        </row>
      </sheetData>
      <sheetData sheetId="3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3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4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6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7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8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9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10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11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12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__doPostBack('dgInvbalPH$_ctl1$_ctl1','')" TargetMode="External"/><Relationship Id="rId13" Type="http://schemas.openxmlformats.org/officeDocument/2006/relationships/hyperlink" Target="javascript:__doPostBack('dgInvbalPH$_ctl1$_ctl0','')" TargetMode="External"/><Relationship Id="rId3" Type="http://schemas.openxmlformats.org/officeDocument/2006/relationships/hyperlink" Target="javascript:__doPostBack('dgInvbalPH$_ctl1$_ctl2','')" TargetMode="External"/><Relationship Id="rId7" Type="http://schemas.openxmlformats.org/officeDocument/2006/relationships/hyperlink" Target="javascript:__doPostBack('dgInvbalPH$_ctl1$_ctl0','')" TargetMode="External"/><Relationship Id="rId12" Type="http://schemas.openxmlformats.org/officeDocument/2006/relationships/hyperlink" Target="javascript:__doPostBack('dgInvbalPH$_ctl1$_ctl2','')" TargetMode="External"/><Relationship Id="rId2" Type="http://schemas.openxmlformats.org/officeDocument/2006/relationships/hyperlink" Target="javascript:__doPostBack('dgInvbalPH$_ctl1$_ctl1','')" TargetMode="External"/><Relationship Id="rId16" Type="http://schemas.openxmlformats.org/officeDocument/2006/relationships/printerSettings" Target="../printerSettings/printerSettings13.bin"/><Relationship Id="rId1" Type="http://schemas.openxmlformats.org/officeDocument/2006/relationships/hyperlink" Target="javascript:__doPostBack('dgInvbalPH$_ctl1$_ctl0','')" TargetMode="External"/><Relationship Id="rId6" Type="http://schemas.openxmlformats.org/officeDocument/2006/relationships/hyperlink" Target="javascript:__doPostBack('dgInvbalPH$_ctl1$_ctl2','')" TargetMode="External"/><Relationship Id="rId11" Type="http://schemas.openxmlformats.org/officeDocument/2006/relationships/hyperlink" Target="javascript:__doPostBack('dgInvbalPH$_ctl1$_ctl1','')" TargetMode="External"/><Relationship Id="rId5" Type="http://schemas.openxmlformats.org/officeDocument/2006/relationships/hyperlink" Target="javascript:__doPostBack('dgInvbalPH$_ctl1$_ctl1','')" TargetMode="External"/><Relationship Id="rId15" Type="http://schemas.openxmlformats.org/officeDocument/2006/relationships/hyperlink" Target="javascript:__doPostBack('dgInvbalPH$_ctl1$_ctl2','')" TargetMode="External"/><Relationship Id="rId10" Type="http://schemas.openxmlformats.org/officeDocument/2006/relationships/hyperlink" Target="javascript:__doPostBack('dgInvbalPH$_ctl1$_ctl0','')" TargetMode="External"/><Relationship Id="rId4" Type="http://schemas.openxmlformats.org/officeDocument/2006/relationships/hyperlink" Target="javascript:__doPostBack('dgInvbalPH$_ctl1$_ctl0','')" TargetMode="External"/><Relationship Id="rId9" Type="http://schemas.openxmlformats.org/officeDocument/2006/relationships/hyperlink" Target="javascript:__doPostBack('dgInvbalPH$_ctl1$_ctl2','')" TargetMode="External"/><Relationship Id="rId14" Type="http://schemas.openxmlformats.org/officeDocument/2006/relationships/hyperlink" Target="javascript:__doPostBack('dgInvbalPH$_ctl1$_ctl1',''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44"/>
  <sheetViews>
    <sheetView topLeftCell="A8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43831</v>
      </c>
      <c r="B5" s="11">
        <v>529</v>
      </c>
      <c r="C5" s="11">
        <v>234</v>
      </c>
      <c r="D5" s="11">
        <v>295</v>
      </c>
      <c r="E5" s="26">
        <v>0.44230000000000003</v>
      </c>
      <c r="F5" s="11">
        <v>3511</v>
      </c>
      <c r="G5" s="11">
        <v>123</v>
      </c>
      <c r="H5" s="11">
        <v>3388</v>
      </c>
      <c r="I5" s="26">
        <v>3.5000000000000003E-2</v>
      </c>
      <c r="J5" s="11">
        <v>2317</v>
      </c>
      <c r="K5" s="11">
        <v>45</v>
      </c>
      <c r="L5" s="11">
        <v>2272</v>
      </c>
      <c r="M5" s="26">
        <v>1.9400000000000001E-2</v>
      </c>
      <c r="N5" s="11">
        <v>2438</v>
      </c>
      <c r="O5" s="11">
        <v>36</v>
      </c>
      <c r="P5" s="11">
        <v>2402</v>
      </c>
      <c r="Q5" s="26">
        <v>1.4800000000000001E-2</v>
      </c>
      <c r="R5" s="11">
        <v>2151</v>
      </c>
      <c r="S5" s="11">
        <v>13</v>
      </c>
      <c r="T5" s="11">
        <v>2138</v>
      </c>
      <c r="U5" s="26">
        <v>6.0000000000000001E-3</v>
      </c>
      <c r="V5" s="12">
        <f>(C5+G5+K5+O5+S5)/(B5+F5+J5+N5+R5)</f>
        <v>4.1202265667823861E-2</v>
      </c>
    </row>
    <row r="6" spans="1:22" x14ac:dyDescent="0.35">
      <c r="A6" s="10">
        <v>43832</v>
      </c>
      <c r="B6" s="11">
        <v>532</v>
      </c>
      <c r="C6" s="11">
        <v>188</v>
      </c>
      <c r="D6" s="11">
        <v>344</v>
      </c>
      <c r="E6" s="26">
        <v>0.35339999999999999</v>
      </c>
      <c r="F6" s="11">
        <v>3514</v>
      </c>
      <c r="G6" s="11">
        <v>99</v>
      </c>
      <c r="H6" s="11">
        <v>3415</v>
      </c>
      <c r="I6" s="26">
        <v>2.8199999999999999E-2</v>
      </c>
      <c r="J6" s="11">
        <v>2332</v>
      </c>
      <c r="K6" s="11">
        <v>38</v>
      </c>
      <c r="L6" s="11">
        <v>2294</v>
      </c>
      <c r="M6" s="26">
        <v>1.6299999999999999E-2</v>
      </c>
      <c r="N6" s="11">
        <v>2465</v>
      </c>
      <c r="O6" s="11">
        <v>28</v>
      </c>
      <c r="P6" s="11">
        <v>2437</v>
      </c>
      <c r="Q6" s="26">
        <v>1.14E-2</v>
      </c>
      <c r="R6" s="11">
        <v>2147</v>
      </c>
      <c r="S6" s="11">
        <v>16</v>
      </c>
      <c r="T6" s="11">
        <v>2131</v>
      </c>
      <c r="U6" s="26">
        <v>7.4999999999999997E-3</v>
      </c>
      <c r="V6" s="12">
        <f t="shared" ref="V6:V15" si="0">(C6+G6+K6+O6+S6)/(B6+F6+J6+N6+R6)</f>
        <v>3.3575978161965427E-2</v>
      </c>
    </row>
    <row r="7" spans="1:22" x14ac:dyDescent="0.35">
      <c r="A7" s="10">
        <v>43833</v>
      </c>
      <c r="B7" s="11">
        <v>542</v>
      </c>
      <c r="C7" s="11">
        <v>178</v>
      </c>
      <c r="D7" s="11">
        <v>364</v>
      </c>
      <c r="E7" s="26">
        <v>0.32840000000000003</v>
      </c>
      <c r="F7" s="11">
        <v>3541</v>
      </c>
      <c r="G7" s="11">
        <v>94</v>
      </c>
      <c r="H7" s="11">
        <v>3447</v>
      </c>
      <c r="I7" s="26">
        <v>2.6499999999999999E-2</v>
      </c>
      <c r="J7" s="11">
        <v>2321</v>
      </c>
      <c r="K7" s="11">
        <v>39</v>
      </c>
      <c r="L7" s="11">
        <v>2282</v>
      </c>
      <c r="M7" s="26">
        <v>1.6799999999999999E-2</v>
      </c>
      <c r="N7" s="11">
        <v>2458</v>
      </c>
      <c r="O7" s="11">
        <v>30</v>
      </c>
      <c r="P7" s="11">
        <v>2428</v>
      </c>
      <c r="Q7" s="26">
        <v>1.2200000000000001E-2</v>
      </c>
      <c r="R7" s="11">
        <v>2147</v>
      </c>
      <c r="S7" s="11">
        <v>12</v>
      </c>
      <c r="T7" s="11">
        <v>2135</v>
      </c>
      <c r="U7" s="26">
        <v>5.5999999999999999E-3</v>
      </c>
      <c r="V7" s="12">
        <f t="shared" si="0"/>
        <v>3.2064674357343989E-2</v>
      </c>
    </row>
    <row r="8" spans="1:22" x14ac:dyDescent="0.35">
      <c r="A8" s="10">
        <v>43834</v>
      </c>
      <c r="B8" s="11">
        <v>544</v>
      </c>
      <c r="C8" s="11">
        <v>197</v>
      </c>
      <c r="D8" s="11">
        <v>347</v>
      </c>
      <c r="E8" s="26">
        <v>0.36209999999999998</v>
      </c>
      <c r="F8" s="11">
        <v>3533</v>
      </c>
      <c r="G8" s="11">
        <v>106</v>
      </c>
      <c r="H8" s="11">
        <v>3427</v>
      </c>
      <c r="I8" s="26">
        <v>0.03</v>
      </c>
      <c r="J8" s="11">
        <v>2297</v>
      </c>
      <c r="K8" s="11">
        <v>42</v>
      </c>
      <c r="L8" s="11">
        <v>2255</v>
      </c>
      <c r="M8" s="26">
        <v>1.83E-2</v>
      </c>
      <c r="N8" s="11">
        <v>2440</v>
      </c>
      <c r="O8" s="11">
        <v>35</v>
      </c>
      <c r="P8" s="11">
        <v>2405</v>
      </c>
      <c r="Q8" s="26">
        <v>1.43E-2</v>
      </c>
      <c r="R8" s="11">
        <v>2147</v>
      </c>
      <c r="S8" s="11">
        <v>25</v>
      </c>
      <c r="T8" s="11">
        <v>2122</v>
      </c>
      <c r="U8" s="26">
        <v>1.1599999999999999E-2</v>
      </c>
      <c r="V8" s="12">
        <f t="shared" si="0"/>
        <v>3.694918346866162E-2</v>
      </c>
    </row>
    <row r="9" spans="1:22" x14ac:dyDescent="0.35">
      <c r="A9" s="10">
        <v>43835</v>
      </c>
      <c r="B9" s="11">
        <v>543</v>
      </c>
      <c r="C9" s="11">
        <v>232</v>
      </c>
      <c r="D9" s="11">
        <v>311</v>
      </c>
      <c r="E9" s="26">
        <v>0.42730000000000001</v>
      </c>
      <c r="F9" s="11">
        <v>3516</v>
      </c>
      <c r="G9" s="11">
        <v>129</v>
      </c>
      <c r="H9" s="11">
        <v>3387</v>
      </c>
      <c r="I9" s="26">
        <v>3.6700000000000003E-2</v>
      </c>
      <c r="J9" s="11">
        <v>2290</v>
      </c>
      <c r="K9" s="11">
        <v>45</v>
      </c>
      <c r="L9" s="11">
        <v>2245</v>
      </c>
      <c r="M9" s="26">
        <v>1.9699999999999999E-2</v>
      </c>
      <c r="N9" s="11">
        <v>2424</v>
      </c>
      <c r="O9" s="11">
        <v>41</v>
      </c>
      <c r="P9" s="11">
        <v>2383</v>
      </c>
      <c r="Q9" s="26">
        <v>1.6899999999999998E-2</v>
      </c>
      <c r="R9" s="11">
        <v>2147</v>
      </c>
      <c r="S9" s="11">
        <v>40</v>
      </c>
      <c r="T9" s="11">
        <v>2107</v>
      </c>
      <c r="U9" s="26">
        <v>1.8599999999999998E-2</v>
      </c>
      <c r="V9" s="12">
        <f t="shared" si="0"/>
        <v>4.4597069597069598E-2</v>
      </c>
    </row>
    <row r="10" spans="1:22" x14ac:dyDescent="0.35">
      <c r="A10" s="10">
        <v>43836</v>
      </c>
      <c r="B10" s="11">
        <v>545</v>
      </c>
      <c r="C10" s="11">
        <v>190</v>
      </c>
      <c r="D10" s="11">
        <v>355</v>
      </c>
      <c r="E10" s="26">
        <v>0.34860000000000002</v>
      </c>
      <c r="F10" s="11">
        <v>3516</v>
      </c>
      <c r="G10" s="11">
        <v>94</v>
      </c>
      <c r="H10" s="11">
        <v>3422</v>
      </c>
      <c r="I10" s="26">
        <v>2.6700000000000002E-2</v>
      </c>
      <c r="J10" s="11">
        <v>2282</v>
      </c>
      <c r="K10" s="11">
        <v>42</v>
      </c>
      <c r="L10" s="11">
        <v>2240</v>
      </c>
      <c r="M10" s="26">
        <v>1.84E-2</v>
      </c>
      <c r="N10" s="11">
        <v>2458</v>
      </c>
      <c r="O10" s="11">
        <v>32</v>
      </c>
      <c r="P10" s="11">
        <v>2426</v>
      </c>
      <c r="Q10" s="26">
        <v>1.2999999999999999E-2</v>
      </c>
      <c r="R10" s="11">
        <v>2169</v>
      </c>
      <c r="S10" s="11">
        <v>24</v>
      </c>
      <c r="T10" s="11">
        <v>2145</v>
      </c>
      <c r="U10" s="26">
        <v>1.11E-2</v>
      </c>
      <c r="V10" s="12">
        <f t="shared" si="0"/>
        <v>3.4822242479489514E-2</v>
      </c>
    </row>
    <row r="11" spans="1:22" x14ac:dyDescent="0.35">
      <c r="A11" s="10">
        <v>43837</v>
      </c>
      <c r="B11" s="11">
        <v>552</v>
      </c>
      <c r="C11" s="11">
        <v>193</v>
      </c>
      <c r="D11" s="11">
        <v>359</v>
      </c>
      <c r="E11" s="26">
        <v>0.34960000000000002</v>
      </c>
      <c r="F11" s="11">
        <v>3528</v>
      </c>
      <c r="G11" s="11">
        <v>101</v>
      </c>
      <c r="H11" s="11">
        <v>3427</v>
      </c>
      <c r="I11" s="26">
        <v>2.86E-2</v>
      </c>
      <c r="J11" s="11">
        <v>2283</v>
      </c>
      <c r="K11" s="11">
        <v>41</v>
      </c>
      <c r="L11" s="11">
        <v>2242</v>
      </c>
      <c r="M11" s="26">
        <v>1.7999999999999999E-2</v>
      </c>
      <c r="N11" s="11">
        <v>2500</v>
      </c>
      <c r="O11" s="11">
        <v>33</v>
      </c>
      <c r="P11" s="11">
        <v>2467</v>
      </c>
      <c r="Q11" s="26">
        <v>1.32E-2</v>
      </c>
      <c r="R11" s="11">
        <v>2212</v>
      </c>
      <c r="S11" s="11">
        <v>23</v>
      </c>
      <c r="T11" s="11">
        <v>2189</v>
      </c>
      <c r="U11" s="26">
        <v>1.04E-2</v>
      </c>
      <c r="V11" s="12">
        <f t="shared" si="0"/>
        <v>3.5304740406320541E-2</v>
      </c>
    </row>
    <row r="12" spans="1:22" x14ac:dyDescent="0.35">
      <c r="A12" s="10">
        <v>43838</v>
      </c>
      <c r="B12" s="11">
        <v>552</v>
      </c>
      <c r="C12" s="11">
        <v>194</v>
      </c>
      <c r="D12" s="11">
        <v>358</v>
      </c>
      <c r="E12" s="26">
        <v>0.35139999999999999</v>
      </c>
      <c r="F12" s="11">
        <v>3513</v>
      </c>
      <c r="G12" s="11">
        <v>99</v>
      </c>
      <c r="H12" s="11">
        <v>3414</v>
      </c>
      <c r="I12" s="26">
        <v>2.8199999999999999E-2</v>
      </c>
      <c r="J12" s="11">
        <v>2314</v>
      </c>
      <c r="K12" s="11">
        <v>37</v>
      </c>
      <c r="L12" s="11">
        <v>2277</v>
      </c>
      <c r="M12" s="26">
        <v>1.6E-2</v>
      </c>
      <c r="N12" s="11">
        <v>2507</v>
      </c>
      <c r="O12" s="11">
        <v>31</v>
      </c>
      <c r="P12" s="11">
        <v>2476</v>
      </c>
      <c r="Q12" s="26">
        <v>1.24E-2</v>
      </c>
      <c r="R12" s="11">
        <v>2234</v>
      </c>
      <c r="S12" s="11">
        <v>30</v>
      </c>
      <c r="T12" s="11">
        <v>2204</v>
      </c>
      <c r="U12" s="26">
        <v>1.34E-2</v>
      </c>
      <c r="V12" s="12">
        <f t="shared" si="0"/>
        <v>3.516187050359712E-2</v>
      </c>
    </row>
    <row r="13" spans="1:22" x14ac:dyDescent="0.35">
      <c r="A13" s="10">
        <v>43839</v>
      </c>
      <c r="B13" s="11">
        <v>552</v>
      </c>
      <c r="C13" s="11">
        <v>197</v>
      </c>
      <c r="D13" s="11">
        <v>355</v>
      </c>
      <c r="E13" s="26">
        <v>0.3569</v>
      </c>
      <c r="F13" s="11">
        <v>3496</v>
      </c>
      <c r="G13" s="11">
        <v>134</v>
      </c>
      <c r="H13" s="11">
        <v>3362</v>
      </c>
      <c r="I13" s="26">
        <v>3.8300000000000001E-2</v>
      </c>
      <c r="J13" s="11">
        <v>2304</v>
      </c>
      <c r="K13" s="11">
        <v>41</v>
      </c>
      <c r="L13" s="11">
        <v>2263</v>
      </c>
      <c r="M13" s="26">
        <v>1.78E-2</v>
      </c>
      <c r="N13" s="11">
        <v>2498</v>
      </c>
      <c r="O13" s="11">
        <v>32</v>
      </c>
      <c r="P13" s="11">
        <v>2466</v>
      </c>
      <c r="Q13" s="26">
        <v>1.2800000000000001E-2</v>
      </c>
      <c r="R13" s="11">
        <v>2224</v>
      </c>
      <c r="S13" s="11">
        <v>34</v>
      </c>
      <c r="T13" s="11">
        <v>2190</v>
      </c>
      <c r="U13" s="26">
        <v>1.5299999999999999E-2</v>
      </c>
      <c r="V13" s="12">
        <f t="shared" si="0"/>
        <v>3.9552104027451691E-2</v>
      </c>
    </row>
    <row r="14" spans="1:22" x14ac:dyDescent="0.35">
      <c r="A14" s="10">
        <v>43840</v>
      </c>
      <c r="B14" s="11">
        <v>564</v>
      </c>
      <c r="C14" s="11">
        <v>193</v>
      </c>
      <c r="D14" s="11">
        <v>371</v>
      </c>
      <c r="E14" s="26">
        <v>0.3422</v>
      </c>
      <c r="F14" s="11">
        <v>3598</v>
      </c>
      <c r="G14" s="11">
        <v>86</v>
      </c>
      <c r="H14" s="11">
        <v>3512</v>
      </c>
      <c r="I14" s="26">
        <v>2.3900000000000001E-2</v>
      </c>
      <c r="J14" s="11">
        <v>2338</v>
      </c>
      <c r="K14" s="11">
        <v>39</v>
      </c>
      <c r="L14" s="11">
        <v>2299</v>
      </c>
      <c r="M14" s="26">
        <v>1.67E-2</v>
      </c>
      <c r="N14" s="11">
        <v>2506</v>
      </c>
      <c r="O14" s="11">
        <v>33</v>
      </c>
      <c r="P14" s="11">
        <v>2473</v>
      </c>
      <c r="Q14" s="26">
        <v>1.32E-2</v>
      </c>
      <c r="R14" s="11">
        <v>2227</v>
      </c>
      <c r="S14" s="11">
        <v>22</v>
      </c>
      <c r="T14" s="11">
        <v>2205</v>
      </c>
      <c r="U14" s="26">
        <v>9.9000000000000008E-3</v>
      </c>
      <c r="V14" s="12">
        <f t="shared" si="0"/>
        <v>3.3205733107807354E-2</v>
      </c>
    </row>
    <row r="15" spans="1:22" x14ac:dyDescent="0.35">
      <c r="A15" s="10">
        <v>43841</v>
      </c>
      <c r="B15" s="11">
        <v>561</v>
      </c>
      <c r="C15" s="11">
        <v>200</v>
      </c>
      <c r="D15" s="11">
        <v>361</v>
      </c>
      <c r="E15" s="26">
        <v>0.35649999999999998</v>
      </c>
      <c r="F15" s="11">
        <v>3593</v>
      </c>
      <c r="G15" s="11">
        <v>90</v>
      </c>
      <c r="H15" s="11">
        <v>3503</v>
      </c>
      <c r="I15" s="26">
        <v>2.5000000000000001E-2</v>
      </c>
      <c r="J15" s="11">
        <v>2331</v>
      </c>
      <c r="K15" s="11">
        <v>43</v>
      </c>
      <c r="L15" s="11">
        <v>2288</v>
      </c>
      <c r="M15" s="26">
        <v>1.84E-2</v>
      </c>
      <c r="N15" s="11">
        <v>2478</v>
      </c>
      <c r="O15" s="11">
        <v>35</v>
      </c>
      <c r="P15" s="11">
        <v>2443</v>
      </c>
      <c r="Q15" s="26">
        <v>1.41E-2</v>
      </c>
      <c r="R15" s="11">
        <v>2214</v>
      </c>
      <c r="S15" s="11">
        <v>25</v>
      </c>
      <c r="T15" s="11">
        <v>2189</v>
      </c>
      <c r="U15" s="26">
        <v>1.1299999999999999E-2</v>
      </c>
      <c r="V15" s="12">
        <f t="shared" si="0"/>
        <v>3.5161492350362353E-2</v>
      </c>
    </row>
    <row r="16" spans="1:22" x14ac:dyDescent="0.35">
      <c r="A16" s="10">
        <v>43842</v>
      </c>
      <c r="B16" s="11">
        <v>560</v>
      </c>
      <c r="C16" s="11">
        <v>248</v>
      </c>
      <c r="D16" s="11">
        <v>312</v>
      </c>
      <c r="E16" s="26">
        <v>0.44290000000000002</v>
      </c>
      <c r="F16" s="11">
        <v>3574</v>
      </c>
      <c r="G16" s="11">
        <v>129</v>
      </c>
      <c r="H16" s="11">
        <v>3445</v>
      </c>
      <c r="I16" s="26">
        <v>3.61E-2</v>
      </c>
      <c r="J16" s="11">
        <v>2316</v>
      </c>
      <c r="K16" s="11">
        <v>65</v>
      </c>
      <c r="L16" s="11">
        <v>2251</v>
      </c>
      <c r="M16" s="26">
        <v>2.81E-2</v>
      </c>
      <c r="N16" s="11">
        <v>2465</v>
      </c>
      <c r="O16" s="11">
        <v>43</v>
      </c>
      <c r="P16" s="11">
        <v>2422</v>
      </c>
      <c r="Q16" s="26">
        <v>1.7399999999999999E-2</v>
      </c>
      <c r="R16" s="11">
        <v>2191</v>
      </c>
      <c r="S16" s="11">
        <v>35</v>
      </c>
      <c r="T16" s="11">
        <v>2156</v>
      </c>
      <c r="U16" s="26">
        <v>1.6E-2</v>
      </c>
      <c r="V16" s="12">
        <f>(C16+G16+K16+O16+S16)/(B16+F16+J16+N16+R16)</f>
        <v>4.682153790743742E-2</v>
      </c>
    </row>
    <row r="17" spans="1:22" x14ac:dyDescent="0.35">
      <c r="A17" s="10">
        <v>43843</v>
      </c>
      <c r="B17" s="11">
        <v>551</v>
      </c>
      <c r="C17" s="11">
        <v>214</v>
      </c>
      <c r="D17" s="11">
        <v>337</v>
      </c>
      <c r="E17" s="26">
        <v>0.38840000000000002</v>
      </c>
      <c r="F17" s="11">
        <v>3564</v>
      </c>
      <c r="G17" s="11">
        <v>90</v>
      </c>
      <c r="H17" s="11">
        <v>3474</v>
      </c>
      <c r="I17" s="26">
        <v>2.53E-2</v>
      </c>
      <c r="J17" s="11">
        <v>2318</v>
      </c>
      <c r="K17" s="11">
        <v>45</v>
      </c>
      <c r="L17" s="11">
        <v>2273</v>
      </c>
      <c r="M17" s="26">
        <v>1.9400000000000001E-2</v>
      </c>
      <c r="N17" s="11">
        <v>2448</v>
      </c>
      <c r="O17" s="11">
        <v>37</v>
      </c>
      <c r="P17" s="11">
        <v>2411</v>
      </c>
      <c r="Q17" s="26">
        <v>1.5100000000000001E-2</v>
      </c>
      <c r="R17" s="11">
        <v>2254</v>
      </c>
      <c r="S17" s="11">
        <v>12</v>
      </c>
      <c r="T17" s="11">
        <v>2242</v>
      </c>
      <c r="U17" s="26">
        <v>5.3E-3</v>
      </c>
      <c r="V17" s="12">
        <f t="shared" ref="V17:V31" si="1">(C17+G17+K17+O17+S17)/(B17+F17+J17+N17+R17)</f>
        <v>3.5743152222721147E-2</v>
      </c>
    </row>
    <row r="18" spans="1:22" x14ac:dyDescent="0.35">
      <c r="A18" s="10">
        <v>43844</v>
      </c>
      <c r="B18" s="11">
        <v>554</v>
      </c>
      <c r="C18" s="11">
        <v>210</v>
      </c>
      <c r="D18" s="11">
        <v>344</v>
      </c>
      <c r="E18" s="26">
        <v>0.37909999999999999</v>
      </c>
      <c r="F18" s="11">
        <v>3573</v>
      </c>
      <c r="G18" s="11">
        <v>86</v>
      </c>
      <c r="H18" s="11">
        <v>3487</v>
      </c>
      <c r="I18" s="26">
        <v>2.41E-2</v>
      </c>
      <c r="J18" s="11">
        <v>2326</v>
      </c>
      <c r="K18" s="11">
        <v>43</v>
      </c>
      <c r="L18" s="11">
        <v>2283</v>
      </c>
      <c r="M18" s="26">
        <v>1.8499999999999999E-2</v>
      </c>
      <c r="N18" s="11">
        <v>2441</v>
      </c>
      <c r="O18" s="11">
        <v>42</v>
      </c>
      <c r="P18" s="11">
        <v>2399</v>
      </c>
      <c r="Q18" s="26">
        <v>1.72E-2</v>
      </c>
      <c r="R18" s="11">
        <v>2251</v>
      </c>
      <c r="S18" s="11">
        <v>13</v>
      </c>
      <c r="T18" s="11">
        <v>2238</v>
      </c>
      <c r="U18" s="26">
        <v>5.7999999999999996E-3</v>
      </c>
      <c r="V18" s="12">
        <f t="shared" si="1"/>
        <v>3.535217586361597E-2</v>
      </c>
    </row>
    <row r="19" spans="1:22" x14ac:dyDescent="0.35">
      <c r="A19" s="10">
        <v>43845</v>
      </c>
      <c r="B19" s="11">
        <v>561</v>
      </c>
      <c r="C19" s="11">
        <v>188</v>
      </c>
      <c r="D19" s="11">
        <v>373</v>
      </c>
      <c r="E19" s="26">
        <v>0.33510000000000001</v>
      </c>
      <c r="F19" s="11">
        <v>3574</v>
      </c>
      <c r="G19" s="11">
        <v>100</v>
      </c>
      <c r="H19" s="11">
        <v>3474</v>
      </c>
      <c r="I19" s="26">
        <v>2.8000000000000001E-2</v>
      </c>
      <c r="J19" s="11">
        <v>2330</v>
      </c>
      <c r="K19" s="11">
        <v>42</v>
      </c>
      <c r="L19" s="11">
        <v>2288</v>
      </c>
      <c r="M19" s="26">
        <v>1.7999999999999999E-2</v>
      </c>
      <c r="N19" s="11">
        <v>2463</v>
      </c>
      <c r="O19" s="11">
        <v>41</v>
      </c>
      <c r="P19" s="11">
        <v>2422</v>
      </c>
      <c r="Q19" s="26">
        <v>1.66E-2</v>
      </c>
      <c r="R19" s="11">
        <v>2247</v>
      </c>
      <c r="S19" s="11">
        <v>11</v>
      </c>
      <c r="T19" s="11">
        <v>2236</v>
      </c>
      <c r="U19" s="26">
        <v>4.8999999999999998E-3</v>
      </c>
      <c r="V19" s="12">
        <f t="shared" si="1"/>
        <v>3.4183445190156599E-2</v>
      </c>
    </row>
    <row r="20" spans="1:22" x14ac:dyDescent="0.35">
      <c r="A20" s="10">
        <v>43846</v>
      </c>
      <c r="B20" s="11">
        <v>562</v>
      </c>
      <c r="C20" s="11">
        <v>200</v>
      </c>
      <c r="D20" s="11">
        <v>362</v>
      </c>
      <c r="E20" s="26">
        <v>0.35589999999999999</v>
      </c>
      <c r="F20" s="11">
        <v>3586</v>
      </c>
      <c r="G20" s="11">
        <v>127</v>
      </c>
      <c r="H20" s="11">
        <v>3459</v>
      </c>
      <c r="I20" s="26">
        <v>3.5400000000000001E-2</v>
      </c>
      <c r="J20" s="11">
        <v>2326</v>
      </c>
      <c r="K20" s="11">
        <v>41</v>
      </c>
      <c r="L20" s="11">
        <v>2285</v>
      </c>
      <c r="M20" s="26">
        <v>1.7600000000000001E-2</v>
      </c>
      <c r="N20" s="11">
        <v>2464</v>
      </c>
      <c r="O20" s="11">
        <v>40</v>
      </c>
      <c r="P20" s="11">
        <v>2424</v>
      </c>
      <c r="Q20" s="26">
        <v>1.6199999999999999E-2</v>
      </c>
      <c r="R20" s="11">
        <v>2241</v>
      </c>
      <c r="S20" s="11">
        <v>13</v>
      </c>
      <c r="T20" s="11">
        <v>2228</v>
      </c>
      <c r="U20" s="26">
        <v>5.7999999999999996E-3</v>
      </c>
      <c r="V20" s="12">
        <f t="shared" si="1"/>
        <v>3.7659898023078987E-2</v>
      </c>
    </row>
    <row r="21" spans="1:22" x14ac:dyDescent="0.35">
      <c r="A21" s="10">
        <v>43847</v>
      </c>
      <c r="B21" s="11">
        <v>567</v>
      </c>
      <c r="C21" s="11">
        <v>209</v>
      </c>
      <c r="D21" s="11">
        <v>358</v>
      </c>
      <c r="E21" s="26">
        <v>0.36859999999999998</v>
      </c>
      <c r="F21" s="11">
        <v>3624</v>
      </c>
      <c r="G21" s="11">
        <v>101</v>
      </c>
      <c r="H21" s="11">
        <v>3523</v>
      </c>
      <c r="I21" s="26">
        <v>2.7900000000000001E-2</v>
      </c>
      <c r="J21" s="11">
        <v>2309</v>
      </c>
      <c r="K21" s="11">
        <v>42</v>
      </c>
      <c r="L21" s="11">
        <v>2267</v>
      </c>
      <c r="M21" s="26">
        <v>1.8200000000000001E-2</v>
      </c>
      <c r="N21" s="11">
        <v>2451</v>
      </c>
      <c r="O21" s="11">
        <v>44</v>
      </c>
      <c r="P21" s="11">
        <v>2407</v>
      </c>
      <c r="Q21" s="26">
        <v>1.7999999999999999E-2</v>
      </c>
      <c r="R21" s="11">
        <v>2229</v>
      </c>
      <c r="S21" s="11">
        <v>17</v>
      </c>
      <c r="T21" s="11">
        <v>2212</v>
      </c>
      <c r="U21" s="26">
        <v>7.6E-3</v>
      </c>
      <c r="V21" s="12">
        <f t="shared" si="1"/>
        <v>3.6940966010733454E-2</v>
      </c>
    </row>
    <row r="22" spans="1:22" x14ac:dyDescent="0.35">
      <c r="A22" s="10">
        <v>43848</v>
      </c>
      <c r="B22" s="11">
        <v>568</v>
      </c>
      <c r="C22" s="11">
        <v>219</v>
      </c>
      <c r="D22" s="11">
        <v>349</v>
      </c>
      <c r="E22" s="26">
        <v>0.3856</v>
      </c>
      <c r="F22" s="11">
        <v>3619</v>
      </c>
      <c r="G22" s="11">
        <v>114</v>
      </c>
      <c r="H22" s="11">
        <v>3505</v>
      </c>
      <c r="I22" s="26">
        <v>3.15E-2</v>
      </c>
      <c r="J22" s="11">
        <v>2310</v>
      </c>
      <c r="K22" s="11">
        <v>44</v>
      </c>
      <c r="L22" s="11">
        <v>2266</v>
      </c>
      <c r="M22" s="26">
        <v>1.9E-2</v>
      </c>
      <c r="N22" s="11">
        <v>2441</v>
      </c>
      <c r="O22" s="11">
        <v>46</v>
      </c>
      <c r="P22" s="11">
        <v>2395</v>
      </c>
      <c r="Q22" s="26">
        <v>1.8800000000000001E-2</v>
      </c>
      <c r="R22" s="11">
        <v>2225</v>
      </c>
      <c r="S22" s="11">
        <v>20</v>
      </c>
      <c r="T22" s="11">
        <v>2205</v>
      </c>
      <c r="U22" s="26">
        <v>8.9999999999999993E-3</v>
      </c>
      <c r="V22" s="12">
        <f t="shared" si="1"/>
        <v>3.9684672579055807E-2</v>
      </c>
    </row>
    <row r="23" spans="1:22" x14ac:dyDescent="0.35">
      <c r="A23" s="10">
        <v>43849</v>
      </c>
      <c r="B23" s="11">
        <v>570</v>
      </c>
      <c r="C23" s="11">
        <v>263</v>
      </c>
      <c r="D23" s="11">
        <v>307</v>
      </c>
      <c r="E23" s="26">
        <v>0.46139999999999998</v>
      </c>
      <c r="F23" s="11">
        <v>3578</v>
      </c>
      <c r="G23" s="11">
        <v>138</v>
      </c>
      <c r="H23" s="11">
        <v>3440</v>
      </c>
      <c r="I23" s="26">
        <v>3.8600000000000002E-2</v>
      </c>
      <c r="J23" s="11">
        <v>2284</v>
      </c>
      <c r="K23" s="11">
        <v>48</v>
      </c>
      <c r="L23" s="11">
        <v>2236</v>
      </c>
      <c r="M23" s="26">
        <v>2.1000000000000001E-2</v>
      </c>
      <c r="N23" s="11">
        <v>2410</v>
      </c>
      <c r="O23" s="11">
        <v>51</v>
      </c>
      <c r="P23" s="11">
        <v>2359</v>
      </c>
      <c r="Q23" s="26">
        <v>2.12E-2</v>
      </c>
      <c r="R23" s="11">
        <v>2212</v>
      </c>
      <c r="S23" s="11">
        <v>29</v>
      </c>
      <c r="T23" s="11">
        <v>2183</v>
      </c>
      <c r="U23" s="26">
        <v>1.3100000000000001E-2</v>
      </c>
      <c r="V23" s="12">
        <f t="shared" si="1"/>
        <v>4.7855979735842227E-2</v>
      </c>
    </row>
    <row r="24" spans="1:22" ht="11.25" customHeight="1" x14ac:dyDescent="0.35">
      <c r="A24" s="10">
        <v>43850</v>
      </c>
      <c r="B24" s="11">
        <v>575</v>
      </c>
      <c r="C24" s="11">
        <v>226</v>
      </c>
      <c r="D24" s="11">
        <v>349</v>
      </c>
      <c r="E24" s="26">
        <v>0.39300000000000002</v>
      </c>
      <c r="F24" s="11">
        <v>3565</v>
      </c>
      <c r="G24" s="11">
        <v>154</v>
      </c>
      <c r="H24" s="11">
        <v>3411</v>
      </c>
      <c r="I24" s="26">
        <v>4.3200000000000002E-2</v>
      </c>
      <c r="J24" s="11">
        <v>2273</v>
      </c>
      <c r="K24" s="11">
        <v>53</v>
      </c>
      <c r="L24" s="11">
        <v>2220</v>
      </c>
      <c r="M24" s="26">
        <v>2.3300000000000001E-2</v>
      </c>
      <c r="N24" s="11">
        <v>2396</v>
      </c>
      <c r="O24" s="11">
        <v>57</v>
      </c>
      <c r="P24" s="11">
        <v>2339</v>
      </c>
      <c r="Q24" s="26">
        <v>2.3800000000000002E-2</v>
      </c>
      <c r="R24" s="11">
        <v>2209</v>
      </c>
      <c r="S24" s="11">
        <v>19</v>
      </c>
      <c r="T24" s="11">
        <v>2190</v>
      </c>
      <c r="U24" s="26">
        <v>8.6E-3</v>
      </c>
      <c r="V24" s="12">
        <f t="shared" si="1"/>
        <v>4.6197131965874022E-2</v>
      </c>
    </row>
    <row r="25" spans="1:22" x14ac:dyDescent="0.35">
      <c r="A25" s="10">
        <v>43851</v>
      </c>
      <c r="B25" s="11">
        <v>578</v>
      </c>
      <c r="C25" s="11">
        <v>227</v>
      </c>
      <c r="D25" s="11">
        <v>351</v>
      </c>
      <c r="E25" s="26">
        <v>0.39269999999999999</v>
      </c>
      <c r="F25" s="11">
        <v>3539</v>
      </c>
      <c r="G25" s="11">
        <v>139</v>
      </c>
      <c r="H25" s="11">
        <v>3400</v>
      </c>
      <c r="I25" s="26">
        <v>3.9300000000000002E-2</v>
      </c>
      <c r="J25" s="11">
        <v>2269</v>
      </c>
      <c r="K25" s="11">
        <v>50</v>
      </c>
      <c r="L25" s="11">
        <v>2219</v>
      </c>
      <c r="M25" s="26">
        <v>2.1999999999999999E-2</v>
      </c>
      <c r="N25" s="11">
        <v>2399</v>
      </c>
      <c r="O25" s="11">
        <v>49</v>
      </c>
      <c r="P25" s="11">
        <v>2350</v>
      </c>
      <c r="Q25" s="26">
        <v>2.0400000000000001E-2</v>
      </c>
      <c r="R25" s="11">
        <v>2184</v>
      </c>
      <c r="S25" s="11">
        <v>21</v>
      </c>
      <c r="T25" s="11">
        <v>2163</v>
      </c>
      <c r="U25" s="26">
        <v>9.5999999999999992E-3</v>
      </c>
      <c r="V25" s="12">
        <f t="shared" si="1"/>
        <v>4.4306682468775643E-2</v>
      </c>
    </row>
    <row r="26" spans="1:22" x14ac:dyDescent="0.35">
      <c r="A26" s="10">
        <v>43852</v>
      </c>
      <c r="B26" s="11">
        <v>587</v>
      </c>
      <c r="C26" s="11">
        <v>245</v>
      </c>
      <c r="D26" s="11">
        <v>342</v>
      </c>
      <c r="E26" s="26">
        <v>0.41739999999999999</v>
      </c>
      <c r="F26" s="11">
        <v>3484</v>
      </c>
      <c r="G26" s="11">
        <v>198</v>
      </c>
      <c r="H26" s="11">
        <v>3286</v>
      </c>
      <c r="I26" s="26">
        <v>5.6800000000000003E-2</v>
      </c>
      <c r="J26" s="11">
        <v>2251</v>
      </c>
      <c r="K26" s="11">
        <v>56</v>
      </c>
      <c r="L26" s="11">
        <v>2195</v>
      </c>
      <c r="M26" s="26">
        <v>2.4899999999999999E-2</v>
      </c>
      <c r="N26" s="11">
        <v>2374</v>
      </c>
      <c r="O26" s="11">
        <v>49</v>
      </c>
      <c r="P26" s="11">
        <v>2325</v>
      </c>
      <c r="Q26" s="26">
        <v>2.06E-2</v>
      </c>
      <c r="R26" s="11">
        <v>2172</v>
      </c>
      <c r="S26" s="11">
        <v>21</v>
      </c>
      <c r="T26" s="11">
        <v>2151</v>
      </c>
      <c r="U26" s="26">
        <v>9.7000000000000003E-3</v>
      </c>
      <c r="V26" s="12">
        <f t="shared" si="1"/>
        <v>5.2355539197644463E-2</v>
      </c>
    </row>
    <row r="27" spans="1:22" x14ac:dyDescent="0.35">
      <c r="A27" s="10">
        <v>43853</v>
      </c>
      <c r="B27" s="11">
        <v>596</v>
      </c>
      <c r="C27" s="11">
        <v>218</v>
      </c>
      <c r="D27" s="11">
        <v>378</v>
      </c>
      <c r="E27" s="26">
        <v>0.36580000000000001</v>
      </c>
      <c r="F27" s="11">
        <v>3499</v>
      </c>
      <c r="G27" s="11">
        <v>136</v>
      </c>
      <c r="H27" s="11">
        <v>3363</v>
      </c>
      <c r="I27" s="26">
        <v>3.8899999999999997E-2</v>
      </c>
      <c r="J27" s="11">
        <v>2251</v>
      </c>
      <c r="K27" s="11">
        <v>56</v>
      </c>
      <c r="L27" s="11">
        <v>2195</v>
      </c>
      <c r="M27" s="26">
        <v>2.4899999999999999E-2</v>
      </c>
      <c r="N27" s="11">
        <v>2380</v>
      </c>
      <c r="O27" s="11">
        <v>48</v>
      </c>
      <c r="P27" s="11">
        <v>2332</v>
      </c>
      <c r="Q27" s="26">
        <v>2.0199999999999999E-2</v>
      </c>
      <c r="R27" s="11">
        <v>2172</v>
      </c>
      <c r="S27" s="11">
        <v>21</v>
      </c>
      <c r="T27" s="11">
        <v>2151</v>
      </c>
      <c r="U27" s="26">
        <v>9.7000000000000003E-3</v>
      </c>
      <c r="V27" s="12">
        <f t="shared" si="1"/>
        <v>4.3953018902550926E-2</v>
      </c>
    </row>
    <row r="28" spans="1:22" x14ac:dyDescent="0.35">
      <c r="A28" s="10">
        <v>43854</v>
      </c>
      <c r="B28" s="11">
        <v>596</v>
      </c>
      <c r="C28" s="11">
        <v>218</v>
      </c>
      <c r="D28" s="11">
        <v>378</v>
      </c>
      <c r="E28" s="26">
        <v>0.36580000000000001</v>
      </c>
      <c r="F28" s="11">
        <v>3499</v>
      </c>
      <c r="G28" s="11">
        <v>136</v>
      </c>
      <c r="H28" s="11">
        <v>3363</v>
      </c>
      <c r="I28" s="26">
        <v>3.8899999999999997E-2</v>
      </c>
      <c r="J28" s="11">
        <v>2251</v>
      </c>
      <c r="K28" s="11">
        <v>56</v>
      </c>
      <c r="L28" s="11">
        <v>2195</v>
      </c>
      <c r="M28" s="26">
        <v>2.4899999999999999E-2</v>
      </c>
      <c r="N28" s="11">
        <v>2380</v>
      </c>
      <c r="O28" s="11">
        <v>48</v>
      </c>
      <c r="P28" s="11">
        <v>2332</v>
      </c>
      <c r="Q28" s="26">
        <v>2.0199999999999999E-2</v>
      </c>
      <c r="R28" s="11">
        <v>2172</v>
      </c>
      <c r="S28" s="11">
        <v>21</v>
      </c>
      <c r="T28" s="11">
        <v>2151</v>
      </c>
      <c r="U28" s="26">
        <v>9.7000000000000003E-3</v>
      </c>
      <c r="V28" s="12">
        <f t="shared" si="1"/>
        <v>4.3953018902550926E-2</v>
      </c>
    </row>
    <row r="29" spans="1:22" x14ac:dyDescent="0.35">
      <c r="A29" s="10">
        <v>43855</v>
      </c>
      <c r="B29" s="11"/>
      <c r="C29" s="11"/>
      <c r="D29" s="11"/>
      <c r="E29" s="26"/>
      <c r="F29" s="11"/>
      <c r="G29" s="11"/>
      <c r="H29" s="11"/>
      <c r="I29" s="26"/>
      <c r="J29" s="11"/>
      <c r="K29" s="11"/>
      <c r="L29" s="11"/>
      <c r="M29" s="26"/>
      <c r="N29" s="11"/>
      <c r="O29" s="11"/>
      <c r="P29" s="11"/>
      <c r="Q29" s="26"/>
      <c r="R29" s="11"/>
      <c r="S29" s="11"/>
      <c r="T29" s="11"/>
      <c r="U29" s="26"/>
      <c r="V29" s="12" t="e">
        <f t="shared" si="1"/>
        <v>#DIV/0!</v>
      </c>
    </row>
    <row r="30" spans="1:22" x14ac:dyDescent="0.35">
      <c r="A30" s="10">
        <v>43856</v>
      </c>
      <c r="B30" s="11"/>
      <c r="C30" s="11"/>
      <c r="D30" s="11"/>
      <c r="E30" s="26"/>
      <c r="F30" s="11"/>
      <c r="G30" s="11"/>
      <c r="H30" s="11"/>
      <c r="I30" s="26"/>
      <c r="J30" s="11"/>
      <c r="K30" s="11"/>
      <c r="L30" s="11"/>
      <c r="M30" s="26"/>
      <c r="N30" s="11"/>
      <c r="O30" s="11"/>
      <c r="P30" s="11"/>
      <c r="Q30" s="26"/>
      <c r="R30" s="11"/>
      <c r="S30" s="11"/>
      <c r="T30" s="11"/>
      <c r="U30" s="26"/>
      <c r="V30" s="12" t="e">
        <f t="shared" si="1"/>
        <v>#DIV/0!</v>
      </c>
    </row>
    <row r="31" spans="1:22" x14ac:dyDescent="0.35">
      <c r="A31" s="10">
        <v>43857</v>
      </c>
      <c r="B31" s="11"/>
      <c r="C31" s="11"/>
      <c r="D31" s="11"/>
      <c r="E31" s="26"/>
      <c r="F31" s="11"/>
      <c r="G31" s="11"/>
      <c r="H31" s="11"/>
      <c r="I31" s="26"/>
      <c r="J31" s="11"/>
      <c r="K31" s="11"/>
      <c r="L31" s="11"/>
      <c r="M31" s="26"/>
      <c r="N31" s="11"/>
      <c r="O31" s="11"/>
      <c r="P31" s="11"/>
      <c r="Q31" s="26"/>
      <c r="R31" s="11"/>
      <c r="S31" s="11"/>
      <c r="T31" s="11"/>
      <c r="U31" s="26"/>
      <c r="V31" s="12" t="e">
        <f t="shared" si="1"/>
        <v>#DIV/0!</v>
      </c>
    </row>
    <row r="32" spans="1:22" x14ac:dyDescent="0.35">
      <c r="A32" s="10">
        <v>43858</v>
      </c>
      <c r="B32" s="11">
        <v>596</v>
      </c>
      <c r="C32" s="11">
        <v>218</v>
      </c>
      <c r="D32" s="11">
        <v>378</v>
      </c>
      <c r="E32" s="26">
        <v>0.36580000000000001</v>
      </c>
      <c r="F32" s="11">
        <v>3499</v>
      </c>
      <c r="G32" s="11">
        <v>136</v>
      </c>
      <c r="H32" s="11">
        <v>3363</v>
      </c>
      <c r="I32" s="26">
        <v>3.8899999999999997E-2</v>
      </c>
      <c r="J32" s="11">
        <v>2251</v>
      </c>
      <c r="K32" s="11">
        <v>56</v>
      </c>
      <c r="L32" s="11">
        <v>2195</v>
      </c>
      <c r="M32" s="26">
        <v>2.4899999999999999E-2</v>
      </c>
      <c r="N32" s="11">
        <v>2380</v>
      </c>
      <c r="O32" s="11">
        <v>48</v>
      </c>
      <c r="P32" s="11">
        <v>2332</v>
      </c>
      <c r="Q32" s="26">
        <v>2.0199999999999999E-2</v>
      </c>
      <c r="R32" s="11">
        <v>2172</v>
      </c>
      <c r="S32" s="11">
        <v>21</v>
      </c>
      <c r="T32" s="11">
        <v>2151</v>
      </c>
      <c r="U32" s="26">
        <v>9.7000000000000003E-3</v>
      </c>
      <c r="V32" s="12" t="e">
        <f>(#REF!+#REF!+#REF!+#REF!+#REF!)/(#REF!+#REF!+#REF!+#REF!+#REF!)</f>
        <v>#REF!</v>
      </c>
    </row>
    <row r="33" spans="1:22" x14ac:dyDescent="0.35">
      <c r="A33" s="10">
        <v>43859</v>
      </c>
      <c r="B33" s="11">
        <v>596</v>
      </c>
      <c r="C33" s="11">
        <v>291</v>
      </c>
      <c r="D33" s="11">
        <v>305</v>
      </c>
      <c r="E33" s="26">
        <v>0.48830000000000001</v>
      </c>
      <c r="F33" s="11">
        <v>3323</v>
      </c>
      <c r="G33" s="11">
        <v>187</v>
      </c>
      <c r="H33" s="11">
        <v>3136</v>
      </c>
      <c r="I33" s="26">
        <v>5.6300000000000003E-2</v>
      </c>
      <c r="J33" s="11">
        <v>2172</v>
      </c>
      <c r="K33" s="11">
        <v>71</v>
      </c>
      <c r="L33" s="11">
        <v>2101</v>
      </c>
      <c r="M33" s="26">
        <v>3.27E-2</v>
      </c>
      <c r="N33" s="11">
        <v>2295</v>
      </c>
      <c r="O33" s="11">
        <v>56</v>
      </c>
      <c r="P33" s="11">
        <v>2239</v>
      </c>
      <c r="Q33" s="26">
        <v>2.4400000000000002E-2</v>
      </c>
      <c r="R33" s="11">
        <v>2113</v>
      </c>
      <c r="S33" s="11">
        <v>21</v>
      </c>
      <c r="T33" s="11">
        <v>2092</v>
      </c>
      <c r="U33" s="26">
        <v>9.9000000000000008E-3</v>
      </c>
      <c r="V33" s="12">
        <f>(C32+G32+K32+O32+S32)/(B32+F32+J32+N32+R32)</f>
        <v>4.3953018902550926E-2</v>
      </c>
    </row>
    <row r="34" spans="1:22" x14ac:dyDescent="0.35">
      <c r="A34" s="10">
        <v>43860</v>
      </c>
      <c r="B34" s="11">
        <v>594</v>
      </c>
      <c r="C34" s="11">
        <v>284</v>
      </c>
      <c r="D34" s="11">
        <v>310</v>
      </c>
      <c r="E34" s="26">
        <v>0.47810000000000002</v>
      </c>
      <c r="F34" s="11">
        <v>3280</v>
      </c>
      <c r="G34" s="11">
        <v>204</v>
      </c>
      <c r="H34" s="11">
        <v>3076</v>
      </c>
      <c r="I34" s="26">
        <v>6.2199999999999998E-2</v>
      </c>
      <c r="J34" s="11">
        <v>2136</v>
      </c>
      <c r="K34" s="11">
        <v>78</v>
      </c>
      <c r="L34" s="11">
        <v>2058</v>
      </c>
      <c r="M34" s="26">
        <v>3.6499999999999998E-2</v>
      </c>
      <c r="N34" s="11">
        <v>2276</v>
      </c>
      <c r="O34" s="11">
        <v>58</v>
      </c>
      <c r="P34" s="11">
        <v>2218</v>
      </c>
      <c r="Q34" s="26">
        <v>2.5499999999999998E-2</v>
      </c>
      <c r="R34" s="11">
        <v>2100</v>
      </c>
      <c r="S34" s="11">
        <v>21</v>
      </c>
      <c r="T34" s="11">
        <v>2079</v>
      </c>
      <c r="U34" s="26">
        <v>0.01</v>
      </c>
      <c r="V34" s="12">
        <f>(C33+G33+K33+O33+S33)/(B33+F33+J33+N33+R33)</f>
        <v>5.962472616439661E-2</v>
      </c>
    </row>
    <row r="35" spans="1:22" x14ac:dyDescent="0.35">
      <c r="A35" s="10">
        <v>43861</v>
      </c>
      <c r="B35">
        <v>579</v>
      </c>
      <c r="C35">
        <v>271</v>
      </c>
      <c r="D35">
        <v>308</v>
      </c>
      <c r="E35">
        <v>0.46800000000000003</v>
      </c>
      <c r="F35">
        <v>3226</v>
      </c>
      <c r="G35">
        <v>207</v>
      </c>
      <c r="H35">
        <v>3019</v>
      </c>
      <c r="I35">
        <v>6.4199999999999993E-2</v>
      </c>
      <c r="J35">
        <v>2120</v>
      </c>
      <c r="K35">
        <v>108</v>
      </c>
      <c r="L35">
        <v>2012</v>
      </c>
      <c r="M35">
        <v>5.0900000000000001E-2</v>
      </c>
      <c r="N35">
        <v>2247</v>
      </c>
      <c r="O35">
        <v>60</v>
      </c>
      <c r="P35">
        <v>2187</v>
      </c>
      <c r="Q35">
        <v>2.6700000000000002E-2</v>
      </c>
      <c r="R35">
        <v>2086</v>
      </c>
      <c r="S35">
        <v>23</v>
      </c>
      <c r="T35">
        <v>2063</v>
      </c>
      <c r="U35">
        <v>1.0999999999999999E-2</v>
      </c>
      <c r="V35" s="12">
        <f>(C34+G34+K34+O34+S34)/(B34+F34+J34+N34+R34)</f>
        <v>6.2102830733679955E-2</v>
      </c>
    </row>
    <row r="36" spans="1:22" s="25" customFormat="1" ht="18.75" customHeight="1" x14ac:dyDescent="0.35">
      <c r="A36" s="21" t="s">
        <v>14</v>
      </c>
      <c r="B36" s="22">
        <f>SUM(B6:B34)</f>
        <v>14698</v>
      </c>
      <c r="C36" s="22">
        <f>SUM(C6:C34)</f>
        <v>5640</v>
      </c>
      <c r="D36" s="22">
        <f>SUM(D6:D34)</f>
        <v>9058</v>
      </c>
      <c r="E36" s="23">
        <f>C36/B36</f>
        <v>0.38372567696285209</v>
      </c>
      <c r="F36" s="22">
        <f>SUM(F6:F34)</f>
        <v>91728</v>
      </c>
      <c r="G36" s="22">
        <f>SUM(G6:G34)</f>
        <v>3207</v>
      </c>
      <c r="H36" s="22">
        <f>SUM(H6:H34)</f>
        <v>88521</v>
      </c>
      <c r="I36" s="23">
        <f>G36/F36</f>
        <v>3.4962061747776031E-2</v>
      </c>
      <c r="J36" s="22">
        <f>SUM(J6:J34)</f>
        <v>59465</v>
      </c>
      <c r="K36" s="22">
        <f>SUM(K6:K34)</f>
        <v>1253</v>
      </c>
      <c r="L36" s="22">
        <f>SUM(L6:L34)</f>
        <v>58212</v>
      </c>
      <c r="M36" s="23">
        <f>K36/J36</f>
        <v>2.1071218363743378E-2</v>
      </c>
      <c r="N36" s="22">
        <f>SUM(N6:N34)</f>
        <v>63197</v>
      </c>
      <c r="O36" s="22">
        <f>SUM(O6:O34)</f>
        <v>1087</v>
      </c>
      <c r="P36" s="22">
        <f>SUM(P6:P34)</f>
        <v>62110</v>
      </c>
      <c r="Q36" s="23">
        <f>O36/N36</f>
        <v>1.7200183553016758E-2</v>
      </c>
      <c r="R36" s="22">
        <f>SUM(R6:R34)</f>
        <v>57012</v>
      </c>
      <c r="S36" s="22">
        <f>SUM(S6:S34)</f>
        <v>567</v>
      </c>
      <c r="T36" s="22">
        <f>SUM(T6:T34)</f>
        <v>56445</v>
      </c>
      <c r="U36" s="23">
        <f>S36/R36</f>
        <v>9.9452746790149437E-3</v>
      </c>
      <c r="V36" s="24" t="e">
        <f>AVERAGE(V6:V35)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0.87210381127920933</v>
      </c>
      <c r="F38" s="33"/>
      <c r="G38" s="34"/>
      <c r="H38" s="35"/>
      <c r="I38" s="16">
        <f>I36/I37</f>
        <v>0.89646312173784692</v>
      </c>
      <c r="J38" s="33"/>
      <c r="K38" s="34"/>
      <c r="L38" s="35"/>
      <c r="M38" s="16">
        <f>M36/M37</f>
        <v>0.75254351299083488</v>
      </c>
      <c r="N38" s="33"/>
      <c r="O38" s="34"/>
      <c r="P38" s="35"/>
      <c r="Q38" s="16">
        <f>Q36/Q37</f>
        <v>1.5636530502742509</v>
      </c>
      <c r="R38" s="33"/>
      <c r="S38" s="34"/>
      <c r="T38" s="35"/>
      <c r="U38" s="16">
        <f>U36/U37</f>
        <v>0.9041158799104495</v>
      </c>
      <c r="V38" s="16" t="e">
        <f>V36/V37</f>
        <v>#DIV/0!</v>
      </c>
    </row>
    <row r="39" spans="1:22" x14ac:dyDescent="0.35">
      <c r="A39">
        <v>2</v>
      </c>
      <c r="B39">
        <f>B36*$A$39</f>
        <v>29396</v>
      </c>
      <c r="C39">
        <f t="shared" ref="C39:T39" si="2">C36*$A$39</f>
        <v>11280</v>
      </c>
      <c r="D39">
        <f t="shared" si="2"/>
        <v>18116</v>
      </c>
      <c r="F39">
        <f t="shared" si="2"/>
        <v>183456</v>
      </c>
      <c r="G39">
        <f t="shared" si="2"/>
        <v>6414</v>
      </c>
      <c r="H39">
        <f t="shared" si="2"/>
        <v>177042</v>
      </c>
      <c r="J39">
        <f t="shared" si="2"/>
        <v>118930</v>
      </c>
      <c r="K39">
        <f t="shared" si="2"/>
        <v>2506</v>
      </c>
      <c r="L39">
        <f t="shared" si="2"/>
        <v>116424</v>
      </c>
      <c r="N39">
        <f t="shared" si="2"/>
        <v>126394</v>
      </c>
      <c r="O39">
        <f t="shared" si="2"/>
        <v>2174</v>
      </c>
      <c r="P39">
        <f t="shared" si="2"/>
        <v>124220</v>
      </c>
      <c r="R39">
        <f t="shared" si="2"/>
        <v>114024</v>
      </c>
      <c r="S39">
        <f t="shared" si="2"/>
        <v>1134</v>
      </c>
      <c r="T39">
        <f t="shared" si="2"/>
        <v>112890</v>
      </c>
    </row>
    <row r="40" spans="1:22" x14ac:dyDescent="0.35">
      <c r="E40" s="13"/>
    </row>
    <row r="41" spans="1:22" ht="39" customHeight="1" x14ac:dyDescent="0.35">
      <c r="B41" s="27">
        <f>VLOOKUP(B$2,'[1]210220'!$A$2:$F$25,3,0)</f>
        <v>613</v>
      </c>
      <c r="C41" s="27">
        <f>VLOOKUP(B$2,'[2]310120'!$A$2:$F$25,4,0)</f>
        <v>284</v>
      </c>
      <c r="D41" s="27">
        <f>VLOOKUP(B$2,'[2]310120'!$A$2:$F$25,5,0)</f>
        <v>310</v>
      </c>
      <c r="E41" s="28">
        <f>VLOOKUP(B$2,'[2]310120'!$A$2:$F$25,6,0)</f>
        <v>0.47810000000000002</v>
      </c>
      <c r="F41" s="27">
        <f>VLOOKUP(F$2,'[2]310120'!$A$2:$F$25,3,0)</f>
        <v>3280</v>
      </c>
      <c r="G41" s="27">
        <f>VLOOKUP(F$2,'[2]310120'!$A$2:$F$25,4,0)</f>
        <v>204</v>
      </c>
      <c r="H41" s="27">
        <f>VLOOKUP(F$2,'[2]310120'!$A$2:$F$25,5,0)</f>
        <v>3076</v>
      </c>
      <c r="I41" s="29">
        <f>VLOOKUP(F$2,'[2]310120'!$A$2:$F$25,6,0)</f>
        <v>6.2199999999999998E-2</v>
      </c>
      <c r="J41" s="27">
        <f>VLOOKUP(J$2,'[2]310120'!$A$2:$F$25,3,0)</f>
        <v>2136</v>
      </c>
      <c r="K41" s="27">
        <f>VLOOKUP(J$2,'[2]310120'!$A$2:$F$25,4,0)</f>
        <v>78</v>
      </c>
      <c r="L41" s="27">
        <f>VLOOKUP(J$2,'[2]310120'!$A$2:$F$25,5,0)</f>
        <v>2058</v>
      </c>
      <c r="M41" s="28">
        <f>VLOOKUP(J$2,'[2]310120'!$A$2:$F$25,6,0)</f>
        <v>3.6499999999999998E-2</v>
      </c>
      <c r="N41" s="27">
        <f>VLOOKUP(N$2,'[2]310120'!$A$2:$F$25,3,0)</f>
        <v>2276</v>
      </c>
      <c r="O41" s="27">
        <f>VLOOKUP(N$2,'[2]310120'!$A$2:$F$25,4,0)</f>
        <v>58</v>
      </c>
      <c r="P41" s="27">
        <f>VLOOKUP(N$2,'[2]310120'!$A$2:$F$25,5,0)</f>
        <v>2218</v>
      </c>
      <c r="Q41" s="28">
        <f>VLOOKUP(N$2,'[2]310120'!$A$2:$F$25,6,0)</f>
        <v>2.5499999999999998E-2</v>
      </c>
      <c r="R41" s="27">
        <f>VLOOKUP(R$2,'[2]310120'!$A$2:$F$25,3,0)</f>
        <v>2100</v>
      </c>
      <c r="S41" s="27">
        <f>VLOOKUP(R$2,'[2]310120'!$A$2:$F$25,4,0)</f>
        <v>21</v>
      </c>
      <c r="T41" s="27">
        <f>VLOOKUP(R$2,'[2]310120'!$A$2:$F$25,5,0)</f>
        <v>2079</v>
      </c>
      <c r="U41" s="28">
        <f>VLOOKUP(R$2,'[2]310120'!$A$2:$F$25,6,0)</f>
        <v>0.01</v>
      </c>
    </row>
    <row r="43" spans="1:22" x14ac:dyDescent="0.35">
      <c r="E43" s="14"/>
    </row>
    <row r="44" spans="1:22" ht="13.5" x14ac:dyDescent="0.35">
      <c r="B44">
        <f>B39+F39+J39+N39+R39</f>
        <v>572200</v>
      </c>
      <c r="C44">
        <f>C39+G39+K39+O39+S39</f>
        <v>23508</v>
      </c>
      <c r="E44" s="23">
        <f>C44/B44</f>
        <v>4.1083537224746593E-2</v>
      </c>
    </row>
  </sheetData>
  <mergeCells count="21">
    <mergeCell ref="A1:V1"/>
    <mergeCell ref="B2:E2"/>
    <mergeCell ref="F2:I2"/>
    <mergeCell ref="J2:M2"/>
    <mergeCell ref="N2:Q2"/>
    <mergeCell ref="R2:U2"/>
    <mergeCell ref="R3:U3"/>
    <mergeCell ref="R37:T37"/>
    <mergeCell ref="B3:E3"/>
    <mergeCell ref="F3:I3"/>
    <mergeCell ref="J3:M3"/>
    <mergeCell ref="N3:Q3"/>
    <mergeCell ref="B38:D38"/>
    <mergeCell ref="F38:H38"/>
    <mergeCell ref="J38:L38"/>
    <mergeCell ref="N38:P38"/>
    <mergeCell ref="R38:T38"/>
    <mergeCell ref="B37:D37"/>
    <mergeCell ref="F37:H37"/>
    <mergeCell ref="J37:L37"/>
    <mergeCell ref="N37:P37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2"/>
  <sheetViews>
    <sheetView topLeftCell="A10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73046875" bestFit="1" customWidth="1"/>
    <col min="3" max="4" width="9.265625" bestFit="1" customWidth="1"/>
    <col min="5" max="5" width="11.3984375" bestFit="1" customWidth="1"/>
    <col min="6" max="6" width="10.1328125" bestFit="1" customWidth="1"/>
    <col min="7" max="7" width="9.265625" bestFit="1" customWidth="1"/>
    <col min="8" max="8" width="10.1328125" bestFit="1" customWidth="1"/>
    <col min="9" max="9" width="12.59765625" bestFit="1" customWidth="1"/>
    <col min="10" max="10" width="10.1328125" bestFit="1" customWidth="1"/>
    <col min="11" max="11" width="9.265625" bestFit="1" customWidth="1"/>
    <col min="12" max="12" width="10.1328125" bestFit="1" customWidth="1"/>
    <col min="13" max="13" width="10.73046875" bestFit="1" customWidth="1"/>
    <col min="14" max="14" width="10.1328125" bestFit="1" customWidth="1"/>
    <col min="15" max="15" width="9.265625" bestFit="1" customWidth="1"/>
    <col min="16" max="16" width="10.1328125" bestFit="1" customWidth="1"/>
    <col min="17" max="17" width="10.73046875" bestFit="1" customWidth="1"/>
    <col min="18" max="18" width="10.1328125" bestFit="1" customWidth="1"/>
    <col min="19" max="19" width="9.265625" bestFit="1" customWidth="1"/>
    <col min="20" max="20" width="10.1328125" bestFit="1" customWidth="1"/>
    <col min="21" max="21" width="10.73046875" bestFit="1" customWidth="1"/>
    <col min="22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1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43862</v>
      </c>
      <c r="B5" s="11">
        <v>582</v>
      </c>
      <c r="C5" s="11">
        <v>275</v>
      </c>
      <c r="D5" s="11">
        <v>307</v>
      </c>
      <c r="E5" s="26">
        <v>0.47249999999999998</v>
      </c>
      <c r="F5" s="11">
        <v>3189</v>
      </c>
      <c r="G5" s="11">
        <v>219</v>
      </c>
      <c r="H5" s="11">
        <v>2970</v>
      </c>
      <c r="I5" s="26">
        <v>6.8699999999999997E-2</v>
      </c>
      <c r="J5" s="11">
        <v>2090</v>
      </c>
      <c r="K5" s="11">
        <v>109</v>
      </c>
      <c r="L5" s="11">
        <v>1981</v>
      </c>
      <c r="M5" s="26">
        <v>5.2200000000000003E-2</v>
      </c>
      <c r="N5" s="11">
        <v>2214</v>
      </c>
      <c r="O5" s="11">
        <v>61</v>
      </c>
      <c r="P5" s="11">
        <v>2153</v>
      </c>
      <c r="Q5" s="26">
        <v>2.76E-2</v>
      </c>
      <c r="R5" s="11">
        <v>2063</v>
      </c>
      <c r="S5" s="11">
        <v>25</v>
      </c>
      <c r="T5" s="11">
        <v>2038</v>
      </c>
      <c r="U5" s="26">
        <v>1.21E-2</v>
      </c>
      <c r="V5" s="12">
        <f t="shared" ref="V5:V31" si="0">(C5+G5+K5+O5+S5)/(B5+F5+J5+N5+R5)</f>
        <v>6.7962122706648254E-2</v>
      </c>
    </row>
    <row r="6" spans="1:22" x14ac:dyDescent="0.35">
      <c r="A6" s="10">
        <v>43863</v>
      </c>
      <c r="B6" s="11">
        <v>584</v>
      </c>
      <c r="C6" s="11">
        <v>301</v>
      </c>
      <c r="D6" s="11">
        <v>283</v>
      </c>
      <c r="E6" s="26">
        <v>0.51539999999999997</v>
      </c>
      <c r="F6" s="11">
        <v>3148</v>
      </c>
      <c r="G6" s="11">
        <v>263</v>
      </c>
      <c r="H6" s="11">
        <v>2885</v>
      </c>
      <c r="I6" s="26">
        <v>8.3500000000000005E-2</v>
      </c>
      <c r="J6" s="11">
        <v>2042</v>
      </c>
      <c r="K6" s="11">
        <v>116</v>
      </c>
      <c r="L6" s="11">
        <v>1926</v>
      </c>
      <c r="M6" s="26">
        <v>5.6800000000000003E-2</v>
      </c>
      <c r="N6" s="11">
        <v>2188</v>
      </c>
      <c r="O6" s="11">
        <v>61</v>
      </c>
      <c r="P6" s="11">
        <v>2127</v>
      </c>
      <c r="Q6" s="26">
        <v>2.7900000000000001E-2</v>
      </c>
      <c r="R6" s="11">
        <v>2044</v>
      </c>
      <c r="S6" s="11">
        <v>26</v>
      </c>
      <c r="T6" s="11">
        <v>2018</v>
      </c>
      <c r="U6" s="26">
        <v>1.2699999999999999E-2</v>
      </c>
      <c r="V6" s="12">
        <f>(C6+G6+K6+O6+S6)/(B6+F6+J6+N6+R6)</f>
        <v>7.6654007595442733E-2</v>
      </c>
    </row>
    <row r="7" spans="1:22" x14ac:dyDescent="0.35">
      <c r="A7" s="10">
        <v>43864</v>
      </c>
      <c r="B7" s="11">
        <v>585</v>
      </c>
      <c r="C7" s="11">
        <v>274</v>
      </c>
      <c r="D7" s="11">
        <v>311</v>
      </c>
      <c r="E7" s="26">
        <v>0.46839999999999998</v>
      </c>
      <c r="F7" s="11">
        <v>3156</v>
      </c>
      <c r="G7" s="11">
        <v>235</v>
      </c>
      <c r="H7" s="11">
        <v>2921</v>
      </c>
      <c r="I7" s="26">
        <v>7.4499999999999997E-2</v>
      </c>
      <c r="J7" s="11">
        <v>2002</v>
      </c>
      <c r="K7" s="11">
        <v>102</v>
      </c>
      <c r="L7" s="11">
        <v>1900</v>
      </c>
      <c r="M7" s="26">
        <v>5.0900000000000001E-2</v>
      </c>
      <c r="N7" s="11">
        <v>2176</v>
      </c>
      <c r="O7" s="11">
        <v>63</v>
      </c>
      <c r="P7" s="11">
        <v>2113</v>
      </c>
      <c r="Q7" s="26">
        <v>2.9000000000000001E-2</v>
      </c>
      <c r="R7" s="11">
        <v>2026</v>
      </c>
      <c r="S7" s="11">
        <v>27</v>
      </c>
      <c r="T7" s="11">
        <v>1999</v>
      </c>
      <c r="U7" s="26">
        <v>1.3299999999999999E-2</v>
      </c>
      <c r="V7" s="12">
        <f>(C7+G7+K7+O7+S7)/(B7+F7+J7+N7+R7)</f>
        <v>7.0487682252388134E-2</v>
      </c>
    </row>
    <row r="8" spans="1:22" x14ac:dyDescent="0.35">
      <c r="A8" s="10">
        <v>43865</v>
      </c>
      <c r="B8" s="11">
        <v>584</v>
      </c>
      <c r="C8" s="11">
        <v>265</v>
      </c>
      <c r="D8" s="11">
        <v>319</v>
      </c>
      <c r="E8" s="26">
        <v>0.45379999999999998</v>
      </c>
      <c r="F8" s="11">
        <v>3136</v>
      </c>
      <c r="G8" s="11">
        <v>241</v>
      </c>
      <c r="H8" s="11">
        <v>2895</v>
      </c>
      <c r="I8" s="26">
        <v>7.6799999999999993E-2</v>
      </c>
      <c r="J8" s="11">
        <v>2126</v>
      </c>
      <c r="K8" s="11">
        <v>82</v>
      </c>
      <c r="L8" s="11">
        <v>2044</v>
      </c>
      <c r="M8" s="26">
        <v>3.8600000000000002E-2</v>
      </c>
      <c r="N8" s="11">
        <v>2158</v>
      </c>
      <c r="O8" s="11">
        <v>63</v>
      </c>
      <c r="P8" s="11">
        <v>2095</v>
      </c>
      <c r="Q8" s="26">
        <v>2.92E-2</v>
      </c>
      <c r="R8" s="11">
        <v>2024</v>
      </c>
      <c r="S8" s="11">
        <v>26</v>
      </c>
      <c r="T8" s="11">
        <v>1998</v>
      </c>
      <c r="U8" s="26">
        <v>1.2800000000000001E-2</v>
      </c>
      <c r="V8" s="12">
        <f t="shared" si="0"/>
        <v>6.7510969285999201E-2</v>
      </c>
    </row>
    <row r="9" spans="1:22" x14ac:dyDescent="0.35">
      <c r="A9" s="10">
        <v>43866</v>
      </c>
      <c r="B9" s="11">
        <v>584</v>
      </c>
      <c r="C9" s="11">
        <v>266</v>
      </c>
      <c r="D9" s="11">
        <v>318</v>
      </c>
      <c r="E9" s="26">
        <v>0.45550000000000002</v>
      </c>
      <c r="F9" s="11">
        <v>3139</v>
      </c>
      <c r="G9" s="11">
        <v>240</v>
      </c>
      <c r="H9" s="11">
        <v>2899</v>
      </c>
      <c r="I9" s="26">
        <v>7.6499999999999999E-2</v>
      </c>
      <c r="J9" s="11">
        <v>2125</v>
      </c>
      <c r="K9" s="11">
        <v>81</v>
      </c>
      <c r="L9" s="11">
        <v>2044</v>
      </c>
      <c r="M9" s="26">
        <v>3.8100000000000002E-2</v>
      </c>
      <c r="N9" s="11">
        <v>2147</v>
      </c>
      <c r="O9" s="11">
        <v>64</v>
      </c>
      <c r="P9" s="11">
        <v>2083</v>
      </c>
      <c r="Q9" s="26">
        <v>2.98E-2</v>
      </c>
      <c r="R9" s="11">
        <v>2021</v>
      </c>
      <c r="S9" s="11">
        <v>26</v>
      </c>
      <c r="T9" s="11">
        <v>1995</v>
      </c>
      <c r="U9" s="26">
        <v>1.29E-2</v>
      </c>
      <c r="V9" s="12">
        <f t="shared" si="0"/>
        <v>6.759185303514377E-2</v>
      </c>
    </row>
    <row r="10" spans="1:22" x14ac:dyDescent="0.35">
      <c r="A10" s="10">
        <v>43867</v>
      </c>
      <c r="B10" s="11">
        <v>584</v>
      </c>
      <c r="C10" s="11">
        <v>263</v>
      </c>
      <c r="D10" s="11">
        <v>321</v>
      </c>
      <c r="E10" s="26">
        <v>0.45029999999999998</v>
      </c>
      <c r="F10" s="11">
        <v>3171</v>
      </c>
      <c r="G10" s="11">
        <v>296</v>
      </c>
      <c r="H10" s="11">
        <v>2875</v>
      </c>
      <c r="I10" s="26">
        <v>9.3299999999999994E-2</v>
      </c>
      <c r="J10" s="11">
        <v>2114</v>
      </c>
      <c r="K10" s="11">
        <v>91</v>
      </c>
      <c r="L10" s="11">
        <v>2023</v>
      </c>
      <c r="M10" s="26">
        <v>4.2999999999999997E-2</v>
      </c>
      <c r="N10" s="11">
        <v>2135</v>
      </c>
      <c r="O10" s="11">
        <v>71</v>
      </c>
      <c r="P10" s="11">
        <v>2064</v>
      </c>
      <c r="Q10" s="26">
        <v>3.3300000000000003E-2</v>
      </c>
      <c r="R10" s="11">
        <v>2017</v>
      </c>
      <c r="S10" s="11">
        <v>28</v>
      </c>
      <c r="T10" s="11">
        <v>1989</v>
      </c>
      <c r="U10" s="26">
        <v>1.3899999999999999E-2</v>
      </c>
      <c r="V10" s="12">
        <f t="shared" si="0"/>
        <v>7.4743039616804716E-2</v>
      </c>
    </row>
    <row r="11" spans="1:22" x14ac:dyDescent="0.35">
      <c r="A11" s="10">
        <v>43868</v>
      </c>
      <c r="B11" s="11">
        <v>594</v>
      </c>
      <c r="C11" s="11">
        <v>253</v>
      </c>
      <c r="D11" s="11">
        <v>341</v>
      </c>
      <c r="E11" s="26">
        <v>0.4259</v>
      </c>
      <c r="F11" s="11">
        <v>3260</v>
      </c>
      <c r="G11" s="11">
        <v>212</v>
      </c>
      <c r="H11" s="11">
        <v>3048</v>
      </c>
      <c r="I11" s="26">
        <v>6.5000000000000002E-2</v>
      </c>
      <c r="J11" s="11">
        <v>2134</v>
      </c>
      <c r="K11" s="11">
        <v>94</v>
      </c>
      <c r="L11" s="11">
        <v>2040</v>
      </c>
      <c r="M11" s="26">
        <v>4.3999999999999997E-2</v>
      </c>
      <c r="N11" s="11">
        <v>2152</v>
      </c>
      <c r="O11" s="11">
        <v>63</v>
      </c>
      <c r="P11" s="11">
        <v>2089</v>
      </c>
      <c r="Q11" s="26">
        <v>2.93E-2</v>
      </c>
      <c r="R11" s="11">
        <v>2014</v>
      </c>
      <c r="S11" s="11">
        <v>33</v>
      </c>
      <c r="T11" s="11">
        <v>1981</v>
      </c>
      <c r="U11" s="26">
        <v>1.6400000000000001E-2</v>
      </c>
      <c r="V11" s="12">
        <f t="shared" si="0"/>
        <v>6.4506598384872951E-2</v>
      </c>
    </row>
    <row r="12" spans="1:22" x14ac:dyDescent="0.35">
      <c r="A12" s="10">
        <v>43869</v>
      </c>
      <c r="B12" s="11">
        <v>598</v>
      </c>
      <c r="C12" s="11">
        <v>266</v>
      </c>
      <c r="D12" s="11">
        <v>332</v>
      </c>
      <c r="E12" s="26">
        <v>0.44479999999999997</v>
      </c>
      <c r="F12" s="11">
        <v>3290</v>
      </c>
      <c r="G12" s="11">
        <v>178</v>
      </c>
      <c r="H12" s="11">
        <v>3112</v>
      </c>
      <c r="I12" s="26">
        <v>5.4100000000000002E-2</v>
      </c>
      <c r="J12" s="11">
        <v>2185</v>
      </c>
      <c r="K12" s="11">
        <v>76</v>
      </c>
      <c r="L12" s="11">
        <v>2109</v>
      </c>
      <c r="M12" s="26">
        <v>3.4799999999999998E-2</v>
      </c>
      <c r="N12" s="11">
        <v>2133</v>
      </c>
      <c r="O12" s="11">
        <v>65</v>
      </c>
      <c r="P12" s="11">
        <v>2068</v>
      </c>
      <c r="Q12" s="26">
        <v>3.0499999999999999E-2</v>
      </c>
      <c r="R12" s="11">
        <v>2028</v>
      </c>
      <c r="S12" s="11">
        <v>58</v>
      </c>
      <c r="T12" s="11">
        <v>1970</v>
      </c>
      <c r="U12" s="26">
        <v>2.86E-2</v>
      </c>
      <c r="V12" s="12">
        <f t="shared" si="0"/>
        <v>6.2829783076021106E-2</v>
      </c>
    </row>
    <row r="13" spans="1:22" x14ac:dyDescent="0.35">
      <c r="A13" s="10">
        <v>43870</v>
      </c>
      <c r="B13" s="11">
        <v>602</v>
      </c>
      <c r="C13" s="11">
        <v>311</v>
      </c>
      <c r="D13" s="11">
        <v>291</v>
      </c>
      <c r="E13" s="26">
        <v>0.51659999999999995</v>
      </c>
      <c r="F13" s="11">
        <v>3271</v>
      </c>
      <c r="G13" s="11">
        <v>198</v>
      </c>
      <c r="H13" s="11">
        <v>3073</v>
      </c>
      <c r="I13" s="26">
        <v>6.0499999999999998E-2</v>
      </c>
      <c r="J13" s="11">
        <v>2172</v>
      </c>
      <c r="K13" s="11">
        <v>85</v>
      </c>
      <c r="L13" s="11">
        <v>2087</v>
      </c>
      <c r="M13" s="26">
        <v>3.9100000000000003E-2</v>
      </c>
      <c r="N13" s="11">
        <v>2105</v>
      </c>
      <c r="O13" s="11">
        <v>66</v>
      </c>
      <c r="P13" s="11">
        <v>2039</v>
      </c>
      <c r="Q13" s="26">
        <v>3.1399999999999997E-2</v>
      </c>
      <c r="R13" s="11">
        <v>2031</v>
      </c>
      <c r="S13" s="11">
        <v>68</v>
      </c>
      <c r="T13" s="11">
        <v>1963</v>
      </c>
      <c r="U13" s="26">
        <v>3.3500000000000002E-2</v>
      </c>
      <c r="V13" s="12">
        <f t="shared" si="0"/>
        <v>7.1505745997446218E-2</v>
      </c>
    </row>
    <row r="14" spans="1:22" x14ac:dyDescent="0.35">
      <c r="A14" s="10">
        <v>43871</v>
      </c>
      <c r="B14" s="11">
        <v>592</v>
      </c>
      <c r="C14" s="11">
        <v>267</v>
      </c>
      <c r="D14" s="11">
        <v>325</v>
      </c>
      <c r="E14" s="26">
        <v>0.45100000000000001</v>
      </c>
      <c r="F14" s="11">
        <v>3247</v>
      </c>
      <c r="G14" s="11">
        <v>194</v>
      </c>
      <c r="H14" s="11">
        <v>3053</v>
      </c>
      <c r="I14" s="26">
        <v>5.9700000000000003E-2</v>
      </c>
      <c r="J14" s="11">
        <v>2153</v>
      </c>
      <c r="K14" s="11">
        <v>86</v>
      </c>
      <c r="L14" s="11">
        <v>2067</v>
      </c>
      <c r="M14" s="26">
        <v>3.9899999999999998E-2</v>
      </c>
      <c r="N14" s="11">
        <v>2080</v>
      </c>
      <c r="O14" s="11">
        <v>68</v>
      </c>
      <c r="P14" s="11">
        <v>2012</v>
      </c>
      <c r="Q14" s="26">
        <v>3.27E-2</v>
      </c>
      <c r="R14" s="11">
        <v>2043</v>
      </c>
      <c r="S14" s="11">
        <v>27</v>
      </c>
      <c r="T14" s="11">
        <v>2016</v>
      </c>
      <c r="U14" s="26">
        <v>1.32E-2</v>
      </c>
      <c r="V14" s="12">
        <f t="shared" si="0"/>
        <v>6.3470093919920909E-2</v>
      </c>
    </row>
    <row r="15" spans="1:22" x14ac:dyDescent="0.35">
      <c r="A15" s="10">
        <v>43872</v>
      </c>
      <c r="B15" s="11">
        <v>595</v>
      </c>
      <c r="C15" s="11">
        <v>273</v>
      </c>
      <c r="D15" s="11">
        <v>322</v>
      </c>
      <c r="E15" s="26">
        <v>0.45879999999999999</v>
      </c>
      <c r="F15" s="11">
        <v>3255</v>
      </c>
      <c r="G15" s="11">
        <v>201</v>
      </c>
      <c r="H15" s="11">
        <v>3054</v>
      </c>
      <c r="I15" s="26">
        <v>6.1800000000000001E-2</v>
      </c>
      <c r="J15" s="11">
        <v>2187</v>
      </c>
      <c r="K15" s="11">
        <v>84</v>
      </c>
      <c r="L15" s="11">
        <v>2103</v>
      </c>
      <c r="M15" s="26">
        <v>3.8399999999999997E-2</v>
      </c>
      <c r="N15" s="11">
        <v>2052</v>
      </c>
      <c r="O15" s="11">
        <v>75</v>
      </c>
      <c r="P15" s="11">
        <v>1977</v>
      </c>
      <c r="Q15" s="26">
        <v>3.6499999999999998E-2</v>
      </c>
      <c r="R15" s="11">
        <v>2034</v>
      </c>
      <c r="S15" s="11">
        <v>32</v>
      </c>
      <c r="T15" s="11">
        <v>2002</v>
      </c>
      <c r="U15" s="26">
        <v>1.5699999999999999E-2</v>
      </c>
      <c r="V15" s="12">
        <f t="shared" si="0"/>
        <v>6.5691988540946364E-2</v>
      </c>
    </row>
    <row r="16" spans="1:22" x14ac:dyDescent="0.35">
      <c r="A16" s="10">
        <v>43873</v>
      </c>
      <c r="B16" s="11">
        <v>598</v>
      </c>
      <c r="C16" s="11">
        <v>267</v>
      </c>
      <c r="D16" s="11">
        <v>331</v>
      </c>
      <c r="E16" s="26">
        <v>0.44650000000000001</v>
      </c>
      <c r="F16" s="11">
        <v>3249</v>
      </c>
      <c r="G16" s="11">
        <v>195</v>
      </c>
      <c r="H16" s="11">
        <v>3054</v>
      </c>
      <c r="I16" s="26">
        <v>0.06</v>
      </c>
      <c r="J16" s="11">
        <v>2211</v>
      </c>
      <c r="K16" s="11">
        <v>80</v>
      </c>
      <c r="L16" s="11">
        <v>2131</v>
      </c>
      <c r="M16" s="26">
        <v>3.6200000000000003E-2</v>
      </c>
      <c r="N16" s="11">
        <v>2093</v>
      </c>
      <c r="O16" s="11">
        <v>67</v>
      </c>
      <c r="P16" s="11">
        <v>2026</v>
      </c>
      <c r="Q16" s="26">
        <v>3.2000000000000001E-2</v>
      </c>
      <c r="R16" s="11">
        <v>2055</v>
      </c>
      <c r="S16" s="11">
        <v>26</v>
      </c>
      <c r="T16" s="11">
        <v>2029</v>
      </c>
      <c r="U16" s="26">
        <v>1.2699999999999999E-2</v>
      </c>
      <c r="V16" s="12">
        <f t="shared" si="0"/>
        <v>6.2218302959043702E-2</v>
      </c>
    </row>
    <row r="17" spans="1:22" x14ac:dyDescent="0.35">
      <c r="A17" s="10">
        <v>43874</v>
      </c>
      <c r="B17" s="11">
        <v>604</v>
      </c>
      <c r="C17" s="11">
        <v>269</v>
      </c>
      <c r="D17" s="11">
        <v>335</v>
      </c>
      <c r="E17" s="26">
        <v>0.44540000000000002</v>
      </c>
      <c r="F17" s="11">
        <v>3297</v>
      </c>
      <c r="G17" s="11">
        <v>222</v>
      </c>
      <c r="H17" s="11">
        <v>3075</v>
      </c>
      <c r="I17" s="26">
        <v>6.7299999999999999E-2</v>
      </c>
      <c r="J17" s="11">
        <v>2226</v>
      </c>
      <c r="K17" s="11">
        <v>75</v>
      </c>
      <c r="L17" s="11">
        <v>2151</v>
      </c>
      <c r="M17" s="26">
        <v>3.3700000000000001E-2</v>
      </c>
      <c r="N17" s="11">
        <v>2109</v>
      </c>
      <c r="O17" s="11">
        <v>63</v>
      </c>
      <c r="P17" s="11">
        <v>2046</v>
      </c>
      <c r="Q17" s="26">
        <v>2.9899999999999999E-2</v>
      </c>
      <c r="R17" s="11">
        <v>2055</v>
      </c>
      <c r="S17" s="11">
        <v>26</v>
      </c>
      <c r="T17" s="11">
        <v>2029</v>
      </c>
      <c r="U17" s="26">
        <v>1.2699999999999999E-2</v>
      </c>
      <c r="V17" s="12">
        <f t="shared" si="0"/>
        <v>6.3647847633854823E-2</v>
      </c>
    </row>
    <row r="18" spans="1:22" x14ac:dyDescent="0.35">
      <c r="A18" s="10">
        <v>43875</v>
      </c>
      <c r="B18" s="11">
        <v>609</v>
      </c>
      <c r="C18" s="11">
        <v>265</v>
      </c>
      <c r="D18" s="11">
        <v>344</v>
      </c>
      <c r="E18" s="26">
        <v>0.43509999999999999</v>
      </c>
      <c r="F18" s="11">
        <v>3278</v>
      </c>
      <c r="G18" s="11">
        <v>171</v>
      </c>
      <c r="H18" s="11">
        <v>3107</v>
      </c>
      <c r="I18" s="26">
        <v>5.2200000000000003E-2</v>
      </c>
      <c r="J18" s="11">
        <v>2205</v>
      </c>
      <c r="K18" s="11">
        <v>76</v>
      </c>
      <c r="L18" s="11">
        <v>2129</v>
      </c>
      <c r="M18" s="26">
        <v>3.4500000000000003E-2</v>
      </c>
      <c r="N18" s="11">
        <v>2087</v>
      </c>
      <c r="O18" s="11">
        <v>63</v>
      </c>
      <c r="P18" s="11">
        <v>2024</v>
      </c>
      <c r="Q18" s="26">
        <v>3.0200000000000001E-2</v>
      </c>
      <c r="R18" s="11">
        <v>2063</v>
      </c>
      <c r="S18" s="11">
        <v>29</v>
      </c>
      <c r="T18" s="11">
        <v>2034</v>
      </c>
      <c r="U18" s="26">
        <v>1.41E-2</v>
      </c>
      <c r="V18" s="12">
        <f t="shared" si="0"/>
        <v>5.8972856863893773E-2</v>
      </c>
    </row>
    <row r="19" spans="1:22" x14ac:dyDescent="0.35">
      <c r="A19" s="10">
        <v>43876</v>
      </c>
      <c r="B19" s="11">
        <v>608</v>
      </c>
      <c r="C19" s="11">
        <v>274</v>
      </c>
      <c r="D19" s="11">
        <v>334</v>
      </c>
      <c r="E19" s="26">
        <v>0.45069999999999999</v>
      </c>
      <c r="F19" s="11">
        <v>3330</v>
      </c>
      <c r="G19" s="11">
        <v>165</v>
      </c>
      <c r="H19" s="11">
        <v>3165</v>
      </c>
      <c r="I19" s="26">
        <v>4.9500000000000002E-2</v>
      </c>
      <c r="J19" s="11">
        <v>2229</v>
      </c>
      <c r="K19" s="11">
        <v>78</v>
      </c>
      <c r="L19" s="11">
        <v>2151</v>
      </c>
      <c r="M19" s="26">
        <v>3.5000000000000003E-2</v>
      </c>
      <c r="N19" s="11">
        <v>2083</v>
      </c>
      <c r="O19" s="11">
        <v>64</v>
      </c>
      <c r="P19" s="11">
        <v>2019</v>
      </c>
      <c r="Q19" s="26">
        <v>3.0700000000000002E-2</v>
      </c>
      <c r="R19" s="11">
        <v>2052</v>
      </c>
      <c r="S19" s="11">
        <v>34</v>
      </c>
      <c r="T19" s="11">
        <v>2018</v>
      </c>
      <c r="U19" s="26">
        <v>1.66E-2</v>
      </c>
      <c r="V19" s="12">
        <f t="shared" si="0"/>
        <v>5.9697146185206759E-2</v>
      </c>
    </row>
    <row r="20" spans="1:22" x14ac:dyDescent="0.35">
      <c r="A20" s="10">
        <v>43877</v>
      </c>
      <c r="B20" s="11">
        <v>618</v>
      </c>
      <c r="C20" s="11">
        <v>323</v>
      </c>
      <c r="D20" s="11">
        <v>295</v>
      </c>
      <c r="E20" s="26">
        <v>0.52270000000000005</v>
      </c>
      <c r="F20" s="11">
        <v>3299</v>
      </c>
      <c r="G20" s="11">
        <v>183</v>
      </c>
      <c r="H20" s="11">
        <v>3116</v>
      </c>
      <c r="I20" s="26">
        <v>5.5500000000000001E-2</v>
      </c>
      <c r="J20" s="11">
        <v>2213</v>
      </c>
      <c r="K20" s="11">
        <v>84</v>
      </c>
      <c r="L20" s="11">
        <v>2129</v>
      </c>
      <c r="M20" s="26">
        <v>3.7999999999999999E-2</v>
      </c>
      <c r="N20" s="11">
        <v>2061</v>
      </c>
      <c r="O20" s="11">
        <v>65</v>
      </c>
      <c r="P20" s="11">
        <v>1996</v>
      </c>
      <c r="Q20" s="26">
        <v>3.15E-2</v>
      </c>
      <c r="R20" s="11">
        <v>2042</v>
      </c>
      <c r="S20" s="11">
        <v>40</v>
      </c>
      <c r="T20" s="11">
        <v>2002</v>
      </c>
      <c r="U20" s="26">
        <v>1.9599999999999999E-2</v>
      </c>
      <c r="V20" s="12">
        <f t="shared" si="0"/>
        <v>6.7917521743379269E-2</v>
      </c>
    </row>
    <row r="21" spans="1:22" x14ac:dyDescent="0.35">
      <c r="A21" s="10">
        <v>43878</v>
      </c>
      <c r="B21" s="11">
        <v>614</v>
      </c>
      <c r="C21" s="11">
        <v>287</v>
      </c>
      <c r="D21" s="11">
        <v>327</v>
      </c>
      <c r="E21" s="26">
        <v>0.46739999999999998</v>
      </c>
      <c r="F21" s="11">
        <v>3294</v>
      </c>
      <c r="G21" s="11">
        <v>170</v>
      </c>
      <c r="H21" s="11">
        <v>3124</v>
      </c>
      <c r="I21" s="26">
        <v>5.16E-2</v>
      </c>
      <c r="J21" s="11">
        <v>2205</v>
      </c>
      <c r="K21" s="11">
        <v>77</v>
      </c>
      <c r="L21" s="11">
        <v>2128</v>
      </c>
      <c r="M21" s="26">
        <v>3.49E-2</v>
      </c>
      <c r="N21" s="11">
        <v>2053</v>
      </c>
      <c r="O21" s="11">
        <v>65</v>
      </c>
      <c r="P21" s="11">
        <v>1988</v>
      </c>
      <c r="Q21" s="26">
        <v>3.1699999999999999E-2</v>
      </c>
      <c r="R21" s="11">
        <v>2078</v>
      </c>
      <c r="S21" s="11">
        <v>25</v>
      </c>
      <c r="T21" s="11">
        <v>2053</v>
      </c>
      <c r="U21" s="26">
        <v>1.2E-2</v>
      </c>
      <c r="V21" s="12">
        <f t="shared" si="0"/>
        <v>6.0913705583756347E-2</v>
      </c>
    </row>
    <row r="22" spans="1:22" x14ac:dyDescent="0.35">
      <c r="A22" s="10">
        <v>43879</v>
      </c>
      <c r="B22" s="11">
        <v>618</v>
      </c>
      <c r="C22" s="11">
        <v>286</v>
      </c>
      <c r="D22" s="11">
        <v>332</v>
      </c>
      <c r="E22" s="26">
        <v>0.46279999999999999</v>
      </c>
      <c r="F22" s="11">
        <v>3265</v>
      </c>
      <c r="G22" s="11">
        <v>179</v>
      </c>
      <c r="H22" s="11">
        <v>3086</v>
      </c>
      <c r="I22" s="26">
        <v>5.4800000000000001E-2</v>
      </c>
      <c r="J22" s="11">
        <v>2193</v>
      </c>
      <c r="K22" s="11">
        <v>82</v>
      </c>
      <c r="L22" s="11">
        <v>2111</v>
      </c>
      <c r="M22" s="26">
        <v>3.7400000000000003E-2</v>
      </c>
      <c r="N22" s="11">
        <v>2049</v>
      </c>
      <c r="O22" s="11">
        <v>68</v>
      </c>
      <c r="P22" s="11">
        <v>1981</v>
      </c>
      <c r="Q22" s="26">
        <v>3.32E-2</v>
      </c>
      <c r="R22" s="11">
        <v>2071</v>
      </c>
      <c r="S22" s="11">
        <v>25</v>
      </c>
      <c r="T22" s="11">
        <v>2046</v>
      </c>
      <c r="U22" s="26">
        <v>1.21E-2</v>
      </c>
      <c r="V22" s="12">
        <f t="shared" si="0"/>
        <v>6.2769713613181635E-2</v>
      </c>
    </row>
    <row r="23" spans="1:22" x14ac:dyDescent="0.35">
      <c r="A23" s="10">
        <v>43880</v>
      </c>
      <c r="B23" s="11">
        <v>607</v>
      </c>
      <c r="C23" s="11">
        <v>288</v>
      </c>
      <c r="D23" s="11">
        <v>319</v>
      </c>
      <c r="E23" s="26">
        <v>0.47449999999999998</v>
      </c>
      <c r="F23" s="11">
        <v>3234</v>
      </c>
      <c r="G23" s="11">
        <v>182</v>
      </c>
      <c r="H23" s="11">
        <v>3052</v>
      </c>
      <c r="I23" s="26">
        <v>5.6300000000000003E-2</v>
      </c>
      <c r="J23" s="11">
        <v>2177</v>
      </c>
      <c r="K23" s="11">
        <v>82</v>
      </c>
      <c r="L23" s="11">
        <v>2095</v>
      </c>
      <c r="M23" s="26">
        <v>3.7699999999999997E-2</v>
      </c>
      <c r="N23" s="11">
        <v>2037</v>
      </c>
      <c r="O23" s="11">
        <v>68</v>
      </c>
      <c r="P23" s="11">
        <v>1969</v>
      </c>
      <c r="Q23" s="26">
        <v>3.3399999999999999E-2</v>
      </c>
      <c r="R23" s="11">
        <v>2063</v>
      </c>
      <c r="S23" s="11">
        <v>25</v>
      </c>
      <c r="T23" s="11">
        <v>2038</v>
      </c>
      <c r="U23" s="26">
        <v>1.21E-2</v>
      </c>
      <c r="V23" s="12">
        <f t="shared" si="0"/>
        <v>6.3747776240363707E-2</v>
      </c>
    </row>
    <row r="24" spans="1:22" x14ac:dyDescent="0.35">
      <c r="A24" s="10">
        <v>43881</v>
      </c>
      <c r="B24" s="11">
        <v>613</v>
      </c>
      <c r="C24" s="11">
        <v>327</v>
      </c>
      <c r="D24" s="11">
        <v>286</v>
      </c>
      <c r="E24" s="26">
        <v>0.53339999999999999</v>
      </c>
      <c r="F24" s="11">
        <v>3238</v>
      </c>
      <c r="G24" s="11">
        <v>236</v>
      </c>
      <c r="H24" s="11">
        <v>3002</v>
      </c>
      <c r="I24" s="26">
        <v>7.2900000000000006E-2</v>
      </c>
      <c r="J24" s="11">
        <v>2183</v>
      </c>
      <c r="K24" s="11">
        <v>101</v>
      </c>
      <c r="L24" s="11">
        <v>2082</v>
      </c>
      <c r="M24" s="26">
        <v>4.6300000000000001E-2</v>
      </c>
      <c r="N24" s="11">
        <v>2025</v>
      </c>
      <c r="O24" s="11">
        <v>78</v>
      </c>
      <c r="P24" s="11">
        <v>1947</v>
      </c>
      <c r="Q24" s="26">
        <v>3.85E-2</v>
      </c>
      <c r="R24" s="11">
        <v>2059</v>
      </c>
      <c r="S24" s="11">
        <v>25</v>
      </c>
      <c r="T24" s="11">
        <v>2034</v>
      </c>
      <c r="U24" s="26">
        <v>1.21E-2</v>
      </c>
      <c r="V24" s="12">
        <f t="shared" si="0"/>
        <v>7.5805495157145686E-2</v>
      </c>
    </row>
    <row r="25" spans="1:22" x14ac:dyDescent="0.35">
      <c r="A25" s="10">
        <v>43882</v>
      </c>
      <c r="B25" s="11">
        <v>616</v>
      </c>
      <c r="C25" s="11">
        <v>279</v>
      </c>
      <c r="D25" s="11">
        <v>337</v>
      </c>
      <c r="E25" s="26">
        <v>0.45290000000000002</v>
      </c>
      <c r="F25" s="11">
        <v>3266</v>
      </c>
      <c r="G25" s="11">
        <v>164</v>
      </c>
      <c r="H25" s="11">
        <v>3102</v>
      </c>
      <c r="I25" s="26">
        <v>5.0200000000000002E-2</v>
      </c>
      <c r="J25" s="11">
        <v>2234</v>
      </c>
      <c r="K25" s="11">
        <v>70</v>
      </c>
      <c r="L25" s="11">
        <v>2164</v>
      </c>
      <c r="M25" s="26">
        <v>3.1300000000000001E-2</v>
      </c>
      <c r="N25" s="11">
        <v>2078</v>
      </c>
      <c r="O25" s="11">
        <v>65</v>
      </c>
      <c r="P25" s="11">
        <v>2013</v>
      </c>
      <c r="Q25" s="26">
        <v>3.1300000000000001E-2</v>
      </c>
      <c r="R25" s="11">
        <v>2055</v>
      </c>
      <c r="S25" s="11">
        <v>31</v>
      </c>
      <c r="T25" s="11">
        <v>2024</v>
      </c>
      <c r="U25" s="26">
        <v>1.5100000000000001E-2</v>
      </c>
      <c r="V25" s="12">
        <f t="shared" si="0"/>
        <v>5.9420431261586498E-2</v>
      </c>
    </row>
    <row r="26" spans="1:22" x14ac:dyDescent="0.35">
      <c r="A26" s="10">
        <v>43883</v>
      </c>
      <c r="B26" s="11">
        <v>619</v>
      </c>
      <c r="C26" s="11">
        <v>293</v>
      </c>
      <c r="D26" s="11">
        <v>326</v>
      </c>
      <c r="E26" s="26">
        <v>0.4733</v>
      </c>
      <c r="F26" s="11">
        <v>3293</v>
      </c>
      <c r="G26" s="11">
        <v>170</v>
      </c>
      <c r="H26" s="11">
        <v>3123</v>
      </c>
      <c r="I26" s="26">
        <v>5.16E-2</v>
      </c>
      <c r="J26" s="11">
        <v>2240</v>
      </c>
      <c r="K26" s="11">
        <v>69</v>
      </c>
      <c r="L26" s="11">
        <v>2171</v>
      </c>
      <c r="M26" s="26">
        <v>3.0800000000000001E-2</v>
      </c>
      <c r="N26" s="11">
        <v>2123</v>
      </c>
      <c r="O26" s="11">
        <v>61</v>
      </c>
      <c r="P26" s="11">
        <v>2062</v>
      </c>
      <c r="Q26" s="26">
        <v>2.87E-2</v>
      </c>
      <c r="R26" s="11">
        <v>2053</v>
      </c>
      <c r="S26" s="11">
        <v>38</v>
      </c>
      <c r="T26" s="11">
        <v>2015</v>
      </c>
      <c r="U26" s="26">
        <v>1.8499999999999999E-2</v>
      </c>
      <c r="V26" s="12">
        <f t="shared" si="0"/>
        <v>6.1096049573973667E-2</v>
      </c>
    </row>
    <row r="27" spans="1:22" x14ac:dyDescent="0.35">
      <c r="A27" s="10">
        <v>43884</v>
      </c>
      <c r="B27" s="11">
        <v>623</v>
      </c>
      <c r="C27" s="11">
        <v>340</v>
      </c>
      <c r="D27" s="11">
        <v>283</v>
      </c>
      <c r="E27" s="26">
        <v>0.54569999999999996</v>
      </c>
      <c r="F27" s="11">
        <v>3274</v>
      </c>
      <c r="G27" s="11">
        <v>213</v>
      </c>
      <c r="H27" s="11">
        <v>3061</v>
      </c>
      <c r="I27" s="26">
        <v>6.5100000000000005E-2</v>
      </c>
      <c r="J27" s="11">
        <v>2224</v>
      </c>
      <c r="K27" s="11">
        <v>75</v>
      </c>
      <c r="L27" s="11">
        <v>2149</v>
      </c>
      <c r="M27" s="26">
        <v>3.3700000000000001E-2</v>
      </c>
      <c r="N27" s="11">
        <v>2110</v>
      </c>
      <c r="O27" s="11">
        <v>67</v>
      </c>
      <c r="P27" s="11">
        <v>2043</v>
      </c>
      <c r="Q27" s="26">
        <v>3.1800000000000002E-2</v>
      </c>
      <c r="R27" s="11">
        <v>2055</v>
      </c>
      <c r="S27" s="11">
        <v>53</v>
      </c>
      <c r="T27" s="11">
        <v>2002</v>
      </c>
      <c r="U27" s="26">
        <v>2.58E-2</v>
      </c>
      <c r="V27" s="12">
        <f t="shared" si="0"/>
        <v>7.2720202216605093E-2</v>
      </c>
    </row>
    <row r="28" spans="1:22" x14ac:dyDescent="0.35">
      <c r="A28" s="10">
        <v>43885</v>
      </c>
      <c r="B28" s="11">
        <v>618</v>
      </c>
      <c r="C28" s="11">
        <v>301</v>
      </c>
      <c r="D28" s="11">
        <v>317</v>
      </c>
      <c r="E28" s="26">
        <v>0.48709999999999998</v>
      </c>
      <c r="F28" s="11">
        <v>3299</v>
      </c>
      <c r="G28" s="11">
        <v>154</v>
      </c>
      <c r="H28" s="11">
        <v>3145</v>
      </c>
      <c r="I28" s="26">
        <v>4.6699999999999998E-2</v>
      </c>
      <c r="J28" s="11">
        <v>2219</v>
      </c>
      <c r="K28" s="11">
        <v>77</v>
      </c>
      <c r="L28" s="11">
        <v>2142</v>
      </c>
      <c r="M28" s="26">
        <v>3.4700000000000002E-2</v>
      </c>
      <c r="N28" s="11">
        <v>2142</v>
      </c>
      <c r="O28" s="11">
        <v>60</v>
      </c>
      <c r="P28" s="11">
        <v>2082</v>
      </c>
      <c r="Q28" s="26">
        <v>2.8000000000000001E-2</v>
      </c>
      <c r="R28" s="11">
        <v>2089</v>
      </c>
      <c r="S28" s="11">
        <v>27</v>
      </c>
      <c r="T28" s="11">
        <v>2062</v>
      </c>
      <c r="U28" s="26">
        <v>1.29E-2</v>
      </c>
      <c r="V28" s="12">
        <f t="shared" si="0"/>
        <v>5.970869103887335E-2</v>
      </c>
    </row>
    <row r="29" spans="1:22" x14ac:dyDescent="0.35">
      <c r="A29" s="10">
        <v>43886</v>
      </c>
      <c r="B29" s="11">
        <v>354</v>
      </c>
      <c r="C29" s="11">
        <v>102</v>
      </c>
      <c r="D29" s="11">
        <v>252</v>
      </c>
      <c r="E29" s="26">
        <v>0.28810000000000002</v>
      </c>
      <c r="F29" s="11">
        <v>2990</v>
      </c>
      <c r="G29" s="11">
        <v>22</v>
      </c>
      <c r="H29" s="11">
        <v>2968</v>
      </c>
      <c r="I29" s="26">
        <v>7.4000000000000003E-3</v>
      </c>
      <c r="J29" s="11">
        <v>2101</v>
      </c>
      <c r="K29" s="11">
        <v>13</v>
      </c>
      <c r="L29" s="11">
        <v>2088</v>
      </c>
      <c r="M29" s="26">
        <v>6.1999999999999998E-3</v>
      </c>
      <c r="N29" s="11">
        <v>2035</v>
      </c>
      <c r="O29" s="11">
        <v>8</v>
      </c>
      <c r="P29" s="11">
        <v>2027</v>
      </c>
      <c r="Q29" s="26">
        <v>3.8999999999999998E-3</v>
      </c>
      <c r="R29" s="11">
        <v>2041</v>
      </c>
      <c r="S29" s="11">
        <v>2</v>
      </c>
      <c r="T29" s="11">
        <v>2039</v>
      </c>
      <c r="U29" s="26">
        <v>1E-3</v>
      </c>
      <c r="V29" s="12">
        <f t="shared" si="0"/>
        <v>1.5439554668627245E-2</v>
      </c>
    </row>
    <row r="30" spans="1:22" x14ac:dyDescent="0.35">
      <c r="A30" s="10">
        <v>43887</v>
      </c>
      <c r="B30" s="11">
        <v>368</v>
      </c>
      <c r="C30" s="11">
        <v>114</v>
      </c>
      <c r="D30" s="11">
        <v>254</v>
      </c>
      <c r="E30" s="26">
        <v>0.30980000000000002</v>
      </c>
      <c r="F30" s="11">
        <v>2953</v>
      </c>
      <c r="G30" s="11">
        <v>26</v>
      </c>
      <c r="H30" s="11">
        <v>2927</v>
      </c>
      <c r="I30" s="26">
        <v>8.8000000000000005E-3</v>
      </c>
      <c r="J30" s="11">
        <v>2110</v>
      </c>
      <c r="K30" s="11">
        <v>20</v>
      </c>
      <c r="L30" s="11">
        <v>2090</v>
      </c>
      <c r="M30" s="26">
        <v>9.4999999999999998E-3</v>
      </c>
      <c r="N30" s="11">
        <v>2023</v>
      </c>
      <c r="O30" s="11">
        <v>9</v>
      </c>
      <c r="P30" s="11">
        <v>2014</v>
      </c>
      <c r="Q30" s="26">
        <v>4.4000000000000003E-3</v>
      </c>
      <c r="R30" s="11">
        <v>2045</v>
      </c>
      <c r="S30" s="11">
        <v>2</v>
      </c>
      <c r="T30" s="11">
        <v>2043</v>
      </c>
      <c r="U30" s="26">
        <v>1E-3</v>
      </c>
      <c r="V30" s="12">
        <f t="shared" si="0"/>
        <v>1.8001894936309087E-2</v>
      </c>
    </row>
    <row r="31" spans="1:22" x14ac:dyDescent="0.35">
      <c r="A31" s="10">
        <v>43888</v>
      </c>
      <c r="B31" s="11">
        <v>372</v>
      </c>
      <c r="C31" s="11">
        <v>107</v>
      </c>
      <c r="D31" s="11">
        <v>265</v>
      </c>
      <c r="E31" s="26">
        <v>0.28760000000000002</v>
      </c>
      <c r="F31" s="11">
        <v>2969</v>
      </c>
      <c r="G31" s="11">
        <v>82</v>
      </c>
      <c r="H31" s="11">
        <v>2887</v>
      </c>
      <c r="I31" s="26">
        <v>2.76E-2</v>
      </c>
      <c r="J31" s="11">
        <v>2106</v>
      </c>
      <c r="K31" s="11">
        <v>26</v>
      </c>
      <c r="L31" s="11">
        <v>2080</v>
      </c>
      <c r="M31" s="26">
        <v>1.23E-2</v>
      </c>
      <c r="N31" s="11">
        <v>2004</v>
      </c>
      <c r="O31" s="11">
        <v>7</v>
      </c>
      <c r="P31" s="11">
        <v>1997</v>
      </c>
      <c r="Q31" s="26">
        <v>3.5000000000000001E-3</v>
      </c>
      <c r="R31" s="11">
        <v>2047</v>
      </c>
      <c r="S31" s="11">
        <v>6</v>
      </c>
      <c r="T31" s="11">
        <v>2041</v>
      </c>
      <c r="U31" s="26">
        <v>2.8999999999999998E-3</v>
      </c>
      <c r="V31" s="12">
        <f t="shared" si="0"/>
        <v>2.4005053695514846E-2</v>
      </c>
    </row>
    <row r="32" spans="1:22" x14ac:dyDescent="0.35">
      <c r="A32" s="10">
        <v>43889</v>
      </c>
      <c r="B32" s="11">
        <v>386</v>
      </c>
      <c r="C32" s="11">
        <v>111</v>
      </c>
      <c r="D32" s="11">
        <v>275</v>
      </c>
      <c r="E32" s="26">
        <v>0.28760000000000002</v>
      </c>
      <c r="F32" s="11">
        <v>3029</v>
      </c>
      <c r="G32" s="11">
        <v>35</v>
      </c>
      <c r="H32" s="11">
        <v>2994</v>
      </c>
      <c r="I32" s="26">
        <v>1.1599999999999999E-2</v>
      </c>
      <c r="J32" s="11">
        <v>2181</v>
      </c>
      <c r="K32" s="11">
        <v>25</v>
      </c>
      <c r="L32" s="11">
        <v>2156</v>
      </c>
      <c r="M32" s="26">
        <v>1.15E-2</v>
      </c>
      <c r="N32" s="11">
        <v>2017</v>
      </c>
      <c r="O32" s="11">
        <v>8</v>
      </c>
      <c r="P32" s="11">
        <v>2009</v>
      </c>
      <c r="Q32" s="26">
        <v>4.0000000000000001E-3</v>
      </c>
      <c r="R32" s="11">
        <v>2054</v>
      </c>
      <c r="S32" s="11">
        <v>4</v>
      </c>
      <c r="T32" s="11">
        <v>2050</v>
      </c>
      <c r="U32" s="26">
        <v>1.9E-3</v>
      </c>
      <c r="V32" s="12">
        <f>(C32+G32+K32+O32+S32)/(B32+F32+J32+N32+R32)</f>
        <v>1.8930381710975483E-2</v>
      </c>
    </row>
    <row r="33" spans="1:22" x14ac:dyDescent="0.35">
      <c r="A33" s="10">
        <v>43890</v>
      </c>
      <c r="B33" s="11">
        <v>384</v>
      </c>
      <c r="C33" s="11">
        <v>108</v>
      </c>
      <c r="D33" s="11">
        <v>276</v>
      </c>
      <c r="E33" s="26">
        <v>0.28129999999999999</v>
      </c>
      <c r="F33" s="11">
        <v>3064</v>
      </c>
      <c r="G33" s="11">
        <v>27</v>
      </c>
      <c r="H33" s="11">
        <v>3037</v>
      </c>
      <c r="I33" s="26">
        <v>8.8000000000000005E-3</v>
      </c>
      <c r="J33" s="11">
        <v>2172</v>
      </c>
      <c r="K33" s="11">
        <v>27</v>
      </c>
      <c r="L33" s="11">
        <v>2145</v>
      </c>
      <c r="M33" s="26">
        <v>1.24E-2</v>
      </c>
      <c r="N33" s="11">
        <v>2036</v>
      </c>
      <c r="O33" s="11">
        <v>9</v>
      </c>
      <c r="P33" s="11">
        <v>2027</v>
      </c>
      <c r="Q33" s="26">
        <v>4.4000000000000003E-3</v>
      </c>
      <c r="R33" s="11">
        <v>2050</v>
      </c>
      <c r="S33" s="11">
        <v>8</v>
      </c>
      <c r="T33" s="11">
        <v>2042</v>
      </c>
      <c r="U33" s="26">
        <v>3.8999999999999998E-3</v>
      </c>
      <c r="V33" s="12">
        <f>(C33+G33+K33+O33+S33)/(B33+F33+J33+N33+R33)</f>
        <v>1.8442200700597568E-2</v>
      </c>
    </row>
    <row r="34" spans="1:22" s="25" customFormat="1" ht="18.75" customHeight="1" x14ac:dyDescent="0.35">
      <c r="A34" s="21" t="s">
        <v>14</v>
      </c>
      <c r="B34" s="22">
        <f>SUM(B5:B33)</f>
        <v>16313</v>
      </c>
      <c r="C34" s="22">
        <f>SUM(C5:C33)</f>
        <v>7355</v>
      </c>
      <c r="D34" s="22">
        <f>SUM(D5:D33)</f>
        <v>8958</v>
      </c>
      <c r="E34" s="23">
        <f>C34/B34</f>
        <v>0.45086740636302336</v>
      </c>
      <c r="F34" s="22">
        <f>SUM(F5:F33)</f>
        <v>92883</v>
      </c>
      <c r="G34" s="22">
        <f>SUM(G5:G33)</f>
        <v>5073</v>
      </c>
      <c r="H34" s="22">
        <f>SUM(H5:H33)</f>
        <v>87810</v>
      </c>
      <c r="I34" s="23">
        <f>G34/F34</f>
        <v>5.4617098930913086E-2</v>
      </c>
      <c r="J34" s="22">
        <f>SUM(J5:J33)</f>
        <v>62759</v>
      </c>
      <c r="K34" s="22">
        <f>SUM(K5:K33)</f>
        <v>2143</v>
      </c>
      <c r="L34" s="22">
        <f>SUM(L5:L33)</f>
        <v>60616</v>
      </c>
      <c r="M34" s="23">
        <f>K34/J34</f>
        <v>3.4146496916776875E-2</v>
      </c>
      <c r="N34" s="22">
        <f>SUM(N5:N33)</f>
        <v>60705</v>
      </c>
      <c r="O34" s="22">
        <f>SUM(O5:O33)</f>
        <v>1615</v>
      </c>
      <c r="P34" s="22">
        <f>SUM(P5:P33)</f>
        <v>59090</v>
      </c>
      <c r="Q34" s="23">
        <f>O34/N34</f>
        <v>2.6604068857589983E-2</v>
      </c>
      <c r="R34" s="22">
        <f>SUM(R5:R33)</f>
        <v>59372</v>
      </c>
      <c r="S34" s="22">
        <f>SUM(S5:S33)</f>
        <v>802</v>
      </c>
      <c r="T34" s="22">
        <f>SUM(T5:T33)</f>
        <v>58570</v>
      </c>
      <c r="U34" s="23">
        <f>S34/R34</f>
        <v>1.3508050933099777E-2</v>
      </c>
      <c r="V34" s="24">
        <f>AVERAGE(V5:V33)</f>
        <v>5.7807196903259396E-2</v>
      </c>
    </row>
    <row r="35" spans="1:22" s="20" customFormat="1" ht="15" x14ac:dyDescent="0.4">
      <c r="A35" s="18" t="s">
        <v>12</v>
      </c>
      <c r="B35" s="36"/>
      <c r="C35" s="37"/>
      <c r="D35" s="38"/>
      <c r="E35" s="19">
        <v>0.44</v>
      </c>
      <c r="F35" s="36"/>
      <c r="G35" s="37"/>
      <c r="H35" s="38"/>
      <c r="I35" s="19">
        <v>3.9E-2</v>
      </c>
      <c r="J35" s="36"/>
      <c r="K35" s="37"/>
      <c r="L35" s="38"/>
      <c r="M35" s="19">
        <v>2.8000000000000001E-2</v>
      </c>
      <c r="N35" s="36"/>
      <c r="O35" s="37"/>
      <c r="P35" s="38"/>
      <c r="Q35" s="19">
        <v>1.0999999999999999E-2</v>
      </c>
      <c r="R35" s="36"/>
      <c r="S35" s="37"/>
      <c r="T35" s="38"/>
      <c r="U35" s="19">
        <v>1.0999999999999999E-2</v>
      </c>
      <c r="V35" s="19">
        <v>0.04</v>
      </c>
    </row>
    <row r="36" spans="1:22" s="17" customFormat="1" ht="15" x14ac:dyDescent="0.4">
      <c r="A36" s="15" t="s">
        <v>13</v>
      </c>
      <c r="B36" s="33"/>
      <c r="C36" s="34"/>
      <c r="D36" s="35"/>
      <c r="E36" s="16">
        <f>E34/E35</f>
        <v>1.0246986508250531</v>
      </c>
      <c r="F36" s="33"/>
      <c r="G36" s="34"/>
      <c r="H36" s="35"/>
      <c r="I36" s="16">
        <f>I34/I35</f>
        <v>1.4004384341259766</v>
      </c>
      <c r="J36" s="33"/>
      <c r="K36" s="34"/>
      <c r="L36" s="35"/>
      <c r="M36" s="16">
        <f>M34/M35</f>
        <v>1.2195177470277454</v>
      </c>
      <c r="N36" s="33"/>
      <c r="O36" s="34"/>
      <c r="P36" s="35"/>
      <c r="Q36" s="16">
        <f>Q34/Q35</f>
        <v>2.4185517143263624</v>
      </c>
      <c r="R36" s="33"/>
      <c r="S36" s="34"/>
      <c r="T36" s="35"/>
      <c r="U36" s="16">
        <f>U34/U35</f>
        <v>1.228004630281798</v>
      </c>
      <c r="V36" s="16">
        <f>V34/V35</f>
        <v>1.445179922581485</v>
      </c>
    </row>
    <row r="37" spans="1:22" x14ac:dyDescent="0.35">
      <c r="A37">
        <v>2</v>
      </c>
      <c r="B37">
        <f>B34*$A$37</f>
        <v>32626</v>
      </c>
      <c r="C37">
        <f t="shared" ref="C37:T37" si="1">C34*$A$37</f>
        <v>14710</v>
      </c>
      <c r="D37">
        <f t="shared" si="1"/>
        <v>17916</v>
      </c>
      <c r="F37">
        <f t="shared" si="1"/>
        <v>185766</v>
      </c>
      <c r="G37">
        <f t="shared" si="1"/>
        <v>10146</v>
      </c>
      <c r="H37">
        <f t="shared" si="1"/>
        <v>175620</v>
      </c>
      <c r="J37">
        <f t="shared" si="1"/>
        <v>125518</v>
      </c>
      <c r="K37">
        <f t="shared" si="1"/>
        <v>4286</v>
      </c>
      <c r="L37">
        <f t="shared" si="1"/>
        <v>121232</v>
      </c>
      <c r="N37">
        <f t="shared" si="1"/>
        <v>121410</v>
      </c>
      <c r="O37">
        <f t="shared" si="1"/>
        <v>3230</v>
      </c>
      <c r="P37">
        <f t="shared" si="1"/>
        <v>118180</v>
      </c>
      <c r="R37">
        <f t="shared" si="1"/>
        <v>118744</v>
      </c>
      <c r="S37">
        <f t="shared" si="1"/>
        <v>1604</v>
      </c>
      <c r="T37">
        <f t="shared" si="1"/>
        <v>117140</v>
      </c>
    </row>
    <row r="38" spans="1:22" x14ac:dyDescent="0.35">
      <c r="E38" s="13"/>
    </row>
    <row r="41" spans="1:22" ht="14.25" customHeight="1" x14ac:dyDescent="0.35">
      <c r="E41" s="14"/>
    </row>
    <row r="42" spans="1:22" ht="21.75" customHeight="1" x14ac:dyDescent="0.55000000000000004">
      <c r="B42" s="30">
        <f>VLOOKUP(B$2,'[3]010320'!$A$2:$F$25,3,0)</f>
        <v>384</v>
      </c>
      <c r="C42" s="30">
        <f>VLOOKUP(B$2,'[3]010320'!$A$2:$F$25,4,0)</f>
        <v>108</v>
      </c>
      <c r="D42" s="30">
        <f>VLOOKUP(B$2,'[3]010320'!$A$2:$F$25,5,0)</f>
        <v>276</v>
      </c>
      <c r="E42" s="31">
        <f>VLOOKUP(B$2,'[3]010320'!$A$2:$F$25,6,0)</f>
        <v>0.28129999999999999</v>
      </c>
      <c r="F42" s="30">
        <f>VLOOKUP(F$2,'[3]010320'!$A$2:$F$25,3,0)</f>
        <v>3064</v>
      </c>
      <c r="G42" s="30">
        <f>VLOOKUP(F$2,'[3]010320'!$A$2:$F$25,4,0)</f>
        <v>27</v>
      </c>
      <c r="H42" s="30">
        <f>VLOOKUP(F$2,'[3]010320'!$A$2:$F$25,5,0)</f>
        <v>3037</v>
      </c>
      <c r="I42" s="32">
        <f>VLOOKUP(F$2,'[3]010320'!$A$2:$F$25,6,0)</f>
        <v>8.8000000000000005E-3</v>
      </c>
      <c r="J42" s="30">
        <f>VLOOKUP(J$2,'[3]010320'!$A$2:$F$25,3,0)</f>
        <v>2172</v>
      </c>
      <c r="K42" s="30">
        <f>VLOOKUP(J$2,'[3]010320'!$A$2:$F$25,4,0)</f>
        <v>27</v>
      </c>
      <c r="L42" s="30">
        <f>VLOOKUP(J$2,'[3]010320'!$A$2:$F$25,5,0)</f>
        <v>2145</v>
      </c>
      <c r="M42" s="31">
        <f>VLOOKUP(J$2,'[3]010320'!$A$2:$F$25,6,0)</f>
        <v>1.24E-2</v>
      </c>
      <c r="N42" s="30">
        <f>VLOOKUP(N$2,'[3]010320'!$A$2:$F$25,3,0)</f>
        <v>2036</v>
      </c>
      <c r="O42" s="30">
        <f>VLOOKUP(N$2,'[3]010320'!$A$2:$F$25,4,0)</f>
        <v>9</v>
      </c>
      <c r="P42" s="30">
        <f>VLOOKUP(N$2,'[3]010320'!$A$2:$F$25,5,0)</f>
        <v>2027</v>
      </c>
      <c r="Q42" s="31">
        <f>VLOOKUP(N$2,'[3]010320'!$A$2:$F$25,6,0)</f>
        <v>4.4000000000000003E-3</v>
      </c>
      <c r="R42" s="30">
        <f>VLOOKUP(R$2,'[3]010320'!$A$2:$F$25,3,0)</f>
        <v>2050</v>
      </c>
      <c r="S42" s="30">
        <f>VLOOKUP(R$2,'[3]010320'!$A$2:$F$25,4,0)</f>
        <v>8</v>
      </c>
      <c r="T42" s="30">
        <f>VLOOKUP(R$2,'[3]010320'!$A$2:$F$25,5,0)</f>
        <v>2042</v>
      </c>
      <c r="U42" s="31">
        <f>VLOOKUP(R$2,'[3]010320'!$A$2:$F$25,6,0)</f>
        <v>3.8999999999999998E-3</v>
      </c>
    </row>
  </sheetData>
  <mergeCells count="21">
    <mergeCell ref="R35:T35"/>
    <mergeCell ref="B3:E3"/>
    <mergeCell ref="F3:I3"/>
    <mergeCell ref="J3:M3"/>
    <mergeCell ref="N3:Q3"/>
    <mergeCell ref="B36:D36"/>
    <mergeCell ref="F36:H36"/>
    <mergeCell ref="J36:L36"/>
    <mergeCell ref="N36:P36"/>
    <mergeCell ref="R36:T36"/>
    <mergeCell ref="R2:U2"/>
    <mergeCell ref="B35:D35"/>
    <mergeCell ref="F35:H35"/>
    <mergeCell ref="J35:L35"/>
    <mergeCell ref="N35:P35"/>
    <mergeCell ref="R3:U3"/>
    <mergeCell ref="A1:V1"/>
    <mergeCell ref="B2:E2"/>
    <mergeCell ref="F2:I2"/>
    <mergeCell ref="J2:M2"/>
    <mergeCell ref="N2:Q2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4"/>
  <sheetViews>
    <sheetView topLeftCell="A19" zoomScaleNormal="10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43891</v>
      </c>
      <c r="B5" s="11">
        <v>389</v>
      </c>
      <c r="C5" s="11">
        <v>184</v>
      </c>
      <c r="D5" s="11">
        <v>205</v>
      </c>
      <c r="E5" s="26">
        <v>0.47299999999999998</v>
      </c>
      <c r="F5" s="11">
        <v>3024</v>
      </c>
      <c r="G5" s="11">
        <v>39</v>
      </c>
      <c r="H5" s="11">
        <v>2985</v>
      </c>
      <c r="I5" s="26">
        <v>1.29E-2</v>
      </c>
      <c r="J5" s="11">
        <v>2159</v>
      </c>
      <c r="K5" s="11">
        <v>34</v>
      </c>
      <c r="L5" s="11">
        <v>2125</v>
      </c>
      <c r="M5" s="26">
        <v>1.5699999999999999E-2</v>
      </c>
      <c r="N5" s="11">
        <v>2016</v>
      </c>
      <c r="O5" s="11">
        <v>10</v>
      </c>
      <c r="P5" s="11">
        <v>2006</v>
      </c>
      <c r="Q5" s="26">
        <v>5.0000000000000001E-3</v>
      </c>
      <c r="R5" s="11">
        <v>2051</v>
      </c>
      <c r="S5" s="11">
        <v>17</v>
      </c>
      <c r="T5" s="11">
        <v>2034</v>
      </c>
      <c r="U5" s="26">
        <v>8.3000000000000001E-3</v>
      </c>
      <c r="V5" s="12">
        <f t="shared" ref="V5:V34" si="0">(C5+G5+K5+O5+S5)/(B5+F5+J5+N5+R5)</f>
        <v>2.9463637306774561E-2</v>
      </c>
    </row>
    <row r="6" spans="1:22" x14ac:dyDescent="0.35">
      <c r="A6" s="10">
        <v>43892</v>
      </c>
      <c r="B6" s="11">
        <v>381</v>
      </c>
      <c r="C6" s="11">
        <v>127</v>
      </c>
      <c r="D6" s="11">
        <v>254</v>
      </c>
      <c r="E6" s="26">
        <v>0.33329999999999999</v>
      </c>
      <c r="F6" s="11">
        <v>2996</v>
      </c>
      <c r="G6" s="11">
        <v>34</v>
      </c>
      <c r="H6" s="11">
        <v>2962</v>
      </c>
      <c r="I6" s="26">
        <v>1.1299999999999999E-2</v>
      </c>
      <c r="J6" s="11">
        <v>2150</v>
      </c>
      <c r="K6" s="11">
        <v>28</v>
      </c>
      <c r="L6" s="11">
        <v>2122</v>
      </c>
      <c r="M6" s="26">
        <v>1.2999999999999999E-2</v>
      </c>
      <c r="N6" s="11">
        <v>2008</v>
      </c>
      <c r="O6" s="11">
        <v>12</v>
      </c>
      <c r="P6" s="11">
        <v>1996</v>
      </c>
      <c r="Q6" s="26">
        <v>6.0000000000000001E-3</v>
      </c>
      <c r="R6" s="11">
        <v>2047</v>
      </c>
      <c r="S6" s="11">
        <v>20</v>
      </c>
      <c r="T6" s="11">
        <v>2027</v>
      </c>
      <c r="U6" s="26">
        <v>9.7999999999999997E-3</v>
      </c>
      <c r="V6" s="12">
        <f>(C6+G6+K6+O6+S6)/(B6+F6+J6+N6+R6)</f>
        <v>2.3064078480484241E-2</v>
      </c>
    </row>
    <row r="7" spans="1:22" x14ac:dyDescent="0.35">
      <c r="A7" s="10">
        <v>43893</v>
      </c>
      <c r="B7" s="11">
        <v>389</v>
      </c>
      <c r="C7" s="11">
        <v>125</v>
      </c>
      <c r="D7" s="11">
        <v>264</v>
      </c>
      <c r="E7" s="26">
        <v>0.32129999999999997</v>
      </c>
      <c r="F7" s="11">
        <v>2963</v>
      </c>
      <c r="G7" s="11">
        <v>46</v>
      </c>
      <c r="H7" s="11">
        <v>2917</v>
      </c>
      <c r="I7" s="26">
        <v>1.55E-2</v>
      </c>
      <c r="J7" s="11">
        <v>2148</v>
      </c>
      <c r="K7" s="11">
        <v>32</v>
      </c>
      <c r="L7" s="11">
        <v>2116</v>
      </c>
      <c r="M7" s="26">
        <v>1.49E-2</v>
      </c>
      <c r="N7" s="11">
        <v>1998</v>
      </c>
      <c r="O7" s="11">
        <v>14</v>
      </c>
      <c r="P7" s="11">
        <v>1984</v>
      </c>
      <c r="Q7" s="26">
        <v>7.0000000000000001E-3</v>
      </c>
      <c r="R7" s="11">
        <v>2040</v>
      </c>
      <c r="S7" s="11">
        <v>22</v>
      </c>
      <c r="T7" s="11">
        <v>2018</v>
      </c>
      <c r="U7" s="26">
        <v>1.0800000000000001E-2</v>
      </c>
      <c r="V7" s="12">
        <f>(C7+G7+K7+O7+S7)/(B7+F7+J7+N7+R7)</f>
        <v>2.5057664080520025E-2</v>
      </c>
    </row>
    <row r="8" spans="1:22" x14ac:dyDescent="0.35">
      <c r="A8" s="10">
        <v>43894</v>
      </c>
      <c r="B8" s="11">
        <v>391</v>
      </c>
      <c r="C8" s="11">
        <v>92</v>
      </c>
      <c r="D8" s="11">
        <v>299</v>
      </c>
      <c r="E8" s="26">
        <v>0.23530000000000001</v>
      </c>
      <c r="F8" s="11">
        <v>2964</v>
      </c>
      <c r="G8" s="11">
        <v>41</v>
      </c>
      <c r="H8" s="11">
        <v>2923</v>
      </c>
      <c r="I8" s="26">
        <v>1.38E-2</v>
      </c>
      <c r="J8" s="11">
        <v>2148</v>
      </c>
      <c r="K8" s="11">
        <v>32</v>
      </c>
      <c r="L8" s="11">
        <v>2116</v>
      </c>
      <c r="M8" s="26">
        <v>1.49E-2</v>
      </c>
      <c r="N8" s="11">
        <v>1995</v>
      </c>
      <c r="O8" s="11">
        <v>14</v>
      </c>
      <c r="P8" s="11">
        <v>1981</v>
      </c>
      <c r="Q8" s="26">
        <v>7.0000000000000001E-3</v>
      </c>
      <c r="R8" s="11">
        <v>2039</v>
      </c>
      <c r="S8" s="11">
        <v>22</v>
      </c>
      <c r="T8" s="11">
        <v>2017</v>
      </c>
      <c r="U8" s="26">
        <v>1.0800000000000001E-2</v>
      </c>
      <c r="V8" s="12">
        <f t="shared" si="0"/>
        <v>2.1075810003145644E-2</v>
      </c>
    </row>
    <row r="9" spans="1:22" x14ac:dyDescent="0.35">
      <c r="A9" s="10">
        <v>43895</v>
      </c>
      <c r="B9" s="11">
        <v>401</v>
      </c>
      <c r="C9" s="11">
        <v>155</v>
      </c>
      <c r="D9" s="11">
        <v>246</v>
      </c>
      <c r="E9" s="26">
        <v>0.38650000000000001</v>
      </c>
      <c r="F9" s="11">
        <v>2994</v>
      </c>
      <c r="G9" s="11">
        <v>96</v>
      </c>
      <c r="H9" s="11">
        <v>2898</v>
      </c>
      <c r="I9" s="26">
        <v>3.2099999999999997E-2</v>
      </c>
      <c r="J9" s="11">
        <v>2160</v>
      </c>
      <c r="K9" s="11">
        <v>29</v>
      </c>
      <c r="L9" s="11">
        <v>2131</v>
      </c>
      <c r="M9" s="26">
        <v>1.34E-2</v>
      </c>
      <c r="N9" s="11">
        <v>2015</v>
      </c>
      <c r="O9" s="11">
        <v>16</v>
      </c>
      <c r="P9" s="11">
        <v>1999</v>
      </c>
      <c r="Q9" s="26">
        <v>7.9000000000000008E-3</v>
      </c>
      <c r="R9" s="11">
        <v>2056</v>
      </c>
      <c r="S9" s="11">
        <v>6</v>
      </c>
      <c r="T9" s="11">
        <v>2050</v>
      </c>
      <c r="U9" s="26">
        <v>2.8999999999999998E-3</v>
      </c>
      <c r="V9" s="12">
        <f t="shared" si="0"/>
        <v>3.137336380635778E-2</v>
      </c>
    </row>
    <row r="10" spans="1:22" x14ac:dyDescent="0.35">
      <c r="A10" s="10">
        <v>43896</v>
      </c>
      <c r="B10" s="11">
        <v>412</v>
      </c>
      <c r="C10" s="11">
        <v>149</v>
      </c>
      <c r="D10" s="11">
        <v>263</v>
      </c>
      <c r="E10" s="26">
        <v>0.36170000000000002</v>
      </c>
      <c r="F10" s="11">
        <v>2978</v>
      </c>
      <c r="G10" s="11">
        <v>46</v>
      </c>
      <c r="H10" s="11">
        <v>2932</v>
      </c>
      <c r="I10" s="26">
        <v>1.54E-2</v>
      </c>
      <c r="J10" s="11">
        <v>2157</v>
      </c>
      <c r="K10" s="11">
        <v>30</v>
      </c>
      <c r="L10" s="11">
        <v>2127</v>
      </c>
      <c r="M10" s="26">
        <v>1.3899999999999999E-2</v>
      </c>
      <c r="N10" s="11">
        <v>2005</v>
      </c>
      <c r="O10" s="11">
        <v>16</v>
      </c>
      <c r="P10" s="11">
        <v>1989</v>
      </c>
      <c r="Q10" s="26">
        <v>8.0000000000000002E-3</v>
      </c>
      <c r="R10" s="11">
        <v>2066</v>
      </c>
      <c r="S10" s="11">
        <v>5</v>
      </c>
      <c r="T10" s="11">
        <v>2061</v>
      </c>
      <c r="U10" s="26">
        <v>2.3999999999999998E-3</v>
      </c>
      <c r="V10" s="12">
        <f t="shared" si="0"/>
        <v>2.5577043044291953E-2</v>
      </c>
    </row>
    <row r="11" spans="1:22" x14ac:dyDescent="0.35">
      <c r="A11" s="10">
        <v>43897</v>
      </c>
      <c r="B11" s="11">
        <v>423</v>
      </c>
      <c r="C11" s="11">
        <v>176</v>
      </c>
      <c r="D11" s="11">
        <v>247</v>
      </c>
      <c r="E11" s="26">
        <v>0.41610000000000003</v>
      </c>
      <c r="F11" s="11">
        <v>2915</v>
      </c>
      <c r="G11" s="11">
        <v>66</v>
      </c>
      <c r="H11" s="11">
        <v>2849</v>
      </c>
      <c r="I11" s="26">
        <v>2.2599999999999999E-2</v>
      </c>
      <c r="J11" s="11">
        <v>2163</v>
      </c>
      <c r="K11" s="11">
        <v>35</v>
      </c>
      <c r="L11" s="11">
        <v>2128</v>
      </c>
      <c r="M11" s="26">
        <v>1.6199999999999999E-2</v>
      </c>
      <c r="N11" s="11">
        <v>2010</v>
      </c>
      <c r="O11" s="11">
        <v>17</v>
      </c>
      <c r="P11" s="11">
        <v>1993</v>
      </c>
      <c r="Q11" s="26">
        <v>8.5000000000000006E-3</v>
      </c>
      <c r="R11" s="11">
        <v>1975</v>
      </c>
      <c r="S11" s="11">
        <v>12</v>
      </c>
      <c r="T11" s="11">
        <v>1963</v>
      </c>
      <c r="U11" s="26">
        <v>6.1000000000000004E-3</v>
      </c>
      <c r="V11" s="12">
        <f t="shared" si="0"/>
        <v>3.2258064516129031E-2</v>
      </c>
    </row>
    <row r="12" spans="1:22" x14ac:dyDescent="0.35">
      <c r="A12" s="10">
        <v>43898</v>
      </c>
      <c r="B12" s="11">
        <v>418</v>
      </c>
      <c r="C12" s="11">
        <v>226</v>
      </c>
      <c r="D12" s="11">
        <v>192</v>
      </c>
      <c r="E12" s="26">
        <v>0.54069999999999996</v>
      </c>
      <c r="F12" s="11">
        <v>2822</v>
      </c>
      <c r="G12" s="11">
        <v>105</v>
      </c>
      <c r="H12" s="11">
        <v>2717</v>
      </c>
      <c r="I12" s="26">
        <v>3.7199999999999997E-2</v>
      </c>
      <c r="J12" s="11">
        <v>2140</v>
      </c>
      <c r="K12" s="11">
        <v>41</v>
      </c>
      <c r="L12" s="11">
        <v>2099</v>
      </c>
      <c r="M12" s="26">
        <v>1.9199999999999998E-2</v>
      </c>
      <c r="N12" s="11">
        <v>1984</v>
      </c>
      <c r="O12" s="11">
        <v>23</v>
      </c>
      <c r="P12" s="11">
        <v>1961</v>
      </c>
      <c r="Q12" s="26">
        <v>1.1599999999999999E-2</v>
      </c>
      <c r="R12" s="11">
        <v>1970</v>
      </c>
      <c r="S12" s="11">
        <v>16</v>
      </c>
      <c r="T12" s="11">
        <v>1954</v>
      </c>
      <c r="U12" s="26">
        <v>8.0999999999999996E-3</v>
      </c>
      <c r="V12" s="12">
        <f t="shared" si="0"/>
        <v>4.4032569102206986E-2</v>
      </c>
    </row>
    <row r="13" spans="1:22" x14ac:dyDescent="0.35">
      <c r="A13" s="10">
        <v>43899</v>
      </c>
      <c r="B13" s="11">
        <v>405</v>
      </c>
      <c r="C13" s="11">
        <v>170</v>
      </c>
      <c r="D13" s="11">
        <v>235</v>
      </c>
      <c r="E13" s="26">
        <v>0.41980000000000001</v>
      </c>
      <c r="F13" s="11">
        <v>2781</v>
      </c>
      <c r="G13" s="11">
        <v>93</v>
      </c>
      <c r="H13" s="11">
        <v>2688</v>
      </c>
      <c r="I13" s="26">
        <v>3.3399999999999999E-2</v>
      </c>
      <c r="J13" s="11">
        <v>2125</v>
      </c>
      <c r="K13" s="11">
        <v>41</v>
      </c>
      <c r="L13" s="11">
        <v>2084</v>
      </c>
      <c r="M13" s="26">
        <v>1.9300000000000001E-2</v>
      </c>
      <c r="N13" s="11">
        <v>1983</v>
      </c>
      <c r="O13" s="11">
        <v>16</v>
      </c>
      <c r="P13" s="11">
        <v>1967</v>
      </c>
      <c r="Q13" s="26">
        <v>8.0999999999999996E-3</v>
      </c>
      <c r="R13" s="11">
        <v>1975</v>
      </c>
      <c r="S13" s="11">
        <v>15</v>
      </c>
      <c r="T13" s="11">
        <v>1960</v>
      </c>
      <c r="U13" s="26">
        <v>7.6E-3</v>
      </c>
      <c r="V13" s="12">
        <f t="shared" si="0"/>
        <v>3.6141978638472329E-2</v>
      </c>
    </row>
    <row r="14" spans="1:22" x14ac:dyDescent="0.35">
      <c r="A14" s="10">
        <v>43900</v>
      </c>
      <c r="B14" s="11">
        <v>422</v>
      </c>
      <c r="C14" s="11">
        <v>160</v>
      </c>
      <c r="D14" s="11">
        <v>262</v>
      </c>
      <c r="E14" s="26">
        <v>0.37909999999999999</v>
      </c>
      <c r="F14" s="11">
        <v>2767</v>
      </c>
      <c r="G14" s="11">
        <v>162</v>
      </c>
      <c r="H14" s="11">
        <v>2605</v>
      </c>
      <c r="I14" s="26">
        <v>5.8500000000000003E-2</v>
      </c>
      <c r="J14" s="11">
        <v>2102</v>
      </c>
      <c r="K14" s="11">
        <v>48</v>
      </c>
      <c r="L14" s="11">
        <v>2054</v>
      </c>
      <c r="M14" s="26">
        <v>2.2800000000000001E-2</v>
      </c>
      <c r="N14" s="11">
        <v>1978</v>
      </c>
      <c r="O14" s="11">
        <v>27</v>
      </c>
      <c r="P14" s="11">
        <v>1951</v>
      </c>
      <c r="Q14" s="26">
        <v>1.37E-2</v>
      </c>
      <c r="R14" s="11">
        <v>1980</v>
      </c>
      <c r="S14" s="11">
        <v>17</v>
      </c>
      <c r="T14" s="11">
        <v>1963</v>
      </c>
      <c r="U14" s="26">
        <v>8.6E-3</v>
      </c>
      <c r="V14" s="12">
        <f t="shared" si="0"/>
        <v>4.4761595848199803E-2</v>
      </c>
    </row>
    <row r="15" spans="1:22" x14ac:dyDescent="0.35">
      <c r="A15" s="10">
        <v>43901</v>
      </c>
      <c r="B15" s="11">
        <v>431</v>
      </c>
      <c r="C15" s="11">
        <v>162</v>
      </c>
      <c r="D15" s="11">
        <v>269</v>
      </c>
      <c r="E15" s="26">
        <v>0.37590000000000001</v>
      </c>
      <c r="F15" s="11">
        <v>2880</v>
      </c>
      <c r="G15" s="11">
        <v>147</v>
      </c>
      <c r="H15" s="11">
        <v>2733</v>
      </c>
      <c r="I15" s="26">
        <v>5.0999999999999997E-2</v>
      </c>
      <c r="J15" s="11">
        <v>2132</v>
      </c>
      <c r="K15" s="11">
        <v>40</v>
      </c>
      <c r="L15" s="11">
        <v>2092</v>
      </c>
      <c r="M15" s="26">
        <v>1.8800000000000001E-2</v>
      </c>
      <c r="N15" s="11">
        <v>2021</v>
      </c>
      <c r="O15" s="11">
        <v>26</v>
      </c>
      <c r="P15" s="11">
        <v>1995</v>
      </c>
      <c r="Q15" s="26">
        <v>1.29E-2</v>
      </c>
      <c r="R15" s="11">
        <v>1962</v>
      </c>
      <c r="S15" s="11">
        <v>24</v>
      </c>
      <c r="T15" s="11">
        <v>1938</v>
      </c>
      <c r="U15" s="26">
        <v>1.2200000000000001E-2</v>
      </c>
      <c r="V15" s="12">
        <f t="shared" si="0"/>
        <v>4.2329726288987908E-2</v>
      </c>
    </row>
    <row r="16" spans="1:22" x14ac:dyDescent="0.35">
      <c r="A16" s="10">
        <v>43902</v>
      </c>
      <c r="B16" s="11">
        <v>443</v>
      </c>
      <c r="C16" s="11">
        <v>157</v>
      </c>
      <c r="D16" s="11">
        <v>286</v>
      </c>
      <c r="E16" s="26">
        <v>0.35439999999999999</v>
      </c>
      <c r="F16" s="11">
        <v>2993</v>
      </c>
      <c r="G16" s="11">
        <v>113</v>
      </c>
      <c r="H16" s="11">
        <v>2880</v>
      </c>
      <c r="I16" s="26">
        <v>3.78E-2</v>
      </c>
      <c r="J16" s="11">
        <v>2139</v>
      </c>
      <c r="K16" s="11">
        <v>35</v>
      </c>
      <c r="L16" s="11">
        <v>2104</v>
      </c>
      <c r="M16" s="26">
        <v>1.6400000000000001E-2</v>
      </c>
      <c r="N16" s="11">
        <v>2062</v>
      </c>
      <c r="O16" s="11">
        <v>19</v>
      </c>
      <c r="P16" s="11">
        <v>2043</v>
      </c>
      <c r="Q16" s="26">
        <v>9.1999999999999998E-3</v>
      </c>
      <c r="R16" s="11">
        <v>1968</v>
      </c>
      <c r="S16" s="11">
        <v>30</v>
      </c>
      <c r="T16" s="11">
        <v>1938</v>
      </c>
      <c r="U16" s="26">
        <v>1.52E-2</v>
      </c>
      <c r="V16" s="12">
        <f t="shared" si="0"/>
        <v>3.6855804268610098E-2</v>
      </c>
    </row>
    <row r="17" spans="1:22" x14ac:dyDescent="0.35">
      <c r="A17" s="10">
        <v>43903</v>
      </c>
      <c r="B17" s="11">
        <v>456</v>
      </c>
      <c r="C17" s="11">
        <v>144</v>
      </c>
      <c r="D17" s="11">
        <v>312</v>
      </c>
      <c r="E17" s="26">
        <v>0.31580000000000003</v>
      </c>
      <c r="F17" s="11">
        <v>3076</v>
      </c>
      <c r="G17" s="11">
        <v>78</v>
      </c>
      <c r="H17" s="11">
        <v>2998</v>
      </c>
      <c r="I17" s="26">
        <v>2.5399999999999999E-2</v>
      </c>
      <c r="J17" s="11">
        <v>2158</v>
      </c>
      <c r="K17" s="11">
        <v>51</v>
      </c>
      <c r="L17" s="11">
        <v>2107</v>
      </c>
      <c r="M17" s="26">
        <v>2.3599999999999999E-2</v>
      </c>
      <c r="N17" s="11">
        <v>2059</v>
      </c>
      <c r="O17" s="11">
        <v>20</v>
      </c>
      <c r="P17" s="11">
        <v>2039</v>
      </c>
      <c r="Q17" s="26">
        <v>9.7000000000000003E-3</v>
      </c>
      <c r="R17" s="11">
        <v>2012</v>
      </c>
      <c r="S17" s="11">
        <v>15</v>
      </c>
      <c r="T17" s="11">
        <v>1997</v>
      </c>
      <c r="U17" s="26">
        <v>7.4999999999999997E-3</v>
      </c>
      <c r="V17" s="12">
        <f t="shared" si="0"/>
        <v>3.1554144042618582E-2</v>
      </c>
    </row>
    <row r="18" spans="1:22" x14ac:dyDescent="0.35">
      <c r="A18" s="10">
        <v>43904</v>
      </c>
      <c r="B18" s="11">
        <v>457</v>
      </c>
      <c r="C18" s="11">
        <v>151</v>
      </c>
      <c r="D18" s="11">
        <v>306</v>
      </c>
      <c r="E18" s="26">
        <v>0.33040000000000003</v>
      </c>
      <c r="F18" s="11">
        <v>3096</v>
      </c>
      <c r="G18" s="11">
        <v>89</v>
      </c>
      <c r="H18" s="11">
        <v>3007</v>
      </c>
      <c r="I18" s="26">
        <v>2.87E-2</v>
      </c>
      <c r="J18" s="11">
        <v>2181</v>
      </c>
      <c r="K18" s="11">
        <v>33</v>
      </c>
      <c r="L18" s="11">
        <v>2148</v>
      </c>
      <c r="M18" s="26">
        <v>1.5100000000000001E-2</v>
      </c>
      <c r="N18" s="11">
        <v>2065</v>
      </c>
      <c r="O18" s="11">
        <v>17</v>
      </c>
      <c r="P18" s="11">
        <v>2048</v>
      </c>
      <c r="Q18" s="26">
        <v>8.2000000000000007E-3</v>
      </c>
      <c r="R18" s="11">
        <v>2002</v>
      </c>
      <c r="S18" s="11">
        <v>21</v>
      </c>
      <c r="T18" s="11">
        <v>1981</v>
      </c>
      <c r="U18" s="26">
        <v>1.0500000000000001E-2</v>
      </c>
      <c r="V18" s="12">
        <f t="shared" si="0"/>
        <v>3.1731455973880218E-2</v>
      </c>
    </row>
    <row r="19" spans="1:22" x14ac:dyDescent="0.35">
      <c r="A19" s="10">
        <v>43905</v>
      </c>
      <c r="B19" s="11">
        <v>457</v>
      </c>
      <c r="C19" s="11">
        <v>151</v>
      </c>
      <c r="D19" s="11">
        <v>306</v>
      </c>
      <c r="E19" s="26">
        <v>0.33040000000000003</v>
      </c>
      <c r="F19" s="11">
        <v>3096</v>
      </c>
      <c r="G19" s="11">
        <v>89</v>
      </c>
      <c r="H19" s="11">
        <v>3007</v>
      </c>
      <c r="I19" s="26">
        <v>2.87E-2</v>
      </c>
      <c r="J19" s="11">
        <v>2181</v>
      </c>
      <c r="K19" s="11">
        <v>33</v>
      </c>
      <c r="L19" s="11">
        <v>2148</v>
      </c>
      <c r="M19" s="26">
        <v>1.5100000000000001E-2</v>
      </c>
      <c r="N19" s="11">
        <v>2065</v>
      </c>
      <c r="O19" s="11">
        <v>17</v>
      </c>
      <c r="P19" s="11">
        <v>2048</v>
      </c>
      <c r="Q19" s="26">
        <v>8.2000000000000007E-3</v>
      </c>
      <c r="R19" s="11">
        <v>2002</v>
      </c>
      <c r="S19" s="11">
        <v>21</v>
      </c>
      <c r="T19" s="11">
        <v>1981</v>
      </c>
      <c r="U19" s="26">
        <v>1.0500000000000001E-2</v>
      </c>
      <c r="V19" s="12">
        <f t="shared" si="0"/>
        <v>3.1731455973880218E-2</v>
      </c>
    </row>
    <row r="20" spans="1:22" x14ac:dyDescent="0.35">
      <c r="A20" s="10">
        <v>43906</v>
      </c>
      <c r="B20" s="11">
        <v>454</v>
      </c>
      <c r="C20" s="11">
        <v>157</v>
      </c>
      <c r="D20" s="11">
        <v>297</v>
      </c>
      <c r="E20" s="26">
        <v>0.3458</v>
      </c>
      <c r="F20" s="11">
        <v>3096</v>
      </c>
      <c r="G20" s="11">
        <v>91</v>
      </c>
      <c r="H20" s="11">
        <v>3005</v>
      </c>
      <c r="I20" s="26">
        <v>2.9399999999999999E-2</v>
      </c>
      <c r="J20" s="11">
        <v>2189</v>
      </c>
      <c r="K20" s="11">
        <v>38</v>
      </c>
      <c r="L20" s="11">
        <v>2151</v>
      </c>
      <c r="M20" s="26">
        <v>1.7399999999999999E-2</v>
      </c>
      <c r="N20" s="11">
        <v>2055</v>
      </c>
      <c r="O20" s="11">
        <v>16</v>
      </c>
      <c r="P20" s="11">
        <v>2039</v>
      </c>
      <c r="Q20" s="26">
        <v>7.7999999999999996E-3</v>
      </c>
      <c r="R20" s="11">
        <v>2010</v>
      </c>
      <c r="S20" s="11">
        <v>19</v>
      </c>
      <c r="T20" s="11">
        <v>1991</v>
      </c>
      <c r="U20" s="26">
        <v>9.4999999999999998E-3</v>
      </c>
      <c r="V20" s="12">
        <f t="shared" si="0"/>
        <v>3.2741738066095469E-2</v>
      </c>
    </row>
    <row r="21" spans="1:22" x14ac:dyDescent="0.35">
      <c r="A21" s="10">
        <v>43907</v>
      </c>
      <c r="B21" s="11">
        <v>464</v>
      </c>
      <c r="C21" s="11">
        <v>161</v>
      </c>
      <c r="D21" s="11">
        <v>303</v>
      </c>
      <c r="E21" s="26">
        <v>0.34699999999999998</v>
      </c>
      <c r="F21" s="11">
        <v>3060</v>
      </c>
      <c r="G21" s="11">
        <v>94</v>
      </c>
      <c r="H21" s="11">
        <v>2966</v>
      </c>
      <c r="I21" s="26">
        <v>3.0700000000000002E-2</v>
      </c>
      <c r="J21" s="11">
        <v>2164</v>
      </c>
      <c r="K21" s="11">
        <v>35</v>
      </c>
      <c r="L21" s="11">
        <v>2129</v>
      </c>
      <c r="M21" s="26">
        <v>1.6199999999999999E-2</v>
      </c>
      <c r="N21" s="11">
        <v>2047</v>
      </c>
      <c r="O21" s="11">
        <v>16</v>
      </c>
      <c r="P21" s="11">
        <v>2031</v>
      </c>
      <c r="Q21" s="26">
        <v>7.7999999999999996E-3</v>
      </c>
      <c r="R21" s="11">
        <v>2009</v>
      </c>
      <c r="S21" s="11">
        <v>17</v>
      </c>
      <c r="T21" s="11">
        <v>1992</v>
      </c>
      <c r="U21" s="26">
        <v>8.5000000000000006E-3</v>
      </c>
      <c r="V21" s="12">
        <f t="shared" si="0"/>
        <v>3.3148604269293926E-2</v>
      </c>
    </row>
    <row r="22" spans="1:22" x14ac:dyDescent="0.35">
      <c r="A22" s="10">
        <v>43908</v>
      </c>
      <c r="B22" s="11">
        <v>466</v>
      </c>
      <c r="C22" s="11">
        <v>162</v>
      </c>
      <c r="D22" s="11">
        <v>304</v>
      </c>
      <c r="E22" s="26">
        <v>0.34760000000000002</v>
      </c>
      <c r="F22" s="11">
        <v>3041</v>
      </c>
      <c r="G22" s="11">
        <v>95</v>
      </c>
      <c r="H22" s="11">
        <v>2946</v>
      </c>
      <c r="I22" s="26">
        <v>3.1199999999999999E-2</v>
      </c>
      <c r="J22" s="11">
        <v>2170</v>
      </c>
      <c r="K22" s="11">
        <v>32</v>
      </c>
      <c r="L22" s="11">
        <v>2138</v>
      </c>
      <c r="M22" s="26">
        <v>1.47E-2</v>
      </c>
      <c r="N22" s="11">
        <v>2049</v>
      </c>
      <c r="O22" s="11">
        <v>16</v>
      </c>
      <c r="P22" s="11">
        <v>2033</v>
      </c>
      <c r="Q22" s="26">
        <v>7.7999999999999996E-3</v>
      </c>
      <c r="R22" s="11">
        <v>2004</v>
      </c>
      <c r="S22" s="11">
        <v>19</v>
      </c>
      <c r="T22" s="11">
        <v>1985</v>
      </c>
      <c r="U22" s="26">
        <v>9.4999999999999998E-3</v>
      </c>
      <c r="V22" s="12">
        <f t="shared" si="0"/>
        <v>3.3299075025693729E-2</v>
      </c>
    </row>
    <row r="23" spans="1:22" x14ac:dyDescent="0.35">
      <c r="A23" s="10">
        <v>43909</v>
      </c>
      <c r="B23" s="11">
        <v>467</v>
      </c>
      <c r="C23" s="11">
        <v>129</v>
      </c>
      <c r="D23" s="11">
        <v>338</v>
      </c>
      <c r="E23" s="26">
        <v>0.2762</v>
      </c>
      <c r="F23" s="11">
        <v>3073</v>
      </c>
      <c r="G23" s="11">
        <v>91</v>
      </c>
      <c r="H23" s="11">
        <v>2982</v>
      </c>
      <c r="I23" s="26">
        <v>2.9600000000000001E-2</v>
      </c>
      <c r="J23" s="11">
        <v>2185</v>
      </c>
      <c r="K23" s="11">
        <v>28</v>
      </c>
      <c r="L23" s="11">
        <v>2157</v>
      </c>
      <c r="M23" s="26">
        <v>1.2800000000000001E-2</v>
      </c>
      <c r="N23" s="11">
        <v>2090</v>
      </c>
      <c r="O23" s="11">
        <v>15</v>
      </c>
      <c r="P23" s="11">
        <v>2075</v>
      </c>
      <c r="Q23" s="26">
        <v>7.1999999999999998E-3</v>
      </c>
      <c r="R23" s="11">
        <v>2022</v>
      </c>
      <c r="S23" s="11">
        <v>16</v>
      </c>
      <c r="T23" s="11">
        <v>2006</v>
      </c>
      <c r="U23" s="26">
        <v>7.9000000000000008E-3</v>
      </c>
      <c r="V23" s="12">
        <f t="shared" si="0"/>
        <v>2.8362305580969808E-2</v>
      </c>
    </row>
    <row r="24" spans="1:22" ht="11.25" customHeight="1" x14ac:dyDescent="0.35">
      <c r="A24" s="10">
        <v>43910</v>
      </c>
      <c r="B24" s="11">
        <v>471</v>
      </c>
      <c r="C24" s="11">
        <v>167</v>
      </c>
      <c r="D24" s="11">
        <v>304</v>
      </c>
      <c r="E24" s="26">
        <v>0.35460000000000003</v>
      </c>
      <c r="F24" s="11">
        <v>3091</v>
      </c>
      <c r="G24" s="11">
        <v>95</v>
      </c>
      <c r="H24" s="11">
        <v>2996</v>
      </c>
      <c r="I24" s="26">
        <v>3.0700000000000002E-2</v>
      </c>
      <c r="J24" s="11">
        <v>2203</v>
      </c>
      <c r="K24" s="11">
        <v>28</v>
      </c>
      <c r="L24" s="11">
        <v>2175</v>
      </c>
      <c r="M24" s="26">
        <v>1.2699999999999999E-2</v>
      </c>
      <c r="N24" s="11">
        <v>2080</v>
      </c>
      <c r="O24" s="11">
        <v>17</v>
      </c>
      <c r="P24" s="11">
        <v>2063</v>
      </c>
      <c r="Q24" s="26">
        <v>8.2000000000000007E-3</v>
      </c>
      <c r="R24" s="11">
        <v>1977</v>
      </c>
      <c r="S24" s="11">
        <v>20</v>
      </c>
      <c r="T24" s="11">
        <v>1957</v>
      </c>
      <c r="U24" s="26">
        <v>1.01E-2</v>
      </c>
      <c r="V24" s="12">
        <f t="shared" si="0"/>
        <v>3.3292608430054979E-2</v>
      </c>
    </row>
    <row r="25" spans="1:22" x14ac:dyDescent="0.35">
      <c r="A25" s="10">
        <v>43911</v>
      </c>
      <c r="B25" s="11">
        <v>474</v>
      </c>
      <c r="C25" s="11">
        <v>182</v>
      </c>
      <c r="D25" s="11">
        <v>292</v>
      </c>
      <c r="E25" s="26">
        <v>0.38400000000000001</v>
      </c>
      <c r="F25" s="11">
        <v>3141</v>
      </c>
      <c r="G25" s="11">
        <v>89</v>
      </c>
      <c r="H25" s="11">
        <v>3052</v>
      </c>
      <c r="I25" s="26">
        <v>2.8299999999999999E-2</v>
      </c>
      <c r="J25" s="11">
        <v>2202</v>
      </c>
      <c r="K25" s="11">
        <v>29</v>
      </c>
      <c r="L25" s="11">
        <v>2173</v>
      </c>
      <c r="M25" s="26">
        <v>1.32E-2</v>
      </c>
      <c r="N25" s="11">
        <v>2079</v>
      </c>
      <c r="O25" s="11">
        <v>18</v>
      </c>
      <c r="P25" s="11">
        <v>2061</v>
      </c>
      <c r="Q25" s="26">
        <v>8.6999999999999994E-3</v>
      </c>
      <c r="R25" s="11">
        <v>1988</v>
      </c>
      <c r="S25" s="11">
        <v>19</v>
      </c>
      <c r="T25" s="11">
        <v>1969</v>
      </c>
      <c r="U25" s="26">
        <v>9.5999999999999992E-3</v>
      </c>
      <c r="V25" s="12">
        <f t="shared" si="0"/>
        <v>3.4095507891541886E-2</v>
      </c>
    </row>
    <row r="26" spans="1:22" x14ac:dyDescent="0.35">
      <c r="A26" s="10">
        <v>43912</v>
      </c>
      <c r="B26" s="11">
        <v>480</v>
      </c>
      <c r="C26" s="11">
        <v>234</v>
      </c>
      <c r="D26" s="11">
        <v>246</v>
      </c>
      <c r="E26" s="26">
        <v>0.48749999999999999</v>
      </c>
      <c r="F26" s="11">
        <v>3142</v>
      </c>
      <c r="G26" s="11">
        <v>146</v>
      </c>
      <c r="H26" s="11">
        <v>2996</v>
      </c>
      <c r="I26" s="26">
        <v>4.65E-2</v>
      </c>
      <c r="J26" s="11">
        <v>2203</v>
      </c>
      <c r="K26" s="11">
        <v>36</v>
      </c>
      <c r="L26" s="11">
        <v>2167</v>
      </c>
      <c r="M26" s="26">
        <v>1.6299999999999999E-2</v>
      </c>
      <c r="N26" s="11">
        <v>2064</v>
      </c>
      <c r="O26" s="11">
        <v>21</v>
      </c>
      <c r="P26" s="11">
        <v>2043</v>
      </c>
      <c r="Q26" s="26">
        <v>1.0200000000000001E-2</v>
      </c>
      <c r="R26" s="11">
        <v>1982</v>
      </c>
      <c r="S26" s="11">
        <v>19</v>
      </c>
      <c r="T26" s="11">
        <v>1963</v>
      </c>
      <c r="U26" s="26">
        <v>9.5999999999999992E-3</v>
      </c>
      <c r="V26" s="12">
        <f t="shared" si="0"/>
        <v>4.6195927464289334E-2</v>
      </c>
    </row>
    <row r="27" spans="1:22" x14ac:dyDescent="0.35">
      <c r="A27" s="10">
        <v>43913</v>
      </c>
      <c r="B27" s="11">
        <v>476</v>
      </c>
      <c r="C27" s="11">
        <v>176</v>
      </c>
      <c r="D27" s="11">
        <v>300</v>
      </c>
      <c r="E27" s="26">
        <v>0.36969999999999997</v>
      </c>
      <c r="F27" s="11">
        <v>3167</v>
      </c>
      <c r="G27" s="11">
        <v>105</v>
      </c>
      <c r="H27" s="11">
        <v>3062</v>
      </c>
      <c r="I27" s="26">
        <v>3.32E-2</v>
      </c>
      <c r="J27" s="11">
        <v>2207</v>
      </c>
      <c r="K27" s="11">
        <v>27</v>
      </c>
      <c r="L27" s="11">
        <v>2180</v>
      </c>
      <c r="M27" s="26">
        <v>1.2200000000000001E-2</v>
      </c>
      <c r="N27" s="11">
        <v>2067</v>
      </c>
      <c r="O27" s="11">
        <v>18</v>
      </c>
      <c r="P27" s="11">
        <v>2049</v>
      </c>
      <c r="Q27" s="26">
        <v>8.6999999999999994E-3</v>
      </c>
      <c r="R27" s="11">
        <v>1967</v>
      </c>
      <c r="S27" s="11">
        <v>20</v>
      </c>
      <c r="T27" s="11">
        <v>1947</v>
      </c>
      <c r="U27" s="26">
        <v>1.0200000000000001E-2</v>
      </c>
      <c r="V27" s="12">
        <f t="shared" si="0"/>
        <v>3.5006070416835289E-2</v>
      </c>
    </row>
    <row r="28" spans="1:22" x14ac:dyDescent="0.35">
      <c r="A28" s="10">
        <v>43914</v>
      </c>
      <c r="B28" s="11">
        <v>484</v>
      </c>
      <c r="C28" s="11">
        <v>175</v>
      </c>
      <c r="D28" s="11">
        <v>309</v>
      </c>
      <c r="E28" s="26">
        <v>0.36159999999999998</v>
      </c>
      <c r="F28" s="11">
        <v>3136</v>
      </c>
      <c r="G28" s="11">
        <v>124</v>
      </c>
      <c r="H28" s="11">
        <v>3012</v>
      </c>
      <c r="I28" s="26">
        <v>3.95E-2</v>
      </c>
      <c r="J28" s="11">
        <v>2214</v>
      </c>
      <c r="K28" s="11">
        <v>20</v>
      </c>
      <c r="L28" s="11">
        <v>2194</v>
      </c>
      <c r="M28" s="26">
        <v>8.9999999999999993E-3</v>
      </c>
      <c r="N28" s="11">
        <v>2096</v>
      </c>
      <c r="O28" s="11">
        <v>19</v>
      </c>
      <c r="P28" s="11">
        <v>2077</v>
      </c>
      <c r="Q28" s="26">
        <v>9.1000000000000004E-3</v>
      </c>
      <c r="R28" s="11">
        <v>1917</v>
      </c>
      <c r="S28" s="11">
        <v>21</v>
      </c>
      <c r="T28" s="11">
        <v>1896</v>
      </c>
      <c r="U28" s="26">
        <v>1.0999999999999999E-2</v>
      </c>
      <c r="V28" s="12">
        <f t="shared" si="0"/>
        <v>3.6457804407433736E-2</v>
      </c>
    </row>
    <row r="29" spans="1:22" x14ac:dyDescent="0.35">
      <c r="A29" s="10">
        <v>43915</v>
      </c>
      <c r="B29" s="11">
        <v>474</v>
      </c>
      <c r="C29" s="11">
        <v>181</v>
      </c>
      <c r="D29" s="11">
        <v>293</v>
      </c>
      <c r="E29" s="26">
        <v>0.38190000000000002</v>
      </c>
      <c r="F29" s="11">
        <v>3108</v>
      </c>
      <c r="G29" s="11">
        <v>118</v>
      </c>
      <c r="H29" s="11">
        <v>2990</v>
      </c>
      <c r="I29" s="26">
        <v>3.7999999999999999E-2</v>
      </c>
      <c r="J29" s="11">
        <v>2214</v>
      </c>
      <c r="K29" s="11">
        <v>20</v>
      </c>
      <c r="L29" s="11">
        <v>2194</v>
      </c>
      <c r="M29" s="26">
        <v>8.9999999999999993E-3</v>
      </c>
      <c r="N29" s="11">
        <v>2123</v>
      </c>
      <c r="O29" s="11">
        <v>18</v>
      </c>
      <c r="P29" s="11">
        <v>2105</v>
      </c>
      <c r="Q29" s="26">
        <v>8.5000000000000006E-3</v>
      </c>
      <c r="R29" s="11">
        <v>1917</v>
      </c>
      <c r="S29" s="11">
        <v>24</v>
      </c>
      <c r="T29" s="11">
        <v>1893</v>
      </c>
      <c r="U29" s="26">
        <v>1.2500000000000001E-2</v>
      </c>
      <c r="V29" s="12">
        <f t="shared" si="0"/>
        <v>3.6701911346075637E-2</v>
      </c>
    </row>
    <row r="30" spans="1:22" x14ac:dyDescent="0.35">
      <c r="A30" s="10">
        <v>43916</v>
      </c>
      <c r="B30" s="11">
        <v>480</v>
      </c>
      <c r="C30" s="11">
        <v>194</v>
      </c>
      <c r="D30" s="11">
        <v>286</v>
      </c>
      <c r="E30" s="26">
        <v>0.4042</v>
      </c>
      <c r="F30" s="11">
        <v>3145</v>
      </c>
      <c r="G30" s="11">
        <v>147</v>
      </c>
      <c r="H30" s="11">
        <v>2998</v>
      </c>
      <c r="I30" s="26">
        <v>4.6699999999999998E-2</v>
      </c>
      <c r="J30" s="11">
        <v>2227</v>
      </c>
      <c r="K30" s="11">
        <v>22</v>
      </c>
      <c r="L30" s="11">
        <v>2205</v>
      </c>
      <c r="M30" s="26">
        <v>9.9000000000000008E-3</v>
      </c>
      <c r="N30" s="11">
        <v>2112</v>
      </c>
      <c r="O30" s="11">
        <v>21</v>
      </c>
      <c r="P30" s="11">
        <v>2091</v>
      </c>
      <c r="Q30" s="26">
        <v>9.9000000000000008E-3</v>
      </c>
      <c r="R30" s="11">
        <v>1927</v>
      </c>
      <c r="S30" s="11">
        <v>23</v>
      </c>
      <c r="T30" s="11">
        <v>1904</v>
      </c>
      <c r="U30" s="26">
        <v>1.1900000000000001E-2</v>
      </c>
      <c r="V30" s="12">
        <f t="shared" si="0"/>
        <v>4.1148518855525222E-2</v>
      </c>
    </row>
    <row r="31" spans="1:22" x14ac:dyDescent="0.35">
      <c r="A31" s="10">
        <v>43917</v>
      </c>
      <c r="B31" s="11">
        <v>502</v>
      </c>
      <c r="C31" s="11">
        <v>193</v>
      </c>
      <c r="D31" s="11">
        <v>309</v>
      </c>
      <c r="E31" s="26">
        <v>0.38450000000000001</v>
      </c>
      <c r="F31" s="11">
        <v>3130</v>
      </c>
      <c r="G31" s="11">
        <v>108</v>
      </c>
      <c r="H31" s="11">
        <v>3022</v>
      </c>
      <c r="I31" s="26">
        <v>3.4500000000000003E-2</v>
      </c>
      <c r="J31" s="11">
        <v>2218</v>
      </c>
      <c r="K31" s="11">
        <v>23</v>
      </c>
      <c r="L31" s="11">
        <v>2195</v>
      </c>
      <c r="M31" s="26">
        <v>1.04E-2</v>
      </c>
      <c r="N31" s="11">
        <v>2122</v>
      </c>
      <c r="O31" s="11">
        <v>20</v>
      </c>
      <c r="P31" s="11">
        <v>2102</v>
      </c>
      <c r="Q31" s="26">
        <v>9.4000000000000004E-3</v>
      </c>
      <c r="R31" s="11">
        <v>1927</v>
      </c>
      <c r="S31" s="11">
        <v>25</v>
      </c>
      <c r="T31" s="11">
        <v>1902</v>
      </c>
      <c r="U31" s="26">
        <v>1.2999999999999999E-2</v>
      </c>
      <c r="V31" s="12">
        <f t="shared" si="0"/>
        <v>3.7276492575007578E-2</v>
      </c>
    </row>
    <row r="32" spans="1:22" x14ac:dyDescent="0.35">
      <c r="A32" s="10">
        <v>43918</v>
      </c>
      <c r="B32" s="11">
        <v>497</v>
      </c>
      <c r="C32" s="11">
        <v>203</v>
      </c>
      <c r="D32" s="11">
        <v>294</v>
      </c>
      <c r="E32" s="26">
        <v>0.40849999999999997</v>
      </c>
      <c r="F32" s="11">
        <v>3125</v>
      </c>
      <c r="G32" s="11">
        <v>94</v>
      </c>
      <c r="H32" s="11">
        <v>3031</v>
      </c>
      <c r="I32" s="26">
        <v>3.0099999999999998E-2</v>
      </c>
      <c r="J32" s="11">
        <v>2212</v>
      </c>
      <c r="K32" s="11">
        <v>22</v>
      </c>
      <c r="L32" s="11">
        <v>2190</v>
      </c>
      <c r="M32" s="26">
        <v>9.9000000000000008E-3</v>
      </c>
      <c r="N32" s="11">
        <v>2142</v>
      </c>
      <c r="O32" s="11">
        <v>22</v>
      </c>
      <c r="P32" s="11">
        <v>2120</v>
      </c>
      <c r="Q32" s="26">
        <v>1.03E-2</v>
      </c>
      <c r="R32" s="11">
        <v>1922</v>
      </c>
      <c r="S32" s="11">
        <v>26</v>
      </c>
      <c r="T32" s="11">
        <v>1896</v>
      </c>
      <c r="U32" s="26">
        <v>1.35E-2</v>
      </c>
      <c r="V32" s="12">
        <f t="shared" si="0"/>
        <v>3.7078197615679938E-2</v>
      </c>
    </row>
    <row r="33" spans="1:22" x14ac:dyDescent="0.35">
      <c r="A33" s="10">
        <v>43919</v>
      </c>
      <c r="B33" s="11">
        <v>505</v>
      </c>
      <c r="C33" s="11">
        <v>255</v>
      </c>
      <c r="D33" s="11">
        <v>250</v>
      </c>
      <c r="E33" s="26">
        <v>0.505</v>
      </c>
      <c r="F33" s="11">
        <v>3083</v>
      </c>
      <c r="G33" s="11">
        <v>108</v>
      </c>
      <c r="H33" s="11">
        <v>2975</v>
      </c>
      <c r="I33" s="26">
        <v>3.5000000000000003E-2</v>
      </c>
      <c r="J33" s="11">
        <v>2205</v>
      </c>
      <c r="K33" s="11">
        <v>23</v>
      </c>
      <c r="L33" s="11">
        <v>2182</v>
      </c>
      <c r="M33" s="26">
        <v>1.04E-2</v>
      </c>
      <c r="N33" s="11">
        <v>2126</v>
      </c>
      <c r="O33" s="11">
        <v>23</v>
      </c>
      <c r="P33" s="11">
        <v>2103</v>
      </c>
      <c r="Q33" s="26">
        <v>1.0800000000000001E-2</v>
      </c>
      <c r="R33" s="11">
        <v>1921</v>
      </c>
      <c r="S33" s="11">
        <v>29</v>
      </c>
      <c r="T33" s="11">
        <v>1892</v>
      </c>
      <c r="U33" s="26">
        <v>1.5100000000000001E-2</v>
      </c>
      <c r="V33" s="12">
        <f t="shared" si="0"/>
        <v>4.4512195121951217E-2</v>
      </c>
    </row>
    <row r="34" spans="1:22" x14ac:dyDescent="0.35">
      <c r="A34" s="10">
        <v>43920</v>
      </c>
      <c r="B34" s="11">
        <v>501</v>
      </c>
      <c r="C34" s="11">
        <v>199</v>
      </c>
      <c r="D34" s="11">
        <v>302</v>
      </c>
      <c r="E34" s="26">
        <v>0.3972</v>
      </c>
      <c r="F34" s="11">
        <v>3074</v>
      </c>
      <c r="G34" s="11">
        <v>113</v>
      </c>
      <c r="H34" s="11">
        <v>2961</v>
      </c>
      <c r="I34" s="26">
        <v>3.6799999999999999E-2</v>
      </c>
      <c r="J34" s="11">
        <v>2219</v>
      </c>
      <c r="K34" s="11">
        <v>22</v>
      </c>
      <c r="L34" s="11">
        <v>2197</v>
      </c>
      <c r="M34" s="26">
        <v>9.9000000000000008E-3</v>
      </c>
      <c r="N34" s="11">
        <v>2134</v>
      </c>
      <c r="O34" s="11">
        <v>25</v>
      </c>
      <c r="P34" s="11">
        <v>2109</v>
      </c>
      <c r="Q34" s="26">
        <v>1.17E-2</v>
      </c>
      <c r="R34" s="11">
        <v>1941</v>
      </c>
      <c r="S34" s="11">
        <v>25</v>
      </c>
      <c r="T34" s="11">
        <v>1916</v>
      </c>
      <c r="U34" s="26">
        <v>1.29E-2</v>
      </c>
      <c r="V34" s="12">
        <f t="shared" si="0"/>
        <v>3.8909717296585267E-2</v>
      </c>
    </row>
    <row r="35" spans="1:22" x14ac:dyDescent="0.35">
      <c r="A35" s="10">
        <v>43921</v>
      </c>
      <c r="B35" s="11">
        <v>487</v>
      </c>
      <c r="C35" s="11">
        <v>213</v>
      </c>
      <c r="D35" s="11">
        <v>274</v>
      </c>
      <c r="E35" s="26">
        <v>0.43740000000000001</v>
      </c>
      <c r="F35" s="11">
        <v>3030</v>
      </c>
      <c r="G35" s="11">
        <v>144</v>
      </c>
      <c r="H35" s="11">
        <v>2886</v>
      </c>
      <c r="I35" s="26">
        <v>4.7500000000000001E-2</v>
      </c>
      <c r="J35" s="11">
        <v>2202</v>
      </c>
      <c r="K35" s="11">
        <v>24</v>
      </c>
      <c r="L35" s="11">
        <v>2178</v>
      </c>
      <c r="M35" s="26">
        <v>1.09E-2</v>
      </c>
      <c r="N35" s="11">
        <v>2130</v>
      </c>
      <c r="O35" s="11">
        <v>23</v>
      </c>
      <c r="P35" s="11">
        <v>2107</v>
      </c>
      <c r="Q35" s="26">
        <v>1.0800000000000001E-2</v>
      </c>
      <c r="R35" s="11">
        <v>1938</v>
      </c>
      <c r="S35" s="11">
        <v>30</v>
      </c>
      <c r="T35" s="11">
        <v>1908</v>
      </c>
      <c r="U35" s="26">
        <v>1.55E-2</v>
      </c>
      <c r="V35" s="12">
        <f>(C35+G35+K35+O35+S35)/(B35+F35+J35+N35+R35)</f>
        <v>4.4344538673750891E-2</v>
      </c>
    </row>
    <row r="36" spans="1:22" s="25" customFormat="1" ht="18.75" customHeight="1" x14ac:dyDescent="0.35">
      <c r="A36" s="21" t="s">
        <v>14</v>
      </c>
      <c r="B36" s="22">
        <f>SUM(B5:B35)</f>
        <v>13957</v>
      </c>
      <c r="C36" s="22">
        <f>SUM(C5:C35)</f>
        <v>5310</v>
      </c>
      <c r="D36" s="22">
        <f>SUM(D5:D35)</f>
        <v>8647</v>
      </c>
      <c r="E36" s="23">
        <f>C36/B36</f>
        <v>0.38045425234649277</v>
      </c>
      <c r="F36" s="22">
        <f>SUM(F5:F35)</f>
        <v>93987</v>
      </c>
      <c r="G36" s="22">
        <f>SUM(G5:G35)</f>
        <v>3006</v>
      </c>
      <c r="H36" s="22">
        <f>SUM(H5:H35)</f>
        <v>90981</v>
      </c>
      <c r="I36" s="23">
        <f>G36/F36</f>
        <v>3.1983146605381596E-2</v>
      </c>
      <c r="J36" s="22">
        <f>SUM(J5:J35)</f>
        <v>67477</v>
      </c>
      <c r="K36" s="22">
        <f>SUM(K5:K35)</f>
        <v>971</v>
      </c>
      <c r="L36" s="22">
        <f>SUM(L5:L35)</f>
        <v>66506</v>
      </c>
      <c r="M36" s="23">
        <f>K36/J36</f>
        <v>1.4390088474591342E-2</v>
      </c>
      <c r="N36" s="22">
        <f>SUM(N5:N35)</f>
        <v>63780</v>
      </c>
      <c r="O36" s="22">
        <f>SUM(O5:O35)</f>
        <v>572</v>
      </c>
      <c r="P36" s="22">
        <f>SUM(P5:P35)</f>
        <v>63208</v>
      </c>
      <c r="Q36" s="23">
        <f>O36/N36</f>
        <v>8.968328629664471E-3</v>
      </c>
      <c r="R36" s="22">
        <f>SUM(R5:R35)</f>
        <v>61514</v>
      </c>
      <c r="S36" s="22">
        <f>SUM(S5:S35)</f>
        <v>615</v>
      </c>
      <c r="T36" s="22">
        <f>SUM(T5:T35)</f>
        <v>60899</v>
      </c>
      <c r="U36" s="23">
        <f>S36/R36</f>
        <v>9.9977240953278926E-3</v>
      </c>
      <c r="V36" s="24">
        <f>AVERAGE(V5:V35)</f>
        <v>3.4825148529398171E-2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0.86466875533293808</v>
      </c>
      <c r="F38" s="33"/>
      <c r="G38" s="34"/>
      <c r="H38" s="35"/>
      <c r="I38" s="16">
        <f>I36/I37</f>
        <v>0.82008068218927166</v>
      </c>
      <c r="J38" s="33"/>
      <c r="K38" s="34"/>
      <c r="L38" s="35"/>
      <c r="M38" s="16">
        <f>M36/M37</f>
        <v>0.51393173123540503</v>
      </c>
      <c r="N38" s="33"/>
      <c r="O38" s="34"/>
      <c r="P38" s="35"/>
      <c r="Q38" s="16">
        <f>Q36/Q37</f>
        <v>0.81530260269677013</v>
      </c>
      <c r="R38" s="33"/>
      <c r="S38" s="34"/>
      <c r="T38" s="35"/>
      <c r="U38" s="16">
        <f>U36/U37</f>
        <v>0.90888400866617214</v>
      </c>
      <c r="V38" s="16">
        <f>V36/V37</f>
        <v>0.87062871323495428</v>
      </c>
    </row>
    <row r="39" spans="1:22" x14ac:dyDescent="0.35">
      <c r="A39">
        <v>2</v>
      </c>
      <c r="B39">
        <f>B36*$A$39</f>
        <v>27914</v>
      </c>
      <c r="C39">
        <f t="shared" ref="C39:T39" si="1">C36*$A$39</f>
        <v>10620</v>
      </c>
      <c r="D39">
        <f t="shared" si="1"/>
        <v>17294</v>
      </c>
      <c r="F39">
        <f t="shared" si="1"/>
        <v>187974</v>
      </c>
      <c r="G39">
        <f t="shared" si="1"/>
        <v>6012</v>
      </c>
      <c r="H39">
        <f t="shared" si="1"/>
        <v>181962</v>
      </c>
      <c r="J39">
        <f t="shared" si="1"/>
        <v>134954</v>
      </c>
      <c r="K39">
        <f t="shared" si="1"/>
        <v>1942</v>
      </c>
      <c r="L39">
        <f t="shared" si="1"/>
        <v>133012</v>
      </c>
      <c r="N39">
        <f t="shared" si="1"/>
        <v>127560</v>
      </c>
      <c r="O39">
        <f t="shared" si="1"/>
        <v>1144</v>
      </c>
      <c r="P39">
        <f t="shared" si="1"/>
        <v>126416</v>
      </c>
      <c r="R39">
        <f t="shared" si="1"/>
        <v>123028</v>
      </c>
      <c r="S39">
        <f t="shared" si="1"/>
        <v>1230</v>
      </c>
      <c r="T39">
        <f t="shared" si="1"/>
        <v>121798</v>
      </c>
    </row>
    <row r="40" spans="1:22" x14ac:dyDescent="0.35">
      <c r="E40" s="13"/>
    </row>
    <row r="41" spans="1:22" ht="39" customHeight="1" x14ac:dyDescent="0.35">
      <c r="B41" s="27">
        <f>VLOOKUP(B$2,'[4]010420'!$A$2:$F$25,3,0)</f>
        <v>487</v>
      </c>
      <c r="C41" s="27">
        <f>VLOOKUP(B$2,'[4]010420'!$A$2:$F$25,4,0)</f>
        <v>213</v>
      </c>
      <c r="D41" s="27">
        <f>VLOOKUP(B$2,'[4]010420'!$A$2:$F$25,5,0)</f>
        <v>274</v>
      </c>
      <c r="E41" s="28">
        <f>VLOOKUP(B$2,'[4]010420'!$A$2:$F$25,6,0)</f>
        <v>0.43740000000000001</v>
      </c>
      <c r="F41" s="27">
        <f>VLOOKUP(F$2,'[4]010420'!$A$2:$F$25,3,0)</f>
        <v>3030</v>
      </c>
      <c r="G41" s="27">
        <f>VLOOKUP(F$2,'[4]010420'!$A$2:$F$25,4,0)</f>
        <v>144</v>
      </c>
      <c r="H41" s="27">
        <f>VLOOKUP(F$2,'[4]010420'!$A$2:$F$25,5,0)</f>
        <v>2886</v>
      </c>
      <c r="I41" s="29">
        <f>VLOOKUP(F$2,'[4]010420'!$A$2:$F$25,6,0)</f>
        <v>4.7500000000000001E-2</v>
      </c>
      <c r="J41" s="27">
        <f>VLOOKUP(J$2,'[4]010420'!$A$2:$F$25,3,0)</f>
        <v>2202</v>
      </c>
      <c r="K41" s="27">
        <f>VLOOKUP(J$2,'[4]010420'!$A$2:$F$25,4,0)</f>
        <v>24</v>
      </c>
      <c r="L41" s="27">
        <f>VLOOKUP(J$2,'[4]010420'!$A$2:$F$25,5,0)</f>
        <v>2178</v>
      </c>
      <c r="M41" s="28">
        <f>VLOOKUP(J$2,'[4]010420'!$A$2:$F$25,6,0)</f>
        <v>1.09E-2</v>
      </c>
      <c r="N41" s="27">
        <f>VLOOKUP(N$2,'[4]010420'!$A$2:$F$25,3,0)</f>
        <v>2130</v>
      </c>
      <c r="O41" s="27">
        <f>VLOOKUP(N$2,'[4]010420'!$A$2:$F$25,4,0)</f>
        <v>23</v>
      </c>
      <c r="P41" s="27">
        <f>VLOOKUP(N$2,'[4]010420'!$A$2:$F$25,5,0)</f>
        <v>2107</v>
      </c>
      <c r="Q41" s="28">
        <f>VLOOKUP(N$2,'[4]010420'!$A$2:$F$25,6,0)</f>
        <v>1.0800000000000001E-2</v>
      </c>
      <c r="R41" s="27">
        <f>VLOOKUP(R$2,'[4]010420'!$A$2:$F$25,3,0)</f>
        <v>1938</v>
      </c>
      <c r="S41" s="27">
        <f>VLOOKUP(R$2,'[4]010420'!$A$2:$F$25,4,0)</f>
        <v>30</v>
      </c>
      <c r="T41" s="27">
        <f>VLOOKUP(R$2,'[4]010420'!$A$2:$F$25,5,0)</f>
        <v>1908</v>
      </c>
      <c r="U41" s="28">
        <f>VLOOKUP(R$2,'[4]010420'!$A$2:$F$25,6,0)</f>
        <v>1.55E-2</v>
      </c>
    </row>
    <row r="43" spans="1:22" x14ac:dyDescent="0.35">
      <c r="E43" s="14"/>
    </row>
    <row r="44" spans="1:22" ht="13.5" x14ac:dyDescent="0.35">
      <c r="B44">
        <f>B39+F39+J39+N39+R39</f>
        <v>601430</v>
      </c>
      <c r="C44">
        <f>C39+G39+K39+O39+S39</f>
        <v>20948</v>
      </c>
      <c r="E44" s="23">
        <f>C44/B44</f>
        <v>3.4830321068120979E-2</v>
      </c>
    </row>
  </sheetData>
  <mergeCells count="21">
    <mergeCell ref="R37:T37"/>
    <mergeCell ref="B3:E3"/>
    <mergeCell ref="F3:I3"/>
    <mergeCell ref="J3:M3"/>
    <mergeCell ref="N3:Q3"/>
    <mergeCell ref="B38:D38"/>
    <mergeCell ref="F38:H38"/>
    <mergeCell ref="J38:L38"/>
    <mergeCell ref="N38:P38"/>
    <mergeCell ref="R38:T38"/>
    <mergeCell ref="R2:U2"/>
    <mergeCell ref="B37:D37"/>
    <mergeCell ref="F37:H37"/>
    <mergeCell ref="J37:L37"/>
    <mergeCell ref="N37:P37"/>
    <mergeCell ref="R3:U3"/>
    <mergeCell ref="A1:V1"/>
    <mergeCell ref="B2:E2"/>
    <mergeCell ref="F2:I2"/>
    <mergeCell ref="J2:M2"/>
    <mergeCell ref="N2:Q2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4"/>
  <sheetViews>
    <sheetView topLeftCell="A13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43922</v>
      </c>
      <c r="B5" s="11">
        <v>481</v>
      </c>
      <c r="C5" s="11">
        <v>222</v>
      </c>
      <c r="D5" s="11">
        <v>259</v>
      </c>
      <c r="E5" s="26">
        <v>0.46150000000000002</v>
      </c>
      <c r="F5" s="11">
        <v>3028</v>
      </c>
      <c r="G5" s="11">
        <v>127</v>
      </c>
      <c r="H5" s="11">
        <v>2901</v>
      </c>
      <c r="I5" s="26">
        <v>4.19E-2</v>
      </c>
      <c r="J5" s="11">
        <v>2212</v>
      </c>
      <c r="K5" s="11">
        <v>25</v>
      </c>
      <c r="L5" s="11">
        <v>2187</v>
      </c>
      <c r="M5" s="26">
        <v>1.1299999999999999E-2</v>
      </c>
      <c r="N5" s="11">
        <v>2126</v>
      </c>
      <c r="O5" s="11">
        <v>23</v>
      </c>
      <c r="P5" s="11">
        <v>2103</v>
      </c>
      <c r="Q5" s="26">
        <v>1.0800000000000001E-2</v>
      </c>
      <c r="R5" s="11">
        <v>1935</v>
      </c>
      <c r="S5" s="11">
        <v>33</v>
      </c>
      <c r="T5" s="11">
        <v>1902</v>
      </c>
      <c r="U5" s="26">
        <v>1.7100000000000001E-2</v>
      </c>
      <c r="V5" s="12">
        <f t="shared" ref="V5:V34" si="0">(C5+G5+K5+O5+S5)/(B5+F5+J5+N5+R5)</f>
        <v>4.3958290738090371E-2</v>
      </c>
    </row>
    <row r="6" spans="1:22" x14ac:dyDescent="0.35">
      <c r="A6" s="10">
        <v>43923</v>
      </c>
      <c r="B6" s="11">
        <v>489</v>
      </c>
      <c r="C6" s="11">
        <v>267</v>
      </c>
      <c r="D6" s="11">
        <v>222</v>
      </c>
      <c r="E6" s="26">
        <v>0.54600000000000004</v>
      </c>
      <c r="F6" s="11">
        <v>3008</v>
      </c>
      <c r="G6" s="11">
        <v>156</v>
      </c>
      <c r="H6" s="11">
        <v>2852</v>
      </c>
      <c r="I6" s="26">
        <v>5.1900000000000002E-2</v>
      </c>
      <c r="J6" s="11">
        <v>2206</v>
      </c>
      <c r="K6" s="11">
        <v>30</v>
      </c>
      <c r="L6" s="11">
        <v>2176</v>
      </c>
      <c r="M6" s="26">
        <v>1.3599999999999999E-2</v>
      </c>
      <c r="N6" s="11">
        <v>2117</v>
      </c>
      <c r="O6" s="11">
        <v>29</v>
      </c>
      <c r="P6" s="11">
        <v>2088</v>
      </c>
      <c r="Q6" s="26">
        <v>1.37E-2</v>
      </c>
      <c r="R6" s="11">
        <v>1934</v>
      </c>
      <c r="S6" s="11">
        <v>36</v>
      </c>
      <c r="T6" s="11">
        <v>1898</v>
      </c>
      <c r="U6" s="26">
        <v>1.8599999999999998E-2</v>
      </c>
      <c r="V6" s="12">
        <f>(C6+G6+K6+O6+S6)/(B6+F6+J6+N6+R6)</f>
        <v>5.3106417879844166E-2</v>
      </c>
    </row>
    <row r="7" spans="1:22" x14ac:dyDescent="0.35">
      <c r="A7" s="10">
        <v>43924</v>
      </c>
      <c r="B7" s="11">
        <v>493</v>
      </c>
      <c r="C7" s="11">
        <v>207</v>
      </c>
      <c r="D7" s="11">
        <v>286</v>
      </c>
      <c r="E7" s="26">
        <v>0.4199</v>
      </c>
      <c r="F7" s="11">
        <v>3005</v>
      </c>
      <c r="G7" s="11">
        <v>157</v>
      </c>
      <c r="H7" s="11">
        <v>2848</v>
      </c>
      <c r="I7" s="26">
        <v>5.2200000000000003E-2</v>
      </c>
      <c r="J7" s="11">
        <v>2214</v>
      </c>
      <c r="K7" s="11">
        <v>25</v>
      </c>
      <c r="L7" s="11">
        <v>2189</v>
      </c>
      <c r="M7" s="26">
        <v>1.1299999999999999E-2</v>
      </c>
      <c r="N7" s="11">
        <v>2131</v>
      </c>
      <c r="O7" s="11">
        <v>22</v>
      </c>
      <c r="P7" s="11">
        <v>2109</v>
      </c>
      <c r="Q7" s="26">
        <v>1.03E-2</v>
      </c>
      <c r="R7" s="11">
        <v>1923</v>
      </c>
      <c r="S7" s="11">
        <v>25</v>
      </c>
      <c r="T7" s="11">
        <v>1898</v>
      </c>
      <c r="U7" s="26">
        <v>1.2999999999999999E-2</v>
      </c>
      <c r="V7" s="12">
        <f>(C7+G7+K7+O7+S7)/(B7+F7+J7+N7+R7)</f>
        <v>4.4644685644071265E-2</v>
      </c>
    </row>
    <row r="8" spans="1:22" x14ac:dyDescent="0.35">
      <c r="A8" s="10">
        <v>43925</v>
      </c>
      <c r="B8" s="11">
        <v>492</v>
      </c>
      <c r="C8" s="11">
        <v>206</v>
      </c>
      <c r="D8" s="11">
        <v>286</v>
      </c>
      <c r="E8" s="26">
        <v>0.41870000000000002</v>
      </c>
      <c r="F8" s="11">
        <v>3049</v>
      </c>
      <c r="G8" s="11">
        <v>181</v>
      </c>
      <c r="H8" s="11">
        <v>2868</v>
      </c>
      <c r="I8" s="26">
        <v>5.9400000000000001E-2</v>
      </c>
      <c r="J8" s="11">
        <v>2218</v>
      </c>
      <c r="K8" s="11">
        <v>24</v>
      </c>
      <c r="L8" s="11">
        <v>2194</v>
      </c>
      <c r="M8" s="26">
        <v>1.0800000000000001E-2</v>
      </c>
      <c r="N8" s="11">
        <v>2120</v>
      </c>
      <c r="O8" s="11">
        <v>21</v>
      </c>
      <c r="P8" s="11">
        <v>2099</v>
      </c>
      <c r="Q8" s="26">
        <v>9.9000000000000008E-3</v>
      </c>
      <c r="R8" s="11">
        <v>1926</v>
      </c>
      <c r="S8" s="11">
        <v>31</v>
      </c>
      <c r="T8" s="11">
        <v>1895</v>
      </c>
      <c r="U8" s="26">
        <v>1.61E-2</v>
      </c>
      <c r="V8" s="12">
        <f t="shared" si="0"/>
        <v>4.7220805711371751E-2</v>
      </c>
    </row>
    <row r="9" spans="1:22" x14ac:dyDescent="0.35">
      <c r="A9" s="10">
        <v>43926</v>
      </c>
      <c r="B9" s="11">
        <v>497</v>
      </c>
      <c r="C9" s="11">
        <v>244</v>
      </c>
      <c r="D9" s="11">
        <v>253</v>
      </c>
      <c r="E9" s="26">
        <v>0.4909</v>
      </c>
      <c r="F9" s="11">
        <v>3054</v>
      </c>
      <c r="G9" s="11">
        <v>222</v>
      </c>
      <c r="H9" s="11">
        <v>2832</v>
      </c>
      <c r="I9" s="26">
        <v>7.2700000000000001E-2</v>
      </c>
      <c r="J9" s="11">
        <v>2215</v>
      </c>
      <c r="K9" s="11">
        <v>24</v>
      </c>
      <c r="L9" s="11">
        <v>2191</v>
      </c>
      <c r="M9" s="26">
        <v>1.0800000000000001E-2</v>
      </c>
      <c r="N9" s="11">
        <v>2111</v>
      </c>
      <c r="O9" s="11">
        <v>21</v>
      </c>
      <c r="P9" s="11">
        <v>2090</v>
      </c>
      <c r="Q9" s="26">
        <v>9.9000000000000008E-3</v>
      </c>
      <c r="R9" s="11">
        <v>1927</v>
      </c>
      <c r="S9" s="11">
        <v>34</v>
      </c>
      <c r="T9" s="11">
        <v>1893</v>
      </c>
      <c r="U9" s="26">
        <v>1.7600000000000001E-2</v>
      </c>
      <c r="V9" s="12">
        <f t="shared" si="0"/>
        <v>5.5589555283557732E-2</v>
      </c>
    </row>
    <row r="10" spans="1:22" x14ac:dyDescent="0.35">
      <c r="A10" s="10">
        <v>43927</v>
      </c>
      <c r="B10" s="11">
        <v>493</v>
      </c>
      <c r="C10" s="11">
        <v>207</v>
      </c>
      <c r="D10" s="11">
        <v>286</v>
      </c>
      <c r="E10" s="26">
        <v>0.4199</v>
      </c>
      <c r="F10" s="11">
        <v>3071</v>
      </c>
      <c r="G10" s="11">
        <v>121</v>
      </c>
      <c r="H10" s="11">
        <v>2950</v>
      </c>
      <c r="I10" s="26">
        <v>3.9399999999999998E-2</v>
      </c>
      <c r="J10" s="11">
        <v>2215</v>
      </c>
      <c r="K10" s="11">
        <v>24</v>
      </c>
      <c r="L10" s="11">
        <v>2191</v>
      </c>
      <c r="M10" s="26">
        <v>1.0800000000000001E-2</v>
      </c>
      <c r="N10" s="11">
        <v>2130</v>
      </c>
      <c r="O10" s="11">
        <v>22</v>
      </c>
      <c r="P10" s="11">
        <v>2108</v>
      </c>
      <c r="Q10" s="26">
        <v>1.03E-2</v>
      </c>
      <c r="R10" s="11">
        <v>1931</v>
      </c>
      <c r="S10" s="11">
        <v>26</v>
      </c>
      <c r="T10" s="11">
        <v>1905</v>
      </c>
      <c r="U10" s="26">
        <v>1.35E-2</v>
      </c>
      <c r="V10" s="12">
        <f t="shared" si="0"/>
        <v>4.065040650406504E-2</v>
      </c>
    </row>
    <row r="11" spans="1:22" x14ac:dyDescent="0.35">
      <c r="A11" s="10">
        <v>43928</v>
      </c>
      <c r="B11" s="11">
        <v>506</v>
      </c>
      <c r="C11" s="11">
        <v>193</v>
      </c>
      <c r="D11" s="11">
        <v>313</v>
      </c>
      <c r="E11" s="26">
        <v>0.38140000000000002</v>
      </c>
      <c r="F11" s="11">
        <v>3076</v>
      </c>
      <c r="G11" s="11">
        <v>123</v>
      </c>
      <c r="H11" s="11">
        <v>2953</v>
      </c>
      <c r="I11" s="26">
        <v>0.04</v>
      </c>
      <c r="J11" s="11">
        <v>2218</v>
      </c>
      <c r="K11" s="11">
        <v>27</v>
      </c>
      <c r="L11" s="11">
        <v>2191</v>
      </c>
      <c r="M11" s="26">
        <v>1.2200000000000001E-2</v>
      </c>
      <c r="N11" s="11">
        <v>2121</v>
      </c>
      <c r="O11" s="11">
        <v>22</v>
      </c>
      <c r="P11" s="11">
        <v>2099</v>
      </c>
      <c r="Q11" s="26">
        <v>1.04E-2</v>
      </c>
      <c r="R11" s="11">
        <v>1919</v>
      </c>
      <c r="S11" s="11">
        <v>27</v>
      </c>
      <c r="T11" s="11">
        <v>1892</v>
      </c>
      <c r="U11" s="26">
        <v>1.41E-2</v>
      </c>
      <c r="V11" s="12">
        <f t="shared" si="0"/>
        <v>3.9837398373983743E-2</v>
      </c>
    </row>
    <row r="12" spans="1:22" x14ac:dyDescent="0.35">
      <c r="A12" s="10">
        <v>43929</v>
      </c>
      <c r="B12" s="11">
        <v>506</v>
      </c>
      <c r="C12" s="11">
        <v>195</v>
      </c>
      <c r="D12" s="11">
        <v>311</v>
      </c>
      <c r="E12" s="26">
        <v>0.38540000000000002</v>
      </c>
      <c r="F12" s="11">
        <v>3072</v>
      </c>
      <c r="G12" s="11">
        <v>116</v>
      </c>
      <c r="H12" s="11">
        <v>2956</v>
      </c>
      <c r="I12" s="26">
        <v>3.78E-2</v>
      </c>
      <c r="J12" s="11">
        <v>2218</v>
      </c>
      <c r="K12" s="11">
        <v>29</v>
      </c>
      <c r="L12" s="11">
        <v>2189</v>
      </c>
      <c r="M12" s="26">
        <v>1.3100000000000001E-2</v>
      </c>
      <c r="N12" s="11">
        <v>2113</v>
      </c>
      <c r="O12" s="11">
        <v>25</v>
      </c>
      <c r="P12" s="11">
        <v>2088</v>
      </c>
      <c r="Q12" s="26">
        <v>1.18E-2</v>
      </c>
      <c r="R12" s="11">
        <v>1946</v>
      </c>
      <c r="S12" s="11">
        <v>23</v>
      </c>
      <c r="T12" s="11">
        <v>1923</v>
      </c>
      <c r="U12" s="26">
        <v>1.18E-2</v>
      </c>
      <c r="V12" s="12">
        <f t="shared" si="0"/>
        <v>3.9370877727042113E-2</v>
      </c>
    </row>
    <row r="13" spans="1:22" x14ac:dyDescent="0.35">
      <c r="A13" s="10">
        <v>43930</v>
      </c>
      <c r="B13" s="11">
        <v>505</v>
      </c>
      <c r="C13" s="11">
        <v>192</v>
      </c>
      <c r="D13" s="11">
        <v>313</v>
      </c>
      <c r="E13" s="26">
        <v>0.38019999999999998</v>
      </c>
      <c r="F13" s="11">
        <v>3097</v>
      </c>
      <c r="G13" s="11">
        <v>114</v>
      </c>
      <c r="H13" s="11">
        <v>2983</v>
      </c>
      <c r="I13" s="26">
        <v>3.6799999999999999E-2</v>
      </c>
      <c r="J13" s="11">
        <v>2229</v>
      </c>
      <c r="K13" s="11">
        <v>26</v>
      </c>
      <c r="L13" s="11">
        <v>2203</v>
      </c>
      <c r="M13" s="26">
        <v>1.17E-2</v>
      </c>
      <c r="N13" s="11">
        <v>2127</v>
      </c>
      <c r="O13" s="11">
        <v>22</v>
      </c>
      <c r="P13" s="11">
        <v>2105</v>
      </c>
      <c r="Q13" s="26">
        <v>1.03E-2</v>
      </c>
      <c r="R13" s="11">
        <v>1947</v>
      </c>
      <c r="S13" s="11">
        <v>28</v>
      </c>
      <c r="T13" s="11">
        <v>1919</v>
      </c>
      <c r="U13" s="26">
        <v>1.44E-2</v>
      </c>
      <c r="V13" s="12">
        <f t="shared" si="0"/>
        <v>3.8566380615850583E-2</v>
      </c>
    </row>
    <row r="14" spans="1:22" x14ac:dyDescent="0.35">
      <c r="A14" s="10">
        <v>43931</v>
      </c>
      <c r="B14" s="11">
        <v>517</v>
      </c>
      <c r="C14" s="11">
        <v>168</v>
      </c>
      <c r="D14" s="11">
        <v>349</v>
      </c>
      <c r="E14" s="26">
        <v>0.32500000000000001</v>
      </c>
      <c r="F14" s="11">
        <v>3097</v>
      </c>
      <c r="G14" s="11">
        <v>114</v>
      </c>
      <c r="H14" s="11">
        <v>2983</v>
      </c>
      <c r="I14" s="26">
        <v>3.6799999999999999E-2</v>
      </c>
      <c r="J14" s="11">
        <v>2229</v>
      </c>
      <c r="K14" s="11">
        <v>26</v>
      </c>
      <c r="L14" s="11">
        <v>2203</v>
      </c>
      <c r="M14" s="26">
        <v>1.17E-2</v>
      </c>
      <c r="N14" s="11">
        <v>2124</v>
      </c>
      <c r="O14" s="11">
        <v>22</v>
      </c>
      <c r="P14" s="11">
        <v>2102</v>
      </c>
      <c r="Q14" s="26">
        <v>1.04E-2</v>
      </c>
      <c r="R14" s="11">
        <v>1960</v>
      </c>
      <c r="S14" s="11">
        <v>23</v>
      </c>
      <c r="T14" s="11">
        <v>1937</v>
      </c>
      <c r="U14" s="26">
        <v>1.17E-2</v>
      </c>
      <c r="V14" s="12">
        <f t="shared" si="0"/>
        <v>3.5559584970283067E-2</v>
      </c>
    </row>
    <row r="15" spans="1:22" x14ac:dyDescent="0.35">
      <c r="A15" s="10">
        <v>43932</v>
      </c>
      <c r="B15" s="11">
        <v>523</v>
      </c>
      <c r="C15" s="11">
        <v>204</v>
      </c>
      <c r="D15" s="11">
        <v>319</v>
      </c>
      <c r="E15" s="26">
        <v>0.3901</v>
      </c>
      <c r="F15" s="11">
        <v>3082</v>
      </c>
      <c r="G15" s="11">
        <v>128</v>
      </c>
      <c r="H15" s="11">
        <v>2954</v>
      </c>
      <c r="I15" s="26">
        <v>4.1500000000000002E-2</v>
      </c>
      <c r="J15" s="11">
        <v>2225</v>
      </c>
      <c r="K15" s="11">
        <v>26</v>
      </c>
      <c r="L15" s="11">
        <v>2199</v>
      </c>
      <c r="M15" s="26">
        <v>1.17E-2</v>
      </c>
      <c r="N15" s="11">
        <v>2126</v>
      </c>
      <c r="O15" s="11">
        <v>23</v>
      </c>
      <c r="P15" s="11">
        <v>2103</v>
      </c>
      <c r="Q15" s="26">
        <v>1.0800000000000001E-2</v>
      </c>
      <c r="R15" s="11">
        <v>1947</v>
      </c>
      <c r="S15" s="11">
        <v>28</v>
      </c>
      <c r="T15" s="11">
        <v>1919</v>
      </c>
      <c r="U15" s="26">
        <v>1.44E-2</v>
      </c>
      <c r="V15" s="12">
        <f t="shared" si="0"/>
        <v>4.1300615974957086E-2</v>
      </c>
    </row>
    <row r="16" spans="1:22" x14ac:dyDescent="0.35">
      <c r="A16" s="10">
        <v>43933</v>
      </c>
      <c r="B16" s="11">
        <v>513</v>
      </c>
      <c r="C16" s="11">
        <v>240</v>
      </c>
      <c r="D16" s="11">
        <v>273</v>
      </c>
      <c r="E16" s="26">
        <v>0.46779999999999999</v>
      </c>
      <c r="F16" s="11">
        <v>3070</v>
      </c>
      <c r="G16" s="11">
        <v>142</v>
      </c>
      <c r="H16" s="11">
        <v>2928</v>
      </c>
      <c r="I16" s="26">
        <v>4.6300000000000001E-2</v>
      </c>
      <c r="J16" s="11">
        <v>2222</v>
      </c>
      <c r="K16" s="11">
        <v>27</v>
      </c>
      <c r="L16" s="11">
        <v>2195</v>
      </c>
      <c r="M16" s="26">
        <v>1.2200000000000001E-2</v>
      </c>
      <c r="N16" s="11">
        <v>2110</v>
      </c>
      <c r="O16" s="11">
        <v>23</v>
      </c>
      <c r="P16" s="11">
        <v>2087</v>
      </c>
      <c r="Q16" s="26">
        <v>1.09E-2</v>
      </c>
      <c r="R16" s="11">
        <v>1943</v>
      </c>
      <c r="S16" s="11">
        <v>32</v>
      </c>
      <c r="T16" s="11">
        <v>1911</v>
      </c>
      <c r="U16" s="26">
        <v>1.6500000000000001E-2</v>
      </c>
      <c r="V16" s="12">
        <f t="shared" si="0"/>
        <v>4.706837086630148E-2</v>
      </c>
    </row>
    <row r="17" spans="1:22" x14ac:dyDescent="0.35">
      <c r="A17" s="10">
        <v>43934</v>
      </c>
      <c r="B17" s="11">
        <v>515</v>
      </c>
      <c r="C17" s="11">
        <v>212</v>
      </c>
      <c r="D17" s="11">
        <v>303</v>
      </c>
      <c r="E17" s="26">
        <v>0.41170000000000001</v>
      </c>
      <c r="F17" s="11">
        <v>3099</v>
      </c>
      <c r="G17" s="11">
        <v>181</v>
      </c>
      <c r="H17" s="11">
        <v>2918</v>
      </c>
      <c r="I17" s="26">
        <v>5.8400000000000001E-2</v>
      </c>
      <c r="J17" s="11">
        <v>2219</v>
      </c>
      <c r="K17" s="11">
        <v>29</v>
      </c>
      <c r="L17" s="11">
        <v>2190</v>
      </c>
      <c r="M17" s="26">
        <v>1.3100000000000001E-2</v>
      </c>
      <c r="N17" s="11">
        <v>2090</v>
      </c>
      <c r="O17" s="11">
        <v>23</v>
      </c>
      <c r="P17" s="11">
        <v>2067</v>
      </c>
      <c r="Q17" s="26">
        <v>1.0999999999999999E-2</v>
      </c>
      <c r="R17" s="11">
        <v>1943</v>
      </c>
      <c r="S17" s="11">
        <v>25</v>
      </c>
      <c r="T17" s="11">
        <v>1918</v>
      </c>
      <c r="U17" s="26">
        <v>1.29E-2</v>
      </c>
      <c r="V17" s="12">
        <f t="shared" si="0"/>
        <v>4.7638353942833972E-2</v>
      </c>
    </row>
    <row r="18" spans="1:22" x14ac:dyDescent="0.35">
      <c r="A18" s="10">
        <v>43935</v>
      </c>
      <c r="B18" s="11">
        <v>525</v>
      </c>
      <c r="C18" s="11">
        <v>213</v>
      </c>
      <c r="D18" s="11">
        <v>312</v>
      </c>
      <c r="E18" s="26">
        <v>0.40570000000000001</v>
      </c>
      <c r="F18" s="11">
        <v>3167</v>
      </c>
      <c r="G18" s="11">
        <v>103</v>
      </c>
      <c r="H18" s="11">
        <v>3064</v>
      </c>
      <c r="I18" s="26">
        <v>3.2500000000000001E-2</v>
      </c>
      <c r="J18" s="11">
        <v>2233</v>
      </c>
      <c r="K18" s="11">
        <v>28</v>
      </c>
      <c r="L18" s="11">
        <v>2205</v>
      </c>
      <c r="M18" s="26">
        <v>1.2500000000000001E-2</v>
      </c>
      <c r="N18" s="11">
        <v>2078</v>
      </c>
      <c r="O18" s="11">
        <v>26</v>
      </c>
      <c r="P18" s="11">
        <v>2052</v>
      </c>
      <c r="Q18" s="26">
        <v>1.2500000000000001E-2</v>
      </c>
      <c r="R18" s="11">
        <v>1917</v>
      </c>
      <c r="S18" s="11">
        <v>26</v>
      </c>
      <c r="T18" s="11">
        <v>1891</v>
      </c>
      <c r="U18" s="26">
        <v>1.3599999999999999E-2</v>
      </c>
      <c r="V18" s="12">
        <f t="shared" si="0"/>
        <v>3.9919354838709675E-2</v>
      </c>
    </row>
    <row r="19" spans="1:22" x14ac:dyDescent="0.35">
      <c r="A19" s="10">
        <v>43936</v>
      </c>
      <c r="B19" s="11">
        <v>527</v>
      </c>
      <c r="C19" s="11">
        <v>192</v>
      </c>
      <c r="D19" s="11">
        <v>335</v>
      </c>
      <c r="E19" s="26">
        <v>0.36430000000000001</v>
      </c>
      <c r="F19" s="11">
        <v>3159</v>
      </c>
      <c r="G19" s="11">
        <v>111</v>
      </c>
      <c r="H19" s="11">
        <v>3048</v>
      </c>
      <c r="I19" s="26">
        <v>3.5099999999999999E-2</v>
      </c>
      <c r="J19" s="11">
        <v>2244</v>
      </c>
      <c r="K19" s="11">
        <v>27</v>
      </c>
      <c r="L19" s="11">
        <v>2217</v>
      </c>
      <c r="M19" s="26">
        <v>1.2E-2</v>
      </c>
      <c r="N19" s="11">
        <v>2064</v>
      </c>
      <c r="O19" s="11">
        <v>26</v>
      </c>
      <c r="P19" s="11">
        <v>2038</v>
      </c>
      <c r="Q19" s="26">
        <v>1.26E-2</v>
      </c>
      <c r="R19" s="11">
        <v>1916</v>
      </c>
      <c r="S19" s="11">
        <v>17</v>
      </c>
      <c r="T19" s="11">
        <v>1899</v>
      </c>
      <c r="U19" s="26">
        <v>8.8999999999999999E-3</v>
      </c>
      <c r="V19" s="12">
        <f t="shared" si="0"/>
        <v>3.763874873864783E-2</v>
      </c>
    </row>
    <row r="20" spans="1:22" x14ac:dyDescent="0.35">
      <c r="A20" s="10">
        <v>43937</v>
      </c>
      <c r="B20" s="11">
        <v>523</v>
      </c>
      <c r="C20" s="11">
        <v>218</v>
      </c>
      <c r="D20" s="11">
        <v>305</v>
      </c>
      <c r="E20" s="26">
        <v>0.4168</v>
      </c>
      <c r="F20" s="11">
        <v>3164</v>
      </c>
      <c r="G20" s="11">
        <v>108</v>
      </c>
      <c r="H20" s="11">
        <v>3056</v>
      </c>
      <c r="I20" s="26">
        <v>3.4099999999999998E-2</v>
      </c>
      <c r="J20" s="11">
        <v>2253</v>
      </c>
      <c r="K20" s="11">
        <v>25</v>
      </c>
      <c r="L20" s="11">
        <v>2228</v>
      </c>
      <c r="M20" s="26">
        <v>1.11E-2</v>
      </c>
      <c r="N20" s="11">
        <v>2079</v>
      </c>
      <c r="O20" s="11">
        <v>24</v>
      </c>
      <c r="P20" s="11">
        <v>2055</v>
      </c>
      <c r="Q20" s="26">
        <v>1.15E-2</v>
      </c>
      <c r="R20" s="11">
        <v>1919</v>
      </c>
      <c r="S20" s="11">
        <v>17</v>
      </c>
      <c r="T20" s="11">
        <v>1902</v>
      </c>
      <c r="U20" s="26">
        <v>8.8999999999999999E-3</v>
      </c>
      <c r="V20" s="12">
        <f t="shared" si="0"/>
        <v>3.9444556248742199E-2</v>
      </c>
    </row>
    <row r="21" spans="1:22" x14ac:dyDescent="0.35">
      <c r="A21" s="10">
        <v>43938</v>
      </c>
      <c r="B21" s="11">
        <v>531</v>
      </c>
      <c r="C21" s="11">
        <v>213</v>
      </c>
      <c r="D21" s="11">
        <v>318</v>
      </c>
      <c r="E21" s="26">
        <v>0.40110000000000001</v>
      </c>
      <c r="F21" s="11">
        <v>3124</v>
      </c>
      <c r="G21" s="11">
        <v>119</v>
      </c>
      <c r="H21" s="11">
        <v>3005</v>
      </c>
      <c r="I21" s="26">
        <v>3.8100000000000002E-2</v>
      </c>
      <c r="J21" s="11">
        <v>2253</v>
      </c>
      <c r="K21" s="11">
        <v>25</v>
      </c>
      <c r="L21" s="11">
        <v>2228</v>
      </c>
      <c r="M21" s="26">
        <v>1.11E-2</v>
      </c>
      <c r="N21" s="11">
        <v>2068</v>
      </c>
      <c r="O21" s="11">
        <v>26</v>
      </c>
      <c r="P21" s="11">
        <v>2042</v>
      </c>
      <c r="Q21" s="26">
        <v>1.26E-2</v>
      </c>
      <c r="R21" s="11">
        <v>1912</v>
      </c>
      <c r="S21" s="11">
        <v>18</v>
      </c>
      <c r="T21" s="11">
        <v>1894</v>
      </c>
      <c r="U21" s="26">
        <v>9.4000000000000004E-3</v>
      </c>
      <c r="V21" s="12">
        <f t="shared" si="0"/>
        <v>4.0554207119741101E-2</v>
      </c>
    </row>
    <row r="22" spans="1:22" x14ac:dyDescent="0.35">
      <c r="A22" s="10">
        <v>43939</v>
      </c>
      <c r="B22" s="11">
        <v>541</v>
      </c>
      <c r="C22" s="11">
        <v>220</v>
      </c>
      <c r="D22" s="11">
        <v>321</v>
      </c>
      <c r="E22" s="26">
        <v>0.40670000000000001</v>
      </c>
      <c r="F22" s="11">
        <v>3107</v>
      </c>
      <c r="G22" s="11">
        <v>141</v>
      </c>
      <c r="H22" s="11">
        <v>2966</v>
      </c>
      <c r="I22" s="26">
        <v>4.5400000000000003E-2</v>
      </c>
      <c r="J22" s="11">
        <v>2250</v>
      </c>
      <c r="K22" s="11">
        <v>32</v>
      </c>
      <c r="L22" s="11">
        <v>2218</v>
      </c>
      <c r="M22" s="26">
        <v>1.4200000000000001E-2</v>
      </c>
      <c r="N22" s="11">
        <v>2056</v>
      </c>
      <c r="O22" s="11">
        <v>30</v>
      </c>
      <c r="P22" s="11">
        <v>2026</v>
      </c>
      <c r="Q22" s="26">
        <v>1.46E-2</v>
      </c>
      <c r="R22" s="11">
        <v>1909</v>
      </c>
      <c r="S22" s="11">
        <v>21</v>
      </c>
      <c r="T22" s="11">
        <v>1888</v>
      </c>
      <c r="U22" s="26">
        <v>1.0999999999999999E-2</v>
      </c>
      <c r="V22" s="12">
        <f t="shared" si="0"/>
        <v>4.5016729189901655E-2</v>
      </c>
    </row>
    <row r="23" spans="1:22" x14ac:dyDescent="0.35">
      <c r="A23" s="10">
        <v>43940</v>
      </c>
      <c r="B23" s="11"/>
      <c r="C23" s="11"/>
      <c r="D23" s="11"/>
      <c r="E23" s="26"/>
      <c r="F23" s="11"/>
      <c r="G23" s="11"/>
      <c r="H23" s="11"/>
      <c r="I23" s="26"/>
      <c r="J23" s="11"/>
      <c r="K23" s="11"/>
      <c r="L23" s="11"/>
      <c r="M23" s="26"/>
      <c r="N23" s="11"/>
      <c r="O23" s="11"/>
      <c r="P23" s="11"/>
      <c r="Q23" s="26"/>
      <c r="R23" s="11"/>
      <c r="S23" s="11"/>
      <c r="T23" s="11"/>
      <c r="U23" s="26"/>
      <c r="V23" s="12" t="e">
        <f t="shared" si="0"/>
        <v>#DIV/0!</v>
      </c>
    </row>
    <row r="24" spans="1:22" x14ac:dyDescent="0.35">
      <c r="A24" s="10">
        <v>43941</v>
      </c>
      <c r="B24" s="11"/>
      <c r="C24" s="11"/>
      <c r="D24" s="11"/>
      <c r="E24" s="26"/>
      <c r="F24" s="11"/>
      <c r="G24" s="11"/>
      <c r="H24" s="11"/>
      <c r="I24" s="26"/>
      <c r="J24" s="11"/>
      <c r="K24" s="11"/>
      <c r="L24" s="11"/>
      <c r="M24" s="26"/>
      <c r="N24" s="11"/>
      <c r="O24" s="11"/>
      <c r="P24" s="11"/>
      <c r="Q24" s="26"/>
      <c r="R24" s="11"/>
      <c r="S24" s="11"/>
      <c r="T24" s="11"/>
      <c r="U24" s="26"/>
      <c r="V24" s="12" t="e">
        <f t="shared" si="0"/>
        <v>#DIV/0!</v>
      </c>
    </row>
    <row r="25" spans="1:22" x14ac:dyDescent="0.35">
      <c r="A25" s="10">
        <v>43942</v>
      </c>
      <c r="B25" s="11"/>
      <c r="C25" s="11"/>
      <c r="D25" s="11"/>
      <c r="E25" s="26"/>
      <c r="F25" s="11"/>
      <c r="G25" s="11"/>
      <c r="H25" s="11"/>
      <c r="I25" s="26"/>
      <c r="J25" s="11"/>
      <c r="K25" s="11"/>
      <c r="L25" s="11"/>
      <c r="M25" s="26"/>
      <c r="N25" s="11"/>
      <c r="O25" s="11"/>
      <c r="P25" s="11"/>
      <c r="Q25" s="26"/>
      <c r="R25" s="11"/>
      <c r="S25" s="11"/>
      <c r="T25" s="11"/>
      <c r="U25" s="26"/>
      <c r="V25" s="12" t="e">
        <f t="shared" si="0"/>
        <v>#DIV/0!</v>
      </c>
    </row>
    <row r="26" spans="1:22" x14ac:dyDescent="0.35">
      <c r="A26" s="10">
        <v>43943</v>
      </c>
      <c r="B26" s="11"/>
      <c r="C26" s="11"/>
      <c r="D26" s="11"/>
      <c r="E26" s="26"/>
      <c r="F26" s="11"/>
      <c r="G26" s="11"/>
      <c r="H26" s="11"/>
      <c r="I26" s="26"/>
      <c r="J26" s="11"/>
      <c r="K26" s="11"/>
      <c r="L26" s="11"/>
      <c r="M26" s="26"/>
      <c r="N26" s="11"/>
      <c r="O26" s="11"/>
      <c r="P26" s="11"/>
      <c r="Q26" s="26"/>
      <c r="R26" s="11"/>
      <c r="S26" s="11"/>
      <c r="T26" s="11"/>
      <c r="U26" s="26"/>
      <c r="V26" s="12" t="e">
        <f t="shared" si="0"/>
        <v>#DIV/0!</v>
      </c>
    </row>
    <row r="27" spans="1:22" x14ac:dyDescent="0.35">
      <c r="A27" s="10">
        <v>43944</v>
      </c>
      <c r="B27" s="11"/>
      <c r="C27" s="11"/>
      <c r="D27" s="11"/>
      <c r="E27" s="26"/>
      <c r="F27" s="11"/>
      <c r="G27" s="11"/>
      <c r="H27" s="11"/>
      <c r="I27" s="26"/>
      <c r="J27" s="11"/>
      <c r="K27" s="11"/>
      <c r="L27" s="11"/>
      <c r="M27" s="26"/>
      <c r="N27" s="11"/>
      <c r="O27" s="11"/>
      <c r="P27" s="11"/>
      <c r="Q27" s="26"/>
      <c r="R27" s="11"/>
      <c r="S27" s="11"/>
      <c r="T27" s="11"/>
      <c r="U27" s="26"/>
      <c r="V27" s="12" t="e">
        <f t="shared" si="0"/>
        <v>#DIV/0!</v>
      </c>
    </row>
    <row r="28" spans="1:22" x14ac:dyDescent="0.35">
      <c r="A28" s="10">
        <v>43945</v>
      </c>
      <c r="B28" s="11"/>
      <c r="C28" s="11"/>
      <c r="D28" s="11"/>
      <c r="E28" s="26"/>
      <c r="F28" s="11"/>
      <c r="G28" s="11"/>
      <c r="H28" s="11"/>
      <c r="I28" s="26"/>
      <c r="J28" s="11"/>
      <c r="K28" s="11"/>
      <c r="L28" s="11"/>
      <c r="M28" s="26"/>
      <c r="N28" s="11"/>
      <c r="O28" s="11"/>
      <c r="P28" s="11"/>
      <c r="Q28" s="26"/>
      <c r="R28" s="11"/>
      <c r="S28" s="11"/>
      <c r="T28" s="11"/>
      <c r="U28" s="26"/>
      <c r="V28" s="12" t="e">
        <f t="shared" si="0"/>
        <v>#DIV/0!</v>
      </c>
    </row>
    <row r="29" spans="1:22" x14ac:dyDescent="0.35">
      <c r="A29" s="10">
        <v>43946</v>
      </c>
      <c r="B29" s="11"/>
      <c r="C29" s="11"/>
      <c r="D29" s="11"/>
      <c r="E29" s="26"/>
      <c r="F29" s="11"/>
      <c r="G29" s="11"/>
      <c r="H29" s="11"/>
      <c r="I29" s="26"/>
      <c r="J29" s="11"/>
      <c r="K29" s="11"/>
      <c r="L29" s="11"/>
      <c r="M29" s="26"/>
      <c r="N29" s="11"/>
      <c r="O29" s="11"/>
      <c r="P29" s="11"/>
      <c r="Q29" s="26"/>
      <c r="R29" s="11"/>
      <c r="S29" s="11"/>
      <c r="T29" s="11"/>
      <c r="U29" s="26"/>
      <c r="V29" s="12" t="e">
        <f t="shared" si="0"/>
        <v>#DIV/0!</v>
      </c>
    </row>
    <row r="30" spans="1:22" x14ac:dyDescent="0.35">
      <c r="A30" s="10">
        <v>43947</v>
      </c>
      <c r="B30" s="11"/>
      <c r="C30" s="11"/>
      <c r="D30" s="11"/>
      <c r="E30" s="26"/>
      <c r="F30" s="11"/>
      <c r="G30" s="11"/>
      <c r="H30" s="11"/>
      <c r="I30" s="26"/>
      <c r="J30" s="11"/>
      <c r="K30" s="11"/>
      <c r="L30" s="11"/>
      <c r="M30" s="26"/>
      <c r="N30" s="11"/>
      <c r="O30" s="11"/>
      <c r="P30" s="11"/>
      <c r="Q30" s="26"/>
      <c r="R30" s="11"/>
      <c r="S30" s="11"/>
      <c r="T30" s="11"/>
      <c r="U30" s="26"/>
      <c r="V30" s="12" t="e">
        <f t="shared" si="0"/>
        <v>#DIV/0!</v>
      </c>
    </row>
    <row r="31" spans="1:22" x14ac:dyDescent="0.35">
      <c r="A31" s="10">
        <v>43948</v>
      </c>
      <c r="B31" s="11"/>
      <c r="C31" s="11"/>
      <c r="D31" s="11"/>
      <c r="E31" s="26"/>
      <c r="F31" s="11"/>
      <c r="G31" s="11"/>
      <c r="H31" s="11"/>
      <c r="I31" s="26"/>
      <c r="J31" s="11"/>
      <c r="K31" s="11"/>
      <c r="L31" s="11"/>
      <c r="M31" s="26"/>
      <c r="N31" s="11"/>
      <c r="O31" s="11"/>
      <c r="P31" s="11"/>
      <c r="Q31" s="26"/>
      <c r="R31" s="11"/>
      <c r="S31" s="11"/>
      <c r="T31" s="11"/>
      <c r="U31" s="26"/>
      <c r="V31" s="12" t="e">
        <f t="shared" si="0"/>
        <v>#DIV/0!</v>
      </c>
    </row>
    <row r="32" spans="1:22" x14ac:dyDescent="0.35">
      <c r="A32" s="10">
        <v>43949</v>
      </c>
      <c r="B32" s="11"/>
      <c r="C32" s="11"/>
      <c r="D32" s="11"/>
      <c r="E32" s="26"/>
      <c r="F32" s="11"/>
      <c r="G32" s="11"/>
      <c r="H32" s="11"/>
      <c r="I32" s="26"/>
      <c r="J32" s="11"/>
      <c r="K32" s="11"/>
      <c r="L32" s="11"/>
      <c r="M32" s="26"/>
      <c r="N32" s="11"/>
      <c r="O32" s="11"/>
      <c r="P32" s="11"/>
      <c r="Q32" s="26"/>
      <c r="R32" s="11"/>
      <c r="S32" s="11"/>
      <c r="T32" s="11"/>
      <c r="U32" s="26"/>
      <c r="V32" s="12" t="e">
        <f t="shared" si="0"/>
        <v>#DIV/0!</v>
      </c>
    </row>
    <row r="33" spans="1:22" x14ac:dyDescent="0.35">
      <c r="A33" s="10">
        <v>43950</v>
      </c>
      <c r="B33" s="11"/>
      <c r="C33" s="11"/>
      <c r="D33" s="11"/>
      <c r="E33" s="26"/>
      <c r="F33" s="11"/>
      <c r="G33" s="11"/>
      <c r="H33" s="11"/>
      <c r="I33" s="26"/>
      <c r="J33" s="11"/>
      <c r="K33" s="11"/>
      <c r="L33" s="11"/>
      <c r="M33" s="26"/>
      <c r="N33" s="11"/>
      <c r="O33" s="11"/>
      <c r="P33" s="11"/>
      <c r="Q33" s="26"/>
      <c r="R33" s="11"/>
      <c r="S33" s="11"/>
      <c r="T33" s="11"/>
      <c r="U33" s="26"/>
      <c r="V33" s="12" t="e">
        <f t="shared" si="0"/>
        <v>#DIV/0!</v>
      </c>
    </row>
    <row r="34" spans="1:22" x14ac:dyDescent="0.35">
      <c r="A34" s="10">
        <v>43951</v>
      </c>
      <c r="B34" s="11"/>
      <c r="C34" s="11"/>
      <c r="D34" s="11"/>
      <c r="E34" s="26"/>
      <c r="F34" s="11"/>
      <c r="G34" s="11"/>
      <c r="H34" s="11"/>
      <c r="I34" s="26"/>
      <c r="J34" s="11"/>
      <c r="K34" s="11"/>
      <c r="L34" s="11"/>
      <c r="M34" s="26"/>
      <c r="N34" s="11"/>
      <c r="O34" s="11"/>
      <c r="P34" s="11"/>
      <c r="Q34" s="26"/>
      <c r="R34" s="11"/>
      <c r="S34" s="11"/>
      <c r="T34" s="11"/>
      <c r="U34" s="26"/>
      <c r="V34" s="12" t="e">
        <f t="shared" si="0"/>
        <v>#DIV/0!</v>
      </c>
    </row>
    <row r="35" spans="1:22" x14ac:dyDescent="0.35">
      <c r="A35" s="10"/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9177</v>
      </c>
      <c r="C36" s="22">
        <f>SUM(C5:C35)</f>
        <v>3813</v>
      </c>
      <c r="D36" s="22">
        <f>SUM(D5:D35)</f>
        <v>5364</v>
      </c>
      <c r="E36" s="23">
        <f>C36/B36</f>
        <v>0.41549525988885255</v>
      </c>
      <c r="F36" s="22">
        <f>SUM(F5:F35)</f>
        <v>55529</v>
      </c>
      <c r="G36" s="22">
        <f>SUM(G5:G35)</f>
        <v>2464</v>
      </c>
      <c r="H36" s="22">
        <f>SUM(H5:H35)</f>
        <v>53065</v>
      </c>
      <c r="I36" s="23">
        <f>G36/F36</f>
        <v>4.4373210394568603E-2</v>
      </c>
      <c r="J36" s="22">
        <f>SUM(J5:J35)</f>
        <v>40073</v>
      </c>
      <c r="K36" s="22">
        <f>SUM(K5:K35)</f>
        <v>479</v>
      </c>
      <c r="L36" s="22">
        <f>SUM(L5:L35)</f>
        <v>39594</v>
      </c>
      <c r="M36" s="23">
        <f>K36/J36</f>
        <v>1.1953185436578244E-2</v>
      </c>
      <c r="N36" s="22">
        <f>SUM(N5:N35)</f>
        <v>37891</v>
      </c>
      <c r="O36" s="22">
        <f>SUM(O5:O35)</f>
        <v>430</v>
      </c>
      <c r="P36" s="22">
        <f>SUM(P5:P35)</f>
        <v>37461</v>
      </c>
      <c r="Q36" s="23">
        <f>O36/N36</f>
        <v>1.1348341294766567E-2</v>
      </c>
      <c r="R36" s="22">
        <f>SUM(R5:R35)</f>
        <v>34754</v>
      </c>
      <c r="S36" s="22">
        <f>SUM(S5:S35)</f>
        <v>470</v>
      </c>
      <c r="T36" s="22">
        <f>SUM(T5:T35)</f>
        <v>34284</v>
      </c>
      <c r="U36" s="23">
        <f>S36/R36</f>
        <v>1.3523623180065603E-2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0.94430740883830122</v>
      </c>
      <c r="F38" s="33"/>
      <c r="G38" s="34"/>
      <c r="H38" s="35"/>
      <c r="I38" s="16">
        <f>I36/I37</f>
        <v>1.1377746255017591</v>
      </c>
      <c r="J38" s="33"/>
      <c r="K38" s="34"/>
      <c r="L38" s="35"/>
      <c r="M38" s="16">
        <f>M36/M37</f>
        <v>0.42689947987779442</v>
      </c>
      <c r="N38" s="33"/>
      <c r="O38" s="34"/>
      <c r="P38" s="35"/>
      <c r="Q38" s="16">
        <f>Q36/Q37</f>
        <v>1.0316673904333242</v>
      </c>
      <c r="R38" s="33"/>
      <c r="S38" s="34"/>
      <c r="T38" s="35"/>
      <c r="U38" s="16">
        <f>U36/U37</f>
        <v>1.2294202890968731</v>
      </c>
      <c r="V38" s="16" t="e">
        <f>V36/V37</f>
        <v>#DIV/0!</v>
      </c>
    </row>
    <row r="39" spans="1:22" x14ac:dyDescent="0.35">
      <c r="A39">
        <v>2</v>
      </c>
      <c r="B39">
        <f>B36*$A$39</f>
        <v>18354</v>
      </c>
      <c r="C39">
        <f t="shared" ref="C39:T39" si="1">C36*$A$39</f>
        <v>7626</v>
      </c>
      <c r="D39">
        <f t="shared" si="1"/>
        <v>10728</v>
      </c>
      <c r="F39">
        <f t="shared" si="1"/>
        <v>111058</v>
      </c>
      <c r="G39">
        <f t="shared" si="1"/>
        <v>4928</v>
      </c>
      <c r="H39">
        <f t="shared" si="1"/>
        <v>106130</v>
      </c>
      <c r="J39">
        <f t="shared" si="1"/>
        <v>80146</v>
      </c>
      <c r="K39">
        <f t="shared" si="1"/>
        <v>958</v>
      </c>
      <c r="L39">
        <f t="shared" si="1"/>
        <v>79188</v>
      </c>
      <c r="N39">
        <f t="shared" si="1"/>
        <v>75782</v>
      </c>
      <c r="O39">
        <f t="shared" si="1"/>
        <v>860</v>
      </c>
      <c r="P39">
        <f t="shared" si="1"/>
        <v>74922</v>
      </c>
      <c r="R39">
        <f t="shared" si="1"/>
        <v>69508</v>
      </c>
      <c r="S39">
        <f t="shared" si="1"/>
        <v>940</v>
      </c>
      <c r="T39">
        <f t="shared" si="1"/>
        <v>68568</v>
      </c>
    </row>
    <row r="40" spans="1:22" x14ac:dyDescent="0.35">
      <c r="E40" s="13"/>
    </row>
    <row r="41" spans="1:22" ht="39" customHeight="1" x14ac:dyDescent="0.35">
      <c r="B41" s="27">
        <f>VLOOKUP(B$2,'[4]190420'!$A$2:$F$25,3,0)</f>
        <v>541</v>
      </c>
      <c r="C41" s="27">
        <f>VLOOKUP(B$2,'[4]190420'!$A$2:$F$25,4,0)</f>
        <v>220</v>
      </c>
      <c r="D41" s="27">
        <f>VLOOKUP(B$2,'[4]190420'!$A$2:$F$25,5,0)</f>
        <v>321</v>
      </c>
      <c r="E41" s="28">
        <f>VLOOKUP(B$2,'[4]190420'!$A$2:$F$25,6,0)</f>
        <v>0.40670000000000001</v>
      </c>
      <c r="F41" s="27">
        <f>VLOOKUP(F$2,'[4]190420'!$A$2:$F$25,3,0)</f>
        <v>3107</v>
      </c>
      <c r="G41" s="27">
        <f>VLOOKUP(F$2,'[4]190420'!$A$2:$F$25,4,0)</f>
        <v>141</v>
      </c>
      <c r="H41" s="27">
        <f>VLOOKUP(F$2,'[4]190420'!$A$2:$F$25,5,0)</f>
        <v>2966</v>
      </c>
      <c r="I41" s="29">
        <f>VLOOKUP(F$2,'[4]190420'!$A$2:$F$25,6,0)</f>
        <v>4.5400000000000003E-2</v>
      </c>
      <c r="J41" s="27">
        <f>VLOOKUP(J$2,'[4]190420'!$A$2:$F$25,3,0)</f>
        <v>2250</v>
      </c>
      <c r="K41" s="27">
        <f>VLOOKUP(J$2,'[4]190420'!$A$2:$F$25,4,0)</f>
        <v>32</v>
      </c>
      <c r="L41" s="27">
        <f>VLOOKUP(J$2,'[4]190420'!$A$2:$F$25,5,0)</f>
        <v>2218</v>
      </c>
      <c r="M41" s="28">
        <f>VLOOKUP(J$2,'[4]190420'!$A$2:$F$25,6,0)</f>
        <v>1.4200000000000001E-2</v>
      </c>
      <c r="N41" s="27">
        <f>VLOOKUP(N$2,'[4]190420'!$A$2:$F$25,3,0)</f>
        <v>2056</v>
      </c>
      <c r="O41" s="27">
        <f>VLOOKUP(N$2,'[4]190420'!$A$2:$F$25,4,0)</f>
        <v>30</v>
      </c>
      <c r="P41" s="27">
        <f>VLOOKUP(N$2,'[4]190420'!$A$2:$F$25,5,0)</f>
        <v>2026</v>
      </c>
      <c r="Q41" s="28">
        <f>VLOOKUP(N$2,'[4]190420'!$A$2:$F$25,6,0)</f>
        <v>1.46E-2</v>
      </c>
      <c r="R41" s="27">
        <f>VLOOKUP(R$2,'[4]190420'!$A$2:$F$25,3,0)</f>
        <v>1909</v>
      </c>
      <c r="S41" s="27">
        <f>VLOOKUP(R$2,'[4]190420'!$A$2:$F$25,4,0)</f>
        <v>21</v>
      </c>
      <c r="T41" s="27">
        <f>VLOOKUP(R$2,'[4]190420'!$A$2:$F$25,5,0)</f>
        <v>1888</v>
      </c>
      <c r="U41" s="28">
        <f>VLOOKUP(R$2,'[4]190420'!$A$2:$F$25,6,0)</f>
        <v>1.0999999999999999E-2</v>
      </c>
    </row>
    <row r="42" spans="1:22" x14ac:dyDescent="0.35">
      <c r="G42">
        <v>0</v>
      </c>
    </row>
    <row r="43" spans="1:22" x14ac:dyDescent="0.35">
      <c r="E43" s="14"/>
    </row>
    <row r="44" spans="1:22" ht="13.5" x14ac:dyDescent="0.35">
      <c r="B44">
        <f>B39+F39+J39+N39+R39</f>
        <v>354848</v>
      </c>
      <c r="C44">
        <f>C39+G39+K39+O39+S39</f>
        <v>15312</v>
      </c>
      <c r="E44" s="23">
        <f>C44/B44</f>
        <v>4.3150870231761201E-2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4"/>
  <sheetViews>
    <sheetView topLeftCell="A16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43586</v>
      </c>
      <c r="B5" s="11">
        <v>492</v>
      </c>
      <c r="C5" s="11">
        <v>204</v>
      </c>
      <c r="D5" s="11">
        <v>288</v>
      </c>
      <c r="E5" s="26">
        <v>0.41460000000000002</v>
      </c>
      <c r="F5" s="11">
        <v>3326</v>
      </c>
      <c r="G5" s="11">
        <v>116</v>
      </c>
      <c r="H5" s="11">
        <v>3210</v>
      </c>
      <c r="I5" s="26">
        <v>3.49E-2</v>
      </c>
      <c r="J5" s="11">
        <v>2549</v>
      </c>
      <c r="K5" s="11">
        <v>40</v>
      </c>
      <c r="L5" s="11">
        <v>2509</v>
      </c>
      <c r="M5" s="26">
        <v>1.5699999999999999E-2</v>
      </c>
      <c r="N5" s="11">
        <v>2999</v>
      </c>
      <c r="O5" s="11">
        <v>33</v>
      </c>
      <c r="P5" s="11">
        <v>2966</v>
      </c>
      <c r="Q5" s="26">
        <v>1.0999999999999999E-2</v>
      </c>
      <c r="R5" s="11">
        <v>3084</v>
      </c>
      <c r="S5" s="11">
        <v>43</v>
      </c>
      <c r="T5" s="11">
        <v>3041</v>
      </c>
      <c r="U5" s="26">
        <v>1.3899999999999999E-2</v>
      </c>
      <c r="V5" s="12">
        <f t="shared" ref="V5:V34" si="0">(C5+G5+K5+O5+S5)/(B5+F5+J5+N5+R5)</f>
        <v>3.5020080321285139E-2</v>
      </c>
    </row>
    <row r="6" spans="1:22" x14ac:dyDescent="0.35">
      <c r="A6" s="10">
        <v>43587</v>
      </c>
      <c r="B6" s="11">
        <v>490</v>
      </c>
      <c r="C6" s="11">
        <v>183</v>
      </c>
      <c r="D6" s="11">
        <v>307</v>
      </c>
      <c r="E6" s="26">
        <v>0.3735</v>
      </c>
      <c r="F6" s="11">
        <v>3308</v>
      </c>
      <c r="G6" s="11">
        <v>113</v>
      </c>
      <c r="H6" s="11">
        <v>3195</v>
      </c>
      <c r="I6" s="26">
        <v>3.4200000000000001E-2</v>
      </c>
      <c r="J6" s="11">
        <v>2547</v>
      </c>
      <c r="K6" s="11">
        <v>41</v>
      </c>
      <c r="L6" s="11">
        <v>2506</v>
      </c>
      <c r="M6" s="26">
        <v>1.61E-2</v>
      </c>
      <c r="N6" s="11">
        <v>2976</v>
      </c>
      <c r="O6" s="11">
        <v>35</v>
      </c>
      <c r="P6" s="11">
        <v>2941</v>
      </c>
      <c r="Q6" s="26">
        <v>1.18E-2</v>
      </c>
      <c r="R6" s="11">
        <v>3081</v>
      </c>
      <c r="S6" s="11">
        <v>43</v>
      </c>
      <c r="T6" s="11">
        <v>3038</v>
      </c>
      <c r="U6" s="26">
        <v>1.4E-2</v>
      </c>
      <c r="V6" s="12">
        <f>(C6+G6+K6+O6+S6)/(B6+F6+J6+N6+R6)</f>
        <v>3.34623447830995E-2</v>
      </c>
    </row>
    <row r="7" spans="1:22" x14ac:dyDescent="0.35">
      <c r="A7" s="10">
        <v>43588</v>
      </c>
      <c r="B7" s="11">
        <v>496</v>
      </c>
      <c r="C7" s="11">
        <v>184</v>
      </c>
      <c r="D7" s="11">
        <v>312</v>
      </c>
      <c r="E7" s="26">
        <v>0.371</v>
      </c>
      <c r="F7" s="11">
        <v>3282</v>
      </c>
      <c r="G7" s="11">
        <v>118</v>
      </c>
      <c r="H7" s="11">
        <v>3164</v>
      </c>
      <c r="I7" s="26">
        <v>3.5999999999999997E-2</v>
      </c>
      <c r="J7" s="11">
        <v>2548</v>
      </c>
      <c r="K7" s="11">
        <v>41</v>
      </c>
      <c r="L7" s="11">
        <v>2507</v>
      </c>
      <c r="M7" s="26">
        <v>1.61E-2</v>
      </c>
      <c r="N7" s="11">
        <v>2964</v>
      </c>
      <c r="O7" s="11">
        <v>35</v>
      </c>
      <c r="P7" s="11">
        <v>2929</v>
      </c>
      <c r="Q7" s="26">
        <v>1.18E-2</v>
      </c>
      <c r="R7" s="11">
        <v>3031</v>
      </c>
      <c r="S7" s="11">
        <v>44</v>
      </c>
      <c r="T7" s="11">
        <v>2987</v>
      </c>
      <c r="U7" s="26">
        <v>1.4500000000000001E-2</v>
      </c>
      <c r="V7" s="12">
        <f>(C7+G7+K7+O7+S7)/(B7+F7+J7+N7+R7)</f>
        <v>3.4250466682899113E-2</v>
      </c>
    </row>
    <row r="8" spans="1:22" x14ac:dyDescent="0.35">
      <c r="A8" s="10">
        <v>43589</v>
      </c>
      <c r="B8" s="11">
        <v>499</v>
      </c>
      <c r="C8" s="11">
        <v>180</v>
      </c>
      <c r="D8" s="11">
        <v>319</v>
      </c>
      <c r="E8" s="26">
        <v>0.36070000000000002</v>
      </c>
      <c r="F8" s="11">
        <v>3290</v>
      </c>
      <c r="G8" s="11">
        <v>104</v>
      </c>
      <c r="H8" s="11">
        <v>3186</v>
      </c>
      <c r="I8" s="26">
        <v>3.1600000000000003E-2</v>
      </c>
      <c r="J8" s="11">
        <v>2559</v>
      </c>
      <c r="K8" s="11">
        <v>35</v>
      </c>
      <c r="L8" s="11">
        <v>2524</v>
      </c>
      <c r="M8" s="26">
        <v>1.37E-2</v>
      </c>
      <c r="N8" s="11">
        <v>3021</v>
      </c>
      <c r="O8" s="11">
        <v>32</v>
      </c>
      <c r="P8" s="11">
        <v>2989</v>
      </c>
      <c r="Q8" s="26">
        <v>1.06E-2</v>
      </c>
      <c r="R8" s="11">
        <v>3030</v>
      </c>
      <c r="S8" s="11">
        <v>41</v>
      </c>
      <c r="T8" s="11">
        <v>2989</v>
      </c>
      <c r="U8" s="26">
        <v>1.35E-2</v>
      </c>
      <c r="V8" s="12">
        <f t="shared" si="0"/>
        <v>3.1615452859101542E-2</v>
      </c>
    </row>
    <row r="9" spans="1:22" x14ac:dyDescent="0.35">
      <c r="A9" s="10">
        <v>43590</v>
      </c>
      <c r="B9" s="11">
        <v>499</v>
      </c>
      <c r="C9" s="11">
        <v>218</v>
      </c>
      <c r="D9" s="11">
        <v>281</v>
      </c>
      <c r="E9" s="26">
        <v>0.43690000000000001</v>
      </c>
      <c r="F9" s="11">
        <v>3253</v>
      </c>
      <c r="G9" s="11">
        <v>123</v>
      </c>
      <c r="H9" s="11">
        <v>3130</v>
      </c>
      <c r="I9" s="26">
        <v>3.78E-2</v>
      </c>
      <c r="J9" s="11">
        <v>2555</v>
      </c>
      <c r="K9" s="11">
        <v>37</v>
      </c>
      <c r="L9" s="11">
        <v>2518</v>
      </c>
      <c r="M9" s="26">
        <v>1.4500000000000001E-2</v>
      </c>
      <c r="N9" s="11">
        <v>2999</v>
      </c>
      <c r="O9" s="11">
        <v>35</v>
      </c>
      <c r="P9" s="11">
        <v>2964</v>
      </c>
      <c r="Q9" s="26">
        <v>1.17E-2</v>
      </c>
      <c r="R9" s="11">
        <v>3035</v>
      </c>
      <c r="S9" s="11">
        <v>51</v>
      </c>
      <c r="T9" s="11">
        <v>2984</v>
      </c>
      <c r="U9" s="26">
        <v>1.6799999999999999E-2</v>
      </c>
      <c r="V9" s="12">
        <f t="shared" si="0"/>
        <v>3.7598249736650192E-2</v>
      </c>
    </row>
    <row r="10" spans="1:22" x14ac:dyDescent="0.35">
      <c r="A10" s="10">
        <v>43591</v>
      </c>
      <c r="B10" s="11">
        <v>496</v>
      </c>
      <c r="C10" s="11">
        <v>193</v>
      </c>
      <c r="D10" s="11">
        <v>303</v>
      </c>
      <c r="E10" s="26">
        <v>0.3891</v>
      </c>
      <c r="F10" s="11">
        <v>3300</v>
      </c>
      <c r="G10" s="11">
        <v>151</v>
      </c>
      <c r="H10" s="11">
        <v>3149</v>
      </c>
      <c r="I10" s="26">
        <v>4.58E-2</v>
      </c>
      <c r="J10" s="11">
        <v>2558</v>
      </c>
      <c r="K10" s="11">
        <v>39</v>
      </c>
      <c r="L10" s="11">
        <v>2519</v>
      </c>
      <c r="M10" s="26">
        <v>1.52E-2</v>
      </c>
      <c r="N10" s="11">
        <v>3020</v>
      </c>
      <c r="O10" s="11">
        <v>31</v>
      </c>
      <c r="P10" s="11">
        <v>2989</v>
      </c>
      <c r="Q10" s="26">
        <v>1.03E-2</v>
      </c>
      <c r="R10" s="11">
        <v>3043</v>
      </c>
      <c r="S10" s="11">
        <v>46</v>
      </c>
      <c r="T10" s="11">
        <v>2997</v>
      </c>
      <c r="U10" s="26">
        <v>1.5100000000000001E-2</v>
      </c>
      <c r="V10" s="12">
        <f t="shared" si="0"/>
        <v>3.7045985342675364E-2</v>
      </c>
    </row>
    <row r="11" spans="1:22" x14ac:dyDescent="0.35">
      <c r="A11" s="10">
        <v>43592</v>
      </c>
      <c r="B11" s="11">
        <v>501</v>
      </c>
      <c r="C11" s="11">
        <v>190</v>
      </c>
      <c r="D11" s="11">
        <v>311</v>
      </c>
      <c r="E11" s="26">
        <v>0.37919999999999998</v>
      </c>
      <c r="F11" s="11">
        <v>3328</v>
      </c>
      <c r="G11" s="11">
        <v>112</v>
      </c>
      <c r="H11" s="11">
        <v>3216</v>
      </c>
      <c r="I11" s="26">
        <v>3.3700000000000001E-2</v>
      </c>
      <c r="J11" s="11">
        <v>2569</v>
      </c>
      <c r="K11" s="11">
        <v>43</v>
      </c>
      <c r="L11" s="11">
        <v>2526</v>
      </c>
      <c r="M11" s="26">
        <v>1.67E-2</v>
      </c>
      <c r="N11" s="11">
        <v>3016</v>
      </c>
      <c r="O11" s="11">
        <v>31</v>
      </c>
      <c r="P11" s="11">
        <v>2985</v>
      </c>
      <c r="Q11" s="26">
        <v>1.03E-2</v>
      </c>
      <c r="R11" s="11">
        <v>3055</v>
      </c>
      <c r="S11" s="11">
        <v>40</v>
      </c>
      <c r="T11" s="11">
        <v>3015</v>
      </c>
      <c r="U11" s="26">
        <v>1.3100000000000001E-2</v>
      </c>
      <c r="V11" s="12">
        <f t="shared" si="0"/>
        <v>3.3362739594193599E-2</v>
      </c>
    </row>
    <row r="12" spans="1:22" x14ac:dyDescent="0.35">
      <c r="A12" s="10">
        <v>43593</v>
      </c>
      <c r="B12" s="11">
        <v>507</v>
      </c>
      <c r="C12" s="11">
        <v>176</v>
      </c>
      <c r="D12" s="11">
        <v>331</v>
      </c>
      <c r="E12" s="26">
        <v>0.34710000000000002</v>
      </c>
      <c r="F12" s="11">
        <v>3356</v>
      </c>
      <c r="G12" s="11">
        <v>119</v>
      </c>
      <c r="H12" s="11">
        <v>3237</v>
      </c>
      <c r="I12" s="26">
        <v>3.5499999999999997E-2</v>
      </c>
      <c r="J12" s="11">
        <v>2580</v>
      </c>
      <c r="K12" s="11">
        <v>41</v>
      </c>
      <c r="L12" s="11">
        <v>2539</v>
      </c>
      <c r="M12" s="26">
        <v>1.5900000000000001E-2</v>
      </c>
      <c r="N12" s="11">
        <v>3017</v>
      </c>
      <c r="O12" s="11">
        <v>30</v>
      </c>
      <c r="P12" s="11">
        <v>2987</v>
      </c>
      <c r="Q12" s="26">
        <v>9.9000000000000008E-3</v>
      </c>
      <c r="R12" s="11">
        <v>3049</v>
      </c>
      <c r="S12" s="11">
        <v>41</v>
      </c>
      <c r="T12" s="11">
        <v>3008</v>
      </c>
      <c r="U12" s="26">
        <v>1.34E-2</v>
      </c>
      <c r="V12" s="12">
        <f t="shared" si="0"/>
        <v>3.2536573666959792E-2</v>
      </c>
    </row>
    <row r="13" spans="1:22" x14ac:dyDescent="0.35">
      <c r="A13" s="10">
        <v>43594</v>
      </c>
      <c r="B13" s="11">
        <v>504</v>
      </c>
      <c r="C13" s="11">
        <v>173</v>
      </c>
      <c r="D13" s="11">
        <v>331</v>
      </c>
      <c r="E13" s="26">
        <v>0.34329999999999999</v>
      </c>
      <c r="F13" s="11">
        <v>3363</v>
      </c>
      <c r="G13" s="11">
        <v>104</v>
      </c>
      <c r="H13" s="11">
        <v>3259</v>
      </c>
      <c r="I13" s="26">
        <v>3.09E-2</v>
      </c>
      <c r="J13" s="11">
        <v>2579</v>
      </c>
      <c r="K13" s="11">
        <v>41</v>
      </c>
      <c r="L13" s="11">
        <v>2538</v>
      </c>
      <c r="M13" s="26">
        <v>1.5900000000000001E-2</v>
      </c>
      <c r="N13" s="11">
        <v>3003</v>
      </c>
      <c r="O13" s="11">
        <v>31</v>
      </c>
      <c r="P13" s="11">
        <v>2972</v>
      </c>
      <c r="Q13" s="26">
        <v>1.03E-2</v>
      </c>
      <c r="R13" s="11">
        <v>3047</v>
      </c>
      <c r="S13" s="11">
        <v>42</v>
      </c>
      <c r="T13" s="11">
        <v>3005</v>
      </c>
      <c r="U13" s="26">
        <v>1.38E-2</v>
      </c>
      <c r="V13" s="12">
        <f t="shared" si="0"/>
        <v>3.1290012804097309E-2</v>
      </c>
    </row>
    <row r="14" spans="1:22" x14ac:dyDescent="0.35">
      <c r="A14" s="10">
        <v>43595</v>
      </c>
      <c r="B14" s="11">
        <v>509</v>
      </c>
      <c r="C14" s="11">
        <v>181</v>
      </c>
      <c r="D14" s="11">
        <v>328</v>
      </c>
      <c r="E14" s="26">
        <v>0.35560000000000003</v>
      </c>
      <c r="F14" s="11">
        <v>3384</v>
      </c>
      <c r="G14" s="11">
        <v>102</v>
      </c>
      <c r="H14" s="11">
        <v>3282</v>
      </c>
      <c r="I14" s="26">
        <v>3.0099999999999998E-2</v>
      </c>
      <c r="J14" s="11">
        <v>2574</v>
      </c>
      <c r="K14" s="11">
        <v>41</v>
      </c>
      <c r="L14" s="11">
        <v>2533</v>
      </c>
      <c r="M14" s="26">
        <v>1.5900000000000001E-2</v>
      </c>
      <c r="N14" s="11">
        <v>3014</v>
      </c>
      <c r="O14" s="11">
        <v>32</v>
      </c>
      <c r="P14" s="11">
        <v>2982</v>
      </c>
      <c r="Q14" s="26">
        <v>1.06E-2</v>
      </c>
      <c r="R14" s="11">
        <v>3052</v>
      </c>
      <c r="S14" s="11">
        <v>46</v>
      </c>
      <c r="T14" s="11">
        <v>3006</v>
      </c>
      <c r="U14" s="26">
        <v>1.5100000000000001E-2</v>
      </c>
      <c r="V14" s="12">
        <f t="shared" si="0"/>
        <v>3.2075321152158304E-2</v>
      </c>
    </row>
    <row r="15" spans="1:22" x14ac:dyDescent="0.35">
      <c r="A15" s="10">
        <v>43596</v>
      </c>
      <c r="B15" s="11">
        <v>507</v>
      </c>
      <c r="C15" s="11">
        <v>187</v>
      </c>
      <c r="D15" s="11">
        <v>320</v>
      </c>
      <c r="E15" s="26">
        <v>0.36880000000000002</v>
      </c>
      <c r="F15" s="11">
        <v>3378</v>
      </c>
      <c r="G15" s="11">
        <v>107</v>
      </c>
      <c r="H15" s="11">
        <v>3271</v>
      </c>
      <c r="I15" s="26">
        <v>3.1699999999999999E-2</v>
      </c>
      <c r="J15" s="11">
        <v>2573</v>
      </c>
      <c r="K15" s="11">
        <v>43</v>
      </c>
      <c r="L15" s="11">
        <v>2530</v>
      </c>
      <c r="M15" s="26">
        <v>1.67E-2</v>
      </c>
      <c r="N15" s="11">
        <v>3052</v>
      </c>
      <c r="O15" s="11">
        <v>31</v>
      </c>
      <c r="P15" s="11">
        <v>3021</v>
      </c>
      <c r="Q15" s="26">
        <v>1.0200000000000001E-2</v>
      </c>
      <c r="R15" s="11">
        <v>2865</v>
      </c>
      <c r="S15" s="11">
        <v>49</v>
      </c>
      <c r="T15" s="11">
        <v>2816</v>
      </c>
      <c r="U15" s="26">
        <v>1.7100000000000001E-2</v>
      </c>
      <c r="V15" s="12">
        <f t="shared" si="0"/>
        <v>3.3696969696969697E-2</v>
      </c>
    </row>
    <row r="16" spans="1:22" x14ac:dyDescent="0.35">
      <c r="A16" s="10">
        <v>43597</v>
      </c>
      <c r="B16" s="11">
        <v>500</v>
      </c>
      <c r="C16" s="11">
        <v>224</v>
      </c>
      <c r="D16" s="11">
        <v>276</v>
      </c>
      <c r="E16" s="26">
        <v>0.44800000000000001</v>
      </c>
      <c r="F16" s="11">
        <v>3354</v>
      </c>
      <c r="G16" s="11">
        <v>143</v>
      </c>
      <c r="H16" s="11">
        <v>3211</v>
      </c>
      <c r="I16" s="26">
        <v>4.2599999999999999E-2</v>
      </c>
      <c r="J16" s="11">
        <v>2564</v>
      </c>
      <c r="K16" s="11">
        <v>45</v>
      </c>
      <c r="L16" s="11">
        <v>2519</v>
      </c>
      <c r="M16" s="26">
        <v>1.7600000000000001E-2</v>
      </c>
      <c r="N16" s="11">
        <v>3022</v>
      </c>
      <c r="O16" s="11">
        <v>34</v>
      </c>
      <c r="P16" s="11">
        <v>2988</v>
      </c>
      <c r="Q16" s="26">
        <v>1.1299999999999999E-2</v>
      </c>
      <c r="R16" s="11">
        <v>2862</v>
      </c>
      <c r="S16" s="11">
        <v>65</v>
      </c>
      <c r="T16" s="11">
        <v>2797</v>
      </c>
      <c r="U16" s="26">
        <v>2.2700000000000001E-2</v>
      </c>
      <c r="V16" s="12">
        <f t="shared" si="0"/>
        <v>4.1537961307104534E-2</v>
      </c>
    </row>
    <row r="17" spans="1:22" x14ac:dyDescent="0.35">
      <c r="A17" s="10">
        <v>43598</v>
      </c>
      <c r="B17" s="11">
        <v>499</v>
      </c>
      <c r="C17" s="11">
        <v>206</v>
      </c>
      <c r="D17" s="11">
        <v>293</v>
      </c>
      <c r="E17" s="26">
        <v>0.4128</v>
      </c>
      <c r="F17" s="11">
        <v>3370</v>
      </c>
      <c r="G17" s="11">
        <v>112</v>
      </c>
      <c r="H17" s="11">
        <v>3258</v>
      </c>
      <c r="I17" s="26">
        <v>3.32E-2</v>
      </c>
      <c r="J17" s="11">
        <v>2570</v>
      </c>
      <c r="K17" s="11">
        <v>44</v>
      </c>
      <c r="L17" s="11">
        <v>2526</v>
      </c>
      <c r="M17" s="26">
        <v>1.7100000000000001E-2</v>
      </c>
      <c r="N17" s="11">
        <v>3070</v>
      </c>
      <c r="O17" s="11">
        <v>31</v>
      </c>
      <c r="P17" s="11">
        <v>3039</v>
      </c>
      <c r="Q17" s="26">
        <v>1.01E-2</v>
      </c>
      <c r="R17" s="11">
        <v>2925</v>
      </c>
      <c r="S17" s="11">
        <v>30</v>
      </c>
      <c r="T17" s="11">
        <v>2895</v>
      </c>
      <c r="U17" s="26">
        <v>1.03E-2</v>
      </c>
      <c r="V17" s="12">
        <f t="shared" si="0"/>
        <v>3.4019623612674924E-2</v>
      </c>
    </row>
    <row r="18" spans="1:22" x14ac:dyDescent="0.35">
      <c r="A18" s="10">
        <v>43599</v>
      </c>
      <c r="B18" s="11">
        <v>508</v>
      </c>
      <c r="C18" s="11">
        <v>209</v>
      </c>
      <c r="D18" s="11">
        <v>299</v>
      </c>
      <c r="E18" s="26">
        <v>0.41139999999999999</v>
      </c>
      <c r="F18" s="11">
        <v>3379</v>
      </c>
      <c r="G18" s="11">
        <v>113</v>
      </c>
      <c r="H18" s="11">
        <v>3266</v>
      </c>
      <c r="I18" s="26">
        <v>3.3399999999999999E-2</v>
      </c>
      <c r="J18" s="11">
        <v>2582</v>
      </c>
      <c r="K18" s="11">
        <v>42</v>
      </c>
      <c r="L18" s="11">
        <v>2540</v>
      </c>
      <c r="M18" s="26">
        <v>1.6299999999999999E-2</v>
      </c>
      <c r="N18" s="11">
        <v>3083</v>
      </c>
      <c r="O18" s="11">
        <v>33</v>
      </c>
      <c r="P18" s="11">
        <v>3050</v>
      </c>
      <c r="Q18" s="26">
        <v>1.0699999999999999E-2</v>
      </c>
      <c r="R18" s="11">
        <v>2921</v>
      </c>
      <c r="S18" s="11">
        <v>30</v>
      </c>
      <c r="T18" s="11">
        <v>2891</v>
      </c>
      <c r="U18" s="26">
        <v>1.03E-2</v>
      </c>
      <c r="V18" s="12">
        <f t="shared" si="0"/>
        <v>3.4233945321895297E-2</v>
      </c>
    </row>
    <row r="19" spans="1:22" x14ac:dyDescent="0.35">
      <c r="A19" s="10">
        <v>43600</v>
      </c>
      <c r="B19" s="11">
        <v>516</v>
      </c>
      <c r="C19" s="11">
        <v>178</v>
      </c>
      <c r="D19" s="11">
        <v>338</v>
      </c>
      <c r="E19" s="26">
        <v>0.34499999999999997</v>
      </c>
      <c r="F19" s="11">
        <v>3384</v>
      </c>
      <c r="G19" s="11">
        <v>103</v>
      </c>
      <c r="H19" s="11">
        <v>3281</v>
      </c>
      <c r="I19" s="26">
        <v>3.04E-2</v>
      </c>
      <c r="J19" s="11">
        <v>2582</v>
      </c>
      <c r="K19" s="11">
        <v>42</v>
      </c>
      <c r="L19" s="11">
        <v>2540</v>
      </c>
      <c r="M19" s="26">
        <v>1.6299999999999999E-2</v>
      </c>
      <c r="N19" s="11">
        <v>3100</v>
      </c>
      <c r="O19" s="11">
        <v>31</v>
      </c>
      <c r="P19" s="11">
        <v>3069</v>
      </c>
      <c r="Q19" s="26">
        <v>0.01</v>
      </c>
      <c r="R19" s="11">
        <v>2906</v>
      </c>
      <c r="S19" s="11">
        <v>30</v>
      </c>
      <c r="T19" s="11">
        <v>2876</v>
      </c>
      <c r="U19" s="26">
        <v>1.03E-2</v>
      </c>
      <c r="V19" s="12">
        <f t="shared" si="0"/>
        <v>3.0749519538757208E-2</v>
      </c>
    </row>
    <row r="20" spans="1:22" x14ac:dyDescent="0.35">
      <c r="A20" s="10">
        <v>43601</v>
      </c>
      <c r="B20" s="11">
        <v>518</v>
      </c>
      <c r="C20" s="11">
        <v>195</v>
      </c>
      <c r="D20" s="11">
        <v>323</v>
      </c>
      <c r="E20" s="26">
        <v>0.37640000000000001</v>
      </c>
      <c r="F20" s="11">
        <v>3370</v>
      </c>
      <c r="G20" s="11">
        <v>126</v>
      </c>
      <c r="H20" s="11">
        <v>3244</v>
      </c>
      <c r="I20" s="26">
        <v>3.7400000000000003E-2</v>
      </c>
      <c r="J20" s="11">
        <v>2574</v>
      </c>
      <c r="K20" s="11">
        <v>45</v>
      </c>
      <c r="L20" s="11">
        <v>2529</v>
      </c>
      <c r="M20" s="26">
        <v>1.7500000000000002E-2</v>
      </c>
      <c r="N20" s="11">
        <v>3100</v>
      </c>
      <c r="O20" s="11">
        <v>36</v>
      </c>
      <c r="P20" s="11">
        <v>3064</v>
      </c>
      <c r="Q20" s="26">
        <v>1.1599999999999999E-2</v>
      </c>
      <c r="R20" s="11">
        <v>2907</v>
      </c>
      <c r="S20" s="11">
        <v>48</v>
      </c>
      <c r="T20" s="11">
        <v>2859</v>
      </c>
      <c r="U20" s="26">
        <v>1.6500000000000001E-2</v>
      </c>
      <c r="V20" s="12">
        <f t="shared" si="0"/>
        <v>3.6089501964872886E-2</v>
      </c>
    </row>
    <row r="21" spans="1:22" x14ac:dyDescent="0.35">
      <c r="A21" s="10">
        <v>43602</v>
      </c>
      <c r="B21" s="11">
        <v>529</v>
      </c>
      <c r="C21" s="11">
        <v>190</v>
      </c>
      <c r="D21" s="11">
        <v>339</v>
      </c>
      <c r="E21" s="26">
        <v>0.35920000000000002</v>
      </c>
      <c r="F21" s="11">
        <v>3411</v>
      </c>
      <c r="G21" s="11">
        <v>89</v>
      </c>
      <c r="H21" s="11">
        <v>3322</v>
      </c>
      <c r="I21" s="26">
        <v>2.6100000000000002E-2</v>
      </c>
      <c r="J21" s="11">
        <v>2572</v>
      </c>
      <c r="K21" s="11">
        <v>45</v>
      </c>
      <c r="L21" s="11">
        <v>2527</v>
      </c>
      <c r="M21" s="26">
        <v>1.7500000000000002E-2</v>
      </c>
      <c r="N21" s="11">
        <v>3116</v>
      </c>
      <c r="O21" s="11">
        <v>30</v>
      </c>
      <c r="P21" s="11">
        <v>3086</v>
      </c>
      <c r="Q21" s="26">
        <v>9.5999999999999992E-3</v>
      </c>
      <c r="R21" s="11">
        <v>2909</v>
      </c>
      <c r="S21" s="11">
        <v>57</v>
      </c>
      <c r="T21" s="11">
        <v>2852</v>
      </c>
      <c r="U21" s="26">
        <v>1.9599999999999999E-2</v>
      </c>
      <c r="V21" s="12">
        <f t="shared" si="0"/>
        <v>3.2782962431203634E-2</v>
      </c>
    </row>
    <row r="22" spans="1:22" x14ac:dyDescent="0.35">
      <c r="A22" s="10">
        <v>43603</v>
      </c>
      <c r="B22" s="11">
        <v>526</v>
      </c>
      <c r="C22" s="11">
        <v>202</v>
      </c>
      <c r="D22" s="11">
        <v>324</v>
      </c>
      <c r="E22" s="26">
        <v>0.38400000000000001</v>
      </c>
      <c r="F22" s="11">
        <v>3443</v>
      </c>
      <c r="G22" s="11">
        <v>102</v>
      </c>
      <c r="H22" s="11">
        <v>3341</v>
      </c>
      <c r="I22" s="26">
        <v>2.9600000000000001E-2</v>
      </c>
      <c r="J22" s="11">
        <v>2567</v>
      </c>
      <c r="K22" s="11">
        <v>47</v>
      </c>
      <c r="L22" s="11">
        <v>2520</v>
      </c>
      <c r="M22" s="26">
        <v>1.83E-2</v>
      </c>
      <c r="N22" s="11">
        <v>3100</v>
      </c>
      <c r="O22" s="11">
        <v>33</v>
      </c>
      <c r="P22" s="11">
        <v>3067</v>
      </c>
      <c r="Q22" s="26">
        <v>1.06E-2</v>
      </c>
      <c r="R22" s="11">
        <v>2884</v>
      </c>
      <c r="S22" s="11">
        <v>31</v>
      </c>
      <c r="T22" s="11">
        <v>2853</v>
      </c>
      <c r="U22" s="26">
        <v>1.0699999999999999E-2</v>
      </c>
      <c r="V22" s="12">
        <f t="shared" si="0"/>
        <v>3.3146964856230032E-2</v>
      </c>
    </row>
    <row r="23" spans="1:22" x14ac:dyDescent="0.35">
      <c r="A23" s="10">
        <v>43604</v>
      </c>
      <c r="B23" s="11">
        <v>525</v>
      </c>
      <c r="C23" s="11">
        <v>232</v>
      </c>
      <c r="D23" s="11">
        <v>293</v>
      </c>
      <c r="E23" s="26">
        <v>0.44190000000000002</v>
      </c>
      <c r="F23" s="11">
        <v>3431</v>
      </c>
      <c r="G23" s="11">
        <v>127</v>
      </c>
      <c r="H23" s="11">
        <v>3304</v>
      </c>
      <c r="I23" s="26">
        <v>3.6999999999999998E-2</v>
      </c>
      <c r="J23" s="11">
        <v>2565</v>
      </c>
      <c r="K23" s="11">
        <v>55</v>
      </c>
      <c r="L23" s="11">
        <v>2510</v>
      </c>
      <c r="M23" s="26">
        <v>2.1399999999999999E-2</v>
      </c>
      <c r="N23" s="11">
        <v>3075</v>
      </c>
      <c r="O23" s="11">
        <v>41</v>
      </c>
      <c r="P23" s="11">
        <v>3034</v>
      </c>
      <c r="Q23" s="26">
        <v>1.3299999999999999E-2</v>
      </c>
      <c r="R23" s="11">
        <v>2883</v>
      </c>
      <c r="S23" s="11">
        <v>38</v>
      </c>
      <c r="T23" s="11">
        <v>2845</v>
      </c>
      <c r="U23" s="26">
        <v>1.32E-2</v>
      </c>
      <c r="V23" s="12">
        <f t="shared" si="0"/>
        <v>3.9506370702780673E-2</v>
      </c>
    </row>
    <row r="24" spans="1:22" x14ac:dyDescent="0.35">
      <c r="A24" s="10">
        <v>43605</v>
      </c>
      <c r="B24" s="11">
        <v>527</v>
      </c>
      <c r="C24" s="11">
        <v>208</v>
      </c>
      <c r="D24" s="11">
        <v>319</v>
      </c>
      <c r="E24" s="26">
        <v>0.3947</v>
      </c>
      <c r="F24" s="11">
        <v>3430</v>
      </c>
      <c r="G24" s="11">
        <v>112</v>
      </c>
      <c r="H24" s="11">
        <v>3318</v>
      </c>
      <c r="I24" s="26">
        <v>3.27E-2</v>
      </c>
      <c r="J24" s="11">
        <v>2560</v>
      </c>
      <c r="K24" s="11">
        <v>45</v>
      </c>
      <c r="L24" s="11">
        <v>2515</v>
      </c>
      <c r="M24" s="26">
        <v>1.7600000000000001E-2</v>
      </c>
      <c r="N24" s="11">
        <v>3099</v>
      </c>
      <c r="O24" s="11">
        <v>34</v>
      </c>
      <c r="P24" s="11">
        <v>3065</v>
      </c>
      <c r="Q24" s="26">
        <v>1.0999999999999999E-2</v>
      </c>
      <c r="R24" s="11">
        <v>2879</v>
      </c>
      <c r="S24" s="11">
        <v>40</v>
      </c>
      <c r="T24" s="11">
        <v>2839</v>
      </c>
      <c r="U24" s="26">
        <v>1.3899999999999999E-2</v>
      </c>
      <c r="V24" s="12">
        <f t="shared" si="0"/>
        <v>3.5134053621448579E-2</v>
      </c>
    </row>
    <row r="25" spans="1:22" x14ac:dyDescent="0.35">
      <c r="A25" s="10">
        <v>43606</v>
      </c>
      <c r="B25" s="11">
        <v>527</v>
      </c>
      <c r="C25" s="11">
        <v>206</v>
      </c>
      <c r="D25" s="11">
        <v>321</v>
      </c>
      <c r="E25" s="26">
        <v>0.39090000000000003</v>
      </c>
      <c r="F25" s="11">
        <v>3457</v>
      </c>
      <c r="G25" s="11">
        <v>99</v>
      </c>
      <c r="H25" s="11">
        <v>3358</v>
      </c>
      <c r="I25" s="26">
        <v>2.86E-2</v>
      </c>
      <c r="J25" s="11">
        <v>2558</v>
      </c>
      <c r="K25" s="11">
        <v>42</v>
      </c>
      <c r="L25" s="11">
        <v>2516</v>
      </c>
      <c r="M25" s="26">
        <v>1.6400000000000001E-2</v>
      </c>
      <c r="N25" s="11">
        <v>3121</v>
      </c>
      <c r="O25" s="11">
        <v>33</v>
      </c>
      <c r="P25" s="11">
        <v>3088</v>
      </c>
      <c r="Q25" s="26">
        <v>1.06E-2</v>
      </c>
      <c r="R25" s="11">
        <v>2875</v>
      </c>
      <c r="S25" s="11">
        <v>41</v>
      </c>
      <c r="T25" s="11">
        <v>2834</v>
      </c>
      <c r="U25" s="26">
        <v>1.43E-2</v>
      </c>
      <c r="V25" s="12">
        <f t="shared" si="0"/>
        <v>3.3577923113734247E-2</v>
      </c>
    </row>
    <row r="26" spans="1:22" x14ac:dyDescent="0.35">
      <c r="A26" s="10">
        <v>43607</v>
      </c>
      <c r="B26" s="11">
        <v>531</v>
      </c>
      <c r="C26" s="11">
        <v>207</v>
      </c>
      <c r="D26" s="11">
        <v>324</v>
      </c>
      <c r="E26" s="26">
        <v>0.38979999999999998</v>
      </c>
      <c r="F26" s="11">
        <v>3442</v>
      </c>
      <c r="G26" s="11">
        <v>104</v>
      </c>
      <c r="H26" s="11">
        <v>3338</v>
      </c>
      <c r="I26" s="26">
        <v>3.0200000000000001E-2</v>
      </c>
      <c r="J26" s="11">
        <v>2556</v>
      </c>
      <c r="K26" s="11">
        <v>44</v>
      </c>
      <c r="L26" s="11">
        <v>2512</v>
      </c>
      <c r="M26" s="26">
        <v>1.72E-2</v>
      </c>
      <c r="N26" s="11">
        <v>3110</v>
      </c>
      <c r="O26" s="11">
        <v>34</v>
      </c>
      <c r="P26" s="11">
        <v>3076</v>
      </c>
      <c r="Q26" s="26">
        <v>1.09E-2</v>
      </c>
      <c r="R26" s="11">
        <v>2892</v>
      </c>
      <c r="S26" s="11">
        <v>40</v>
      </c>
      <c r="T26" s="11">
        <v>2852</v>
      </c>
      <c r="U26" s="26">
        <v>1.38E-2</v>
      </c>
      <c r="V26" s="12">
        <f t="shared" si="0"/>
        <v>3.4235096959540343E-2</v>
      </c>
    </row>
    <row r="27" spans="1:22" x14ac:dyDescent="0.35">
      <c r="A27" s="10">
        <v>43608</v>
      </c>
      <c r="B27" s="11">
        <v>529</v>
      </c>
      <c r="C27" s="11">
        <v>215</v>
      </c>
      <c r="D27" s="11">
        <v>314</v>
      </c>
      <c r="E27" s="26">
        <v>0.40639999999999998</v>
      </c>
      <c r="F27" s="11">
        <v>3452</v>
      </c>
      <c r="G27" s="11">
        <v>110</v>
      </c>
      <c r="H27" s="11">
        <v>3342</v>
      </c>
      <c r="I27" s="26">
        <v>3.1899999999999998E-2</v>
      </c>
      <c r="J27" s="11">
        <v>2565</v>
      </c>
      <c r="K27" s="11">
        <v>40</v>
      </c>
      <c r="L27" s="11">
        <v>2525</v>
      </c>
      <c r="M27" s="26">
        <v>1.5599999999999999E-2</v>
      </c>
      <c r="N27" s="11">
        <v>3119</v>
      </c>
      <c r="O27" s="11">
        <v>33</v>
      </c>
      <c r="P27" s="11">
        <v>3086</v>
      </c>
      <c r="Q27" s="26">
        <v>1.06E-2</v>
      </c>
      <c r="R27" s="11">
        <v>2893</v>
      </c>
      <c r="S27" s="11">
        <v>47</v>
      </c>
      <c r="T27" s="11">
        <v>2846</v>
      </c>
      <c r="U27" s="26">
        <v>1.6199999999999999E-2</v>
      </c>
      <c r="V27" s="12">
        <f t="shared" si="0"/>
        <v>3.5435578913839784E-2</v>
      </c>
    </row>
    <row r="28" spans="1:22" x14ac:dyDescent="0.35">
      <c r="A28" s="10">
        <v>43609</v>
      </c>
      <c r="B28" s="11">
        <v>535</v>
      </c>
      <c r="C28" s="11">
        <v>222</v>
      </c>
      <c r="D28" s="11">
        <v>313</v>
      </c>
      <c r="E28" s="26">
        <v>0.41499999999999998</v>
      </c>
      <c r="F28" s="11">
        <v>3450</v>
      </c>
      <c r="G28" s="11">
        <v>97</v>
      </c>
      <c r="H28" s="11">
        <v>3353</v>
      </c>
      <c r="I28" s="26">
        <v>2.81E-2</v>
      </c>
      <c r="J28" s="11">
        <v>2572</v>
      </c>
      <c r="K28" s="11">
        <v>39</v>
      </c>
      <c r="L28" s="11">
        <v>2533</v>
      </c>
      <c r="M28" s="26">
        <v>1.52E-2</v>
      </c>
      <c r="N28" s="11">
        <v>3117</v>
      </c>
      <c r="O28" s="11">
        <v>37</v>
      </c>
      <c r="P28" s="11">
        <v>3080</v>
      </c>
      <c r="Q28" s="26">
        <v>1.1900000000000001E-2</v>
      </c>
      <c r="R28" s="11">
        <v>2902</v>
      </c>
      <c r="S28" s="11">
        <v>42</v>
      </c>
      <c r="T28" s="11">
        <v>2860</v>
      </c>
      <c r="U28" s="26">
        <v>1.4500000000000001E-2</v>
      </c>
      <c r="V28" s="12">
        <f t="shared" si="0"/>
        <v>3.4748727735368953E-2</v>
      </c>
    </row>
    <row r="29" spans="1:22" x14ac:dyDescent="0.35">
      <c r="A29" s="10">
        <v>43610</v>
      </c>
      <c r="B29" s="11">
        <v>535</v>
      </c>
      <c r="C29" s="11">
        <v>216</v>
      </c>
      <c r="D29" s="11">
        <v>319</v>
      </c>
      <c r="E29" s="26">
        <v>0.4037</v>
      </c>
      <c r="F29" s="11">
        <v>3449</v>
      </c>
      <c r="G29" s="11">
        <v>95</v>
      </c>
      <c r="H29" s="11">
        <v>3354</v>
      </c>
      <c r="I29" s="26">
        <v>2.75E-2</v>
      </c>
      <c r="J29" s="11">
        <v>2578</v>
      </c>
      <c r="K29" s="11">
        <v>39</v>
      </c>
      <c r="L29" s="11">
        <v>2539</v>
      </c>
      <c r="M29" s="26">
        <v>1.5100000000000001E-2</v>
      </c>
      <c r="N29" s="11">
        <v>3130</v>
      </c>
      <c r="O29" s="11">
        <v>35</v>
      </c>
      <c r="P29" s="11">
        <v>3095</v>
      </c>
      <c r="Q29" s="26">
        <v>1.12E-2</v>
      </c>
      <c r="R29" s="11">
        <v>2925</v>
      </c>
      <c r="S29" s="11">
        <v>44</v>
      </c>
      <c r="T29" s="11">
        <v>2881</v>
      </c>
      <c r="U29" s="26">
        <v>1.4999999999999999E-2</v>
      </c>
      <c r="V29" s="12">
        <f t="shared" si="0"/>
        <v>3.4001743679163032E-2</v>
      </c>
    </row>
    <row r="30" spans="1:22" x14ac:dyDescent="0.35">
      <c r="A30" s="10">
        <v>43611</v>
      </c>
      <c r="B30" s="11">
        <v>535</v>
      </c>
      <c r="C30" s="11">
        <v>252</v>
      </c>
      <c r="D30" s="11">
        <v>283</v>
      </c>
      <c r="E30" s="26">
        <v>0.47099999999999997</v>
      </c>
      <c r="F30" s="11">
        <v>3439</v>
      </c>
      <c r="G30" s="11">
        <v>128</v>
      </c>
      <c r="H30" s="11">
        <v>3311</v>
      </c>
      <c r="I30" s="26">
        <v>3.7199999999999997E-2</v>
      </c>
      <c r="J30" s="11">
        <v>2573</v>
      </c>
      <c r="K30" s="11">
        <v>40</v>
      </c>
      <c r="L30" s="11">
        <v>2533</v>
      </c>
      <c r="M30" s="26">
        <v>1.55E-2</v>
      </c>
      <c r="N30" s="11">
        <v>3107</v>
      </c>
      <c r="O30" s="11">
        <v>35</v>
      </c>
      <c r="P30" s="11">
        <v>3072</v>
      </c>
      <c r="Q30" s="26">
        <v>1.1299999999999999E-2</v>
      </c>
      <c r="R30" s="11">
        <v>2913</v>
      </c>
      <c r="S30" s="11">
        <v>53</v>
      </c>
      <c r="T30" s="11">
        <v>2860</v>
      </c>
      <c r="U30" s="26">
        <v>1.8200000000000001E-2</v>
      </c>
      <c r="V30" s="12">
        <f t="shared" si="0"/>
        <v>4.0423330946128752E-2</v>
      </c>
    </row>
    <row r="31" spans="1:22" x14ac:dyDescent="0.35">
      <c r="A31" s="10">
        <v>43612</v>
      </c>
      <c r="B31" s="11">
        <v>534</v>
      </c>
      <c r="C31" s="11">
        <v>229</v>
      </c>
      <c r="D31" s="11">
        <v>305</v>
      </c>
      <c r="E31" s="26">
        <v>0.42880000000000001</v>
      </c>
      <c r="F31" s="11">
        <v>3409</v>
      </c>
      <c r="G31" s="11">
        <v>108</v>
      </c>
      <c r="H31" s="11">
        <v>3301</v>
      </c>
      <c r="I31" s="26">
        <v>3.1699999999999999E-2</v>
      </c>
      <c r="J31" s="11">
        <v>2583</v>
      </c>
      <c r="K31" s="11">
        <v>40</v>
      </c>
      <c r="L31" s="11">
        <v>2543</v>
      </c>
      <c r="M31" s="26">
        <v>1.55E-2</v>
      </c>
      <c r="N31" s="11">
        <v>3098</v>
      </c>
      <c r="O31" s="11">
        <v>34</v>
      </c>
      <c r="P31" s="11">
        <v>3064</v>
      </c>
      <c r="Q31" s="26">
        <v>1.0999999999999999E-2</v>
      </c>
      <c r="R31" s="11">
        <v>2949</v>
      </c>
      <c r="S31" s="11">
        <v>44</v>
      </c>
      <c r="T31" s="11">
        <v>2905</v>
      </c>
      <c r="U31" s="26">
        <v>1.49E-2</v>
      </c>
      <c r="V31" s="12">
        <f t="shared" si="0"/>
        <v>3.6188658235902331E-2</v>
      </c>
    </row>
    <row r="32" spans="1:22" x14ac:dyDescent="0.35">
      <c r="A32" s="10">
        <v>43613</v>
      </c>
      <c r="B32" s="11">
        <v>537</v>
      </c>
      <c r="C32" s="11">
        <v>223</v>
      </c>
      <c r="D32" s="11">
        <v>314</v>
      </c>
      <c r="E32" s="26">
        <v>0.4153</v>
      </c>
      <c r="F32" s="11">
        <v>3412</v>
      </c>
      <c r="G32" s="11">
        <v>144</v>
      </c>
      <c r="H32" s="11">
        <v>3268</v>
      </c>
      <c r="I32" s="26">
        <v>4.2200000000000001E-2</v>
      </c>
      <c r="J32" s="11">
        <v>2577</v>
      </c>
      <c r="K32" s="11">
        <v>41</v>
      </c>
      <c r="L32" s="11">
        <v>2536</v>
      </c>
      <c r="M32" s="26">
        <v>1.5900000000000001E-2</v>
      </c>
      <c r="N32" s="11">
        <v>3087</v>
      </c>
      <c r="O32" s="11">
        <v>36</v>
      </c>
      <c r="P32" s="11">
        <v>3051</v>
      </c>
      <c r="Q32" s="26">
        <v>1.17E-2</v>
      </c>
      <c r="R32" s="11">
        <v>2944</v>
      </c>
      <c r="S32" s="11">
        <v>45</v>
      </c>
      <c r="T32" s="11">
        <v>2899</v>
      </c>
      <c r="U32" s="26">
        <v>1.5299999999999999E-2</v>
      </c>
      <c r="V32" s="12">
        <f t="shared" si="0"/>
        <v>3.89424225531576E-2</v>
      </c>
    </row>
    <row r="33" spans="1:22" x14ac:dyDescent="0.35">
      <c r="A33" s="10">
        <v>43614</v>
      </c>
      <c r="B33" s="11">
        <v>534</v>
      </c>
      <c r="C33" s="11">
        <v>218</v>
      </c>
      <c r="D33" s="11">
        <v>316</v>
      </c>
      <c r="E33" s="26">
        <v>0.40820000000000001</v>
      </c>
      <c r="F33" s="11">
        <v>3421</v>
      </c>
      <c r="G33" s="11">
        <v>117</v>
      </c>
      <c r="H33" s="11">
        <v>3304</v>
      </c>
      <c r="I33" s="26">
        <v>3.4200000000000001E-2</v>
      </c>
      <c r="J33" s="11">
        <v>2570</v>
      </c>
      <c r="K33" s="11">
        <v>43</v>
      </c>
      <c r="L33" s="11">
        <v>2527</v>
      </c>
      <c r="M33" s="26">
        <v>1.67E-2</v>
      </c>
      <c r="N33" s="11">
        <v>3081</v>
      </c>
      <c r="O33" s="11">
        <v>34</v>
      </c>
      <c r="P33" s="11">
        <v>3047</v>
      </c>
      <c r="Q33" s="26">
        <v>1.0999999999999999E-2</v>
      </c>
      <c r="R33" s="11">
        <v>2968</v>
      </c>
      <c r="S33" s="11">
        <v>30</v>
      </c>
      <c r="T33" s="11">
        <v>2938</v>
      </c>
      <c r="U33" s="26">
        <v>1.01E-2</v>
      </c>
      <c r="V33" s="12">
        <f t="shared" si="0"/>
        <v>3.5151900747574356E-2</v>
      </c>
    </row>
    <row r="34" spans="1:22" x14ac:dyDescent="0.35">
      <c r="A34" s="10">
        <v>43615</v>
      </c>
      <c r="B34" s="11">
        <v>533</v>
      </c>
      <c r="C34" s="11">
        <v>204</v>
      </c>
      <c r="D34" s="11">
        <v>329</v>
      </c>
      <c r="E34" s="26">
        <v>0.38269999999999998</v>
      </c>
      <c r="F34" s="11">
        <v>3402</v>
      </c>
      <c r="G34" s="11">
        <v>127</v>
      </c>
      <c r="H34" s="11">
        <v>3275</v>
      </c>
      <c r="I34" s="26">
        <v>3.73E-2</v>
      </c>
      <c r="J34" s="11">
        <v>2564</v>
      </c>
      <c r="K34" s="11">
        <v>43</v>
      </c>
      <c r="L34" s="11">
        <v>2521</v>
      </c>
      <c r="M34" s="26">
        <v>1.6799999999999999E-2</v>
      </c>
      <c r="N34" s="11">
        <v>3064</v>
      </c>
      <c r="O34" s="11">
        <v>35</v>
      </c>
      <c r="P34" s="11">
        <v>3029</v>
      </c>
      <c r="Q34" s="26">
        <v>1.14E-2</v>
      </c>
      <c r="R34" s="11">
        <v>2963</v>
      </c>
      <c r="S34" s="11">
        <v>30</v>
      </c>
      <c r="T34" s="11">
        <v>2933</v>
      </c>
      <c r="U34" s="26">
        <v>1.01E-2</v>
      </c>
      <c r="V34" s="12">
        <f t="shared" si="0"/>
        <v>3.5047102027782211E-2</v>
      </c>
    </row>
    <row r="35" spans="1:22" x14ac:dyDescent="0.35">
      <c r="A35" s="10">
        <v>43616</v>
      </c>
      <c r="B35" s="11">
        <v>532</v>
      </c>
      <c r="C35" s="11">
        <v>231</v>
      </c>
      <c r="D35" s="11">
        <v>301</v>
      </c>
      <c r="E35" s="26">
        <v>0.43419999999999997</v>
      </c>
      <c r="F35" s="11">
        <v>3412</v>
      </c>
      <c r="G35" s="11">
        <v>190</v>
      </c>
      <c r="H35" s="11">
        <v>3222</v>
      </c>
      <c r="I35" s="26">
        <v>5.57E-2</v>
      </c>
      <c r="J35" s="11">
        <v>2560</v>
      </c>
      <c r="K35" s="11">
        <v>44</v>
      </c>
      <c r="L35" s="11">
        <v>2516</v>
      </c>
      <c r="M35" s="26">
        <v>1.72E-2</v>
      </c>
      <c r="N35" s="11">
        <v>3050</v>
      </c>
      <c r="O35" s="11">
        <v>37</v>
      </c>
      <c r="P35" s="11">
        <v>3013</v>
      </c>
      <c r="Q35" s="26">
        <v>1.21E-2</v>
      </c>
      <c r="R35" s="11">
        <v>2956</v>
      </c>
      <c r="S35" s="11">
        <v>30</v>
      </c>
      <c r="T35" s="11">
        <v>2926</v>
      </c>
      <c r="U35" s="26">
        <v>1.01E-2</v>
      </c>
      <c r="V35" s="12">
        <f>(C35+G35+K35+O35+S35)/(B35+F35+J35+N35+R35)</f>
        <v>4.2525979216626701E-2</v>
      </c>
    </row>
    <row r="36" spans="1:22" s="25" customFormat="1" ht="18.75" customHeight="1" x14ac:dyDescent="0.35">
      <c r="A36" s="21" t="s">
        <v>14</v>
      </c>
      <c r="B36" s="22">
        <f>SUM(B5:B35)</f>
        <v>16010</v>
      </c>
      <c r="C36" s="22">
        <f>SUM(C5:C35)</f>
        <v>6336</v>
      </c>
      <c r="D36" s="22">
        <f>SUM(D5:D35)</f>
        <v>9674</v>
      </c>
      <c r="E36" s="23">
        <f>C36/B36</f>
        <v>0.39575265459088071</v>
      </c>
      <c r="F36" s="22">
        <f>SUM(F5:F35)</f>
        <v>104885</v>
      </c>
      <c r="G36" s="22">
        <f>SUM(G5:G35)</f>
        <v>3615</v>
      </c>
      <c r="H36" s="22">
        <f>SUM(H5:H35)</f>
        <v>101270</v>
      </c>
      <c r="I36" s="23">
        <f>G36/F36</f>
        <v>3.4466320255517949E-2</v>
      </c>
      <c r="J36" s="22">
        <f>SUM(J5:J35)</f>
        <v>79583</v>
      </c>
      <c r="K36" s="22">
        <f>SUM(K5:K35)</f>
        <v>1307</v>
      </c>
      <c r="L36" s="22">
        <f>SUM(L5:L35)</f>
        <v>78276</v>
      </c>
      <c r="M36" s="23">
        <f>K36/J36</f>
        <v>1.6423105437090836E-2</v>
      </c>
      <c r="N36" s="22">
        <f>SUM(N5:N35)</f>
        <v>94930</v>
      </c>
      <c r="O36" s="22">
        <f>SUM(O5:O35)</f>
        <v>1042</v>
      </c>
      <c r="P36" s="22">
        <f>SUM(P5:P35)</f>
        <v>93888</v>
      </c>
      <c r="Q36" s="23">
        <f>O36/N36</f>
        <v>1.097650900663647E-2</v>
      </c>
      <c r="R36" s="22">
        <f>SUM(R5:R35)</f>
        <v>91628</v>
      </c>
      <c r="S36" s="22">
        <f>SUM(S5:S35)</f>
        <v>1301</v>
      </c>
      <c r="T36" s="22">
        <f>SUM(T5:T35)</f>
        <v>90327</v>
      </c>
      <c r="U36" s="23">
        <f>S36/R36</f>
        <v>1.4198716549526346E-2</v>
      </c>
      <c r="V36" s="24">
        <f>AVERAGE(V5:V35)</f>
        <v>3.5143018197608886E-2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0.89943785134291077</v>
      </c>
      <c r="F38" s="33"/>
      <c r="G38" s="34"/>
      <c r="H38" s="35"/>
      <c r="I38" s="16">
        <f>I36/I37</f>
        <v>0.88375180142353715</v>
      </c>
      <c r="J38" s="33"/>
      <c r="K38" s="34"/>
      <c r="L38" s="35"/>
      <c r="M38" s="16">
        <f>M36/M37</f>
        <v>0.58653947989610122</v>
      </c>
      <c r="N38" s="33"/>
      <c r="O38" s="34"/>
      <c r="P38" s="35"/>
      <c r="Q38" s="16">
        <f>Q36/Q37</f>
        <v>0.99786445514877009</v>
      </c>
      <c r="R38" s="33"/>
      <c r="S38" s="34"/>
      <c r="T38" s="35"/>
      <c r="U38" s="16">
        <f>U36/U37</f>
        <v>1.2907924135933042</v>
      </c>
      <c r="V38" s="16">
        <f>V36/V37</f>
        <v>0.87857545494022216</v>
      </c>
    </row>
    <row r="39" spans="1:22" x14ac:dyDescent="0.35">
      <c r="A39">
        <v>2</v>
      </c>
      <c r="B39">
        <f>B36*$A$39</f>
        <v>32020</v>
      </c>
      <c r="C39">
        <f t="shared" ref="C39:T39" si="1">C36*$A$39</f>
        <v>12672</v>
      </c>
      <c r="D39">
        <f t="shared" si="1"/>
        <v>19348</v>
      </c>
      <c r="F39">
        <f t="shared" si="1"/>
        <v>209770</v>
      </c>
      <c r="G39">
        <f t="shared" si="1"/>
        <v>7230</v>
      </c>
      <c r="H39">
        <f t="shared" si="1"/>
        <v>202540</v>
      </c>
      <c r="J39">
        <f t="shared" si="1"/>
        <v>159166</v>
      </c>
      <c r="K39">
        <f t="shared" si="1"/>
        <v>2614</v>
      </c>
      <c r="L39">
        <f t="shared" si="1"/>
        <v>156552</v>
      </c>
      <c r="N39">
        <f t="shared" si="1"/>
        <v>189860</v>
      </c>
      <c r="O39">
        <f t="shared" si="1"/>
        <v>2084</v>
      </c>
      <c r="P39">
        <f t="shared" si="1"/>
        <v>187776</v>
      </c>
      <c r="R39">
        <f t="shared" si="1"/>
        <v>183256</v>
      </c>
      <c r="S39">
        <f t="shared" si="1"/>
        <v>2602</v>
      </c>
      <c r="T39">
        <f t="shared" si="1"/>
        <v>180654</v>
      </c>
    </row>
    <row r="40" spans="1:22" x14ac:dyDescent="0.35">
      <c r="E40" s="13"/>
    </row>
    <row r="41" spans="1:22" ht="39" customHeight="1" x14ac:dyDescent="0.35">
      <c r="B41" s="27">
        <f>VLOOKUP(B$2,'[5]310519'!$A$2:$F$25,3,0)</f>
        <v>533</v>
      </c>
      <c r="C41" s="27">
        <f>VLOOKUP(B$2,'[5]310519'!$A$2:$F$25,4,0)</f>
        <v>204</v>
      </c>
      <c r="D41" s="27">
        <f>VLOOKUP(B$2,'[5]310519'!$A$2:$F$25,5,0)</f>
        <v>329</v>
      </c>
      <c r="E41" s="28">
        <f>VLOOKUP(B$2,'[5]310519'!$A$2:$F$25,6,0)</f>
        <v>0.38269999999999998</v>
      </c>
      <c r="F41" s="27">
        <f>VLOOKUP(F$2,'[5]310519'!$A$2:$F$25,3,0)</f>
        <v>3402</v>
      </c>
      <c r="G41" s="27">
        <f>VLOOKUP(F$2,'[5]310519'!$A$2:$F$25,4,0)</f>
        <v>127</v>
      </c>
      <c r="H41" s="27">
        <f>VLOOKUP(F$2,'[5]310519'!$A$2:$F$25,5,0)</f>
        <v>3275</v>
      </c>
      <c r="I41" s="29">
        <f>VLOOKUP(F$2,'[5]310519'!$A$2:$F$25,6,0)</f>
        <v>3.73E-2</v>
      </c>
      <c r="J41" s="27">
        <f>VLOOKUP(J$2,'[5]310519'!$A$2:$F$25,3,0)</f>
        <v>2564</v>
      </c>
      <c r="K41" s="27">
        <f>VLOOKUP(J$2,'[5]310519'!$A$2:$F$25,4,0)</f>
        <v>43</v>
      </c>
      <c r="L41" s="27">
        <f>VLOOKUP(J$2,'[5]310519'!$A$2:$F$25,5,0)</f>
        <v>2521</v>
      </c>
      <c r="M41" s="28">
        <f>VLOOKUP(J$2,'[5]310519'!$A$2:$F$25,6,0)</f>
        <v>1.6799999999999999E-2</v>
      </c>
      <c r="N41" s="27">
        <f>VLOOKUP(N$2,'[5]310519'!$A$2:$F$25,3,0)</f>
        <v>3064</v>
      </c>
      <c r="O41" s="27">
        <f>VLOOKUP(N$2,'[5]310519'!$A$2:$F$25,4,0)</f>
        <v>35</v>
      </c>
      <c r="P41" s="27">
        <f>VLOOKUP(N$2,'[5]310519'!$A$2:$F$25,5,0)</f>
        <v>3029</v>
      </c>
      <c r="Q41" s="28">
        <f>VLOOKUP(N$2,'[5]310519'!$A$2:$F$25,6,0)</f>
        <v>1.14E-2</v>
      </c>
      <c r="R41" s="27">
        <f>VLOOKUP(R$2,'[5]310519'!$A$2:$F$25,3,0)</f>
        <v>2963</v>
      </c>
      <c r="S41" s="27">
        <f>VLOOKUP(R$2,'[5]310519'!$A$2:$F$25,4,0)</f>
        <v>30</v>
      </c>
      <c r="T41" s="27">
        <f>VLOOKUP(R$2,'[5]310519'!$A$2:$F$25,5,0)</f>
        <v>2933</v>
      </c>
      <c r="U41" s="28">
        <f>VLOOKUP(R$2,'[5]310519'!$A$2:$F$25,6,0)</f>
        <v>1.01E-2</v>
      </c>
    </row>
    <row r="43" spans="1:22" x14ac:dyDescent="0.35">
      <c r="E43" s="14"/>
    </row>
    <row r="44" spans="1:22" ht="13.5" x14ac:dyDescent="0.35">
      <c r="B44">
        <f>B39+F39+J39+N39+R39</f>
        <v>774072</v>
      </c>
      <c r="C44">
        <f>C39+G39+K39+O39+S39</f>
        <v>27202</v>
      </c>
      <c r="E44" s="23">
        <f>C44/B44</f>
        <v>3.514143387178454E-2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44"/>
  <sheetViews>
    <sheetView topLeftCell="A10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43617</v>
      </c>
      <c r="B5" s="11">
        <v>537</v>
      </c>
      <c r="C5" s="11">
        <v>210</v>
      </c>
      <c r="D5" s="11">
        <v>327</v>
      </c>
      <c r="E5" s="26">
        <v>0.3911</v>
      </c>
      <c r="F5" s="11">
        <v>3425</v>
      </c>
      <c r="G5" s="11">
        <v>114</v>
      </c>
      <c r="H5" s="11">
        <v>3311</v>
      </c>
      <c r="I5" s="26">
        <v>3.3300000000000003E-2</v>
      </c>
      <c r="J5" s="11">
        <v>2571</v>
      </c>
      <c r="K5" s="11">
        <v>44</v>
      </c>
      <c r="L5" s="11">
        <v>2527</v>
      </c>
      <c r="M5" s="26">
        <v>1.7100000000000001E-2</v>
      </c>
      <c r="N5" s="11">
        <v>3037</v>
      </c>
      <c r="O5" s="11">
        <v>38</v>
      </c>
      <c r="P5" s="11">
        <v>2999</v>
      </c>
      <c r="Q5" s="26">
        <v>1.2500000000000001E-2</v>
      </c>
      <c r="R5" s="11">
        <v>2855</v>
      </c>
      <c r="S5" s="11">
        <v>30</v>
      </c>
      <c r="T5" s="11">
        <v>2825</v>
      </c>
      <c r="U5" s="26">
        <v>1.0500000000000001E-2</v>
      </c>
      <c r="V5" s="12">
        <f t="shared" ref="V5:V34" si="0">(C5+G5+K5+O5+S5)/(B5+F5+J5+N5+R5)</f>
        <v>3.5090543259557343E-2</v>
      </c>
    </row>
    <row r="6" spans="1:22" x14ac:dyDescent="0.35">
      <c r="A6" s="10">
        <v>43618</v>
      </c>
      <c r="B6" s="11">
        <v>538</v>
      </c>
      <c r="C6" s="11">
        <v>247</v>
      </c>
      <c r="D6" s="11">
        <v>291</v>
      </c>
      <c r="E6" s="26">
        <v>0.45910000000000001</v>
      </c>
      <c r="F6" s="11">
        <v>3404</v>
      </c>
      <c r="G6" s="11">
        <v>132</v>
      </c>
      <c r="H6" s="11">
        <v>3272</v>
      </c>
      <c r="I6" s="26">
        <v>3.8800000000000001E-2</v>
      </c>
      <c r="J6" s="11">
        <v>2572</v>
      </c>
      <c r="K6" s="11">
        <v>50</v>
      </c>
      <c r="L6" s="11">
        <v>2522</v>
      </c>
      <c r="M6" s="26">
        <v>1.9400000000000001E-2</v>
      </c>
      <c r="N6" s="11">
        <v>3022</v>
      </c>
      <c r="O6" s="11">
        <v>45</v>
      </c>
      <c r="P6" s="11">
        <v>2977</v>
      </c>
      <c r="Q6" s="26">
        <v>1.49E-2</v>
      </c>
      <c r="R6" s="11">
        <v>2850</v>
      </c>
      <c r="S6" s="11">
        <v>35</v>
      </c>
      <c r="T6" s="11">
        <v>2815</v>
      </c>
      <c r="U6" s="26">
        <v>1.23E-2</v>
      </c>
      <c r="V6" s="12">
        <f>(C6+G6+K6+O6+S6)/(B6+F6+J6+N6+R6)</f>
        <v>4.1094784434038432E-2</v>
      </c>
    </row>
    <row r="7" spans="1:22" x14ac:dyDescent="0.35">
      <c r="A7" s="10">
        <v>43619</v>
      </c>
      <c r="B7" s="11">
        <v>539</v>
      </c>
      <c r="C7" s="11">
        <v>219</v>
      </c>
      <c r="D7" s="11">
        <v>320</v>
      </c>
      <c r="E7" s="26">
        <v>0.40629999999999999</v>
      </c>
      <c r="F7" s="11">
        <v>3403</v>
      </c>
      <c r="G7" s="11">
        <v>133</v>
      </c>
      <c r="H7" s="11">
        <v>3270</v>
      </c>
      <c r="I7" s="26">
        <v>3.9100000000000003E-2</v>
      </c>
      <c r="J7" s="11">
        <v>2573</v>
      </c>
      <c r="K7" s="11">
        <v>50</v>
      </c>
      <c r="L7" s="11">
        <v>2523</v>
      </c>
      <c r="M7" s="26">
        <v>1.9400000000000001E-2</v>
      </c>
      <c r="N7" s="11">
        <v>3042</v>
      </c>
      <c r="O7" s="11">
        <v>43</v>
      </c>
      <c r="P7" s="11">
        <v>2999</v>
      </c>
      <c r="Q7" s="26">
        <v>1.41E-2</v>
      </c>
      <c r="R7" s="11">
        <v>2824</v>
      </c>
      <c r="S7" s="11">
        <v>48</v>
      </c>
      <c r="T7" s="11">
        <v>2776</v>
      </c>
      <c r="U7" s="26">
        <v>1.7000000000000001E-2</v>
      </c>
      <c r="V7" s="12">
        <f>(C7+G7+K7+O7+S7)/(B7+F7+J7+N7+R7)</f>
        <v>3.9819077618932233E-2</v>
      </c>
    </row>
    <row r="8" spans="1:22" x14ac:dyDescent="0.35">
      <c r="A8" s="10">
        <v>43620</v>
      </c>
      <c r="B8" s="11">
        <v>550</v>
      </c>
      <c r="C8" s="11">
        <v>227</v>
      </c>
      <c r="D8" s="11">
        <v>323</v>
      </c>
      <c r="E8" s="26">
        <v>0.41270000000000001</v>
      </c>
      <c r="F8" s="11">
        <v>3384</v>
      </c>
      <c r="G8" s="11">
        <v>146</v>
      </c>
      <c r="H8" s="11">
        <v>3238</v>
      </c>
      <c r="I8" s="26">
        <v>4.3099999999999999E-2</v>
      </c>
      <c r="J8" s="11">
        <v>2570</v>
      </c>
      <c r="K8" s="11">
        <v>52</v>
      </c>
      <c r="L8" s="11">
        <v>2518</v>
      </c>
      <c r="M8" s="26">
        <v>2.0199999999999999E-2</v>
      </c>
      <c r="N8" s="11">
        <v>3030</v>
      </c>
      <c r="O8" s="11">
        <v>44</v>
      </c>
      <c r="P8" s="11">
        <v>2986</v>
      </c>
      <c r="Q8" s="26">
        <v>1.4500000000000001E-2</v>
      </c>
      <c r="R8" s="11">
        <v>2819</v>
      </c>
      <c r="S8" s="11">
        <v>55</v>
      </c>
      <c r="T8" s="11">
        <v>2764</v>
      </c>
      <c r="U8" s="26">
        <v>1.95E-2</v>
      </c>
      <c r="V8" s="12">
        <f t="shared" si="0"/>
        <v>4.2418845624544642E-2</v>
      </c>
    </row>
    <row r="9" spans="1:22" x14ac:dyDescent="0.35">
      <c r="A9" s="10">
        <v>43621</v>
      </c>
      <c r="B9" s="11">
        <v>555</v>
      </c>
      <c r="C9" s="11">
        <v>214</v>
      </c>
      <c r="D9" s="11">
        <v>341</v>
      </c>
      <c r="E9" s="26">
        <v>0.3856</v>
      </c>
      <c r="F9" s="11">
        <v>3358</v>
      </c>
      <c r="G9" s="11">
        <v>146</v>
      </c>
      <c r="H9" s="11">
        <v>3212</v>
      </c>
      <c r="I9" s="26">
        <v>4.3499999999999997E-2</v>
      </c>
      <c r="J9" s="11">
        <v>2571</v>
      </c>
      <c r="K9" s="11">
        <v>53</v>
      </c>
      <c r="L9" s="11">
        <v>2518</v>
      </c>
      <c r="M9" s="26">
        <v>2.06E-2</v>
      </c>
      <c r="N9" s="11">
        <v>3025</v>
      </c>
      <c r="O9" s="11">
        <v>46</v>
      </c>
      <c r="P9" s="11">
        <v>2979</v>
      </c>
      <c r="Q9" s="26">
        <v>1.52E-2</v>
      </c>
      <c r="R9" s="11">
        <v>2815</v>
      </c>
      <c r="S9" s="11">
        <v>62</v>
      </c>
      <c r="T9" s="11">
        <v>2753</v>
      </c>
      <c r="U9" s="26">
        <v>2.1999999999999999E-2</v>
      </c>
      <c r="V9" s="12">
        <f t="shared" si="0"/>
        <v>4.2275235313209994E-2</v>
      </c>
    </row>
    <row r="10" spans="1:22" x14ac:dyDescent="0.35">
      <c r="A10" s="10">
        <v>43622</v>
      </c>
      <c r="B10" s="11">
        <v>386</v>
      </c>
      <c r="C10" s="11">
        <v>96</v>
      </c>
      <c r="D10" s="11">
        <v>290</v>
      </c>
      <c r="E10" s="26">
        <v>0.2487</v>
      </c>
      <c r="F10" s="11">
        <v>3166</v>
      </c>
      <c r="G10" s="11">
        <v>48</v>
      </c>
      <c r="H10" s="11">
        <v>3118</v>
      </c>
      <c r="I10" s="26">
        <v>1.52E-2</v>
      </c>
      <c r="J10" s="11">
        <v>2493</v>
      </c>
      <c r="K10" s="11">
        <v>16</v>
      </c>
      <c r="L10" s="11">
        <v>2477</v>
      </c>
      <c r="M10" s="26">
        <v>6.4000000000000003E-3</v>
      </c>
      <c r="N10" s="11">
        <v>2961</v>
      </c>
      <c r="O10" s="11">
        <v>9</v>
      </c>
      <c r="P10" s="11">
        <v>2952</v>
      </c>
      <c r="Q10" s="26">
        <v>3.0000000000000001E-3</v>
      </c>
      <c r="R10" s="11">
        <v>2815</v>
      </c>
      <c r="S10" s="11">
        <v>10</v>
      </c>
      <c r="T10" s="11">
        <v>2805</v>
      </c>
      <c r="U10" s="26">
        <v>3.5999999999999999E-3</v>
      </c>
      <c r="V10" s="12">
        <f t="shared" si="0"/>
        <v>1.5142542932070045E-2</v>
      </c>
    </row>
    <row r="11" spans="1:22" x14ac:dyDescent="0.35">
      <c r="A11" s="10">
        <v>43623</v>
      </c>
      <c r="B11" s="11">
        <v>403</v>
      </c>
      <c r="C11" s="11">
        <v>97</v>
      </c>
      <c r="D11" s="11">
        <v>306</v>
      </c>
      <c r="E11" s="26">
        <v>0.2407</v>
      </c>
      <c r="F11" s="11">
        <v>3247</v>
      </c>
      <c r="G11" s="11">
        <v>33</v>
      </c>
      <c r="H11" s="11">
        <v>3214</v>
      </c>
      <c r="I11" s="26">
        <v>1.0200000000000001E-2</v>
      </c>
      <c r="J11" s="11">
        <v>2518</v>
      </c>
      <c r="K11" s="11">
        <v>14</v>
      </c>
      <c r="L11" s="11">
        <v>2504</v>
      </c>
      <c r="M11" s="26">
        <v>5.5999999999999999E-3</v>
      </c>
      <c r="N11" s="11">
        <v>2951</v>
      </c>
      <c r="O11" s="11">
        <v>10</v>
      </c>
      <c r="P11" s="11">
        <v>2941</v>
      </c>
      <c r="Q11" s="26">
        <v>3.3999999999999998E-3</v>
      </c>
      <c r="R11" s="11">
        <v>2810</v>
      </c>
      <c r="S11" s="11">
        <v>13</v>
      </c>
      <c r="T11" s="11">
        <v>2797</v>
      </c>
      <c r="U11" s="26">
        <v>4.5999999999999999E-3</v>
      </c>
      <c r="V11" s="12">
        <f t="shared" si="0"/>
        <v>1.3999497024059017E-2</v>
      </c>
    </row>
    <row r="12" spans="1:22" x14ac:dyDescent="0.35">
      <c r="A12" s="10">
        <v>43624</v>
      </c>
      <c r="B12" s="11">
        <v>400</v>
      </c>
      <c r="C12" s="11">
        <v>107</v>
      </c>
      <c r="D12" s="11">
        <v>293</v>
      </c>
      <c r="E12" s="26">
        <v>0.26750000000000002</v>
      </c>
      <c r="F12" s="11">
        <v>3263</v>
      </c>
      <c r="G12" s="11">
        <v>42</v>
      </c>
      <c r="H12" s="11">
        <v>3221</v>
      </c>
      <c r="I12" s="26">
        <v>1.29E-2</v>
      </c>
      <c r="J12" s="11">
        <v>2529</v>
      </c>
      <c r="K12" s="11">
        <v>17</v>
      </c>
      <c r="L12" s="11">
        <v>2512</v>
      </c>
      <c r="M12" s="26">
        <v>6.7000000000000002E-3</v>
      </c>
      <c r="N12" s="11">
        <v>2924</v>
      </c>
      <c r="O12" s="11">
        <v>13</v>
      </c>
      <c r="P12" s="11">
        <v>2911</v>
      </c>
      <c r="Q12" s="26">
        <v>4.4000000000000003E-3</v>
      </c>
      <c r="R12" s="11">
        <v>2797</v>
      </c>
      <c r="S12" s="11">
        <v>18</v>
      </c>
      <c r="T12" s="11">
        <v>2779</v>
      </c>
      <c r="U12" s="26">
        <v>6.4000000000000003E-3</v>
      </c>
      <c r="V12" s="12">
        <f t="shared" si="0"/>
        <v>1.653655670276169E-2</v>
      </c>
    </row>
    <row r="13" spans="1:22" x14ac:dyDescent="0.35">
      <c r="A13" s="10">
        <v>43625</v>
      </c>
      <c r="B13" s="11">
        <v>406</v>
      </c>
      <c r="C13" s="11">
        <v>144</v>
      </c>
      <c r="D13" s="11">
        <v>262</v>
      </c>
      <c r="E13" s="26">
        <v>0.35470000000000002</v>
      </c>
      <c r="F13" s="11">
        <v>3226</v>
      </c>
      <c r="G13" s="11">
        <v>55</v>
      </c>
      <c r="H13" s="11">
        <v>3171</v>
      </c>
      <c r="I13" s="26">
        <v>1.7000000000000001E-2</v>
      </c>
      <c r="J13" s="11">
        <v>2520</v>
      </c>
      <c r="K13" s="11">
        <v>21</v>
      </c>
      <c r="L13" s="11">
        <v>2499</v>
      </c>
      <c r="M13" s="26">
        <v>8.3000000000000001E-3</v>
      </c>
      <c r="N13" s="11">
        <v>2894</v>
      </c>
      <c r="O13" s="11">
        <v>14</v>
      </c>
      <c r="P13" s="11">
        <v>2880</v>
      </c>
      <c r="Q13" s="26">
        <v>4.7999999999999996E-3</v>
      </c>
      <c r="R13" s="11">
        <v>2784</v>
      </c>
      <c r="S13" s="11">
        <v>27</v>
      </c>
      <c r="T13" s="11">
        <v>2757</v>
      </c>
      <c r="U13" s="26">
        <v>9.7000000000000003E-3</v>
      </c>
      <c r="V13" s="12">
        <f t="shared" si="0"/>
        <v>2.2062552831783599E-2</v>
      </c>
    </row>
    <row r="14" spans="1:22" x14ac:dyDescent="0.35">
      <c r="A14" s="10">
        <v>43626</v>
      </c>
      <c r="B14" s="11">
        <v>399</v>
      </c>
      <c r="C14" s="11">
        <v>112</v>
      </c>
      <c r="D14" s="11">
        <v>287</v>
      </c>
      <c r="E14" s="26">
        <v>0.28070000000000001</v>
      </c>
      <c r="F14" s="11">
        <v>3185</v>
      </c>
      <c r="G14" s="11">
        <v>50</v>
      </c>
      <c r="H14" s="11">
        <v>3135</v>
      </c>
      <c r="I14" s="26">
        <v>1.5699999999999999E-2</v>
      </c>
      <c r="J14" s="11">
        <v>2509</v>
      </c>
      <c r="K14" s="11">
        <v>21</v>
      </c>
      <c r="L14" s="11">
        <v>2488</v>
      </c>
      <c r="M14" s="26">
        <v>8.3999999999999995E-3</v>
      </c>
      <c r="N14" s="11">
        <v>2897</v>
      </c>
      <c r="O14" s="11">
        <v>15</v>
      </c>
      <c r="P14" s="11">
        <v>2882</v>
      </c>
      <c r="Q14" s="26">
        <v>5.1999999999999998E-3</v>
      </c>
      <c r="R14" s="11">
        <v>2771</v>
      </c>
      <c r="S14" s="11">
        <v>38</v>
      </c>
      <c r="T14" s="11">
        <v>2733</v>
      </c>
      <c r="U14" s="26">
        <v>1.37E-2</v>
      </c>
      <c r="V14" s="12">
        <f t="shared" si="0"/>
        <v>2.006632089108069E-2</v>
      </c>
    </row>
    <row r="15" spans="1:22" x14ac:dyDescent="0.35">
      <c r="A15" s="10">
        <v>43627</v>
      </c>
      <c r="B15" s="11">
        <v>405</v>
      </c>
      <c r="C15" s="11">
        <v>121</v>
      </c>
      <c r="D15" s="11">
        <v>284</v>
      </c>
      <c r="E15" s="26">
        <v>0.29880000000000001</v>
      </c>
      <c r="F15" s="11">
        <v>3201</v>
      </c>
      <c r="G15" s="11">
        <v>59</v>
      </c>
      <c r="H15" s="11">
        <v>3142</v>
      </c>
      <c r="I15" s="26">
        <v>1.84E-2</v>
      </c>
      <c r="J15" s="11">
        <v>2519</v>
      </c>
      <c r="K15" s="11">
        <v>22</v>
      </c>
      <c r="L15" s="11">
        <v>2497</v>
      </c>
      <c r="M15" s="26">
        <v>8.6999999999999994E-3</v>
      </c>
      <c r="N15" s="11">
        <v>2960</v>
      </c>
      <c r="O15" s="11">
        <v>11</v>
      </c>
      <c r="P15" s="11">
        <v>2949</v>
      </c>
      <c r="Q15" s="26">
        <v>3.7000000000000002E-3</v>
      </c>
      <c r="R15" s="11">
        <v>2774</v>
      </c>
      <c r="S15" s="11">
        <v>49</v>
      </c>
      <c r="T15" s="11">
        <v>2725</v>
      </c>
      <c r="U15" s="26">
        <v>1.77E-2</v>
      </c>
      <c r="V15" s="12">
        <f t="shared" si="0"/>
        <v>2.2092925204486046E-2</v>
      </c>
    </row>
    <row r="16" spans="1:22" x14ac:dyDescent="0.35">
      <c r="A16" s="10">
        <v>43628</v>
      </c>
      <c r="B16" s="11">
        <v>403</v>
      </c>
      <c r="C16" s="11">
        <v>137</v>
      </c>
      <c r="D16" s="11">
        <v>266</v>
      </c>
      <c r="E16" s="26">
        <v>0.34</v>
      </c>
      <c r="F16" s="11">
        <v>3179</v>
      </c>
      <c r="G16" s="11">
        <v>57</v>
      </c>
      <c r="H16" s="11">
        <v>3122</v>
      </c>
      <c r="I16" s="26">
        <v>1.7899999999999999E-2</v>
      </c>
      <c r="J16" s="11">
        <v>2517</v>
      </c>
      <c r="K16" s="11">
        <v>25</v>
      </c>
      <c r="L16" s="11">
        <v>2492</v>
      </c>
      <c r="M16" s="26">
        <v>9.9000000000000008E-3</v>
      </c>
      <c r="N16" s="11">
        <v>2969</v>
      </c>
      <c r="O16" s="11">
        <v>13</v>
      </c>
      <c r="P16" s="11">
        <v>2956</v>
      </c>
      <c r="Q16" s="26">
        <v>4.4000000000000003E-3</v>
      </c>
      <c r="R16" s="11">
        <v>2768</v>
      </c>
      <c r="S16" s="11">
        <v>60</v>
      </c>
      <c r="T16" s="11">
        <v>2708</v>
      </c>
      <c r="U16" s="26">
        <v>2.1700000000000001E-2</v>
      </c>
      <c r="V16" s="12">
        <f t="shared" si="0"/>
        <v>2.4670496789455897E-2</v>
      </c>
    </row>
    <row r="17" spans="1:22" x14ac:dyDescent="0.35">
      <c r="A17" s="10">
        <v>43629</v>
      </c>
      <c r="B17" s="11">
        <v>415</v>
      </c>
      <c r="C17" s="11">
        <v>100</v>
      </c>
      <c r="D17" s="11">
        <v>315</v>
      </c>
      <c r="E17" s="26">
        <v>0.24099999999999999</v>
      </c>
      <c r="F17" s="11">
        <v>3231</v>
      </c>
      <c r="G17" s="11">
        <v>85</v>
      </c>
      <c r="H17" s="11">
        <v>3146</v>
      </c>
      <c r="I17" s="26">
        <v>2.63E-2</v>
      </c>
      <c r="J17" s="11">
        <v>2521</v>
      </c>
      <c r="K17" s="11">
        <v>25</v>
      </c>
      <c r="L17" s="11">
        <v>2496</v>
      </c>
      <c r="M17" s="26">
        <v>9.9000000000000008E-3</v>
      </c>
      <c r="N17" s="11">
        <v>2966</v>
      </c>
      <c r="O17" s="11">
        <v>13</v>
      </c>
      <c r="P17" s="11">
        <v>2953</v>
      </c>
      <c r="Q17" s="26">
        <v>4.4000000000000003E-3</v>
      </c>
      <c r="R17" s="11">
        <v>2767</v>
      </c>
      <c r="S17" s="11">
        <v>73</v>
      </c>
      <c r="T17" s="11">
        <v>2694</v>
      </c>
      <c r="U17" s="26">
        <v>2.64E-2</v>
      </c>
      <c r="V17" s="12">
        <f t="shared" si="0"/>
        <v>2.4873949579831932E-2</v>
      </c>
    </row>
    <row r="18" spans="1:22" x14ac:dyDescent="0.35">
      <c r="A18" s="10">
        <v>43630</v>
      </c>
      <c r="B18" s="11">
        <v>426</v>
      </c>
      <c r="C18" s="11">
        <v>110</v>
      </c>
      <c r="D18" s="11">
        <v>316</v>
      </c>
      <c r="E18" s="26">
        <v>0.25819999999999999</v>
      </c>
      <c r="F18" s="11">
        <v>3305</v>
      </c>
      <c r="G18" s="11">
        <v>73</v>
      </c>
      <c r="H18" s="11">
        <v>3232</v>
      </c>
      <c r="I18" s="26">
        <v>2.2100000000000002E-2</v>
      </c>
      <c r="J18" s="11">
        <v>2518</v>
      </c>
      <c r="K18" s="11">
        <v>24</v>
      </c>
      <c r="L18" s="11">
        <v>2494</v>
      </c>
      <c r="M18" s="26">
        <v>9.4999999999999998E-3</v>
      </c>
      <c r="N18" s="11">
        <v>2982</v>
      </c>
      <c r="O18" s="11">
        <v>15</v>
      </c>
      <c r="P18" s="11">
        <v>2967</v>
      </c>
      <c r="Q18" s="26">
        <v>5.0000000000000001E-3</v>
      </c>
      <c r="R18" s="11">
        <v>2789</v>
      </c>
      <c r="S18" s="11">
        <v>110</v>
      </c>
      <c r="T18" s="11">
        <v>2679</v>
      </c>
      <c r="U18" s="26">
        <v>3.9399999999999998E-2</v>
      </c>
      <c r="V18" s="12">
        <f t="shared" si="0"/>
        <v>2.762063227953411E-2</v>
      </c>
    </row>
    <row r="19" spans="1:22" x14ac:dyDescent="0.35">
      <c r="A19" s="10">
        <v>43631</v>
      </c>
      <c r="B19" s="11">
        <v>426</v>
      </c>
      <c r="C19" s="11">
        <v>123</v>
      </c>
      <c r="D19" s="11">
        <v>303</v>
      </c>
      <c r="E19" s="26">
        <v>0.28870000000000001</v>
      </c>
      <c r="F19" s="11">
        <v>3331</v>
      </c>
      <c r="G19" s="11">
        <v>52</v>
      </c>
      <c r="H19" s="11">
        <v>3279</v>
      </c>
      <c r="I19" s="26">
        <v>1.5599999999999999E-2</v>
      </c>
      <c r="J19" s="11">
        <v>2515</v>
      </c>
      <c r="K19" s="11">
        <v>23</v>
      </c>
      <c r="L19" s="11">
        <v>2492</v>
      </c>
      <c r="M19" s="26">
        <v>9.1000000000000004E-3</v>
      </c>
      <c r="N19" s="11">
        <v>2979</v>
      </c>
      <c r="O19" s="11">
        <v>14</v>
      </c>
      <c r="P19" s="11">
        <v>2965</v>
      </c>
      <c r="Q19" s="26">
        <v>4.7000000000000002E-3</v>
      </c>
      <c r="R19" s="11">
        <v>2806</v>
      </c>
      <c r="S19" s="11">
        <v>119</v>
      </c>
      <c r="T19" s="11">
        <v>2687</v>
      </c>
      <c r="U19" s="26">
        <v>4.24E-2</v>
      </c>
      <c r="V19" s="12">
        <f t="shared" si="0"/>
        <v>2.7452931906776147E-2</v>
      </c>
    </row>
    <row r="20" spans="1:22" x14ac:dyDescent="0.35">
      <c r="A20" s="10">
        <v>43632</v>
      </c>
      <c r="B20" s="11">
        <v>426</v>
      </c>
      <c r="C20" s="11">
        <v>162</v>
      </c>
      <c r="D20" s="11">
        <v>264</v>
      </c>
      <c r="E20" s="26">
        <v>0.38030000000000003</v>
      </c>
      <c r="F20" s="11">
        <v>3292</v>
      </c>
      <c r="G20" s="11">
        <v>64</v>
      </c>
      <c r="H20" s="11">
        <v>3228</v>
      </c>
      <c r="I20" s="26">
        <v>1.9400000000000001E-2</v>
      </c>
      <c r="J20" s="11">
        <v>2512</v>
      </c>
      <c r="K20" s="11">
        <v>28</v>
      </c>
      <c r="L20" s="11">
        <v>2484</v>
      </c>
      <c r="M20" s="26">
        <v>1.11E-2</v>
      </c>
      <c r="N20" s="11">
        <v>2959</v>
      </c>
      <c r="O20" s="11">
        <v>15</v>
      </c>
      <c r="P20" s="11">
        <v>2944</v>
      </c>
      <c r="Q20" s="26">
        <v>5.1000000000000004E-3</v>
      </c>
      <c r="R20" s="11">
        <v>2808</v>
      </c>
      <c r="S20" s="11">
        <v>140</v>
      </c>
      <c r="T20" s="11">
        <v>2668</v>
      </c>
      <c r="U20" s="26">
        <v>4.99E-2</v>
      </c>
      <c r="V20" s="12">
        <f t="shared" si="0"/>
        <v>3.4091856297407686E-2</v>
      </c>
    </row>
    <row r="21" spans="1:22" x14ac:dyDescent="0.35">
      <c r="A21" s="10">
        <v>43633</v>
      </c>
      <c r="B21" s="11">
        <v>432</v>
      </c>
      <c r="C21" s="11">
        <v>138</v>
      </c>
      <c r="D21" s="11">
        <v>294</v>
      </c>
      <c r="E21" s="26">
        <v>0.31940000000000002</v>
      </c>
      <c r="F21" s="11">
        <v>3270</v>
      </c>
      <c r="G21" s="11">
        <v>70</v>
      </c>
      <c r="H21" s="11">
        <v>3200</v>
      </c>
      <c r="I21" s="26">
        <v>2.1399999999999999E-2</v>
      </c>
      <c r="J21" s="11">
        <v>2501</v>
      </c>
      <c r="K21" s="11">
        <v>28</v>
      </c>
      <c r="L21" s="11">
        <v>2473</v>
      </c>
      <c r="M21" s="26">
        <v>1.12E-2</v>
      </c>
      <c r="N21" s="11">
        <v>2952</v>
      </c>
      <c r="O21" s="11">
        <v>18</v>
      </c>
      <c r="P21" s="11">
        <v>2934</v>
      </c>
      <c r="Q21" s="26">
        <v>6.1000000000000004E-3</v>
      </c>
      <c r="R21" s="11">
        <v>2858</v>
      </c>
      <c r="S21" s="11">
        <v>37</v>
      </c>
      <c r="T21" s="11">
        <v>2821</v>
      </c>
      <c r="U21" s="26">
        <v>1.29E-2</v>
      </c>
      <c r="V21" s="12">
        <f t="shared" si="0"/>
        <v>2.4223757595937735E-2</v>
      </c>
    </row>
    <row r="22" spans="1:22" x14ac:dyDescent="0.35">
      <c r="A22" s="10">
        <v>43634</v>
      </c>
      <c r="B22" s="11">
        <v>441</v>
      </c>
      <c r="C22" s="11">
        <v>105</v>
      </c>
      <c r="D22" s="11">
        <v>336</v>
      </c>
      <c r="E22" s="26">
        <v>0.23810000000000001</v>
      </c>
      <c r="F22" s="11">
        <v>3270</v>
      </c>
      <c r="G22" s="11">
        <v>70</v>
      </c>
      <c r="H22" s="11">
        <v>3200</v>
      </c>
      <c r="I22" s="26">
        <v>2.1399999999999999E-2</v>
      </c>
      <c r="J22" s="11">
        <v>2507</v>
      </c>
      <c r="K22" s="11">
        <v>27</v>
      </c>
      <c r="L22" s="11">
        <v>2480</v>
      </c>
      <c r="M22" s="26">
        <v>1.0800000000000001E-2</v>
      </c>
      <c r="N22" s="11">
        <v>2952</v>
      </c>
      <c r="O22" s="11">
        <v>18</v>
      </c>
      <c r="P22" s="11">
        <v>2934</v>
      </c>
      <c r="Q22" s="26">
        <v>6.1000000000000004E-3</v>
      </c>
      <c r="R22" s="11">
        <v>2858</v>
      </c>
      <c r="S22" s="11">
        <v>37</v>
      </c>
      <c r="T22" s="11">
        <v>2821</v>
      </c>
      <c r="U22" s="26">
        <v>1.29E-2</v>
      </c>
      <c r="V22" s="12">
        <f t="shared" si="0"/>
        <v>2.1366810774858663E-2</v>
      </c>
    </row>
    <row r="23" spans="1:22" x14ac:dyDescent="0.35">
      <c r="A23" s="10">
        <v>43635</v>
      </c>
      <c r="B23" s="11">
        <v>433</v>
      </c>
      <c r="C23" s="11">
        <v>131</v>
      </c>
      <c r="D23" s="11">
        <v>302</v>
      </c>
      <c r="E23" s="26">
        <v>0.30249999999999999</v>
      </c>
      <c r="F23" s="11">
        <v>3250</v>
      </c>
      <c r="G23" s="11">
        <v>74</v>
      </c>
      <c r="H23" s="11">
        <v>3176</v>
      </c>
      <c r="I23" s="26">
        <v>2.2800000000000001E-2</v>
      </c>
      <c r="J23" s="11">
        <v>2512</v>
      </c>
      <c r="K23" s="11">
        <v>30</v>
      </c>
      <c r="L23" s="11">
        <v>2482</v>
      </c>
      <c r="M23" s="26">
        <v>1.1900000000000001E-2</v>
      </c>
      <c r="N23" s="11">
        <v>2980</v>
      </c>
      <c r="O23" s="11">
        <v>19</v>
      </c>
      <c r="P23" s="11">
        <v>2961</v>
      </c>
      <c r="Q23" s="26">
        <v>6.4000000000000003E-3</v>
      </c>
      <c r="R23" s="11">
        <v>2889</v>
      </c>
      <c r="S23" s="11">
        <v>43</v>
      </c>
      <c r="T23" s="11">
        <v>2846</v>
      </c>
      <c r="U23" s="26">
        <v>1.49E-2</v>
      </c>
      <c r="V23" s="12">
        <f t="shared" si="0"/>
        <v>2.4618700265251991E-2</v>
      </c>
    </row>
    <row r="24" spans="1:22" x14ac:dyDescent="0.35">
      <c r="A24" s="10">
        <v>43636</v>
      </c>
      <c r="B24" s="11">
        <v>437</v>
      </c>
      <c r="C24" s="11">
        <v>141</v>
      </c>
      <c r="D24" s="11">
        <v>296</v>
      </c>
      <c r="E24" s="26">
        <v>0.32269999999999999</v>
      </c>
      <c r="F24" s="11">
        <v>3276</v>
      </c>
      <c r="G24" s="11">
        <v>106</v>
      </c>
      <c r="H24" s="11">
        <v>3170</v>
      </c>
      <c r="I24" s="26">
        <v>3.2399999999999998E-2</v>
      </c>
      <c r="J24" s="11">
        <v>2515</v>
      </c>
      <c r="K24" s="11">
        <v>28</v>
      </c>
      <c r="L24" s="11">
        <v>2487</v>
      </c>
      <c r="M24" s="26">
        <v>1.11E-2</v>
      </c>
      <c r="N24" s="11">
        <v>2991</v>
      </c>
      <c r="O24" s="11">
        <v>18</v>
      </c>
      <c r="P24" s="11">
        <v>2973</v>
      </c>
      <c r="Q24" s="26">
        <v>6.0000000000000001E-3</v>
      </c>
      <c r="R24" s="11">
        <v>2881</v>
      </c>
      <c r="S24" s="11">
        <v>45</v>
      </c>
      <c r="T24" s="11">
        <v>2836</v>
      </c>
      <c r="U24" s="26">
        <v>1.5599999999999999E-2</v>
      </c>
      <c r="V24" s="12">
        <f t="shared" si="0"/>
        <v>2.793388429752066E-2</v>
      </c>
    </row>
    <row r="25" spans="1:22" x14ac:dyDescent="0.35">
      <c r="A25" s="10">
        <v>43637</v>
      </c>
      <c r="B25" s="11">
        <v>446</v>
      </c>
      <c r="C25" s="11">
        <v>130</v>
      </c>
      <c r="D25" s="11">
        <v>316</v>
      </c>
      <c r="E25" s="26">
        <v>0.29149999999999998</v>
      </c>
      <c r="F25" s="11">
        <v>3306</v>
      </c>
      <c r="G25" s="11">
        <v>64</v>
      </c>
      <c r="H25" s="11">
        <v>3242</v>
      </c>
      <c r="I25" s="26">
        <v>1.9400000000000001E-2</v>
      </c>
      <c r="J25" s="11">
        <v>2538</v>
      </c>
      <c r="K25" s="11">
        <v>29</v>
      </c>
      <c r="L25" s="11">
        <v>2509</v>
      </c>
      <c r="M25" s="26">
        <v>1.14E-2</v>
      </c>
      <c r="N25" s="11">
        <v>2968</v>
      </c>
      <c r="O25" s="11">
        <v>18</v>
      </c>
      <c r="P25" s="11">
        <v>2950</v>
      </c>
      <c r="Q25" s="26">
        <v>6.1000000000000004E-3</v>
      </c>
      <c r="R25" s="11">
        <v>2909</v>
      </c>
      <c r="S25" s="11">
        <v>45</v>
      </c>
      <c r="T25" s="11">
        <v>2864</v>
      </c>
      <c r="U25" s="26">
        <v>1.55E-2</v>
      </c>
      <c r="V25" s="12">
        <f t="shared" si="0"/>
        <v>2.3506205309443577E-2</v>
      </c>
    </row>
    <row r="26" spans="1:22" x14ac:dyDescent="0.35">
      <c r="A26" s="10">
        <v>43638</v>
      </c>
      <c r="B26" s="11">
        <v>454</v>
      </c>
      <c r="C26" s="11">
        <v>140</v>
      </c>
      <c r="D26" s="11">
        <v>314</v>
      </c>
      <c r="E26" s="26">
        <v>0.30840000000000001</v>
      </c>
      <c r="F26" s="11">
        <v>3297</v>
      </c>
      <c r="G26" s="11">
        <v>68</v>
      </c>
      <c r="H26" s="11">
        <v>3229</v>
      </c>
      <c r="I26" s="26">
        <v>2.06E-2</v>
      </c>
      <c r="J26" s="11">
        <v>2504</v>
      </c>
      <c r="K26" s="11">
        <v>30</v>
      </c>
      <c r="L26" s="11">
        <v>2474</v>
      </c>
      <c r="M26" s="26">
        <v>1.2E-2</v>
      </c>
      <c r="N26" s="11">
        <v>2933</v>
      </c>
      <c r="O26" s="11">
        <v>23</v>
      </c>
      <c r="P26" s="11">
        <v>2910</v>
      </c>
      <c r="Q26" s="26">
        <v>7.7999999999999996E-3</v>
      </c>
      <c r="R26" s="11">
        <v>2877</v>
      </c>
      <c r="S26" s="11">
        <v>61</v>
      </c>
      <c r="T26" s="11">
        <v>2816</v>
      </c>
      <c r="U26" s="26">
        <v>2.12E-2</v>
      </c>
      <c r="V26" s="12">
        <f t="shared" si="0"/>
        <v>2.668876916701202E-2</v>
      </c>
    </row>
    <row r="27" spans="1:22" x14ac:dyDescent="0.35">
      <c r="A27" s="10">
        <v>43639</v>
      </c>
      <c r="B27" s="11">
        <v>458</v>
      </c>
      <c r="C27" s="11">
        <v>187</v>
      </c>
      <c r="D27" s="11">
        <v>271</v>
      </c>
      <c r="E27" s="26">
        <v>0.4083</v>
      </c>
      <c r="F27" s="11">
        <v>3272</v>
      </c>
      <c r="G27" s="11">
        <v>107</v>
      </c>
      <c r="H27" s="11">
        <v>3165</v>
      </c>
      <c r="I27" s="26">
        <v>3.27E-2</v>
      </c>
      <c r="J27" s="11">
        <v>2497</v>
      </c>
      <c r="K27" s="11">
        <v>31</v>
      </c>
      <c r="L27" s="11">
        <v>2466</v>
      </c>
      <c r="M27" s="26">
        <v>1.24E-2</v>
      </c>
      <c r="N27" s="11">
        <v>2905</v>
      </c>
      <c r="O27" s="11">
        <v>30</v>
      </c>
      <c r="P27" s="11">
        <v>2875</v>
      </c>
      <c r="Q27" s="26">
        <v>1.03E-2</v>
      </c>
      <c r="R27" s="11">
        <v>2872</v>
      </c>
      <c r="S27" s="11">
        <v>75</v>
      </c>
      <c r="T27" s="11">
        <v>2797</v>
      </c>
      <c r="U27" s="26">
        <v>2.6100000000000002E-2</v>
      </c>
      <c r="V27" s="12">
        <f t="shared" si="0"/>
        <v>3.582139286904365E-2</v>
      </c>
    </row>
    <row r="28" spans="1:22" x14ac:dyDescent="0.35">
      <c r="A28" s="10">
        <v>43640</v>
      </c>
      <c r="B28" s="11">
        <v>453</v>
      </c>
      <c r="C28" s="11">
        <v>153</v>
      </c>
      <c r="D28" s="11">
        <v>300</v>
      </c>
      <c r="E28" s="26">
        <v>0.3377</v>
      </c>
      <c r="F28" s="11">
        <v>3269</v>
      </c>
      <c r="G28" s="11">
        <v>92</v>
      </c>
      <c r="H28" s="11">
        <v>3177</v>
      </c>
      <c r="I28" s="26">
        <v>2.81E-2</v>
      </c>
      <c r="J28" s="11">
        <v>2491</v>
      </c>
      <c r="K28" s="11">
        <v>31</v>
      </c>
      <c r="L28" s="11">
        <v>2460</v>
      </c>
      <c r="M28" s="26">
        <v>1.24E-2</v>
      </c>
      <c r="N28" s="11">
        <v>2932</v>
      </c>
      <c r="O28" s="11">
        <v>27</v>
      </c>
      <c r="P28" s="11">
        <v>2905</v>
      </c>
      <c r="Q28" s="26">
        <v>9.1999999999999998E-3</v>
      </c>
      <c r="R28" s="11">
        <v>2868</v>
      </c>
      <c r="S28" s="11">
        <v>79</v>
      </c>
      <c r="T28" s="11">
        <v>2789</v>
      </c>
      <c r="U28" s="26">
        <v>2.75E-2</v>
      </c>
      <c r="V28" s="12">
        <f t="shared" si="0"/>
        <v>3.1798884541746439E-2</v>
      </c>
    </row>
    <row r="29" spans="1:22" x14ac:dyDescent="0.35">
      <c r="A29" s="10">
        <v>43641</v>
      </c>
      <c r="B29" s="11">
        <v>466</v>
      </c>
      <c r="C29" s="11">
        <v>155</v>
      </c>
      <c r="D29" s="11">
        <v>311</v>
      </c>
      <c r="E29" s="26">
        <v>0.33260000000000001</v>
      </c>
      <c r="F29" s="11">
        <v>3293</v>
      </c>
      <c r="G29" s="11">
        <v>99</v>
      </c>
      <c r="H29" s="11">
        <v>3194</v>
      </c>
      <c r="I29" s="26">
        <v>3.0099999999999998E-2</v>
      </c>
      <c r="J29" s="11">
        <v>2514</v>
      </c>
      <c r="K29" s="11">
        <v>30</v>
      </c>
      <c r="L29" s="11">
        <v>2484</v>
      </c>
      <c r="M29" s="26">
        <v>1.1900000000000001E-2</v>
      </c>
      <c r="N29" s="11">
        <v>2924</v>
      </c>
      <c r="O29" s="11">
        <v>40</v>
      </c>
      <c r="P29" s="11">
        <v>2884</v>
      </c>
      <c r="Q29" s="26">
        <v>1.37E-2</v>
      </c>
      <c r="R29" s="11">
        <v>2807</v>
      </c>
      <c r="S29" s="11">
        <v>63</v>
      </c>
      <c r="T29" s="11">
        <v>2744</v>
      </c>
      <c r="U29" s="26">
        <v>2.24E-2</v>
      </c>
      <c r="V29" s="12">
        <f t="shared" si="0"/>
        <v>3.2239253582139284E-2</v>
      </c>
    </row>
    <row r="30" spans="1:22" x14ac:dyDescent="0.35">
      <c r="A30" s="10">
        <v>43642</v>
      </c>
      <c r="B30" s="11">
        <v>468</v>
      </c>
      <c r="C30" s="11">
        <v>156</v>
      </c>
      <c r="D30" s="11">
        <v>312</v>
      </c>
      <c r="E30" s="26">
        <v>0.33329999999999999</v>
      </c>
      <c r="F30" s="11">
        <v>3272</v>
      </c>
      <c r="G30" s="11">
        <v>102</v>
      </c>
      <c r="H30" s="11">
        <v>3170</v>
      </c>
      <c r="I30" s="26">
        <v>3.1199999999999999E-2</v>
      </c>
      <c r="J30" s="11">
        <v>2505</v>
      </c>
      <c r="K30" s="11">
        <v>29</v>
      </c>
      <c r="L30" s="11">
        <v>2476</v>
      </c>
      <c r="M30" s="26">
        <v>1.1599999999999999E-2</v>
      </c>
      <c r="N30" s="11">
        <v>2981</v>
      </c>
      <c r="O30" s="11">
        <v>25</v>
      </c>
      <c r="P30" s="11">
        <v>2956</v>
      </c>
      <c r="Q30" s="26">
        <v>8.3999999999999995E-3</v>
      </c>
      <c r="R30" s="11">
        <v>2884</v>
      </c>
      <c r="S30" s="11">
        <v>36</v>
      </c>
      <c r="T30" s="11">
        <v>2848</v>
      </c>
      <c r="U30" s="26">
        <v>1.2500000000000001E-2</v>
      </c>
      <c r="V30" s="12">
        <f t="shared" si="0"/>
        <v>2.8736581337737408E-2</v>
      </c>
    </row>
    <row r="31" spans="1:22" x14ac:dyDescent="0.35">
      <c r="A31" s="10">
        <v>43643</v>
      </c>
      <c r="B31" s="11">
        <v>476</v>
      </c>
      <c r="C31" s="11">
        <v>160</v>
      </c>
      <c r="D31" s="11">
        <v>316</v>
      </c>
      <c r="E31" s="26">
        <v>0.33610000000000001</v>
      </c>
      <c r="F31" s="11">
        <v>3311</v>
      </c>
      <c r="G31" s="11">
        <v>118</v>
      </c>
      <c r="H31" s="11">
        <v>3193</v>
      </c>
      <c r="I31" s="26">
        <v>3.56E-2</v>
      </c>
      <c r="J31" s="11">
        <v>2506</v>
      </c>
      <c r="K31" s="11">
        <v>27</v>
      </c>
      <c r="L31" s="11">
        <v>2479</v>
      </c>
      <c r="M31" s="26">
        <v>1.0800000000000001E-2</v>
      </c>
      <c r="N31" s="11">
        <v>2983</v>
      </c>
      <c r="O31" s="11">
        <v>23</v>
      </c>
      <c r="P31" s="11">
        <v>2960</v>
      </c>
      <c r="Q31" s="26">
        <v>7.7000000000000002E-3</v>
      </c>
      <c r="R31" s="11">
        <v>2882</v>
      </c>
      <c r="S31" s="11">
        <v>39</v>
      </c>
      <c r="T31" s="11">
        <v>2843</v>
      </c>
      <c r="U31" s="26">
        <v>1.35E-2</v>
      </c>
      <c r="V31" s="12">
        <f t="shared" si="0"/>
        <v>3.0185885836486265E-2</v>
      </c>
    </row>
    <row r="32" spans="1:22" x14ac:dyDescent="0.35">
      <c r="A32" s="10">
        <v>43644</v>
      </c>
      <c r="B32" s="11">
        <v>476</v>
      </c>
      <c r="C32" s="11">
        <v>160</v>
      </c>
      <c r="D32" s="11">
        <v>316</v>
      </c>
      <c r="E32" s="26">
        <v>0.33610000000000001</v>
      </c>
      <c r="F32" s="11">
        <v>3311</v>
      </c>
      <c r="G32" s="11">
        <v>118</v>
      </c>
      <c r="H32" s="11">
        <v>3193</v>
      </c>
      <c r="I32" s="26">
        <v>3.56E-2</v>
      </c>
      <c r="J32" s="11">
        <v>2506</v>
      </c>
      <c r="K32" s="11">
        <v>27</v>
      </c>
      <c r="L32" s="11">
        <v>2479</v>
      </c>
      <c r="M32" s="26">
        <v>1.0800000000000001E-2</v>
      </c>
      <c r="N32" s="11">
        <v>2983</v>
      </c>
      <c r="O32" s="11">
        <v>23</v>
      </c>
      <c r="P32" s="11">
        <v>2960</v>
      </c>
      <c r="Q32" s="26">
        <v>7.7000000000000002E-3</v>
      </c>
      <c r="R32" s="11">
        <v>2882</v>
      </c>
      <c r="S32" s="11">
        <v>39</v>
      </c>
      <c r="T32" s="11">
        <v>2843</v>
      </c>
      <c r="U32" s="26">
        <v>1.35E-2</v>
      </c>
      <c r="V32" s="12">
        <f t="shared" si="0"/>
        <v>3.0185885836486265E-2</v>
      </c>
    </row>
    <row r="33" spans="1:22" x14ac:dyDescent="0.35">
      <c r="A33" s="10">
        <v>43645</v>
      </c>
      <c r="B33" s="11">
        <v>485</v>
      </c>
      <c r="C33" s="11">
        <v>161</v>
      </c>
      <c r="D33" s="11">
        <v>324</v>
      </c>
      <c r="E33" s="26">
        <v>0.33200000000000002</v>
      </c>
      <c r="F33" s="11">
        <v>3364</v>
      </c>
      <c r="G33" s="11">
        <v>72</v>
      </c>
      <c r="H33" s="11">
        <v>3292</v>
      </c>
      <c r="I33" s="26">
        <v>2.1399999999999999E-2</v>
      </c>
      <c r="J33" s="11">
        <v>2484</v>
      </c>
      <c r="K33" s="11">
        <v>27</v>
      </c>
      <c r="L33" s="11">
        <v>2457</v>
      </c>
      <c r="M33" s="26">
        <v>1.09E-2</v>
      </c>
      <c r="N33" s="11">
        <v>2973</v>
      </c>
      <c r="O33" s="11">
        <v>27</v>
      </c>
      <c r="P33" s="11">
        <v>2946</v>
      </c>
      <c r="Q33" s="26">
        <v>9.1000000000000004E-3</v>
      </c>
      <c r="R33" s="11">
        <v>2867</v>
      </c>
      <c r="S33" s="11">
        <v>48</v>
      </c>
      <c r="T33" s="11">
        <v>2819</v>
      </c>
      <c r="U33" s="26">
        <v>1.67E-2</v>
      </c>
      <c r="V33" s="12">
        <f t="shared" si="0"/>
        <v>2.7519921136942415E-2</v>
      </c>
    </row>
    <row r="34" spans="1:22" x14ac:dyDescent="0.35">
      <c r="A34" s="10">
        <v>43646</v>
      </c>
      <c r="B34" s="11">
        <v>486</v>
      </c>
      <c r="C34" s="11">
        <v>197</v>
      </c>
      <c r="D34" s="11">
        <v>289</v>
      </c>
      <c r="E34" s="26">
        <v>0.40529999999999999</v>
      </c>
      <c r="F34" s="11">
        <v>3329</v>
      </c>
      <c r="G34" s="11">
        <v>87</v>
      </c>
      <c r="H34" s="11">
        <v>3242</v>
      </c>
      <c r="I34" s="26">
        <v>2.6100000000000002E-2</v>
      </c>
      <c r="J34" s="11">
        <v>2479</v>
      </c>
      <c r="K34" s="11">
        <v>28</v>
      </c>
      <c r="L34" s="11">
        <v>2451</v>
      </c>
      <c r="M34" s="26">
        <v>1.1299999999999999E-2</v>
      </c>
      <c r="N34" s="11">
        <v>2944</v>
      </c>
      <c r="O34" s="11">
        <v>32</v>
      </c>
      <c r="P34" s="11">
        <v>2912</v>
      </c>
      <c r="Q34" s="26">
        <v>1.09E-2</v>
      </c>
      <c r="R34" s="11">
        <v>2868</v>
      </c>
      <c r="S34" s="11">
        <v>59</v>
      </c>
      <c r="T34" s="11">
        <v>2809</v>
      </c>
      <c r="U34" s="26">
        <v>2.06E-2</v>
      </c>
      <c r="V34" s="12">
        <f t="shared" si="0"/>
        <v>3.3289278043945152E-2</v>
      </c>
    </row>
    <row r="35" spans="1:22" x14ac:dyDescent="0.35">
      <c r="A35" s="10"/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13625</v>
      </c>
      <c r="C36" s="22">
        <f>SUM(C5:C35)</f>
        <v>4540</v>
      </c>
      <c r="D36" s="22">
        <f>SUM(D5:D35)</f>
        <v>9085</v>
      </c>
      <c r="E36" s="23">
        <f>C36/B36</f>
        <v>0.3332110091743119</v>
      </c>
      <c r="F36" s="22">
        <f>SUM(F5:F35)</f>
        <v>98690</v>
      </c>
      <c r="G36" s="22">
        <f>SUM(G5:G35)</f>
        <v>2536</v>
      </c>
      <c r="H36" s="22">
        <f>SUM(H5:H35)</f>
        <v>96154</v>
      </c>
      <c r="I36" s="23">
        <f>G36/F36</f>
        <v>2.5696625797953187E-2</v>
      </c>
      <c r="J36" s="22">
        <f>SUM(J5:J35)</f>
        <v>75587</v>
      </c>
      <c r="K36" s="22">
        <f>SUM(K5:K35)</f>
        <v>887</v>
      </c>
      <c r="L36" s="22">
        <f>SUM(L5:L35)</f>
        <v>74700</v>
      </c>
      <c r="M36" s="23">
        <f>K36/J36</f>
        <v>1.1734822125497771E-2</v>
      </c>
      <c r="N36" s="22">
        <f>SUM(N5:N35)</f>
        <v>88999</v>
      </c>
      <c r="O36" s="22">
        <f>SUM(O5:O35)</f>
        <v>699</v>
      </c>
      <c r="P36" s="22">
        <f>SUM(P5:P35)</f>
        <v>88300</v>
      </c>
      <c r="Q36" s="23">
        <f>O36/N36</f>
        <v>7.8540208316947389E-3</v>
      </c>
      <c r="R36" s="22">
        <f>SUM(R5:R35)</f>
        <v>85054</v>
      </c>
      <c r="S36" s="22">
        <f>SUM(S5:S35)</f>
        <v>1593</v>
      </c>
      <c r="T36" s="22">
        <f>SUM(T5:T35)</f>
        <v>83461</v>
      </c>
      <c r="U36" s="23">
        <f>S36/R36</f>
        <v>1.8729277870529311E-2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0.75729774812343609</v>
      </c>
      <c r="F38" s="33"/>
      <c r="G38" s="34"/>
      <c r="H38" s="35"/>
      <c r="I38" s="16">
        <f>I36/I37</f>
        <v>0.65888784097315867</v>
      </c>
      <c r="J38" s="33"/>
      <c r="K38" s="34"/>
      <c r="L38" s="35"/>
      <c r="M38" s="16">
        <f>M36/M37</f>
        <v>0.41910079019634894</v>
      </c>
      <c r="N38" s="33"/>
      <c r="O38" s="34"/>
      <c r="P38" s="35"/>
      <c r="Q38" s="16">
        <f>Q36/Q37</f>
        <v>0.71400189379043089</v>
      </c>
      <c r="R38" s="33"/>
      <c r="S38" s="34"/>
      <c r="T38" s="35"/>
      <c r="U38" s="16">
        <f>U36/U37</f>
        <v>1.7026616245935737</v>
      </c>
      <c r="V38" s="16" t="e">
        <f>V36/V37</f>
        <v>#DIV/0!</v>
      </c>
    </row>
    <row r="39" spans="1:22" x14ac:dyDescent="0.35">
      <c r="A39">
        <v>2</v>
      </c>
      <c r="B39">
        <f>B36*$A$39</f>
        <v>27250</v>
      </c>
      <c r="C39">
        <f t="shared" ref="C39:T39" si="1">C36*$A$39</f>
        <v>9080</v>
      </c>
      <c r="D39">
        <f t="shared" si="1"/>
        <v>18170</v>
      </c>
      <c r="F39">
        <f t="shared" si="1"/>
        <v>197380</v>
      </c>
      <c r="G39">
        <f t="shared" si="1"/>
        <v>5072</v>
      </c>
      <c r="H39">
        <f t="shared" si="1"/>
        <v>192308</v>
      </c>
      <c r="J39">
        <f t="shared" si="1"/>
        <v>151174</v>
      </c>
      <c r="K39">
        <f t="shared" si="1"/>
        <v>1774</v>
      </c>
      <c r="L39">
        <f t="shared" si="1"/>
        <v>149400</v>
      </c>
      <c r="N39">
        <f t="shared" si="1"/>
        <v>177998</v>
      </c>
      <c r="O39">
        <f t="shared" si="1"/>
        <v>1398</v>
      </c>
      <c r="P39">
        <f t="shared" si="1"/>
        <v>176600</v>
      </c>
      <c r="R39">
        <f t="shared" si="1"/>
        <v>170108</v>
      </c>
      <c r="S39">
        <f t="shared" si="1"/>
        <v>3186</v>
      </c>
      <c r="T39">
        <f t="shared" si="1"/>
        <v>166922</v>
      </c>
    </row>
    <row r="40" spans="1:22" x14ac:dyDescent="0.35">
      <c r="E40" s="13"/>
    </row>
    <row r="41" spans="1:22" ht="39" customHeight="1" x14ac:dyDescent="0.35">
      <c r="B41" s="27">
        <f>VLOOKUP(B$2,'[6]300619'!$A$2:$F$25,3,0)</f>
        <v>485</v>
      </c>
      <c r="C41" s="27">
        <f>VLOOKUP(B$2,'[6]300619'!$A$2:$F$25,4,0)</f>
        <v>161</v>
      </c>
      <c r="D41" s="27">
        <f>VLOOKUP(B$2,'[6]300619'!$A$2:$F$25,5,0)</f>
        <v>324</v>
      </c>
      <c r="E41" s="28">
        <f>VLOOKUP(B$2,'[6]300619'!$A$2:$F$25,6,0)</f>
        <v>0.33200000000000002</v>
      </c>
      <c r="F41" s="27">
        <f>VLOOKUP(F$2,'[6]300619'!$A$2:$F$25,3,0)</f>
        <v>3364</v>
      </c>
      <c r="G41" s="27">
        <f>VLOOKUP(F$2,'[6]300619'!$A$2:$F$25,4,0)</f>
        <v>72</v>
      </c>
      <c r="H41" s="27">
        <f>VLOOKUP(F$2,'[6]300619'!$A$2:$F$25,5,0)</f>
        <v>3292</v>
      </c>
      <c r="I41" s="29">
        <f>VLOOKUP(F$2,'[6]300619'!$A$2:$F$25,6,0)</f>
        <v>2.1399999999999999E-2</v>
      </c>
      <c r="J41" s="27">
        <f>VLOOKUP(J$2,'[6]300619'!$A$2:$F$25,3,0)</f>
        <v>2484</v>
      </c>
      <c r="K41" s="27">
        <f>VLOOKUP(J$2,'[6]300619'!$A$2:$F$25,4,0)</f>
        <v>27</v>
      </c>
      <c r="L41" s="27">
        <f>VLOOKUP(J$2,'[6]300619'!$A$2:$F$25,5,0)</f>
        <v>2457</v>
      </c>
      <c r="M41" s="28">
        <f>VLOOKUP(J$2,'[6]300619'!$A$2:$F$25,6,0)</f>
        <v>1.09E-2</v>
      </c>
      <c r="N41" s="27">
        <f>VLOOKUP(N$2,'[6]300619'!$A$2:$F$25,3,0)</f>
        <v>2973</v>
      </c>
      <c r="O41" s="27">
        <f>VLOOKUP(N$2,'[6]300619'!$A$2:$F$25,4,0)</f>
        <v>27</v>
      </c>
      <c r="P41" s="27">
        <f>VLOOKUP(N$2,'[6]300619'!$A$2:$F$25,5,0)</f>
        <v>2946</v>
      </c>
      <c r="Q41" s="28">
        <f>VLOOKUP(N$2,'[6]300619'!$A$2:$F$25,6,0)</f>
        <v>9.1000000000000004E-3</v>
      </c>
      <c r="R41" s="27">
        <f>VLOOKUP(R$2,'[6]300619'!$A$2:$F$25,3,0)</f>
        <v>2867</v>
      </c>
      <c r="S41" s="27">
        <f>VLOOKUP(R$2,'[6]300619'!$A$2:$F$25,4,0)</f>
        <v>48</v>
      </c>
      <c r="T41" s="27">
        <f>VLOOKUP(R$2,'[6]300619'!$A$2:$F$25,5,0)</f>
        <v>2819</v>
      </c>
      <c r="U41" s="28">
        <f>VLOOKUP(R$2,'[6]300619'!$A$2:$F$25,6,0)</f>
        <v>1.67E-2</v>
      </c>
    </row>
    <row r="43" spans="1:22" x14ac:dyDescent="0.35">
      <c r="E43" s="14"/>
    </row>
    <row r="44" spans="1:22" ht="13.5" x14ac:dyDescent="0.35">
      <c r="B44">
        <f>B39+F39+J39+N39+R39</f>
        <v>723910</v>
      </c>
      <c r="C44">
        <f>C39+G39+K39+O39+S39</f>
        <v>20510</v>
      </c>
      <c r="E44" s="23">
        <f>C44/B44</f>
        <v>2.8332251246701939E-2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44"/>
  <sheetViews>
    <sheetView topLeftCell="A19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43647</v>
      </c>
      <c r="B5" s="11">
        <v>479</v>
      </c>
      <c r="C5" s="11">
        <v>172</v>
      </c>
      <c r="D5" s="11">
        <v>307</v>
      </c>
      <c r="E5" s="26">
        <v>0.35909999999999997</v>
      </c>
      <c r="F5" s="11">
        <v>3303</v>
      </c>
      <c r="G5" s="11">
        <v>81</v>
      </c>
      <c r="H5" s="11">
        <v>3222</v>
      </c>
      <c r="I5" s="26">
        <v>2.4500000000000001E-2</v>
      </c>
      <c r="J5" s="11">
        <v>2475</v>
      </c>
      <c r="K5" s="11">
        <v>30</v>
      </c>
      <c r="L5" s="11">
        <v>2445</v>
      </c>
      <c r="M5" s="26">
        <v>1.21E-2</v>
      </c>
      <c r="N5" s="11">
        <v>2929</v>
      </c>
      <c r="O5" s="11">
        <v>33</v>
      </c>
      <c r="P5" s="11">
        <v>2896</v>
      </c>
      <c r="Q5" s="26">
        <v>1.1299999999999999E-2</v>
      </c>
      <c r="R5" s="11">
        <v>2674</v>
      </c>
      <c r="S5" s="11">
        <v>50</v>
      </c>
      <c r="T5" s="11">
        <v>2624</v>
      </c>
      <c r="U5" s="26">
        <v>1.8700000000000001E-2</v>
      </c>
      <c r="V5" s="12">
        <f t="shared" ref="V5:V34" si="0">(C5+G5+K5+O5+S5)/(B5+F5+J5+N5+R5)</f>
        <v>3.0860033726812817E-2</v>
      </c>
    </row>
    <row r="6" spans="1:22" x14ac:dyDescent="0.35">
      <c r="A6" s="10">
        <v>43648</v>
      </c>
      <c r="B6" s="11">
        <v>486</v>
      </c>
      <c r="C6" s="11">
        <v>159</v>
      </c>
      <c r="D6" s="11">
        <v>327</v>
      </c>
      <c r="E6" s="26">
        <v>0.32719999999999999</v>
      </c>
      <c r="F6" s="11">
        <v>3302</v>
      </c>
      <c r="G6" s="11">
        <v>82</v>
      </c>
      <c r="H6" s="11">
        <v>3220</v>
      </c>
      <c r="I6" s="26">
        <v>2.4799999999999999E-2</v>
      </c>
      <c r="J6" s="11">
        <v>2471</v>
      </c>
      <c r="K6" s="11">
        <v>32</v>
      </c>
      <c r="L6" s="11">
        <v>2439</v>
      </c>
      <c r="M6" s="26">
        <v>1.2999999999999999E-2</v>
      </c>
      <c r="N6" s="11">
        <v>2894</v>
      </c>
      <c r="O6" s="11">
        <v>34</v>
      </c>
      <c r="P6" s="11">
        <v>2860</v>
      </c>
      <c r="Q6" s="26">
        <v>1.17E-2</v>
      </c>
      <c r="R6" s="11">
        <v>2651</v>
      </c>
      <c r="S6" s="11">
        <v>53</v>
      </c>
      <c r="T6" s="11">
        <v>2598</v>
      </c>
      <c r="U6" s="26">
        <v>0.02</v>
      </c>
      <c r="V6" s="12">
        <f>(C6+G6+K6+O6+S6)/(B6+F6+J6+N6+R6)</f>
        <v>3.0498136225008472E-2</v>
      </c>
    </row>
    <row r="7" spans="1:22" x14ac:dyDescent="0.35">
      <c r="A7" s="10">
        <v>43649</v>
      </c>
      <c r="B7" s="11">
        <v>491</v>
      </c>
      <c r="C7" s="11">
        <v>167</v>
      </c>
      <c r="D7" s="11">
        <v>324</v>
      </c>
      <c r="E7" s="26">
        <v>0.34010000000000001</v>
      </c>
      <c r="F7" s="11">
        <v>3288</v>
      </c>
      <c r="G7" s="11">
        <v>95</v>
      </c>
      <c r="H7" s="11">
        <v>3193</v>
      </c>
      <c r="I7" s="26">
        <v>2.8899999999999999E-2</v>
      </c>
      <c r="J7" s="11">
        <v>2471</v>
      </c>
      <c r="K7" s="11">
        <v>35</v>
      </c>
      <c r="L7" s="11">
        <v>2436</v>
      </c>
      <c r="M7" s="26">
        <v>1.4200000000000001E-2</v>
      </c>
      <c r="N7" s="11">
        <v>2855</v>
      </c>
      <c r="O7" s="11">
        <v>28</v>
      </c>
      <c r="P7" s="11">
        <v>2827</v>
      </c>
      <c r="Q7" s="26">
        <v>9.7999999999999997E-3</v>
      </c>
      <c r="R7" s="11">
        <v>2688</v>
      </c>
      <c r="S7" s="11">
        <v>50</v>
      </c>
      <c r="T7" s="11">
        <v>2638</v>
      </c>
      <c r="U7" s="26">
        <v>1.8599999999999998E-2</v>
      </c>
      <c r="V7" s="12">
        <f>(C7+G7+K7+O7+S7)/(B7+F7+J7+N7+R7)</f>
        <v>3.1798524548460952E-2</v>
      </c>
    </row>
    <row r="8" spans="1:22" x14ac:dyDescent="0.35">
      <c r="A8" s="10">
        <v>43650</v>
      </c>
      <c r="B8" s="11">
        <v>496</v>
      </c>
      <c r="C8" s="11">
        <v>169</v>
      </c>
      <c r="D8" s="11">
        <v>327</v>
      </c>
      <c r="E8" s="26">
        <v>0.3407</v>
      </c>
      <c r="F8" s="11">
        <v>3315</v>
      </c>
      <c r="G8" s="11">
        <v>131</v>
      </c>
      <c r="H8" s="11">
        <v>3184</v>
      </c>
      <c r="I8" s="26">
        <v>3.95E-2</v>
      </c>
      <c r="J8" s="11">
        <v>2455</v>
      </c>
      <c r="K8" s="11">
        <v>39</v>
      </c>
      <c r="L8" s="11">
        <v>2416</v>
      </c>
      <c r="M8" s="26">
        <v>1.5900000000000001E-2</v>
      </c>
      <c r="N8" s="11">
        <v>2871</v>
      </c>
      <c r="O8" s="11">
        <v>25</v>
      </c>
      <c r="P8" s="11">
        <v>2846</v>
      </c>
      <c r="Q8" s="26">
        <v>8.6999999999999994E-3</v>
      </c>
      <c r="R8" s="11">
        <v>2691</v>
      </c>
      <c r="S8" s="11">
        <v>51</v>
      </c>
      <c r="T8" s="11">
        <v>2640</v>
      </c>
      <c r="U8" s="26">
        <v>1.9E-2</v>
      </c>
      <c r="V8" s="12">
        <f t="shared" si="0"/>
        <v>3.5086236050050727E-2</v>
      </c>
    </row>
    <row r="9" spans="1:22" x14ac:dyDescent="0.35">
      <c r="A9" s="10">
        <v>43651</v>
      </c>
      <c r="B9" s="11">
        <v>501</v>
      </c>
      <c r="C9" s="11">
        <v>163</v>
      </c>
      <c r="D9" s="11">
        <v>338</v>
      </c>
      <c r="E9" s="26">
        <v>0.32529999999999998</v>
      </c>
      <c r="F9" s="11">
        <v>3319</v>
      </c>
      <c r="G9" s="11">
        <v>76</v>
      </c>
      <c r="H9" s="11">
        <v>3243</v>
      </c>
      <c r="I9" s="26">
        <v>2.29E-2</v>
      </c>
      <c r="J9" s="11">
        <v>2452</v>
      </c>
      <c r="K9" s="11">
        <v>35</v>
      </c>
      <c r="L9" s="11">
        <v>2417</v>
      </c>
      <c r="M9" s="26">
        <v>1.43E-2</v>
      </c>
      <c r="N9" s="11">
        <v>2853</v>
      </c>
      <c r="O9" s="11">
        <v>25</v>
      </c>
      <c r="P9" s="11">
        <v>2828</v>
      </c>
      <c r="Q9" s="26">
        <v>8.8000000000000005E-3</v>
      </c>
      <c r="R9" s="11">
        <v>2636</v>
      </c>
      <c r="S9" s="11">
        <v>55</v>
      </c>
      <c r="T9" s="11">
        <v>2581</v>
      </c>
      <c r="U9" s="26">
        <v>2.0899999999999998E-2</v>
      </c>
      <c r="V9" s="12">
        <f t="shared" si="0"/>
        <v>3.0099481336621034E-2</v>
      </c>
    </row>
    <row r="10" spans="1:22" x14ac:dyDescent="0.35">
      <c r="A10" s="10">
        <v>43652</v>
      </c>
      <c r="B10" s="11">
        <v>506</v>
      </c>
      <c r="C10" s="11">
        <v>173</v>
      </c>
      <c r="D10" s="11">
        <v>333</v>
      </c>
      <c r="E10" s="26">
        <v>0.34189999999999998</v>
      </c>
      <c r="F10" s="11">
        <v>3314</v>
      </c>
      <c r="G10" s="11">
        <v>78</v>
      </c>
      <c r="H10" s="11">
        <v>3236</v>
      </c>
      <c r="I10" s="26">
        <v>2.35E-2</v>
      </c>
      <c r="J10" s="11">
        <v>2464</v>
      </c>
      <c r="K10" s="11">
        <v>35</v>
      </c>
      <c r="L10" s="11">
        <v>2429</v>
      </c>
      <c r="M10" s="26">
        <v>1.4200000000000001E-2</v>
      </c>
      <c r="N10" s="11">
        <v>2832</v>
      </c>
      <c r="O10" s="11">
        <v>30</v>
      </c>
      <c r="P10" s="11">
        <v>2802</v>
      </c>
      <c r="Q10" s="26">
        <v>1.06E-2</v>
      </c>
      <c r="R10" s="11">
        <v>2594</v>
      </c>
      <c r="S10" s="11">
        <v>59</v>
      </c>
      <c r="T10" s="11">
        <v>2535</v>
      </c>
      <c r="U10" s="26">
        <v>2.2700000000000001E-2</v>
      </c>
      <c r="V10" s="12">
        <f t="shared" si="0"/>
        <v>3.2023911187019638E-2</v>
      </c>
    </row>
    <row r="11" spans="1:22" x14ac:dyDescent="0.35">
      <c r="A11" s="10">
        <v>43653</v>
      </c>
      <c r="B11" s="11">
        <v>511</v>
      </c>
      <c r="C11" s="11">
        <v>216</v>
      </c>
      <c r="D11" s="11">
        <v>295</v>
      </c>
      <c r="E11" s="26">
        <v>0.42270000000000002</v>
      </c>
      <c r="F11" s="11">
        <v>3304</v>
      </c>
      <c r="G11" s="11">
        <v>129</v>
      </c>
      <c r="H11" s="11">
        <v>3175</v>
      </c>
      <c r="I11" s="26">
        <v>3.9E-2</v>
      </c>
      <c r="J11" s="11">
        <v>2454</v>
      </c>
      <c r="K11" s="11">
        <v>39</v>
      </c>
      <c r="L11" s="11">
        <v>2415</v>
      </c>
      <c r="M11" s="26">
        <v>1.5900000000000001E-2</v>
      </c>
      <c r="N11" s="11">
        <v>2810</v>
      </c>
      <c r="O11" s="11">
        <v>40</v>
      </c>
      <c r="P11" s="11">
        <v>2770</v>
      </c>
      <c r="Q11" s="26">
        <v>1.4200000000000001E-2</v>
      </c>
      <c r="R11" s="11">
        <v>2580</v>
      </c>
      <c r="S11" s="11">
        <v>64</v>
      </c>
      <c r="T11" s="11">
        <v>2516</v>
      </c>
      <c r="U11" s="26">
        <v>2.4799999999999999E-2</v>
      </c>
      <c r="V11" s="12">
        <f t="shared" si="0"/>
        <v>4.1856076850501758E-2</v>
      </c>
    </row>
    <row r="12" spans="1:22" x14ac:dyDescent="0.35">
      <c r="A12" s="10">
        <v>43654</v>
      </c>
      <c r="B12" s="11">
        <v>509</v>
      </c>
      <c r="C12" s="11">
        <v>167</v>
      </c>
      <c r="D12" s="11">
        <v>342</v>
      </c>
      <c r="E12" s="26">
        <v>0.3281</v>
      </c>
      <c r="F12" s="11">
        <v>3336</v>
      </c>
      <c r="G12" s="11">
        <v>90</v>
      </c>
      <c r="H12" s="11">
        <v>3246</v>
      </c>
      <c r="I12" s="26">
        <v>2.7E-2</v>
      </c>
      <c r="J12" s="11">
        <v>2448</v>
      </c>
      <c r="K12" s="11">
        <v>38</v>
      </c>
      <c r="L12" s="11">
        <v>2410</v>
      </c>
      <c r="M12" s="26">
        <v>1.55E-2</v>
      </c>
      <c r="N12" s="11">
        <v>2834</v>
      </c>
      <c r="O12" s="11">
        <v>37</v>
      </c>
      <c r="P12" s="11">
        <v>2797</v>
      </c>
      <c r="Q12" s="26">
        <v>1.3100000000000001E-2</v>
      </c>
      <c r="R12" s="11">
        <v>2595</v>
      </c>
      <c r="S12" s="11">
        <v>53</v>
      </c>
      <c r="T12" s="11">
        <v>2542</v>
      </c>
      <c r="U12" s="26">
        <v>2.0400000000000001E-2</v>
      </c>
      <c r="V12" s="12">
        <f t="shared" si="0"/>
        <v>3.2844224535062277E-2</v>
      </c>
    </row>
    <row r="13" spans="1:22" x14ac:dyDescent="0.35">
      <c r="A13" s="10">
        <v>43655</v>
      </c>
      <c r="B13" s="11">
        <v>509</v>
      </c>
      <c r="C13" s="11">
        <v>172</v>
      </c>
      <c r="D13" s="11">
        <v>337</v>
      </c>
      <c r="E13" s="26">
        <v>0.33789999999999998</v>
      </c>
      <c r="F13" s="11">
        <v>3319</v>
      </c>
      <c r="G13" s="11">
        <v>108</v>
      </c>
      <c r="H13" s="11">
        <v>3211</v>
      </c>
      <c r="I13" s="26">
        <v>3.2500000000000001E-2</v>
      </c>
      <c r="J13" s="11">
        <v>2431</v>
      </c>
      <c r="K13" s="11">
        <v>40</v>
      </c>
      <c r="L13" s="11">
        <v>2391</v>
      </c>
      <c r="M13" s="26">
        <v>1.6500000000000001E-2</v>
      </c>
      <c r="N13" s="11">
        <v>2838</v>
      </c>
      <c r="O13" s="11">
        <v>30</v>
      </c>
      <c r="P13" s="11">
        <v>2808</v>
      </c>
      <c r="Q13" s="26">
        <v>1.06E-2</v>
      </c>
      <c r="R13" s="11">
        <v>2527</v>
      </c>
      <c r="S13" s="11">
        <v>62</v>
      </c>
      <c r="T13" s="11">
        <v>2465</v>
      </c>
      <c r="U13" s="26">
        <v>2.4500000000000001E-2</v>
      </c>
      <c r="V13" s="12">
        <f t="shared" si="0"/>
        <v>3.5443909153475568E-2</v>
      </c>
    </row>
    <row r="14" spans="1:22" x14ac:dyDescent="0.35">
      <c r="A14" s="10">
        <v>43656</v>
      </c>
      <c r="B14" s="11">
        <v>509</v>
      </c>
      <c r="C14" s="11">
        <v>168</v>
      </c>
      <c r="D14" s="11">
        <v>341</v>
      </c>
      <c r="E14" s="26">
        <v>0.3301</v>
      </c>
      <c r="F14" s="11">
        <v>3344</v>
      </c>
      <c r="G14" s="11">
        <v>94</v>
      </c>
      <c r="H14" s="11">
        <v>3250</v>
      </c>
      <c r="I14" s="26">
        <v>2.81E-2</v>
      </c>
      <c r="J14" s="11">
        <v>2419</v>
      </c>
      <c r="K14" s="11">
        <v>41</v>
      </c>
      <c r="L14" s="11">
        <v>2378</v>
      </c>
      <c r="M14" s="26">
        <v>1.6899999999999998E-2</v>
      </c>
      <c r="N14" s="11">
        <v>2873</v>
      </c>
      <c r="O14" s="11">
        <v>29</v>
      </c>
      <c r="P14" s="11">
        <v>2844</v>
      </c>
      <c r="Q14" s="26">
        <v>1.01E-2</v>
      </c>
      <c r="R14" s="11">
        <v>2552</v>
      </c>
      <c r="S14" s="11">
        <v>49</v>
      </c>
      <c r="T14" s="11">
        <v>2503</v>
      </c>
      <c r="U14" s="26">
        <v>1.9199999999999998E-2</v>
      </c>
      <c r="V14" s="12">
        <f t="shared" si="0"/>
        <v>3.2572454475506538E-2</v>
      </c>
    </row>
    <row r="15" spans="1:22" x14ac:dyDescent="0.35">
      <c r="A15" s="10">
        <v>43657</v>
      </c>
      <c r="B15" s="11">
        <v>512</v>
      </c>
      <c r="C15" s="11">
        <v>172</v>
      </c>
      <c r="D15" s="11">
        <v>340</v>
      </c>
      <c r="E15" s="26">
        <v>0.33589999999999998</v>
      </c>
      <c r="F15" s="11">
        <v>3340</v>
      </c>
      <c r="G15" s="11">
        <v>130</v>
      </c>
      <c r="H15" s="11">
        <v>3210</v>
      </c>
      <c r="I15" s="26">
        <v>3.8899999999999997E-2</v>
      </c>
      <c r="J15" s="11">
        <v>2401</v>
      </c>
      <c r="K15" s="11">
        <v>42</v>
      </c>
      <c r="L15" s="11">
        <v>2359</v>
      </c>
      <c r="M15" s="26">
        <v>1.7500000000000002E-2</v>
      </c>
      <c r="N15" s="11">
        <v>2856</v>
      </c>
      <c r="O15" s="11">
        <v>29</v>
      </c>
      <c r="P15" s="11">
        <v>2827</v>
      </c>
      <c r="Q15" s="26">
        <v>1.0200000000000001E-2</v>
      </c>
      <c r="R15" s="11">
        <v>2535</v>
      </c>
      <c r="S15" s="11">
        <v>59</v>
      </c>
      <c r="T15" s="11">
        <v>2476</v>
      </c>
      <c r="U15" s="26">
        <v>2.3300000000000001E-2</v>
      </c>
      <c r="V15" s="12">
        <f t="shared" si="0"/>
        <v>3.7100652696667812E-2</v>
      </c>
    </row>
    <row r="16" spans="1:22" x14ac:dyDescent="0.35">
      <c r="A16" s="10">
        <v>43658</v>
      </c>
      <c r="B16" s="11">
        <v>513</v>
      </c>
      <c r="C16" s="11">
        <v>178</v>
      </c>
      <c r="D16" s="11">
        <v>335</v>
      </c>
      <c r="E16" s="26">
        <v>0.34699999999999998</v>
      </c>
      <c r="F16" s="11">
        <v>3351</v>
      </c>
      <c r="G16" s="11">
        <v>102</v>
      </c>
      <c r="H16" s="11">
        <v>3249</v>
      </c>
      <c r="I16" s="26">
        <v>3.04E-2</v>
      </c>
      <c r="J16" s="11">
        <v>2447</v>
      </c>
      <c r="K16" s="11">
        <v>39</v>
      </c>
      <c r="L16" s="11">
        <v>2408</v>
      </c>
      <c r="M16" s="26">
        <v>1.5900000000000001E-2</v>
      </c>
      <c r="N16" s="11">
        <v>2826</v>
      </c>
      <c r="O16" s="11">
        <v>31</v>
      </c>
      <c r="P16" s="11">
        <v>2795</v>
      </c>
      <c r="Q16" s="26">
        <v>1.0999999999999999E-2</v>
      </c>
      <c r="R16" s="11">
        <v>2486</v>
      </c>
      <c r="S16" s="11">
        <v>41</v>
      </c>
      <c r="T16" s="11">
        <v>2445</v>
      </c>
      <c r="U16" s="26">
        <v>1.6500000000000001E-2</v>
      </c>
      <c r="V16" s="12">
        <f t="shared" si="0"/>
        <v>3.3640196162780696E-2</v>
      </c>
    </row>
    <row r="17" spans="1:22" x14ac:dyDescent="0.35">
      <c r="A17" s="10">
        <v>43659</v>
      </c>
      <c r="B17" s="11">
        <v>521</v>
      </c>
      <c r="C17" s="11">
        <v>187</v>
      </c>
      <c r="D17" s="11">
        <v>334</v>
      </c>
      <c r="E17" s="26">
        <v>0.3589</v>
      </c>
      <c r="F17" s="11">
        <v>3370</v>
      </c>
      <c r="G17" s="11">
        <v>92</v>
      </c>
      <c r="H17" s="11">
        <v>3278</v>
      </c>
      <c r="I17" s="26">
        <v>2.7300000000000001E-2</v>
      </c>
      <c r="J17" s="11">
        <v>2451</v>
      </c>
      <c r="K17" s="11">
        <v>43</v>
      </c>
      <c r="L17" s="11">
        <v>2408</v>
      </c>
      <c r="M17" s="26">
        <v>1.7500000000000002E-2</v>
      </c>
      <c r="N17" s="11">
        <v>2835</v>
      </c>
      <c r="O17" s="11">
        <v>35</v>
      </c>
      <c r="P17" s="11">
        <v>2800</v>
      </c>
      <c r="Q17" s="26">
        <v>1.23E-2</v>
      </c>
      <c r="R17" s="11">
        <v>2468</v>
      </c>
      <c r="S17" s="11">
        <v>49</v>
      </c>
      <c r="T17" s="11">
        <v>2419</v>
      </c>
      <c r="U17" s="26">
        <v>1.9900000000000001E-2</v>
      </c>
      <c r="V17" s="12">
        <f t="shared" si="0"/>
        <v>3.4864748819235722E-2</v>
      </c>
    </row>
    <row r="18" spans="1:22" x14ac:dyDescent="0.35">
      <c r="A18" s="10">
        <v>43660</v>
      </c>
      <c r="B18" s="11">
        <v>525</v>
      </c>
      <c r="C18" s="11">
        <v>223</v>
      </c>
      <c r="D18" s="11">
        <v>302</v>
      </c>
      <c r="E18" s="26">
        <v>0.42480000000000001</v>
      </c>
      <c r="F18" s="11">
        <v>3346</v>
      </c>
      <c r="G18" s="11">
        <v>108</v>
      </c>
      <c r="H18" s="11">
        <v>3238</v>
      </c>
      <c r="I18" s="26">
        <v>3.2300000000000002E-2</v>
      </c>
      <c r="J18" s="11">
        <v>2432</v>
      </c>
      <c r="K18" s="11">
        <v>49</v>
      </c>
      <c r="L18" s="11">
        <v>2383</v>
      </c>
      <c r="M18" s="26">
        <v>2.01E-2</v>
      </c>
      <c r="N18" s="11">
        <v>2815</v>
      </c>
      <c r="O18" s="11">
        <v>36</v>
      </c>
      <c r="P18" s="11">
        <v>2779</v>
      </c>
      <c r="Q18" s="26">
        <v>1.2800000000000001E-2</v>
      </c>
      <c r="R18" s="11">
        <v>2453</v>
      </c>
      <c r="S18" s="11">
        <v>55</v>
      </c>
      <c r="T18" s="11">
        <v>2398</v>
      </c>
      <c r="U18" s="26">
        <v>2.24E-2</v>
      </c>
      <c r="V18" s="12">
        <f t="shared" si="0"/>
        <v>4.0705211304122378E-2</v>
      </c>
    </row>
    <row r="19" spans="1:22" x14ac:dyDescent="0.35">
      <c r="A19" s="10">
        <v>43661</v>
      </c>
      <c r="B19" s="11">
        <v>523</v>
      </c>
      <c r="C19" s="11">
        <v>189</v>
      </c>
      <c r="D19" s="11">
        <v>334</v>
      </c>
      <c r="E19" s="26">
        <v>0.3614</v>
      </c>
      <c r="F19" s="11">
        <v>3326</v>
      </c>
      <c r="G19" s="11">
        <v>103</v>
      </c>
      <c r="H19" s="11">
        <v>3223</v>
      </c>
      <c r="I19" s="26">
        <v>3.1E-2</v>
      </c>
      <c r="J19" s="11">
        <v>2439</v>
      </c>
      <c r="K19" s="11">
        <v>44</v>
      </c>
      <c r="L19" s="11">
        <v>2395</v>
      </c>
      <c r="M19" s="26">
        <v>1.7999999999999999E-2</v>
      </c>
      <c r="N19" s="11">
        <v>2798</v>
      </c>
      <c r="O19" s="11">
        <v>37</v>
      </c>
      <c r="P19" s="11">
        <v>2761</v>
      </c>
      <c r="Q19" s="26">
        <v>1.32E-2</v>
      </c>
      <c r="R19" s="11">
        <v>2449</v>
      </c>
      <c r="S19" s="11">
        <v>40</v>
      </c>
      <c r="T19" s="11">
        <v>2409</v>
      </c>
      <c r="U19" s="26">
        <v>1.6299999999999999E-2</v>
      </c>
      <c r="V19" s="12">
        <f t="shared" si="0"/>
        <v>3.5804074555700047E-2</v>
      </c>
    </row>
    <row r="20" spans="1:22" x14ac:dyDescent="0.35">
      <c r="A20" s="10">
        <v>43662</v>
      </c>
      <c r="B20" s="11">
        <v>529</v>
      </c>
      <c r="C20" s="11">
        <v>178</v>
      </c>
      <c r="D20" s="11">
        <v>351</v>
      </c>
      <c r="E20" s="26">
        <v>0.33650000000000002</v>
      </c>
      <c r="F20" s="11">
        <v>3355</v>
      </c>
      <c r="G20" s="11">
        <v>93</v>
      </c>
      <c r="H20" s="11">
        <v>3262</v>
      </c>
      <c r="I20" s="26">
        <v>2.7699999999999999E-2</v>
      </c>
      <c r="J20" s="11">
        <v>2465</v>
      </c>
      <c r="K20" s="11">
        <v>43</v>
      </c>
      <c r="L20" s="11">
        <v>2422</v>
      </c>
      <c r="M20" s="26">
        <v>1.7399999999999999E-2</v>
      </c>
      <c r="N20" s="11">
        <v>2802</v>
      </c>
      <c r="O20" s="11">
        <v>37</v>
      </c>
      <c r="P20" s="11">
        <v>2765</v>
      </c>
      <c r="Q20" s="26">
        <v>1.32E-2</v>
      </c>
      <c r="R20" s="11">
        <v>2459</v>
      </c>
      <c r="S20" s="11">
        <v>36</v>
      </c>
      <c r="T20" s="11">
        <v>2423</v>
      </c>
      <c r="U20" s="26">
        <v>1.46E-2</v>
      </c>
      <c r="V20" s="12">
        <f t="shared" si="0"/>
        <v>3.3333333333333333E-2</v>
      </c>
    </row>
    <row r="21" spans="1:22" x14ac:dyDescent="0.35">
      <c r="A21" s="10">
        <v>43663</v>
      </c>
      <c r="B21" s="11">
        <v>532</v>
      </c>
      <c r="C21" s="11">
        <v>178</v>
      </c>
      <c r="D21" s="11">
        <v>354</v>
      </c>
      <c r="E21" s="26">
        <v>0.33460000000000001</v>
      </c>
      <c r="F21" s="11">
        <v>3338</v>
      </c>
      <c r="G21" s="11">
        <v>100</v>
      </c>
      <c r="H21" s="11">
        <v>3238</v>
      </c>
      <c r="I21" s="26">
        <v>0.03</v>
      </c>
      <c r="J21" s="11">
        <v>2441</v>
      </c>
      <c r="K21" s="11">
        <v>42</v>
      </c>
      <c r="L21" s="11">
        <v>2399</v>
      </c>
      <c r="M21" s="26">
        <v>1.72E-2</v>
      </c>
      <c r="N21" s="11">
        <v>2802</v>
      </c>
      <c r="O21" s="11">
        <v>39</v>
      </c>
      <c r="P21" s="11">
        <v>2763</v>
      </c>
      <c r="Q21" s="26">
        <v>1.3899999999999999E-2</v>
      </c>
      <c r="R21" s="11">
        <v>2453</v>
      </c>
      <c r="S21" s="11">
        <v>38</v>
      </c>
      <c r="T21" s="11">
        <v>2415</v>
      </c>
      <c r="U21" s="26">
        <v>1.55E-2</v>
      </c>
      <c r="V21" s="12">
        <f t="shared" si="0"/>
        <v>3.4324744942071592E-2</v>
      </c>
    </row>
    <row r="22" spans="1:22" x14ac:dyDescent="0.35">
      <c r="A22" s="10">
        <v>43664</v>
      </c>
      <c r="B22" s="11">
        <v>535</v>
      </c>
      <c r="C22" s="11">
        <v>186</v>
      </c>
      <c r="D22" s="11">
        <v>349</v>
      </c>
      <c r="E22" s="26">
        <v>0.34770000000000001</v>
      </c>
      <c r="F22" s="11">
        <v>3347</v>
      </c>
      <c r="G22" s="11">
        <v>127</v>
      </c>
      <c r="H22" s="11">
        <v>3220</v>
      </c>
      <c r="I22" s="26">
        <v>3.7900000000000003E-2</v>
      </c>
      <c r="J22" s="11">
        <v>2439</v>
      </c>
      <c r="K22" s="11">
        <v>45</v>
      </c>
      <c r="L22" s="11">
        <v>2394</v>
      </c>
      <c r="M22" s="26">
        <v>1.8499999999999999E-2</v>
      </c>
      <c r="N22" s="11">
        <v>2784</v>
      </c>
      <c r="O22" s="11">
        <v>38</v>
      </c>
      <c r="P22" s="11">
        <v>2746</v>
      </c>
      <c r="Q22" s="26">
        <v>1.3599999999999999E-2</v>
      </c>
      <c r="R22" s="11">
        <v>2423</v>
      </c>
      <c r="S22" s="11">
        <v>46</v>
      </c>
      <c r="T22" s="11">
        <v>2377</v>
      </c>
      <c r="U22" s="26">
        <v>1.9E-2</v>
      </c>
      <c r="V22" s="12">
        <f t="shared" si="0"/>
        <v>3.8341429562803606E-2</v>
      </c>
    </row>
    <row r="23" spans="1:22" x14ac:dyDescent="0.35">
      <c r="A23" s="10">
        <v>43665</v>
      </c>
      <c r="B23" s="11">
        <v>540</v>
      </c>
      <c r="C23" s="11">
        <v>189</v>
      </c>
      <c r="D23" s="11">
        <v>351</v>
      </c>
      <c r="E23" s="26">
        <v>0.35</v>
      </c>
      <c r="F23" s="11">
        <v>3383</v>
      </c>
      <c r="G23" s="11">
        <v>103</v>
      </c>
      <c r="H23" s="11">
        <v>3280</v>
      </c>
      <c r="I23" s="26">
        <v>3.04E-2</v>
      </c>
      <c r="J23" s="11">
        <v>2466</v>
      </c>
      <c r="K23" s="11">
        <v>44</v>
      </c>
      <c r="L23" s="11">
        <v>2422</v>
      </c>
      <c r="M23" s="26">
        <v>1.78E-2</v>
      </c>
      <c r="N23" s="11">
        <v>2765</v>
      </c>
      <c r="O23" s="11">
        <v>42</v>
      </c>
      <c r="P23" s="11">
        <v>2723</v>
      </c>
      <c r="Q23" s="26">
        <v>1.52E-2</v>
      </c>
      <c r="R23" s="11">
        <v>2449</v>
      </c>
      <c r="S23" s="11">
        <v>38</v>
      </c>
      <c r="T23" s="11">
        <v>2411</v>
      </c>
      <c r="U23" s="26">
        <v>1.55E-2</v>
      </c>
      <c r="V23" s="12">
        <f t="shared" si="0"/>
        <v>3.5852796690511078E-2</v>
      </c>
    </row>
    <row r="24" spans="1:22" x14ac:dyDescent="0.35">
      <c r="A24" s="10">
        <v>43666</v>
      </c>
      <c r="B24" s="11">
        <v>544</v>
      </c>
      <c r="C24" s="11">
        <v>195</v>
      </c>
      <c r="D24" s="11">
        <v>349</v>
      </c>
      <c r="E24" s="26">
        <v>0.35849999999999999</v>
      </c>
      <c r="F24" s="11">
        <v>3375</v>
      </c>
      <c r="G24" s="11">
        <v>102</v>
      </c>
      <c r="H24" s="11">
        <v>3273</v>
      </c>
      <c r="I24" s="26">
        <v>3.0200000000000001E-2</v>
      </c>
      <c r="J24" s="11">
        <v>2460</v>
      </c>
      <c r="K24" s="11">
        <v>44</v>
      </c>
      <c r="L24" s="11">
        <v>2416</v>
      </c>
      <c r="M24" s="26">
        <v>1.7899999999999999E-2</v>
      </c>
      <c r="N24" s="11">
        <v>2798</v>
      </c>
      <c r="O24" s="11">
        <v>41</v>
      </c>
      <c r="P24" s="11">
        <v>2757</v>
      </c>
      <c r="Q24" s="26">
        <v>1.47E-2</v>
      </c>
      <c r="R24" s="11">
        <v>2445</v>
      </c>
      <c r="S24" s="11">
        <v>50</v>
      </c>
      <c r="T24" s="11">
        <v>2395</v>
      </c>
      <c r="U24" s="26">
        <v>2.0400000000000001E-2</v>
      </c>
      <c r="V24" s="12">
        <f t="shared" si="0"/>
        <v>3.7170882808466699E-2</v>
      </c>
    </row>
    <row r="25" spans="1:22" x14ac:dyDescent="0.35">
      <c r="A25" s="10">
        <v>43667</v>
      </c>
      <c r="B25" s="11">
        <v>543</v>
      </c>
      <c r="C25" s="11">
        <v>233</v>
      </c>
      <c r="D25" s="11">
        <v>310</v>
      </c>
      <c r="E25" s="26">
        <v>0.42909999999999998</v>
      </c>
      <c r="F25" s="11">
        <v>3349</v>
      </c>
      <c r="G25" s="11">
        <v>112</v>
      </c>
      <c r="H25" s="11">
        <v>3237</v>
      </c>
      <c r="I25" s="26">
        <v>3.3399999999999999E-2</v>
      </c>
      <c r="J25" s="11">
        <v>2447</v>
      </c>
      <c r="K25" s="11">
        <v>45</v>
      </c>
      <c r="L25" s="11">
        <v>2402</v>
      </c>
      <c r="M25" s="26">
        <v>1.84E-2</v>
      </c>
      <c r="N25" s="11">
        <v>2782</v>
      </c>
      <c r="O25" s="11">
        <v>47</v>
      </c>
      <c r="P25" s="11">
        <v>2735</v>
      </c>
      <c r="Q25" s="26">
        <v>1.6899999999999998E-2</v>
      </c>
      <c r="R25" s="11">
        <v>2439</v>
      </c>
      <c r="S25" s="11">
        <v>71</v>
      </c>
      <c r="T25" s="11">
        <v>2368</v>
      </c>
      <c r="U25" s="26">
        <v>2.9100000000000001E-2</v>
      </c>
      <c r="V25" s="12">
        <f t="shared" si="0"/>
        <v>4.3944636678200692E-2</v>
      </c>
    </row>
    <row r="26" spans="1:22" x14ac:dyDescent="0.35">
      <c r="A26" s="10">
        <v>43668</v>
      </c>
      <c r="B26" s="11">
        <v>540</v>
      </c>
      <c r="C26" s="11">
        <v>205</v>
      </c>
      <c r="D26" s="11">
        <v>335</v>
      </c>
      <c r="E26" s="26">
        <v>0.37959999999999999</v>
      </c>
      <c r="F26" s="11">
        <v>3336</v>
      </c>
      <c r="G26" s="11">
        <v>111</v>
      </c>
      <c r="H26" s="11">
        <v>3225</v>
      </c>
      <c r="I26" s="26">
        <v>3.3300000000000003E-2</v>
      </c>
      <c r="J26" s="11">
        <v>2437</v>
      </c>
      <c r="K26" s="11">
        <v>46</v>
      </c>
      <c r="L26" s="11">
        <v>2391</v>
      </c>
      <c r="M26" s="26">
        <v>1.89E-2</v>
      </c>
      <c r="N26" s="11">
        <v>2785</v>
      </c>
      <c r="O26" s="11">
        <v>42</v>
      </c>
      <c r="P26" s="11">
        <v>2743</v>
      </c>
      <c r="Q26" s="26">
        <v>1.5100000000000001E-2</v>
      </c>
      <c r="R26" s="11">
        <v>2401</v>
      </c>
      <c r="S26" s="11">
        <v>83</v>
      </c>
      <c r="T26" s="11">
        <v>2318</v>
      </c>
      <c r="U26" s="26">
        <v>3.4599999999999999E-2</v>
      </c>
      <c r="V26" s="12">
        <f t="shared" si="0"/>
        <v>4.2351508826854511E-2</v>
      </c>
    </row>
    <row r="27" spans="1:22" x14ac:dyDescent="0.35">
      <c r="A27" s="10">
        <v>43669</v>
      </c>
      <c r="B27" s="11">
        <v>543</v>
      </c>
      <c r="C27" s="11">
        <v>216</v>
      </c>
      <c r="D27" s="11">
        <v>327</v>
      </c>
      <c r="E27" s="26">
        <v>0.39779999999999999</v>
      </c>
      <c r="F27" s="11">
        <v>3356</v>
      </c>
      <c r="G27" s="11">
        <v>113</v>
      </c>
      <c r="H27" s="11">
        <v>3243</v>
      </c>
      <c r="I27" s="26">
        <v>3.3700000000000001E-2</v>
      </c>
      <c r="J27" s="11">
        <v>2459</v>
      </c>
      <c r="K27" s="11">
        <v>46</v>
      </c>
      <c r="L27" s="11">
        <v>2413</v>
      </c>
      <c r="M27" s="26">
        <v>1.8700000000000001E-2</v>
      </c>
      <c r="N27" s="11">
        <v>2818</v>
      </c>
      <c r="O27" s="11">
        <v>35</v>
      </c>
      <c r="P27" s="11">
        <v>2783</v>
      </c>
      <c r="Q27" s="26">
        <v>1.24E-2</v>
      </c>
      <c r="R27" s="11">
        <v>2384</v>
      </c>
      <c r="S27" s="11">
        <v>57</v>
      </c>
      <c r="T27" s="11">
        <v>2327</v>
      </c>
      <c r="U27" s="26">
        <v>2.3900000000000001E-2</v>
      </c>
      <c r="V27" s="12">
        <f t="shared" si="0"/>
        <v>4.0397923875432527E-2</v>
      </c>
    </row>
    <row r="28" spans="1:22" x14ac:dyDescent="0.35">
      <c r="A28" s="10">
        <v>43670</v>
      </c>
      <c r="B28" s="11">
        <v>540</v>
      </c>
      <c r="C28" s="11">
        <v>197</v>
      </c>
      <c r="D28" s="11">
        <v>343</v>
      </c>
      <c r="E28" s="26">
        <v>0.36480000000000001</v>
      </c>
      <c r="F28" s="11">
        <v>3382</v>
      </c>
      <c r="G28" s="11">
        <v>105</v>
      </c>
      <c r="H28" s="11">
        <v>3277</v>
      </c>
      <c r="I28" s="26">
        <v>3.1E-2</v>
      </c>
      <c r="J28" s="11">
        <v>2459</v>
      </c>
      <c r="K28" s="11">
        <v>48</v>
      </c>
      <c r="L28" s="11">
        <v>2411</v>
      </c>
      <c r="M28" s="26">
        <v>1.95E-2</v>
      </c>
      <c r="N28" s="11">
        <v>2801</v>
      </c>
      <c r="O28" s="11">
        <v>38</v>
      </c>
      <c r="P28" s="11">
        <v>2763</v>
      </c>
      <c r="Q28" s="26">
        <v>1.3599999999999999E-2</v>
      </c>
      <c r="R28" s="11">
        <v>2373</v>
      </c>
      <c r="S28" s="11">
        <v>60</v>
      </c>
      <c r="T28" s="11">
        <v>2313</v>
      </c>
      <c r="U28" s="26">
        <v>2.53E-2</v>
      </c>
      <c r="V28" s="12">
        <f t="shared" si="0"/>
        <v>3.8771094764171357E-2</v>
      </c>
    </row>
    <row r="29" spans="1:22" x14ac:dyDescent="0.35">
      <c r="A29" s="10">
        <v>43671</v>
      </c>
      <c r="B29" s="11">
        <v>546</v>
      </c>
      <c r="C29" s="11">
        <v>202</v>
      </c>
      <c r="D29" s="11">
        <v>344</v>
      </c>
      <c r="E29" s="26">
        <v>0.37</v>
      </c>
      <c r="F29" s="11">
        <v>3389</v>
      </c>
      <c r="G29" s="11">
        <v>135</v>
      </c>
      <c r="H29" s="11">
        <v>3254</v>
      </c>
      <c r="I29" s="26">
        <v>3.9800000000000002E-2</v>
      </c>
      <c r="J29" s="11">
        <v>2485</v>
      </c>
      <c r="K29" s="11">
        <v>46</v>
      </c>
      <c r="L29" s="11">
        <v>2439</v>
      </c>
      <c r="M29" s="26">
        <v>1.8499999999999999E-2</v>
      </c>
      <c r="N29" s="11">
        <v>2793</v>
      </c>
      <c r="O29" s="11">
        <v>36</v>
      </c>
      <c r="P29" s="11">
        <v>2757</v>
      </c>
      <c r="Q29" s="26">
        <v>1.29E-2</v>
      </c>
      <c r="R29" s="11">
        <v>2367</v>
      </c>
      <c r="S29" s="11">
        <v>65</v>
      </c>
      <c r="T29" s="11">
        <v>2302</v>
      </c>
      <c r="U29" s="26">
        <v>2.75E-2</v>
      </c>
      <c r="V29" s="12">
        <f t="shared" si="0"/>
        <v>4.179620034542314E-2</v>
      </c>
    </row>
    <row r="30" spans="1:22" x14ac:dyDescent="0.35">
      <c r="A30" s="10">
        <v>43672</v>
      </c>
      <c r="B30" s="11">
        <v>555</v>
      </c>
      <c r="C30" s="11">
        <v>213</v>
      </c>
      <c r="D30" s="11">
        <v>342</v>
      </c>
      <c r="E30" s="26">
        <v>0.38379999999999997</v>
      </c>
      <c r="F30" s="11">
        <v>3424</v>
      </c>
      <c r="G30" s="11">
        <v>101</v>
      </c>
      <c r="H30" s="11">
        <v>3323</v>
      </c>
      <c r="I30" s="26">
        <v>2.9499999999999998E-2</v>
      </c>
      <c r="J30" s="11">
        <v>2484</v>
      </c>
      <c r="K30" s="11">
        <v>50</v>
      </c>
      <c r="L30" s="11">
        <v>2434</v>
      </c>
      <c r="M30" s="26">
        <v>2.01E-2</v>
      </c>
      <c r="N30" s="11">
        <v>2804</v>
      </c>
      <c r="O30" s="11">
        <v>37</v>
      </c>
      <c r="P30" s="11">
        <v>2767</v>
      </c>
      <c r="Q30" s="26">
        <v>1.32E-2</v>
      </c>
      <c r="R30" s="11">
        <v>2388</v>
      </c>
      <c r="S30" s="11">
        <v>61</v>
      </c>
      <c r="T30" s="11">
        <v>2327</v>
      </c>
      <c r="U30" s="26">
        <v>2.5499999999999998E-2</v>
      </c>
      <c r="V30" s="12">
        <f t="shared" si="0"/>
        <v>3.9639639639639637E-2</v>
      </c>
    </row>
    <row r="31" spans="1:22" x14ac:dyDescent="0.35">
      <c r="A31" s="10">
        <v>43673</v>
      </c>
      <c r="B31" s="11">
        <v>563</v>
      </c>
      <c r="C31" s="11">
        <v>214</v>
      </c>
      <c r="D31" s="11">
        <v>349</v>
      </c>
      <c r="E31" s="26">
        <v>0.38009999999999999</v>
      </c>
      <c r="F31" s="11">
        <v>3418</v>
      </c>
      <c r="G31" s="11">
        <v>116</v>
      </c>
      <c r="H31" s="11">
        <v>3302</v>
      </c>
      <c r="I31" s="26">
        <v>3.39E-2</v>
      </c>
      <c r="J31" s="11">
        <v>2472</v>
      </c>
      <c r="K31" s="11">
        <v>51</v>
      </c>
      <c r="L31" s="11">
        <v>2421</v>
      </c>
      <c r="M31" s="26">
        <v>2.06E-2</v>
      </c>
      <c r="N31" s="11">
        <v>2780</v>
      </c>
      <c r="O31" s="11">
        <v>40</v>
      </c>
      <c r="P31" s="11">
        <v>2740</v>
      </c>
      <c r="Q31" s="26">
        <v>1.44E-2</v>
      </c>
      <c r="R31" s="11">
        <v>2381</v>
      </c>
      <c r="S31" s="11">
        <v>68</v>
      </c>
      <c r="T31" s="11">
        <v>2313</v>
      </c>
      <c r="U31" s="26">
        <v>2.86E-2</v>
      </c>
      <c r="V31" s="12">
        <f t="shared" si="0"/>
        <v>4.2104356810745654E-2</v>
      </c>
    </row>
    <row r="32" spans="1:22" x14ac:dyDescent="0.35">
      <c r="A32" s="10">
        <v>43674</v>
      </c>
      <c r="B32" s="11">
        <v>564</v>
      </c>
      <c r="C32" s="11">
        <v>239</v>
      </c>
      <c r="D32" s="11">
        <v>325</v>
      </c>
      <c r="E32" s="26">
        <v>0.42380000000000001</v>
      </c>
      <c r="F32" s="11">
        <v>3404</v>
      </c>
      <c r="G32" s="11">
        <v>131</v>
      </c>
      <c r="H32" s="11">
        <v>3273</v>
      </c>
      <c r="I32" s="26">
        <v>3.85E-2</v>
      </c>
      <c r="J32" s="11">
        <v>2468</v>
      </c>
      <c r="K32" s="11">
        <v>55</v>
      </c>
      <c r="L32" s="11">
        <v>2413</v>
      </c>
      <c r="M32" s="26">
        <v>2.23E-2</v>
      </c>
      <c r="N32" s="11">
        <v>2759</v>
      </c>
      <c r="O32" s="11">
        <v>40</v>
      </c>
      <c r="P32" s="11">
        <v>2719</v>
      </c>
      <c r="Q32" s="26">
        <v>1.4500000000000001E-2</v>
      </c>
      <c r="R32" s="11">
        <v>2372</v>
      </c>
      <c r="S32" s="11">
        <v>74</v>
      </c>
      <c r="T32" s="11">
        <v>2298</v>
      </c>
      <c r="U32" s="26">
        <v>3.1199999999999999E-2</v>
      </c>
      <c r="V32" s="12">
        <f t="shared" si="0"/>
        <v>4.6598080746952535E-2</v>
      </c>
    </row>
    <row r="33" spans="1:22" x14ac:dyDescent="0.35">
      <c r="A33" s="10">
        <v>43675</v>
      </c>
      <c r="B33" s="11">
        <v>560</v>
      </c>
      <c r="C33" s="11">
        <v>215</v>
      </c>
      <c r="D33" s="11">
        <v>345</v>
      </c>
      <c r="E33" s="26">
        <v>0.38390000000000002</v>
      </c>
      <c r="F33" s="11">
        <v>3409</v>
      </c>
      <c r="G33" s="11">
        <v>116</v>
      </c>
      <c r="H33" s="11">
        <v>3293</v>
      </c>
      <c r="I33" s="26">
        <v>3.4000000000000002E-2</v>
      </c>
      <c r="J33" s="11">
        <v>2461</v>
      </c>
      <c r="K33" s="11">
        <v>64</v>
      </c>
      <c r="L33" s="11">
        <v>2397</v>
      </c>
      <c r="M33" s="26">
        <v>2.5999999999999999E-2</v>
      </c>
      <c r="N33" s="11">
        <v>2758</v>
      </c>
      <c r="O33" s="11">
        <v>39</v>
      </c>
      <c r="P33" s="11">
        <v>2719</v>
      </c>
      <c r="Q33" s="26">
        <v>1.41E-2</v>
      </c>
      <c r="R33" s="11">
        <v>2358</v>
      </c>
      <c r="S33" s="11">
        <v>80</v>
      </c>
      <c r="T33" s="11">
        <v>2278</v>
      </c>
      <c r="U33" s="26">
        <v>3.39E-2</v>
      </c>
      <c r="V33" s="12">
        <f t="shared" si="0"/>
        <v>4.4517581846526932E-2</v>
      </c>
    </row>
    <row r="34" spans="1:22" x14ac:dyDescent="0.35">
      <c r="A34" s="10">
        <v>43676</v>
      </c>
      <c r="B34" s="11">
        <v>569</v>
      </c>
      <c r="C34" s="11">
        <v>226</v>
      </c>
      <c r="D34" s="11">
        <v>343</v>
      </c>
      <c r="E34" s="26">
        <v>0.3972</v>
      </c>
      <c r="F34" s="11">
        <v>3390</v>
      </c>
      <c r="G34" s="11">
        <v>110</v>
      </c>
      <c r="H34" s="11">
        <v>3280</v>
      </c>
      <c r="I34" s="26">
        <v>3.2399999999999998E-2</v>
      </c>
      <c r="J34" s="11">
        <v>2477</v>
      </c>
      <c r="K34" s="11">
        <v>55</v>
      </c>
      <c r="L34" s="11">
        <v>2422</v>
      </c>
      <c r="M34" s="26">
        <v>2.2200000000000001E-2</v>
      </c>
      <c r="N34" s="11">
        <v>2766</v>
      </c>
      <c r="O34" s="11">
        <v>39</v>
      </c>
      <c r="P34" s="11">
        <v>2727</v>
      </c>
      <c r="Q34" s="26">
        <v>1.41E-2</v>
      </c>
      <c r="R34" s="11">
        <v>2353</v>
      </c>
      <c r="S34" s="11">
        <v>78</v>
      </c>
      <c r="T34" s="11">
        <v>2275</v>
      </c>
      <c r="U34" s="26">
        <v>3.3099999999999997E-2</v>
      </c>
      <c r="V34" s="12">
        <f t="shared" si="0"/>
        <v>4.3963652098658587E-2</v>
      </c>
    </row>
    <row r="35" spans="1:22" x14ac:dyDescent="0.35">
      <c r="A35" s="10">
        <v>43677</v>
      </c>
      <c r="B35" s="11">
        <v>547</v>
      </c>
      <c r="C35" s="11">
        <v>196</v>
      </c>
      <c r="D35" s="11">
        <v>351</v>
      </c>
      <c r="E35" s="26">
        <v>0.35830000000000001</v>
      </c>
      <c r="F35" s="11">
        <v>3376</v>
      </c>
      <c r="G35" s="11">
        <v>113</v>
      </c>
      <c r="H35" s="11">
        <v>3263</v>
      </c>
      <c r="I35" s="26">
        <v>3.3500000000000002E-2</v>
      </c>
      <c r="J35" s="11">
        <v>2468</v>
      </c>
      <c r="K35" s="11">
        <v>58</v>
      </c>
      <c r="L35" s="11">
        <v>2410</v>
      </c>
      <c r="M35" s="26">
        <v>2.35E-2</v>
      </c>
      <c r="N35" s="11">
        <v>2760</v>
      </c>
      <c r="O35" s="11">
        <v>40</v>
      </c>
      <c r="P35" s="11">
        <v>2720</v>
      </c>
      <c r="Q35" s="26">
        <v>1.4500000000000001E-2</v>
      </c>
      <c r="R35" s="11">
        <v>2324</v>
      </c>
      <c r="S35" s="11">
        <v>86</v>
      </c>
      <c r="T35" s="11">
        <v>2238</v>
      </c>
      <c r="U35" s="26">
        <v>3.6999999999999998E-2</v>
      </c>
      <c r="V35" s="12">
        <f>(C35+G35+K35+O35+S35)/(B35+F35+J35+N35+R35)</f>
        <v>4.296296296296296E-2</v>
      </c>
    </row>
    <row r="36" spans="1:22" s="25" customFormat="1" ht="18.75" customHeight="1" x14ac:dyDescent="0.35">
      <c r="A36" s="21" t="s">
        <v>14</v>
      </c>
      <c r="B36" s="22">
        <f>SUM(B5:B35)</f>
        <v>16341</v>
      </c>
      <c r="C36" s="22">
        <f>SUM(C5:C35)</f>
        <v>5957</v>
      </c>
      <c r="D36" s="22">
        <f>SUM(D5:D35)</f>
        <v>10384</v>
      </c>
      <c r="E36" s="23">
        <f>C36/B36</f>
        <v>0.36454317361238603</v>
      </c>
      <c r="F36" s="22">
        <f>SUM(F5:F35)</f>
        <v>103908</v>
      </c>
      <c r="G36" s="22">
        <f>SUM(G5:G35)</f>
        <v>3287</v>
      </c>
      <c r="H36" s="22">
        <f>SUM(H5:H35)</f>
        <v>100621</v>
      </c>
      <c r="I36" s="23">
        <f>G36/F36</f>
        <v>3.163375293528891E-2</v>
      </c>
      <c r="J36" s="22">
        <f>SUM(J5:J35)</f>
        <v>76098</v>
      </c>
      <c r="K36" s="22">
        <f>SUM(K5:K35)</f>
        <v>1363</v>
      </c>
      <c r="L36" s="22">
        <f>SUM(L5:L35)</f>
        <v>74735</v>
      </c>
      <c r="M36" s="23">
        <f>K36/J36</f>
        <v>1.7911114615364397E-2</v>
      </c>
      <c r="N36" s="22">
        <f>SUM(N5:N35)</f>
        <v>87276</v>
      </c>
      <c r="O36" s="22">
        <f>SUM(O5:O35)</f>
        <v>1109</v>
      </c>
      <c r="P36" s="22">
        <f>SUM(P5:P35)</f>
        <v>86167</v>
      </c>
      <c r="Q36" s="23">
        <f>O36/N36</f>
        <v>1.2706815161098126E-2</v>
      </c>
      <c r="R36" s="22">
        <f>SUM(R5:R35)</f>
        <v>76948</v>
      </c>
      <c r="S36" s="22">
        <f>SUM(S5:S35)</f>
        <v>1781</v>
      </c>
      <c r="T36" s="22">
        <f>SUM(T5:T35)</f>
        <v>75167</v>
      </c>
      <c r="U36" s="23">
        <f>S36/R36</f>
        <v>2.3145500857722098E-2</v>
      </c>
      <c r="V36" s="24">
        <f>AVERAGE(V5:V35)</f>
        <v>3.746028056644455E-2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0.82850721275542283</v>
      </c>
      <c r="F38" s="33"/>
      <c r="G38" s="34"/>
      <c r="H38" s="35"/>
      <c r="I38" s="16">
        <f>I36/I37</f>
        <v>0.8111218701356131</v>
      </c>
      <c r="J38" s="33"/>
      <c r="K38" s="34"/>
      <c r="L38" s="35"/>
      <c r="M38" s="16">
        <f>M36/M37</f>
        <v>0.63968266483444269</v>
      </c>
      <c r="N38" s="33"/>
      <c r="O38" s="34"/>
      <c r="P38" s="35"/>
      <c r="Q38" s="16">
        <f>Q36/Q37</f>
        <v>1.1551650146452843</v>
      </c>
      <c r="R38" s="33"/>
      <c r="S38" s="34"/>
      <c r="T38" s="35"/>
      <c r="U38" s="16">
        <f>U36/U37</f>
        <v>2.1041364416110997</v>
      </c>
      <c r="V38" s="16">
        <f>V36/V37</f>
        <v>0.9365070141611137</v>
      </c>
    </row>
    <row r="39" spans="1:22" x14ac:dyDescent="0.35">
      <c r="A39">
        <v>2</v>
      </c>
      <c r="B39">
        <f>B36*$A$39</f>
        <v>32682</v>
      </c>
      <c r="C39">
        <f t="shared" ref="C39:T39" si="1">C36*$A$39</f>
        <v>11914</v>
      </c>
      <c r="D39">
        <f t="shared" si="1"/>
        <v>20768</v>
      </c>
      <c r="F39">
        <f t="shared" si="1"/>
        <v>207816</v>
      </c>
      <c r="G39">
        <f t="shared" si="1"/>
        <v>6574</v>
      </c>
      <c r="H39">
        <f t="shared" si="1"/>
        <v>201242</v>
      </c>
      <c r="J39">
        <f t="shared" si="1"/>
        <v>152196</v>
      </c>
      <c r="K39">
        <f t="shared" si="1"/>
        <v>2726</v>
      </c>
      <c r="L39">
        <f t="shared" si="1"/>
        <v>149470</v>
      </c>
      <c r="N39">
        <f t="shared" si="1"/>
        <v>174552</v>
      </c>
      <c r="O39">
        <f t="shared" si="1"/>
        <v>2218</v>
      </c>
      <c r="P39">
        <f t="shared" si="1"/>
        <v>172334</v>
      </c>
      <c r="R39">
        <f t="shared" si="1"/>
        <v>153896</v>
      </c>
      <c r="S39">
        <f t="shared" si="1"/>
        <v>3562</v>
      </c>
      <c r="T39">
        <f t="shared" si="1"/>
        <v>150334</v>
      </c>
    </row>
    <row r="40" spans="1:22" x14ac:dyDescent="0.35">
      <c r="E40" s="13"/>
    </row>
    <row r="41" spans="1:22" ht="39" customHeight="1" x14ac:dyDescent="0.35">
      <c r="B41" s="27">
        <f>VLOOKUP(B$2,'[7]310719'!$A$2:$F$25,3,0)</f>
        <v>569</v>
      </c>
      <c r="C41" s="27">
        <f>VLOOKUP(B$2,'[7]310719'!$A$2:$F$25,4,0)</f>
        <v>226</v>
      </c>
      <c r="D41" s="27">
        <f>VLOOKUP(B$2,'[7]310719'!$A$2:$F$25,5,0)</f>
        <v>343</v>
      </c>
      <c r="E41" s="28">
        <f>VLOOKUP(B$2,'[7]310719'!$A$2:$F$25,6,0)</f>
        <v>0.3972</v>
      </c>
      <c r="F41" s="27">
        <f>VLOOKUP(F$2,'[7]310719'!$A$2:$F$25,3,0)</f>
        <v>3390</v>
      </c>
      <c r="G41" s="27">
        <f>VLOOKUP(F$2,'[7]310719'!$A$2:$F$25,4,0)</f>
        <v>110</v>
      </c>
      <c r="H41" s="27">
        <f>VLOOKUP(F$2,'[7]310719'!$A$2:$F$25,5,0)</f>
        <v>3280</v>
      </c>
      <c r="I41" s="29">
        <f>VLOOKUP(F$2,'[7]310719'!$A$2:$F$25,6,0)</f>
        <v>3.2399999999999998E-2</v>
      </c>
      <c r="J41" s="27">
        <f>VLOOKUP(J$2,'[7]310719'!$A$2:$F$25,3,0)</f>
        <v>2477</v>
      </c>
      <c r="K41" s="27">
        <f>VLOOKUP(J$2,'[7]310719'!$A$2:$F$25,4,0)</f>
        <v>55</v>
      </c>
      <c r="L41" s="27">
        <f>VLOOKUP(J$2,'[7]310719'!$A$2:$F$25,5,0)</f>
        <v>2422</v>
      </c>
      <c r="M41" s="28">
        <f>VLOOKUP(J$2,'[7]310719'!$A$2:$F$25,6,0)</f>
        <v>2.2200000000000001E-2</v>
      </c>
      <c r="N41" s="27">
        <f>VLOOKUP(N$2,'[7]310719'!$A$2:$F$25,3,0)</f>
        <v>2766</v>
      </c>
      <c r="O41" s="27">
        <f>VLOOKUP(N$2,'[7]310719'!$A$2:$F$25,4,0)</f>
        <v>39</v>
      </c>
      <c r="P41" s="27">
        <f>VLOOKUP(N$2,'[7]310719'!$A$2:$F$25,5,0)</f>
        <v>2727</v>
      </c>
      <c r="Q41" s="28">
        <f>VLOOKUP(N$2,'[7]310719'!$A$2:$F$25,6,0)</f>
        <v>1.41E-2</v>
      </c>
      <c r="R41" s="27">
        <f>VLOOKUP(R$2,'[7]310719'!$A$2:$F$25,3,0)</f>
        <v>2353</v>
      </c>
      <c r="S41" s="27">
        <f>VLOOKUP(R$2,'[7]310719'!$A$2:$F$25,4,0)</f>
        <v>78</v>
      </c>
      <c r="T41" s="27">
        <f>VLOOKUP(R$2,'[7]310719'!$A$2:$F$25,5,0)</f>
        <v>2275</v>
      </c>
      <c r="U41" s="28">
        <f>VLOOKUP(R$2,'[7]310719'!$A$2:$F$25,6,0)</f>
        <v>3.3099999999999997E-2</v>
      </c>
    </row>
    <row r="43" spans="1:22" x14ac:dyDescent="0.35">
      <c r="E43" s="14"/>
    </row>
    <row r="44" spans="1:22" ht="13.5" x14ac:dyDescent="0.35">
      <c r="B44">
        <f>B39+F39+J39+N39+R39</f>
        <v>721142</v>
      </c>
      <c r="C44">
        <f>C39+G39+K39+O39+S39</f>
        <v>26994</v>
      </c>
      <c r="E44" s="23">
        <f>C44/B44</f>
        <v>3.7432294887830689E-2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44"/>
  <sheetViews>
    <sheetView topLeftCell="A22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43678</v>
      </c>
      <c r="B5" s="11">
        <v>562</v>
      </c>
      <c r="C5" s="11">
        <v>196</v>
      </c>
      <c r="D5" s="11">
        <v>366</v>
      </c>
      <c r="E5" s="26">
        <v>0.3488</v>
      </c>
      <c r="F5" s="11">
        <v>3404</v>
      </c>
      <c r="G5" s="11">
        <v>133</v>
      </c>
      <c r="H5" s="11">
        <v>3271</v>
      </c>
      <c r="I5" s="26">
        <v>3.9100000000000003E-2</v>
      </c>
      <c r="J5" s="11">
        <v>2468</v>
      </c>
      <c r="K5" s="11">
        <v>58</v>
      </c>
      <c r="L5" s="11">
        <v>2410</v>
      </c>
      <c r="M5" s="26">
        <v>2.35E-2</v>
      </c>
      <c r="N5" s="11">
        <v>2765</v>
      </c>
      <c r="O5" s="11">
        <v>39</v>
      </c>
      <c r="P5" s="11">
        <v>2726</v>
      </c>
      <c r="Q5" s="26">
        <v>1.41E-2</v>
      </c>
      <c r="R5" s="11">
        <v>2321</v>
      </c>
      <c r="S5" s="11">
        <v>94</v>
      </c>
      <c r="T5" s="11">
        <v>2227</v>
      </c>
      <c r="U5" s="26">
        <v>4.0500000000000001E-2</v>
      </c>
      <c r="V5" s="12">
        <f t="shared" ref="V5:V34" si="0">(C5+G5+K5+O5+S5)/(B5+F5+J5+N5+R5)</f>
        <v>4.5138888888888888E-2</v>
      </c>
    </row>
    <row r="6" spans="1:22" x14ac:dyDescent="0.35">
      <c r="A6" s="10">
        <v>43679</v>
      </c>
      <c r="B6" s="11">
        <v>577</v>
      </c>
      <c r="C6" s="11">
        <v>197</v>
      </c>
      <c r="D6" s="11">
        <v>380</v>
      </c>
      <c r="E6" s="26">
        <v>0.34139999999999998</v>
      </c>
      <c r="F6" s="11">
        <v>3428</v>
      </c>
      <c r="G6" s="11">
        <v>110</v>
      </c>
      <c r="H6" s="11">
        <v>3318</v>
      </c>
      <c r="I6" s="26">
        <v>3.2099999999999997E-2</v>
      </c>
      <c r="J6" s="11">
        <v>2458</v>
      </c>
      <c r="K6" s="11">
        <v>61</v>
      </c>
      <c r="L6" s="11">
        <v>2397</v>
      </c>
      <c r="M6" s="26">
        <v>2.4799999999999999E-2</v>
      </c>
      <c r="N6" s="11">
        <v>2745</v>
      </c>
      <c r="O6" s="11">
        <v>40</v>
      </c>
      <c r="P6" s="11">
        <v>2705</v>
      </c>
      <c r="Q6" s="26">
        <v>1.46E-2</v>
      </c>
      <c r="R6" s="11">
        <v>2339</v>
      </c>
      <c r="S6" s="11">
        <v>90</v>
      </c>
      <c r="T6" s="11">
        <v>2249</v>
      </c>
      <c r="U6" s="26">
        <v>3.85E-2</v>
      </c>
      <c r="V6" s="12">
        <f>(C6+G6+K6+O6+S6)/(B6+F6+J6+N6+R6)</f>
        <v>4.3128085216939463E-2</v>
      </c>
    </row>
    <row r="7" spans="1:22" x14ac:dyDescent="0.35">
      <c r="A7" s="10">
        <v>43680</v>
      </c>
      <c r="B7" s="11">
        <v>580</v>
      </c>
      <c r="C7" s="11">
        <v>211</v>
      </c>
      <c r="D7" s="11">
        <v>369</v>
      </c>
      <c r="E7" s="26">
        <v>0.36380000000000001</v>
      </c>
      <c r="F7" s="11">
        <v>3413</v>
      </c>
      <c r="G7" s="11">
        <v>119</v>
      </c>
      <c r="H7" s="11">
        <v>3294</v>
      </c>
      <c r="I7" s="26">
        <v>3.49E-2</v>
      </c>
      <c r="J7" s="11">
        <v>2463</v>
      </c>
      <c r="K7" s="11">
        <v>55</v>
      </c>
      <c r="L7" s="11">
        <v>2408</v>
      </c>
      <c r="M7" s="26">
        <v>2.23E-2</v>
      </c>
      <c r="N7" s="11">
        <v>2770</v>
      </c>
      <c r="O7" s="11">
        <v>41</v>
      </c>
      <c r="P7" s="11">
        <v>2729</v>
      </c>
      <c r="Q7" s="26">
        <v>1.4800000000000001E-2</v>
      </c>
      <c r="R7" s="11">
        <v>2265</v>
      </c>
      <c r="S7" s="11">
        <v>93</v>
      </c>
      <c r="T7" s="11">
        <v>2172</v>
      </c>
      <c r="U7" s="26">
        <v>4.1099999999999998E-2</v>
      </c>
      <c r="V7" s="12">
        <f>(C7+G7+K7+O7+S7)/(B7+F7+J7+N7+R7)</f>
        <v>4.5165781916282309E-2</v>
      </c>
    </row>
    <row r="8" spans="1:22" x14ac:dyDescent="0.35">
      <c r="A8" s="10">
        <v>43681</v>
      </c>
      <c r="B8" s="11">
        <v>587</v>
      </c>
      <c r="C8" s="11">
        <v>258</v>
      </c>
      <c r="D8" s="11">
        <v>329</v>
      </c>
      <c r="E8" s="26">
        <v>0.4395</v>
      </c>
      <c r="F8" s="11">
        <v>3382</v>
      </c>
      <c r="G8" s="11">
        <v>155</v>
      </c>
      <c r="H8" s="11">
        <v>3227</v>
      </c>
      <c r="I8" s="26">
        <v>4.58E-2</v>
      </c>
      <c r="J8" s="11">
        <v>2444</v>
      </c>
      <c r="K8" s="11">
        <v>66</v>
      </c>
      <c r="L8" s="11">
        <v>2378</v>
      </c>
      <c r="M8" s="26">
        <v>2.7E-2</v>
      </c>
      <c r="N8" s="11">
        <v>2738</v>
      </c>
      <c r="O8" s="11">
        <v>43</v>
      </c>
      <c r="P8" s="11">
        <v>2695</v>
      </c>
      <c r="Q8" s="26">
        <v>1.5699999999999999E-2</v>
      </c>
      <c r="R8" s="11">
        <v>2270</v>
      </c>
      <c r="S8" s="11">
        <v>124</v>
      </c>
      <c r="T8" s="11">
        <v>2146</v>
      </c>
      <c r="U8" s="26">
        <v>5.4600000000000003E-2</v>
      </c>
      <c r="V8" s="12">
        <f t="shared" si="0"/>
        <v>5.6562472638122759E-2</v>
      </c>
    </row>
    <row r="9" spans="1:22" x14ac:dyDescent="0.35">
      <c r="A9" s="10">
        <v>43682</v>
      </c>
      <c r="B9" s="11">
        <v>590</v>
      </c>
      <c r="C9" s="11">
        <v>227</v>
      </c>
      <c r="D9" s="11">
        <v>363</v>
      </c>
      <c r="E9" s="26">
        <v>0.38469999999999999</v>
      </c>
      <c r="F9" s="11">
        <v>3419</v>
      </c>
      <c r="G9" s="11">
        <v>127</v>
      </c>
      <c r="H9" s="11">
        <v>3292</v>
      </c>
      <c r="I9" s="26">
        <v>3.7100000000000001E-2</v>
      </c>
      <c r="J9" s="11">
        <v>2445</v>
      </c>
      <c r="K9" s="11">
        <v>63</v>
      </c>
      <c r="L9" s="11">
        <v>2382</v>
      </c>
      <c r="M9" s="26">
        <v>2.58E-2</v>
      </c>
      <c r="N9" s="11">
        <v>2738</v>
      </c>
      <c r="O9" s="11">
        <v>47</v>
      </c>
      <c r="P9" s="11">
        <v>2691</v>
      </c>
      <c r="Q9" s="26">
        <v>1.72E-2</v>
      </c>
      <c r="R9" s="11">
        <v>2309</v>
      </c>
      <c r="S9" s="11">
        <v>95</v>
      </c>
      <c r="T9" s="11">
        <v>2214</v>
      </c>
      <c r="U9" s="26">
        <v>4.1099999999999998E-2</v>
      </c>
      <c r="V9" s="12">
        <f t="shared" si="0"/>
        <v>4.8604469176593341E-2</v>
      </c>
    </row>
    <row r="10" spans="1:22" x14ac:dyDescent="0.35">
      <c r="A10" s="10">
        <v>43683</v>
      </c>
      <c r="B10" s="11">
        <v>588</v>
      </c>
      <c r="C10" s="11">
        <v>210</v>
      </c>
      <c r="D10" s="11">
        <v>378</v>
      </c>
      <c r="E10" s="26">
        <v>0.35709999999999997</v>
      </c>
      <c r="F10" s="11">
        <v>3425</v>
      </c>
      <c r="G10" s="11">
        <v>134</v>
      </c>
      <c r="H10" s="11">
        <v>3291</v>
      </c>
      <c r="I10" s="26">
        <v>3.9100000000000003E-2</v>
      </c>
      <c r="J10" s="11">
        <v>2440</v>
      </c>
      <c r="K10" s="11">
        <v>68</v>
      </c>
      <c r="L10" s="11">
        <v>2372</v>
      </c>
      <c r="M10" s="26">
        <v>2.7900000000000001E-2</v>
      </c>
      <c r="N10" s="11">
        <v>2721</v>
      </c>
      <c r="O10" s="11">
        <v>48</v>
      </c>
      <c r="P10" s="11">
        <v>2673</v>
      </c>
      <c r="Q10" s="26">
        <v>1.7600000000000001E-2</v>
      </c>
      <c r="R10" s="11">
        <v>2357</v>
      </c>
      <c r="S10" s="11">
        <v>90</v>
      </c>
      <c r="T10" s="11">
        <v>2267</v>
      </c>
      <c r="U10" s="26">
        <v>3.8199999999999998E-2</v>
      </c>
      <c r="V10" s="12">
        <f t="shared" si="0"/>
        <v>4.7697511057150289E-2</v>
      </c>
    </row>
    <row r="11" spans="1:22" x14ac:dyDescent="0.35">
      <c r="A11" s="10">
        <v>43684</v>
      </c>
      <c r="B11" s="11">
        <v>597</v>
      </c>
      <c r="C11" s="11">
        <v>213</v>
      </c>
      <c r="D11" s="11">
        <v>384</v>
      </c>
      <c r="E11" s="26">
        <v>0.35680000000000001</v>
      </c>
      <c r="F11" s="11">
        <v>3441</v>
      </c>
      <c r="G11" s="11">
        <v>120</v>
      </c>
      <c r="H11" s="11">
        <v>3321</v>
      </c>
      <c r="I11" s="26">
        <v>3.49E-2</v>
      </c>
      <c r="J11" s="11">
        <v>2458</v>
      </c>
      <c r="K11" s="11">
        <v>62</v>
      </c>
      <c r="L11" s="11">
        <v>2396</v>
      </c>
      <c r="M11" s="26">
        <v>2.52E-2</v>
      </c>
      <c r="N11" s="11">
        <v>2728</v>
      </c>
      <c r="O11" s="11">
        <v>50</v>
      </c>
      <c r="P11" s="11">
        <v>2678</v>
      </c>
      <c r="Q11" s="26">
        <v>1.83E-2</v>
      </c>
      <c r="R11" s="11">
        <v>2353</v>
      </c>
      <c r="S11" s="11">
        <v>98</v>
      </c>
      <c r="T11" s="11">
        <v>2255</v>
      </c>
      <c r="U11" s="26">
        <v>4.1599999999999998E-2</v>
      </c>
      <c r="V11" s="12">
        <f t="shared" si="0"/>
        <v>4.6903342834931326E-2</v>
      </c>
    </row>
    <row r="12" spans="1:22" x14ac:dyDescent="0.35">
      <c r="A12" s="10">
        <v>43685</v>
      </c>
      <c r="B12" s="11">
        <v>598</v>
      </c>
      <c r="C12" s="11">
        <v>221</v>
      </c>
      <c r="D12" s="11">
        <v>377</v>
      </c>
      <c r="E12" s="26">
        <v>0.36959999999999998</v>
      </c>
      <c r="F12" s="11">
        <v>3434</v>
      </c>
      <c r="G12" s="11">
        <v>146</v>
      </c>
      <c r="H12" s="11">
        <v>3288</v>
      </c>
      <c r="I12" s="26">
        <v>4.2500000000000003E-2</v>
      </c>
      <c r="J12" s="11">
        <v>2454</v>
      </c>
      <c r="K12" s="11">
        <v>64</v>
      </c>
      <c r="L12" s="11">
        <v>2390</v>
      </c>
      <c r="M12" s="26">
        <v>2.6100000000000002E-2</v>
      </c>
      <c r="N12" s="11">
        <v>2720</v>
      </c>
      <c r="O12" s="11">
        <v>51</v>
      </c>
      <c r="P12" s="11">
        <v>2669</v>
      </c>
      <c r="Q12" s="26">
        <v>1.8800000000000001E-2</v>
      </c>
      <c r="R12" s="11">
        <v>2346</v>
      </c>
      <c r="S12" s="11">
        <v>97</v>
      </c>
      <c r="T12" s="11">
        <v>2249</v>
      </c>
      <c r="U12" s="26">
        <v>4.1300000000000003E-2</v>
      </c>
      <c r="V12" s="12">
        <f t="shared" si="0"/>
        <v>5.0121191135734072E-2</v>
      </c>
    </row>
    <row r="13" spans="1:22" x14ac:dyDescent="0.35">
      <c r="A13" s="10">
        <v>43686</v>
      </c>
      <c r="B13" s="11">
        <v>602</v>
      </c>
      <c r="C13" s="11">
        <v>214</v>
      </c>
      <c r="D13" s="11">
        <v>388</v>
      </c>
      <c r="E13" s="26">
        <v>0.35549999999999998</v>
      </c>
      <c r="F13" s="11">
        <v>3496</v>
      </c>
      <c r="G13" s="11">
        <v>113</v>
      </c>
      <c r="H13" s="11">
        <v>3383</v>
      </c>
      <c r="I13" s="26">
        <v>3.2300000000000002E-2</v>
      </c>
      <c r="J13" s="11">
        <v>2453</v>
      </c>
      <c r="K13" s="11">
        <v>65</v>
      </c>
      <c r="L13" s="11">
        <v>2388</v>
      </c>
      <c r="M13" s="26">
        <v>2.6499999999999999E-2</v>
      </c>
      <c r="N13" s="11">
        <v>2722</v>
      </c>
      <c r="O13" s="11">
        <v>52</v>
      </c>
      <c r="P13" s="11">
        <v>2670</v>
      </c>
      <c r="Q13" s="26">
        <v>1.9099999999999999E-2</v>
      </c>
      <c r="R13" s="11">
        <v>2348</v>
      </c>
      <c r="S13" s="11">
        <v>84</v>
      </c>
      <c r="T13" s="11">
        <v>2264</v>
      </c>
      <c r="U13" s="26">
        <v>3.5799999999999998E-2</v>
      </c>
      <c r="V13" s="12">
        <f t="shared" si="0"/>
        <v>4.5434988383099562E-2</v>
      </c>
    </row>
    <row r="14" spans="1:22" x14ac:dyDescent="0.35">
      <c r="A14" s="10">
        <v>43687</v>
      </c>
      <c r="B14" s="11">
        <v>598</v>
      </c>
      <c r="C14" s="11">
        <v>219</v>
      </c>
      <c r="D14" s="11">
        <v>379</v>
      </c>
      <c r="E14" s="26">
        <v>0.36620000000000003</v>
      </c>
      <c r="F14" s="11">
        <v>3473</v>
      </c>
      <c r="G14" s="11">
        <v>115</v>
      </c>
      <c r="H14" s="11">
        <v>3358</v>
      </c>
      <c r="I14" s="26">
        <v>3.3099999999999997E-2</v>
      </c>
      <c r="J14" s="11">
        <v>2438</v>
      </c>
      <c r="K14" s="11">
        <v>78</v>
      </c>
      <c r="L14" s="11">
        <v>2360</v>
      </c>
      <c r="M14" s="26">
        <v>3.2000000000000001E-2</v>
      </c>
      <c r="N14" s="11">
        <v>2722</v>
      </c>
      <c r="O14" s="11">
        <v>55</v>
      </c>
      <c r="P14" s="11">
        <v>2667</v>
      </c>
      <c r="Q14" s="26">
        <v>2.0199999999999999E-2</v>
      </c>
      <c r="R14" s="11">
        <v>2280</v>
      </c>
      <c r="S14" s="11">
        <v>102</v>
      </c>
      <c r="T14" s="11">
        <v>2178</v>
      </c>
      <c r="U14" s="26">
        <v>4.4699999999999997E-2</v>
      </c>
      <c r="V14" s="12">
        <f t="shared" si="0"/>
        <v>4.9430979063504472E-2</v>
      </c>
    </row>
    <row r="15" spans="1:22" x14ac:dyDescent="0.35">
      <c r="A15" s="10">
        <v>43688</v>
      </c>
      <c r="B15" s="11">
        <v>605</v>
      </c>
      <c r="C15" s="11">
        <v>260</v>
      </c>
      <c r="D15" s="11">
        <v>345</v>
      </c>
      <c r="E15" s="26">
        <v>0.42980000000000002</v>
      </c>
      <c r="F15" s="11">
        <v>3460</v>
      </c>
      <c r="G15" s="11">
        <v>138</v>
      </c>
      <c r="H15" s="11">
        <v>3322</v>
      </c>
      <c r="I15" s="26">
        <v>3.9899999999999998E-2</v>
      </c>
      <c r="J15" s="11">
        <v>2424</v>
      </c>
      <c r="K15" s="11">
        <v>109</v>
      </c>
      <c r="L15" s="11">
        <v>2315</v>
      </c>
      <c r="M15" s="26">
        <v>4.4999999999999998E-2</v>
      </c>
      <c r="N15" s="11">
        <v>2684</v>
      </c>
      <c r="O15" s="11">
        <v>58</v>
      </c>
      <c r="P15" s="11">
        <v>2626</v>
      </c>
      <c r="Q15" s="26">
        <v>2.1600000000000001E-2</v>
      </c>
      <c r="R15" s="11">
        <v>2282</v>
      </c>
      <c r="S15" s="11">
        <v>126</v>
      </c>
      <c r="T15" s="11">
        <v>2156</v>
      </c>
      <c r="U15" s="26">
        <v>5.5199999999999999E-2</v>
      </c>
      <c r="V15" s="12">
        <f t="shared" si="0"/>
        <v>6.032300305543431E-2</v>
      </c>
    </row>
    <row r="16" spans="1:22" x14ac:dyDescent="0.35">
      <c r="A16" s="10">
        <v>43689</v>
      </c>
      <c r="B16" s="11">
        <v>597</v>
      </c>
      <c r="C16" s="11">
        <v>226</v>
      </c>
      <c r="D16" s="11">
        <v>371</v>
      </c>
      <c r="E16" s="26">
        <v>0.37859999999999999</v>
      </c>
      <c r="F16" s="11">
        <v>3444</v>
      </c>
      <c r="G16" s="11">
        <v>135</v>
      </c>
      <c r="H16" s="11">
        <v>3309</v>
      </c>
      <c r="I16" s="26">
        <v>3.9199999999999999E-2</v>
      </c>
      <c r="J16" s="11">
        <v>2437</v>
      </c>
      <c r="K16" s="11">
        <v>89</v>
      </c>
      <c r="L16" s="11">
        <v>2348</v>
      </c>
      <c r="M16" s="26">
        <v>3.6499999999999998E-2</v>
      </c>
      <c r="N16" s="11">
        <v>2665</v>
      </c>
      <c r="O16" s="11">
        <v>60</v>
      </c>
      <c r="P16" s="11">
        <v>2605</v>
      </c>
      <c r="Q16" s="26">
        <v>2.2499999999999999E-2</v>
      </c>
      <c r="R16" s="11">
        <v>2289</v>
      </c>
      <c r="S16" s="11">
        <v>74</v>
      </c>
      <c r="T16" s="11">
        <v>2215</v>
      </c>
      <c r="U16" s="26">
        <v>3.2300000000000002E-2</v>
      </c>
      <c r="V16" s="12">
        <f t="shared" si="0"/>
        <v>5.1084674597620713E-2</v>
      </c>
    </row>
    <row r="17" spans="1:22" x14ac:dyDescent="0.35">
      <c r="A17" s="10">
        <v>43690</v>
      </c>
      <c r="B17" s="11">
        <v>600</v>
      </c>
      <c r="C17" s="11">
        <v>240</v>
      </c>
      <c r="D17" s="11">
        <v>360</v>
      </c>
      <c r="E17" s="26">
        <v>0.4</v>
      </c>
      <c r="F17" s="11">
        <v>3429</v>
      </c>
      <c r="G17" s="11">
        <v>140</v>
      </c>
      <c r="H17" s="11">
        <v>3289</v>
      </c>
      <c r="I17" s="26">
        <v>4.0800000000000003E-2</v>
      </c>
      <c r="J17" s="11">
        <v>2429</v>
      </c>
      <c r="K17" s="11">
        <v>87</v>
      </c>
      <c r="L17" s="11">
        <v>2342</v>
      </c>
      <c r="M17" s="26">
        <v>3.5799999999999998E-2</v>
      </c>
      <c r="N17" s="11">
        <v>2653</v>
      </c>
      <c r="O17" s="11">
        <v>63</v>
      </c>
      <c r="P17" s="11">
        <v>2590</v>
      </c>
      <c r="Q17" s="26">
        <v>2.3699999999999999E-2</v>
      </c>
      <c r="R17" s="11">
        <v>2279</v>
      </c>
      <c r="S17" s="11">
        <v>75</v>
      </c>
      <c r="T17" s="11">
        <v>2204</v>
      </c>
      <c r="U17" s="26">
        <v>3.2899999999999999E-2</v>
      </c>
      <c r="V17" s="12">
        <f t="shared" si="0"/>
        <v>5.3116769095697978E-2</v>
      </c>
    </row>
    <row r="18" spans="1:22" x14ac:dyDescent="0.35">
      <c r="A18" s="10">
        <v>43691</v>
      </c>
      <c r="B18" s="11">
        <v>601</v>
      </c>
      <c r="C18" s="11">
        <v>217</v>
      </c>
      <c r="D18" s="11">
        <v>384</v>
      </c>
      <c r="E18" s="26">
        <v>0.36109999999999998</v>
      </c>
      <c r="F18" s="11">
        <v>3427</v>
      </c>
      <c r="G18" s="11">
        <v>138</v>
      </c>
      <c r="H18" s="11">
        <v>3289</v>
      </c>
      <c r="I18" s="26">
        <v>4.0300000000000002E-2</v>
      </c>
      <c r="J18" s="11">
        <v>2448</v>
      </c>
      <c r="K18" s="11">
        <v>81</v>
      </c>
      <c r="L18" s="11">
        <v>2367</v>
      </c>
      <c r="M18" s="26">
        <v>3.3099999999999997E-2</v>
      </c>
      <c r="N18" s="11">
        <v>2684</v>
      </c>
      <c r="O18" s="11">
        <v>64</v>
      </c>
      <c r="P18" s="11">
        <v>2620</v>
      </c>
      <c r="Q18" s="26">
        <v>2.3800000000000002E-2</v>
      </c>
      <c r="R18" s="11">
        <v>2250</v>
      </c>
      <c r="S18" s="11">
        <v>73</v>
      </c>
      <c r="T18" s="11">
        <v>2177</v>
      </c>
      <c r="U18" s="26">
        <v>3.2399999999999998E-2</v>
      </c>
      <c r="V18" s="12">
        <f t="shared" si="0"/>
        <v>5.0219106047326906E-2</v>
      </c>
    </row>
    <row r="19" spans="1:22" x14ac:dyDescent="0.35">
      <c r="A19" s="10">
        <v>43692</v>
      </c>
      <c r="B19" s="11">
        <v>611</v>
      </c>
      <c r="C19" s="11">
        <v>212</v>
      </c>
      <c r="D19" s="11">
        <v>399</v>
      </c>
      <c r="E19" s="26">
        <v>0.34699999999999998</v>
      </c>
      <c r="F19" s="11">
        <v>3427</v>
      </c>
      <c r="G19" s="11">
        <v>167</v>
      </c>
      <c r="H19" s="11">
        <v>3260</v>
      </c>
      <c r="I19" s="26">
        <v>4.87E-2</v>
      </c>
      <c r="J19" s="11">
        <v>2450</v>
      </c>
      <c r="K19" s="11">
        <v>74</v>
      </c>
      <c r="L19" s="11">
        <v>2376</v>
      </c>
      <c r="M19" s="26">
        <v>3.0200000000000001E-2</v>
      </c>
      <c r="N19" s="11">
        <v>2676</v>
      </c>
      <c r="O19" s="11">
        <v>62</v>
      </c>
      <c r="P19" s="11">
        <v>2614</v>
      </c>
      <c r="Q19" s="26">
        <v>2.3199999999999998E-2</v>
      </c>
      <c r="R19" s="11">
        <v>2236</v>
      </c>
      <c r="S19" s="11">
        <v>78</v>
      </c>
      <c r="T19" s="11">
        <v>2158</v>
      </c>
      <c r="U19" s="26">
        <v>3.49E-2</v>
      </c>
      <c r="V19" s="12">
        <f t="shared" si="0"/>
        <v>5.2017543859649122E-2</v>
      </c>
    </row>
    <row r="20" spans="1:22" x14ac:dyDescent="0.35">
      <c r="A20" s="10">
        <v>43693</v>
      </c>
      <c r="B20" s="11">
        <v>620</v>
      </c>
      <c r="C20" s="11">
        <v>214</v>
      </c>
      <c r="D20" s="11">
        <v>406</v>
      </c>
      <c r="E20" s="26">
        <v>0.34520000000000001</v>
      </c>
      <c r="F20" s="11">
        <v>3443</v>
      </c>
      <c r="G20" s="11">
        <v>132</v>
      </c>
      <c r="H20" s="11">
        <v>3311</v>
      </c>
      <c r="I20" s="26">
        <v>3.8300000000000001E-2</v>
      </c>
      <c r="J20" s="11">
        <v>2450</v>
      </c>
      <c r="K20" s="11">
        <v>79</v>
      </c>
      <c r="L20" s="11">
        <v>2371</v>
      </c>
      <c r="M20" s="26">
        <v>3.2199999999999999E-2</v>
      </c>
      <c r="N20" s="11">
        <v>2664</v>
      </c>
      <c r="O20" s="11">
        <v>70</v>
      </c>
      <c r="P20" s="11">
        <v>2594</v>
      </c>
      <c r="Q20" s="26">
        <v>2.63E-2</v>
      </c>
      <c r="R20" s="11">
        <v>2233</v>
      </c>
      <c r="S20" s="11">
        <v>88</v>
      </c>
      <c r="T20" s="11">
        <v>2145</v>
      </c>
      <c r="U20" s="26">
        <v>3.9399999999999998E-2</v>
      </c>
      <c r="V20" s="12">
        <f t="shared" si="0"/>
        <v>5.1095530236634532E-2</v>
      </c>
    </row>
    <row r="21" spans="1:22" x14ac:dyDescent="0.35">
      <c r="A21" s="10">
        <v>43694</v>
      </c>
      <c r="B21" s="11">
        <v>623</v>
      </c>
      <c r="C21" s="11">
        <v>221</v>
      </c>
      <c r="D21" s="11">
        <v>402</v>
      </c>
      <c r="E21" s="26">
        <v>0.35470000000000002</v>
      </c>
      <c r="F21" s="11">
        <v>3461</v>
      </c>
      <c r="G21" s="11">
        <v>124</v>
      </c>
      <c r="H21" s="11">
        <v>3337</v>
      </c>
      <c r="I21" s="26">
        <v>3.5799999999999998E-2</v>
      </c>
      <c r="J21" s="11">
        <v>2475</v>
      </c>
      <c r="K21" s="11">
        <v>72</v>
      </c>
      <c r="L21" s="11">
        <v>2403</v>
      </c>
      <c r="M21" s="26">
        <v>2.9100000000000001E-2</v>
      </c>
      <c r="N21" s="11">
        <v>2705</v>
      </c>
      <c r="O21" s="11">
        <v>59</v>
      </c>
      <c r="P21" s="11">
        <v>2646</v>
      </c>
      <c r="Q21" s="26">
        <v>2.18E-2</v>
      </c>
      <c r="R21" s="11">
        <v>2201</v>
      </c>
      <c r="S21" s="11">
        <v>113</v>
      </c>
      <c r="T21" s="11">
        <v>2088</v>
      </c>
      <c r="U21" s="26">
        <v>5.1299999999999998E-2</v>
      </c>
      <c r="V21" s="12">
        <f t="shared" si="0"/>
        <v>5.137374618403838E-2</v>
      </c>
    </row>
    <row r="22" spans="1:22" x14ac:dyDescent="0.35">
      <c r="A22" s="10">
        <v>43695</v>
      </c>
      <c r="B22" s="11">
        <v>627</v>
      </c>
      <c r="C22" s="11">
        <v>260</v>
      </c>
      <c r="D22" s="11">
        <v>367</v>
      </c>
      <c r="E22" s="26">
        <v>0.41470000000000001</v>
      </c>
      <c r="F22" s="11">
        <v>3445</v>
      </c>
      <c r="G22" s="11">
        <v>146</v>
      </c>
      <c r="H22" s="11">
        <v>3299</v>
      </c>
      <c r="I22" s="26">
        <v>4.24E-2</v>
      </c>
      <c r="J22" s="11">
        <v>2455</v>
      </c>
      <c r="K22" s="11">
        <v>73</v>
      </c>
      <c r="L22" s="11">
        <v>2382</v>
      </c>
      <c r="M22" s="26">
        <v>2.9700000000000001E-2</v>
      </c>
      <c r="N22" s="11">
        <v>2651</v>
      </c>
      <c r="O22" s="11">
        <v>62</v>
      </c>
      <c r="P22" s="11">
        <v>2589</v>
      </c>
      <c r="Q22" s="26">
        <v>2.3400000000000001E-2</v>
      </c>
      <c r="R22" s="11">
        <v>2209</v>
      </c>
      <c r="S22" s="11">
        <v>154</v>
      </c>
      <c r="T22" s="11">
        <v>2055</v>
      </c>
      <c r="U22" s="26">
        <v>6.9699999999999998E-2</v>
      </c>
      <c r="V22" s="12">
        <f t="shared" si="0"/>
        <v>6.1034513041187316E-2</v>
      </c>
    </row>
    <row r="23" spans="1:22" x14ac:dyDescent="0.35">
      <c r="A23" s="10">
        <v>43696</v>
      </c>
      <c r="B23" s="11">
        <v>623</v>
      </c>
      <c r="C23" s="11">
        <v>234</v>
      </c>
      <c r="D23" s="11">
        <v>389</v>
      </c>
      <c r="E23" s="26">
        <v>0.37559999999999999</v>
      </c>
      <c r="F23" s="11">
        <v>3431</v>
      </c>
      <c r="G23" s="11">
        <v>150</v>
      </c>
      <c r="H23" s="11">
        <v>3281</v>
      </c>
      <c r="I23" s="26">
        <v>4.3700000000000003E-2</v>
      </c>
      <c r="J23" s="11">
        <v>2445</v>
      </c>
      <c r="K23" s="11">
        <v>81</v>
      </c>
      <c r="L23" s="11">
        <v>2364</v>
      </c>
      <c r="M23" s="26">
        <v>3.3099999999999997E-2</v>
      </c>
      <c r="N23" s="11">
        <v>2630</v>
      </c>
      <c r="O23" s="11">
        <v>63</v>
      </c>
      <c r="P23" s="11">
        <v>2567</v>
      </c>
      <c r="Q23" s="26">
        <v>2.4E-2</v>
      </c>
      <c r="R23" s="11">
        <v>2208</v>
      </c>
      <c r="S23" s="11">
        <v>156</v>
      </c>
      <c r="T23" s="11">
        <v>2052</v>
      </c>
      <c r="U23" s="26">
        <v>7.0699999999999999E-2</v>
      </c>
      <c r="V23" s="12">
        <f t="shared" si="0"/>
        <v>6.0333421540089971E-2</v>
      </c>
    </row>
    <row r="24" spans="1:22" x14ac:dyDescent="0.35">
      <c r="A24" s="10">
        <v>43697</v>
      </c>
      <c r="B24" s="11">
        <v>632</v>
      </c>
      <c r="C24" s="11">
        <v>228</v>
      </c>
      <c r="D24" s="11">
        <v>404</v>
      </c>
      <c r="E24" s="26">
        <v>0.36080000000000001</v>
      </c>
      <c r="F24" s="11">
        <v>3434</v>
      </c>
      <c r="G24" s="11">
        <v>140</v>
      </c>
      <c r="H24" s="11">
        <v>3294</v>
      </c>
      <c r="I24" s="26">
        <v>4.0800000000000003E-2</v>
      </c>
      <c r="J24" s="11">
        <v>2455</v>
      </c>
      <c r="K24" s="11">
        <v>74</v>
      </c>
      <c r="L24" s="11">
        <v>2381</v>
      </c>
      <c r="M24" s="26">
        <v>3.0099999999999998E-2</v>
      </c>
      <c r="N24" s="11">
        <v>2650</v>
      </c>
      <c r="O24" s="11">
        <v>60</v>
      </c>
      <c r="P24" s="11">
        <v>2590</v>
      </c>
      <c r="Q24" s="26">
        <v>2.2599999999999999E-2</v>
      </c>
      <c r="R24" s="11">
        <v>2318</v>
      </c>
      <c r="S24" s="11">
        <v>90</v>
      </c>
      <c r="T24" s="11">
        <v>2228</v>
      </c>
      <c r="U24" s="26">
        <v>3.8800000000000001E-2</v>
      </c>
      <c r="V24" s="12">
        <f t="shared" si="0"/>
        <v>5.1527548089476891E-2</v>
      </c>
    </row>
    <row r="25" spans="1:22" x14ac:dyDescent="0.35">
      <c r="A25" s="10">
        <v>43698</v>
      </c>
      <c r="B25" s="11">
        <v>626</v>
      </c>
      <c r="C25" s="11">
        <v>219</v>
      </c>
      <c r="D25" s="11">
        <v>407</v>
      </c>
      <c r="E25" s="26">
        <v>0.3498</v>
      </c>
      <c r="F25" s="11">
        <v>3423</v>
      </c>
      <c r="G25" s="11">
        <v>155</v>
      </c>
      <c r="H25" s="11">
        <v>3268</v>
      </c>
      <c r="I25" s="26">
        <v>4.53E-2</v>
      </c>
      <c r="J25" s="11">
        <v>2441</v>
      </c>
      <c r="K25" s="11">
        <v>77</v>
      </c>
      <c r="L25" s="11">
        <v>2364</v>
      </c>
      <c r="M25" s="26">
        <v>3.15E-2</v>
      </c>
      <c r="N25" s="11">
        <v>2638</v>
      </c>
      <c r="O25" s="11">
        <v>62</v>
      </c>
      <c r="P25" s="11">
        <v>2576</v>
      </c>
      <c r="Q25" s="26">
        <v>2.35E-2</v>
      </c>
      <c r="R25" s="11">
        <v>2246</v>
      </c>
      <c r="S25" s="11">
        <v>90</v>
      </c>
      <c r="T25" s="11">
        <v>2156</v>
      </c>
      <c r="U25" s="26">
        <v>4.0099999999999997E-2</v>
      </c>
      <c r="V25" s="12">
        <f t="shared" si="0"/>
        <v>5.3015649727448565E-2</v>
      </c>
    </row>
    <row r="26" spans="1:22" x14ac:dyDescent="0.35">
      <c r="A26" s="10">
        <v>43699</v>
      </c>
      <c r="B26" s="11">
        <v>629</v>
      </c>
      <c r="C26" s="11">
        <v>223</v>
      </c>
      <c r="D26" s="11">
        <v>406</v>
      </c>
      <c r="E26" s="26">
        <v>0.35449999999999998</v>
      </c>
      <c r="F26" s="11">
        <v>3425</v>
      </c>
      <c r="G26" s="11">
        <v>173</v>
      </c>
      <c r="H26" s="11">
        <v>3252</v>
      </c>
      <c r="I26" s="26">
        <v>5.0500000000000003E-2</v>
      </c>
      <c r="J26" s="11">
        <v>2444</v>
      </c>
      <c r="K26" s="11">
        <v>73</v>
      </c>
      <c r="L26" s="11">
        <v>2371</v>
      </c>
      <c r="M26" s="26">
        <v>2.9899999999999999E-2</v>
      </c>
      <c r="N26" s="11">
        <v>2685</v>
      </c>
      <c r="O26" s="11">
        <v>62</v>
      </c>
      <c r="P26" s="11">
        <v>2623</v>
      </c>
      <c r="Q26" s="26">
        <v>2.3099999999999999E-2</v>
      </c>
      <c r="R26" s="11">
        <v>2208</v>
      </c>
      <c r="S26" s="11">
        <v>93</v>
      </c>
      <c r="T26" s="11">
        <v>2115</v>
      </c>
      <c r="U26" s="26">
        <v>4.2099999999999999E-2</v>
      </c>
      <c r="V26" s="12">
        <f t="shared" si="0"/>
        <v>5.4780089544377138E-2</v>
      </c>
    </row>
    <row r="27" spans="1:22" x14ac:dyDescent="0.35">
      <c r="A27" s="10">
        <v>43700</v>
      </c>
      <c r="B27" s="11">
        <v>630</v>
      </c>
      <c r="C27" s="11">
        <v>220</v>
      </c>
      <c r="D27" s="11">
        <v>410</v>
      </c>
      <c r="E27" s="26">
        <v>0.34920000000000001</v>
      </c>
      <c r="F27" s="11">
        <v>3430</v>
      </c>
      <c r="G27" s="11">
        <v>155</v>
      </c>
      <c r="H27" s="11">
        <v>3275</v>
      </c>
      <c r="I27" s="26">
        <v>4.5199999999999997E-2</v>
      </c>
      <c r="J27" s="11">
        <v>2433</v>
      </c>
      <c r="K27" s="11">
        <v>73</v>
      </c>
      <c r="L27" s="11">
        <v>2360</v>
      </c>
      <c r="M27" s="26">
        <v>0.03</v>
      </c>
      <c r="N27" s="11">
        <v>2665</v>
      </c>
      <c r="O27" s="11">
        <v>63</v>
      </c>
      <c r="P27" s="11">
        <v>2602</v>
      </c>
      <c r="Q27" s="26">
        <v>2.3599999999999999E-2</v>
      </c>
      <c r="R27" s="11">
        <v>2164</v>
      </c>
      <c r="S27" s="11">
        <v>64</v>
      </c>
      <c r="T27" s="11">
        <v>2100</v>
      </c>
      <c r="U27" s="26">
        <v>2.9600000000000001E-2</v>
      </c>
      <c r="V27" s="12">
        <f t="shared" si="0"/>
        <v>5.0786080197844904E-2</v>
      </c>
    </row>
    <row r="28" spans="1:22" x14ac:dyDescent="0.35">
      <c r="A28" s="10">
        <v>43701</v>
      </c>
      <c r="B28" s="11">
        <v>627</v>
      </c>
      <c r="C28" s="11">
        <v>219</v>
      </c>
      <c r="D28" s="11">
        <v>408</v>
      </c>
      <c r="E28" s="26">
        <v>0.3493</v>
      </c>
      <c r="F28" s="11">
        <v>3413</v>
      </c>
      <c r="G28" s="11">
        <v>155</v>
      </c>
      <c r="H28" s="11">
        <v>3258</v>
      </c>
      <c r="I28" s="26">
        <v>4.5400000000000003E-2</v>
      </c>
      <c r="J28" s="11">
        <v>2457</v>
      </c>
      <c r="K28" s="11">
        <v>67</v>
      </c>
      <c r="L28" s="11">
        <v>2390</v>
      </c>
      <c r="M28" s="26">
        <v>2.7300000000000001E-2</v>
      </c>
      <c r="N28" s="11">
        <v>2677</v>
      </c>
      <c r="O28" s="11">
        <v>63</v>
      </c>
      <c r="P28" s="11">
        <v>2614</v>
      </c>
      <c r="Q28" s="26">
        <v>2.35E-2</v>
      </c>
      <c r="R28" s="11">
        <v>2158</v>
      </c>
      <c r="S28" s="11">
        <v>64</v>
      </c>
      <c r="T28" s="11">
        <v>2094</v>
      </c>
      <c r="U28" s="26">
        <v>2.9700000000000001E-2</v>
      </c>
      <c r="V28" s="12">
        <f t="shared" si="0"/>
        <v>5.0123543946346626E-2</v>
      </c>
    </row>
    <row r="29" spans="1:22" x14ac:dyDescent="0.35">
      <c r="A29" s="10">
        <v>43702</v>
      </c>
      <c r="B29" s="11">
        <v>631</v>
      </c>
      <c r="C29" s="11">
        <v>257</v>
      </c>
      <c r="D29" s="11">
        <v>374</v>
      </c>
      <c r="E29" s="26">
        <v>0.4073</v>
      </c>
      <c r="F29" s="11">
        <v>3391</v>
      </c>
      <c r="G29" s="11">
        <v>185</v>
      </c>
      <c r="H29" s="11">
        <v>3206</v>
      </c>
      <c r="I29" s="26">
        <v>5.4600000000000003E-2</v>
      </c>
      <c r="J29" s="11">
        <v>2439</v>
      </c>
      <c r="K29" s="11">
        <v>73</v>
      </c>
      <c r="L29" s="11">
        <v>2366</v>
      </c>
      <c r="M29" s="26">
        <v>2.9899999999999999E-2</v>
      </c>
      <c r="N29" s="11">
        <v>2654</v>
      </c>
      <c r="O29" s="11">
        <v>68</v>
      </c>
      <c r="P29" s="11">
        <v>2586</v>
      </c>
      <c r="Q29" s="26">
        <v>2.5600000000000001E-2</v>
      </c>
      <c r="R29" s="11">
        <v>2149</v>
      </c>
      <c r="S29" s="11">
        <v>66</v>
      </c>
      <c r="T29" s="11">
        <v>2083</v>
      </c>
      <c r="U29" s="26">
        <v>3.0700000000000002E-2</v>
      </c>
      <c r="V29" s="12">
        <f t="shared" si="0"/>
        <v>5.76171875E-2</v>
      </c>
    </row>
    <row r="30" spans="1:22" x14ac:dyDescent="0.35">
      <c r="A30" s="10">
        <v>43703</v>
      </c>
      <c r="B30" s="11">
        <v>622</v>
      </c>
      <c r="C30" s="11">
        <v>233</v>
      </c>
      <c r="D30" s="11">
        <v>389</v>
      </c>
      <c r="E30" s="26">
        <v>0.37459999999999999</v>
      </c>
      <c r="F30" s="11">
        <v>3387</v>
      </c>
      <c r="G30" s="11">
        <v>171</v>
      </c>
      <c r="H30" s="11">
        <v>3216</v>
      </c>
      <c r="I30" s="26">
        <v>5.0500000000000003E-2</v>
      </c>
      <c r="J30" s="11">
        <v>2415</v>
      </c>
      <c r="K30" s="11">
        <v>72</v>
      </c>
      <c r="L30" s="11">
        <v>2343</v>
      </c>
      <c r="M30" s="26">
        <v>2.98E-2</v>
      </c>
      <c r="N30" s="11">
        <v>2648</v>
      </c>
      <c r="O30" s="11">
        <v>63</v>
      </c>
      <c r="P30" s="11">
        <v>2585</v>
      </c>
      <c r="Q30" s="26">
        <v>2.3800000000000002E-2</v>
      </c>
      <c r="R30" s="11">
        <v>2149</v>
      </c>
      <c r="S30" s="11">
        <v>64</v>
      </c>
      <c r="T30" s="11">
        <v>2085</v>
      </c>
      <c r="U30" s="26">
        <v>2.98E-2</v>
      </c>
      <c r="V30" s="12">
        <f t="shared" si="0"/>
        <v>5.3738525978076823E-2</v>
      </c>
    </row>
    <row r="31" spans="1:22" x14ac:dyDescent="0.35">
      <c r="A31" s="10">
        <v>43704</v>
      </c>
      <c r="B31" s="11">
        <v>623</v>
      </c>
      <c r="C31" s="11">
        <v>263</v>
      </c>
      <c r="D31" s="11">
        <v>360</v>
      </c>
      <c r="E31" s="26">
        <v>0.42220000000000002</v>
      </c>
      <c r="F31" s="11">
        <v>3381</v>
      </c>
      <c r="G31" s="11">
        <v>198</v>
      </c>
      <c r="H31" s="11">
        <v>3183</v>
      </c>
      <c r="I31" s="26">
        <v>5.8599999999999999E-2</v>
      </c>
      <c r="J31" s="11">
        <v>2409</v>
      </c>
      <c r="K31" s="11">
        <v>90</v>
      </c>
      <c r="L31" s="11">
        <v>2319</v>
      </c>
      <c r="M31" s="26">
        <v>3.7400000000000003E-2</v>
      </c>
      <c r="N31" s="11">
        <v>2636</v>
      </c>
      <c r="O31" s="11">
        <v>63</v>
      </c>
      <c r="P31" s="11">
        <v>2573</v>
      </c>
      <c r="Q31" s="26">
        <v>2.3900000000000001E-2</v>
      </c>
      <c r="R31" s="11">
        <v>2139</v>
      </c>
      <c r="S31" s="11">
        <v>65</v>
      </c>
      <c r="T31" s="11">
        <v>2074</v>
      </c>
      <c r="U31" s="26">
        <v>3.04E-2</v>
      </c>
      <c r="V31" s="12">
        <f t="shared" si="0"/>
        <v>6.0690025026814441E-2</v>
      </c>
    </row>
    <row r="32" spans="1:22" x14ac:dyDescent="0.35">
      <c r="A32" s="10">
        <v>43705</v>
      </c>
      <c r="B32" s="11">
        <v>632</v>
      </c>
      <c r="C32" s="11">
        <v>213</v>
      </c>
      <c r="D32" s="11">
        <v>419</v>
      </c>
      <c r="E32" s="26">
        <v>0.33700000000000002</v>
      </c>
      <c r="F32" s="11">
        <v>3405</v>
      </c>
      <c r="G32" s="11">
        <v>159</v>
      </c>
      <c r="H32" s="11">
        <v>3246</v>
      </c>
      <c r="I32" s="26">
        <v>4.6699999999999998E-2</v>
      </c>
      <c r="J32" s="11">
        <v>2448</v>
      </c>
      <c r="K32" s="11">
        <v>69</v>
      </c>
      <c r="L32" s="11">
        <v>2379</v>
      </c>
      <c r="M32" s="26">
        <v>2.8199999999999999E-2</v>
      </c>
      <c r="N32" s="11">
        <v>2661</v>
      </c>
      <c r="O32" s="11">
        <v>62</v>
      </c>
      <c r="P32" s="11">
        <v>2599</v>
      </c>
      <c r="Q32" s="26">
        <v>2.3300000000000001E-2</v>
      </c>
      <c r="R32" s="11">
        <v>2136</v>
      </c>
      <c r="S32" s="11">
        <v>67</v>
      </c>
      <c r="T32" s="11">
        <v>2069</v>
      </c>
      <c r="U32" s="26">
        <v>3.1399999999999997E-2</v>
      </c>
      <c r="V32" s="12">
        <f t="shared" si="0"/>
        <v>5.0522956922531469E-2</v>
      </c>
    </row>
    <row r="33" spans="1:22" x14ac:dyDescent="0.35">
      <c r="A33" s="10">
        <v>43706</v>
      </c>
      <c r="B33" s="11">
        <v>639</v>
      </c>
      <c r="C33" s="11">
        <v>219</v>
      </c>
      <c r="D33" s="11">
        <v>420</v>
      </c>
      <c r="E33" s="26">
        <v>0.3427</v>
      </c>
      <c r="F33" s="11">
        <v>3394</v>
      </c>
      <c r="G33" s="11">
        <v>187</v>
      </c>
      <c r="H33" s="11">
        <v>3207</v>
      </c>
      <c r="I33" s="26">
        <v>5.5100000000000003E-2</v>
      </c>
      <c r="J33" s="11">
        <v>2443</v>
      </c>
      <c r="K33" s="11">
        <v>72</v>
      </c>
      <c r="L33" s="11">
        <v>2371</v>
      </c>
      <c r="M33" s="26">
        <v>2.9499999999999998E-2</v>
      </c>
      <c r="N33" s="11">
        <v>2649</v>
      </c>
      <c r="O33" s="11">
        <v>64</v>
      </c>
      <c r="P33" s="11">
        <v>2585</v>
      </c>
      <c r="Q33" s="26">
        <v>2.4199999999999999E-2</v>
      </c>
      <c r="R33" s="11">
        <v>2135</v>
      </c>
      <c r="S33" s="11">
        <v>74</v>
      </c>
      <c r="T33" s="11">
        <v>2061</v>
      </c>
      <c r="U33" s="26">
        <v>3.4700000000000002E-2</v>
      </c>
      <c r="V33" s="12">
        <f t="shared" si="0"/>
        <v>5.4706927175843696E-2</v>
      </c>
    </row>
    <row r="34" spans="1:22" x14ac:dyDescent="0.35">
      <c r="A34" s="10">
        <v>43707</v>
      </c>
      <c r="B34" s="11">
        <v>378</v>
      </c>
      <c r="C34" s="11">
        <v>47</v>
      </c>
      <c r="D34" s="11">
        <v>331</v>
      </c>
      <c r="E34" s="26">
        <v>0.12429999999999999</v>
      </c>
      <c r="F34" s="11">
        <v>3215</v>
      </c>
      <c r="G34" s="11">
        <v>9</v>
      </c>
      <c r="H34" s="11">
        <v>3206</v>
      </c>
      <c r="I34" s="26">
        <v>2.8E-3</v>
      </c>
      <c r="J34" s="11">
        <v>2321</v>
      </c>
      <c r="K34" s="11">
        <v>3</v>
      </c>
      <c r="L34" s="11">
        <v>2318</v>
      </c>
      <c r="M34" s="26">
        <v>1.2999999999999999E-3</v>
      </c>
      <c r="N34" s="11">
        <v>2551</v>
      </c>
      <c r="O34" s="11">
        <v>5</v>
      </c>
      <c r="P34" s="11">
        <v>2546</v>
      </c>
      <c r="Q34" s="26">
        <v>2E-3</v>
      </c>
      <c r="R34" s="11">
        <v>2057</v>
      </c>
      <c r="S34" s="11">
        <v>14</v>
      </c>
      <c r="T34" s="11">
        <v>2043</v>
      </c>
      <c r="U34" s="26">
        <v>6.7999999999999996E-3</v>
      </c>
      <c r="V34" s="12">
        <f t="shared" si="0"/>
        <v>7.4130393461319137E-3</v>
      </c>
    </row>
    <row r="35" spans="1:22" x14ac:dyDescent="0.35">
      <c r="A35" s="10">
        <v>43708</v>
      </c>
      <c r="B35" s="11">
        <v>383</v>
      </c>
      <c r="C35" s="11">
        <v>74</v>
      </c>
      <c r="D35" s="11">
        <v>309</v>
      </c>
      <c r="E35" s="26">
        <v>0.19320000000000001</v>
      </c>
      <c r="F35" s="11">
        <v>3223</v>
      </c>
      <c r="G35" s="11">
        <v>20</v>
      </c>
      <c r="H35" s="11">
        <v>3203</v>
      </c>
      <c r="I35" s="26">
        <v>6.1999999999999998E-3</v>
      </c>
      <c r="J35" s="11">
        <v>2322</v>
      </c>
      <c r="K35" s="11">
        <v>3</v>
      </c>
      <c r="L35" s="11">
        <v>2319</v>
      </c>
      <c r="M35" s="26">
        <v>1.2999999999999999E-3</v>
      </c>
      <c r="N35" s="11">
        <v>2539</v>
      </c>
      <c r="O35" s="11">
        <v>9</v>
      </c>
      <c r="P35" s="11">
        <v>2530</v>
      </c>
      <c r="Q35" s="26">
        <v>3.5000000000000001E-3</v>
      </c>
      <c r="R35" s="11">
        <v>2053</v>
      </c>
      <c r="S35" s="11">
        <v>36</v>
      </c>
      <c r="T35" s="11">
        <v>2017</v>
      </c>
      <c r="U35" s="26">
        <v>1.7500000000000002E-2</v>
      </c>
      <c r="V35" s="12">
        <f>(C35+G35+K35+O35+S35)/(B35+F35+J35+N35+R35)</f>
        <v>1.3498098859315589E-2</v>
      </c>
    </row>
    <row r="36" spans="1:22" s="25" customFormat="1" ht="18.75" customHeight="1" x14ac:dyDescent="0.35">
      <c r="A36" s="21" t="s">
        <v>14</v>
      </c>
      <c r="B36" s="22">
        <f>SUM(B5:B35)</f>
        <v>18438</v>
      </c>
      <c r="C36" s="22">
        <f>SUM(C5:C35)</f>
        <v>6665</v>
      </c>
      <c r="D36" s="22">
        <f>SUM(D5:D35)</f>
        <v>11773</v>
      </c>
      <c r="E36" s="23">
        <f>C36/B36</f>
        <v>0.36148172252955851</v>
      </c>
      <c r="F36" s="22">
        <f>SUM(F5:F35)</f>
        <v>105803</v>
      </c>
      <c r="G36" s="22">
        <f>SUM(G5:G35)</f>
        <v>4249</v>
      </c>
      <c r="H36" s="22">
        <f>SUM(H5:H35)</f>
        <v>101554</v>
      </c>
      <c r="I36" s="23">
        <f>G36/F36</f>
        <v>4.0159541789930343E-2</v>
      </c>
      <c r="J36" s="22">
        <f>SUM(J5:J35)</f>
        <v>75561</v>
      </c>
      <c r="K36" s="22">
        <f>SUM(K5:K35)</f>
        <v>2131</v>
      </c>
      <c r="L36" s="22">
        <f>SUM(L5:L35)</f>
        <v>73430</v>
      </c>
      <c r="M36" s="23">
        <f>K36/J36</f>
        <v>2.8202379534415904E-2</v>
      </c>
      <c r="N36" s="22">
        <f>SUM(N5:N35)</f>
        <v>83034</v>
      </c>
      <c r="O36" s="22">
        <f>SUM(O5:O35)</f>
        <v>1671</v>
      </c>
      <c r="P36" s="22">
        <f>SUM(P5:P35)</f>
        <v>81363</v>
      </c>
      <c r="Q36" s="23">
        <f>O36/N36</f>
        <v>2.0124286436881276E-2</v>
      </c>
      <c r="R36" s="22">
        <f>SUM(R5:R35)</f>
        <v>69287</v>
      </c>
      <c r="S36" s="22">
        <f>SUM(S5:S35)</f>
        <v>2691</v>
      </c>
      <c r="T36" s="22">
        <f>SUM(T5:T35)</f>
        <v>66596</v>
      </c>
      <c r="U36" s="23">
        <f>S36/R36</f>
        <v>3.8838454544142482E-2</v>
      </c>
      <c r="V36" s="24">
        <f>AVERAGE(V5:V35)</f>
        <v>4.9264699686552685E-2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0.82154936938536027</v>
      </c>
      <c r="F38" s="33"/>
      <c r="G38" s="34"/>
      <c r="H38" s="35"/>
      <c r="I38" s="16">
        <f>I36/I37</f>
        <v>1.0297318407674447</v>
      </c>
      <c r="J38" s="33"/>
      <c r="K38" s="34"/>
      <c r="L38" s="35"/>
      <c r="M38" s="16">
        <f>M36/M37</f>
        <v>1.0072278405148536</v>
      </c>
      <c r="N38" s="33"/>
      <c r="O38" s="34"/>
      <c r="P38" s="35"/>
      <c r="Q38" s="16">
        <f>Q36/Q37</f>
        <v>1.8294805851710252</v>
      </c>
      <c r="R38" s="33"/>
      <c r="S38" s="34"/>
      <c r="T38" s="35"/>
      <c r="U38" s="16">
        <f>U36/U37</f>
        <v>3.5307685949220442</v>
      </c>
      <c r="V38" s="16">
        <f>V36/V37</f>
        <v>1.231617492163817</v>
      </c>
    </row>
    <row r="39" spans="1:22" x14ac:dyDescent="0.35">
      <c r="A39">
        <v>2</v>
      </c>
      <c r="B39">
        <f>B36*$A$39</f>
        <v>36876</v>
      </c>
      <c r="C39">
        <f t="shared" ref="C39:T39" si="1">C36*$A$39</f>
        <v>13330</v>
      </c>
      <c r="D39">
        <f t="shared" si="1"/>
        <v>23546</v>
      </c>
      <c r="F39">
        <f t="shared" si="1"/>
        <v>211606</v>
      </c>
      <c r="G39">
        <f t="shared" si="1"/>
        <v>8498</v>
      </c>
      <c r="H39">
        <f t="shared" si="1"/>
        <v>203108</v>
      </c>
      <c r="J39">
        <f t="shared" si="1"/>
        <v>151122</v>
      </c>
      <c r="K39">
        <f t="shared" si="1"/>
        <v>4262</v>
      </c>
      <c r="L39">
        <f t="shared" si="1"/>
        <v>146860</v>
      </c>
      <c r="N39">
        <f t="shared" si="1"/>
        <v>166068</v>
      </c>
      <c r="O39">
        <f t="shared" si="1"/>
        <v>3342</v>
      </c>
      <c r="P39">
        <f t="shared" si="1"/>
        <v>162726</v>
      </c>
      <c r="R39">
        <f t="shared" si="1"/>
        <v>138574</v>
      </c>
      <c r="S39">
        <f t="shared" si="1"/>
        <v>5382</v>
      </c>
      <c r="T39">
        <f t="shared" si="1"/>
        <v>133192</v>
      </c>
    </row>
    <row r="40" spans="1:22" x14ac:dyDescent="0.35">
      <c r="E40" s="13"/>
    </row>
    <row r="41" spans="1:22" ht="39" customHeight="1" x14ac:dyDescent="0.35">
      <c r="B41" s="27">
        <f>VLOOKUP(B$2,'[8]010919'!$A$2:$F$25,3,0)</f>
        <v>383</v>
      </c>
      <c r="C41" s="27">
        <f>VLOOKUP(B$2,'[8]010919'!$A$2:$F$25,4,0)</f>
        <v>74</v>
      </c>
      <c r="D41" s="27">
        <f>VLOOKUP(B$2,'[8]010919'!$A$2:$F$25,5,0)</f>
        <v>309</v>
      </c>
      <c r="E41" s="28">
        <f>VLOOKUP(B$2,'[8]010919'!$A$2:$F$25,6,0)</f>
        <v>0.19320000000000001</v>
      </c>
      <c r="F41" s="27">
        <f>VLOOKUP(F$2,'[8]010919'!$A$2:$F$25,3,0)</f>
        <v>3223</v>
      </c>
      <c r="G41" s="27">
        <f>VLOOKUP(F$2,'[8]010919'!$A$2:$F$25,4,0)</f>
        <v>20</v>
      </c>
      <c r="H41" s="27">
        <f>VLOOKUP(F$2,'[8]010919'!$A$2:$F$25,5,0)</f>
        <v>3203</v>
      </c>
      <c r="I41" s="29">
        <f>VLOOKUP(F$2,'[8]010919'!$A$2:$F$25,6,0)</f>
        <v>6.1999999999999998E-3</v>
      </c>
      <c r="J41" s="27">
        <f>VLOOKUP(J$2,'[8]010919'!$A$2:$F$25,3,0)</f>
        <v>2322</v>
      </c>
      <c r="K41" s="27">
        <f>VLOOKUP(J$2,'[8]010919'!$A$2:$F$25,4,0)</f>
        <v>3</v>
      </c>
      <c r="L41" s="27">
        <f>VLOOKUP(J$2,'[8]010919'!$A$2:$F$25,5,0)</f>
        <v>2319</v>
      </c>
      <c r="M41" s="28">
        <f>VLOOKUP(J$2,'[8]010919'!$A$2:$F$25,6,0)</f>
        <v>1.2999999999999999E-3</v>
      </c>
      <c r="N41" s="27">
        <f>VLOOKUP(N$2,'[8]010919'!$A$2:$F$25,3,0)</f>
        <v>2539</v>
      </c>
      <c r="O41" s="27">
        <f>VLOOKUP(N$2,'[8]010919'!$A$2:$F$25,4,0)</f>
        <v>9</v>
      </c>
      <c r="P41" s="27">
        <f>VLOOKUP(N$2,'[8]010919'!$A$2:$F$25,5,0)</f>
        <v>2530</v>
      </c>
      <c r="Q41" s="28">
        <f>VLOOKUP(N$2,'[8]010919'!$A$2:$F$25,6,0)</f>
        <v>3.5000000000000001E-3</v>
      </c>
      <c r="R41" s="27">
        <f>VLOOKUP(R$2,'[8]010919'!$A$2:$F$25,3,0)</f>
        <v>2053</v>
      </c>
      <c r="S41" s="27">
        <f>VLOOKUP(R$2,'[8]010919'!$A$2:$F$25,4,0)</f>
        <v>36</v>
      </c>
      <c r="T41" s="27">
        <f>VLOOKUP(R$2,'[8]010919'!$A$2:$F$25,5,0)</f>
        <v>2017</v>
      </c>
      <c r="U41" s="28">
        <f>VLOOKUP(R$2,'[8]010919'!$A$2:$F$25,6,0)</f>
        <v>1.7500000000000002E-2</v>
      </c>
    </row>
    <row r="43" spans="1:22" x14ac:dyDescent="0.35">
      <c r="E43" s="14"/>
    </row>
    <row r="44" spans="1:22" ht="13.5" x14ac:dyDescent="0.35">
      <c r="B44">
        <f>B39+F39+J39+N39+R39</f>
        <v>704246</v>
      </c>
      <c r="C44">
        <f>C39+G39+K39+O39+S39</f>
        <v>34814</v>
      </c>
      <c r="E44" s="23">
        <f>C44/B44</f>
        <v>4.9434430582495324E-2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44"/>
  <sheetViews>
    <sheetView topLeftCell="A13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43709</v>
      </c>
      <c r="B5" s="11">
        <v>394</v>
      </c>
      <c r="C5" s="11">
        <v>130</v>
      </c>
      <c r="D5" s="11">
        <v>264</v>
      </c>
      <c r="E5" s="26">
        <v>0.32990000000000003</v>
      </c>
      <c r="F5" s="11">
        <v>3166</v>
      </c>
      <c r="G5" s="11">
        <v>52</v>
      </c>
      <c r="H5" s="11">
        <v>3114</v>
      </c>
      <c r="I5" s="26">
        <v>1.6400000000000001E-2</v>
      </c>
      <c r="J5" s="11">
        <v>2317</v>
      </c>
      <c r="K5" s="11">
        <v>29</v>
      </c>
      <c r="L5" s="11">
        <v>2288</v>
      </c>
      <c r="M5" s="26">
        <v>1.2500000000000001E-2</v>
      </c>
      <c r="N5" s="11">
        <v>2500</v>
      </c>
      <c r="O5" s="11">
        <v>21</v>
      </c>
      <c r="P5" s="11">
        <v>2479</v>
      </c>
      <c r="Q5" s="26">
        <v>8.3999999999999995E-3</v>
      </c>
      <c r="R5" s="11">
        <v>2062</v>
      </c>
      <c r="S5" s="11">
        <v>76</v>
      </c>
      <c r="T5" s="11">
        <v>1986</v>
      </c>
      <c r="U5" s="26">
        <v>3.6900000000000002E-2</v>
      </c>
      <c r="V5" s="12">
        <f t="shared" ref="V5:V34" si="0">(C5+G5+K5+O5+S5)/(B5+F5+J5+N5+R5)</f>
        <v>2.9504741833508957E-2</v>
      </c>
    </row>
    <row r="6" spans="1:22" x14ac:dyDescent="0.35">
      <c r="A6" s="10">
        <v>43710</v>
      </c>
      <c r="B6" s="11">
        <v>401</v>
      </c>
      <c r="C6" s="11">
        <v>105</v>
      </c>
      <c r="D6" s="11">
        <v>296</v>
      </c>
      <c r="E6" s="26">
        <v>0.26179999999999998</v>
      </c>
      <c r="F6" s="11">
        <v>3150</v>
      </c>
      <c r="G6" s="11">
        <v>52</v>
      </c>
      <c r="H6" s="11">
        <v>3098</v>
      </c>
      <c r="I6" s="26">
        <v>1.6500000000000001E-2</v>
      </c>
      <c r="J6" s="11">
        <v>2301</v>
      </c>
      <c r="K6" s="11">
        <v>15</v>
      </c>
      <c r="L6" s="11">
        <v>2286</v>
      </c>
      <c r="M6" s="26">
        <v>6.4999999999999997E-3</v>
      </c>
      <c r="N6" s="11">
        <v>2494</v>
      </c>
      <c r="O6" s="11">
        <v>17</v>
      </c>
      <c r="P6" s="11">
        <v>2477</v>
      </c>
      <c r="Q6" s="26">
        <v>6.7999999999999996E-3</v>
      </c>
      <c r="R6" s="11">
        <v>2065</v>
      </c>
      <c r="S6" s="11">
        <v>102</v>
      </c>
      <c r="T6" s="11">
        <v>1963</v>
      </c>
      <c r="U6" s="26">
        <v>4.9399999999999999E-2</v>
      </c>
      <c r="V6" s="12">
        <f>(C6+G6+K6+O6+S6)/(B6+F6+J6+N6+R6)</f>
        <v>2.7951205455767937E-2</v>
      </c>
    </row>
    <row r="7" spans="1:22" x14ac:dyDescent="0.35">
      <c r="A7" s="10">
        <v>43711</v>
      </c>
      <c r="B7" s="11">
        <v>397</v>
      </c>
      <c r="C7" s="11">
        <v>84</v>
      </c>
      <c r="D7" s="11">
        <v>313</v>
      </c>
      <c r="E7" s="26">
        <v>0.21160000000000001</v>
      </c>
      <c r="F7" s="11">
        <v>3119</v>
      </c>
      <c r="G7" s="11">
        <v>58</v>
      </c>
      <c r="H7" s="11">
        <v>3061</v>
      </c>
      <c r="I7" s="26">
        <v>1.8599999999999998E-2</v>
      </c>
      <c r="J7" s="11">
        <v>2287</v>
      </c>
      <c r="K7" s="11">
        <v>15</v>
      </c>
      <c r="L7" s="11">
        <v>2272</v>
      </c>
      <c r="M7" s="26">
        <v>6.6E-3</v>
      </c>
      <c r="N7" s="11">
        <v>2479</v>
      </c>
      <c r="O7" s="11">
        <v>18</v>
      </c>
      <c r="P7" s="11">
        <v>2461</v>
      </c>
      <c r="Q7" s="26">
        <v>7.3000000000000001E-3</v>
      </c>
      <c r="R7" s="11">
        <v>2110</v>
      </c>
      <c r="S7" s="11">
        <v>4</v>
      </c>
      <c r="T7" s="11">
        <v>2106</v>
      </c>
      <c r="U7" s="26">
        <v>1.9E-3</v>
      </c>
      <c r="V7" s="12">
        <f>(C7+G7+K7+O7+S7)/(B7+F7+J7+N7+R7)</f>
        <v>1.7224788298691302E-2</v>
      </c>
    </row>
    <row r="8" spans="1:22" x14ac:dyDescent="0.35">
      <c r="A8" s="10">
        <v>43712</v>
      </c>
      <c r="B8" s="11">
        <v>415</v>
      </c>
      <c r="C8" s="11">
        <v>87</v>
      </c>
      <c r="D8" s="11">
        <v>328</v>
      </c>
      <c r="E8" s="26">
        <v>0.20960000000000001</v>
      </c>
      <c r="F8" s="11">
        <v>3103</v>
      </c>
      <c r="G8" s="11">
        <v>60</v>
      </c>
      <c r="H8" s="11">
        <v>3043</v>
      </c>
      <c r="I8" s="26">
        <v>1.9300000000000001E-2</v>
      </c>
      <c r="J8" s="11">
        <v>2271</v>
      </c>
      <c r="K8" s="11">
        <v>15</v>
      </c>
      <c r="L8" s="11">
        <v>2256</v>
      </c>
      <c r="M8" s="26">
        <v>6.6E-3</v>
      </c>
      <c r="N8" s="11">
        <v>2468</v>
      </c>
      <c r="O8" s="11">
        <v>19</v>
      </c>
      <c r="P8" s="11">
        <v>2449</v>
      </c>
      <c r="Q8" s="26">
        <v>7.7000000000000002E-3</v>
      </c>
      <c r="R8" s="11">
        <v>2096</v>
      </c>
      <c r="S8" s="11">
        <v>4</v>
      </c>
      <c r="T8" s="11">
        <v>2092</v>
      </c>
      <c r="U8" s="26">
        <v>1.9E-3</v>
      </c>
      <c r="V8" s="12">
        <f t="shared" si="0"/>
        <v>1.7869216652178114E-2</v>
      </c>
    </row>
    <row r="9" spans="1:22" x14ac:dyDescent="0.35">
      <c r="A9" s="10">
        <v>43713</v>
      </c>
      <c r="B9" s="11">
        <v>424</v>
      </c>
      <c r="C9" s="11">
        <v>94</v>
      </c>
      <c r="D9" s="11">
        <v>330</v>
      </c>
      <c r="E9" s="26">
        <v>0.22170000000000001</v>
      </c>
      <c r="F9" s="11">
        <v>3106</v>
      </c>
      <c r="G9" s="11">
        <v>127</v>
      </c>
      <c r="H9" s="11">
        <v>2979</v>
      </c>
      <c r="I9" s="26">
        <v>4.0899999999999999E-2</v>
      </c>
      <c r="J9" s="11">
        <v>2328</v>
      </c>
      <c r="K9" s="11">
        <v>11</v>
      </c>
      <c r="L9" s="11">
        <v>2317</v>
      </c>
      <c r="M9" s="26">
        <v>4.7000000000000002E-3</v>
      </c>
      <c r="N9" s="11">
        <v>2445</v>
      </c>
      <c r="O9" s="11">
        <v>15</v>
      </c>
      <c r="P9" s="11">
        <v>2430</v>
      </c>
      <c r="Q9" s="26">
        <v>6.1000000000000004E-3</v>
      </c>
      <c r="R9" s="11">
        <v>2093</v>
      </c>
      <c r="S9" s="11">
        <v>7</v>
      </c>
      <c r="T9" s="11">
        <v>2086</v>
      </c>
      <c r="U9" s="26">
        <v>3.3E-3</v>
      </c>
      <c r="V9" s="12">
        <f t="shared" si="0"/>
        <v>2.4432474028472491E-2</v>
      </c>
    </row>
    <row r="10" spans="1:22" x14ac:dyDescent="0.35">
      <c r="A10" s="10">
        <v>43714</v>
      </c>
      <c r="B10" s="11">
        <v>438</v>
      </c>
      <c r="C10" s="11">
        <v>106</v>
      </c>
      <c r="D10" s="11">
        <v>332</v>
      </c>
      <c r="E10" s="26">
        <v>0.24199999999999999</v>
      </c>
      <c r="F10" s="11">
        <v>3200</v>
      </c>
      <c r="G10" s="11">
        <v>145</v>
      </c>
      <c r="H10" s="11">
        <v>3055</v>
      </c>
      <c r="I10" s="26">
        <v>4.53E-2</v>
      </c>
      <c r="J10" s="11">
        <v>2320</v>
      </c>
      <c r="K10" s="11">
        <v>17</v>
      </c>
      <c r="L10" s="11">
        <v>2303</v>
      </c>
      <c r="M10" s="26">
        <v>7.3000000000000001E-3</v>
      </c>
      <c r="N10" s="11">
        <v>2429</v>
      </c>
      <c r="O10" s="11">
        <v>19</v>
      </c>
      <c r="P10" s="11">
        <v>2410</v>
      </c>
      <c r="Q10" s="26">
        <v>7.7999999999999996E-3</v>
      </c>
      <c r="R10" s="11">
        <v>2103</v>
      </c>
      <c r="S10" s="11">
        <v>4</v>
      </c>
      <c r="T10" s="11">
        <v>2099</v>
      </c>
      <c r="U10" s="26">
        <v>1.9E-3</v>
      </c>
      <c r="V10" s="12">
        <f t="shared" si="0"/>
        <v>2.7740705433746425E-2</v>
      </c>
    </row>
    <row r="11" spans="1:22" x14ac:dyDescent="0.35">
      <c r="A11" s="10">
        <v>43715</v>
      </c>
      <c r="B11" s="11">
        <v>439</v>
      </c>
      <c r="C11" s="11">
        <v>108</v>
      </c>
      <c r="D11" s="11">
        <v>331</v>
      </c>
      <c r="E11" s="26">
        <v>0.246</v>
      </c>
      <c r="F11" s="11">
        <v>3267</v>
      </c>
      <c r="G11" s="11">
        <v>62</v>
      </c>
      <c r="H11" s="11">
        <v>3205</v>
      </c>
      <c r="I11" s="26">
        <v>1.9E-2</v>
      </c>
      <c r="J11" s="11">
        <v>2350</v>
      </c>
      <c r="K11" s="11">
        <v>12</v>
      </c>
      <c r="L11" s="11">
        <v>2338</v>
      </c>
      <c r="M11" s="26">
        <v>5.1000000000000004E-3</v>
      </c>
      <c r="N11" s="11">
        <v>2495</v>
      </c>
      <c r="O11" s="11">
        <v>24</v>
      </c>
      <c r="P11" s="11">
        <v>2471</v>
      </c>
      <c r="Q11" s="26">
        <v>9.5999999999999992E-3</v>
      </c>
      <c r="R11" s="11">
        <v>2097</v>
      </c>
      <c r="S11" s="11">
        <v>6</v>
      </c>
      <c r="T11" s="11">
        <v>2091</v>
      </c>
      <c r="U11" s="26">
        <v>2.8999999999999998E-3</v>
      </c>
      <c r="V11" s="12">
        <f t="shared" si="0"/>
        <v>1.9909842223891812E-2</v>
      </c>
    </row>
    <row r="12" spans="1:22" x14ac:dyDescent="0.35">
      <c r="A12" s="10">
        <v>43716</v>
      </c>
      <c r="B12" s="11">
        <v>449</v>
      </c>
      <c r="C12" s="11">
        <v>169</v>
      </c>
      <c r="D12" s="11">
        <v>280</v>
      </c>
      <c r="E12" s="26">
        <v>0.37640000000000001</v>
      </c>
      <c r="F12" s="11">
        <v>3244</v>
      </c>
      <c r="G12" s="11">
        <v>103</v>
      </c>
      <c r="H12" s="11">
        <v>3141</v>
      </c>
      <c r="I12" s="26">
        <v>3.1800000000000002E-2</v>
      </c>
      <c r="J12" s="11">
        <v>2332</v>
      </c>
      <c r="K12" s="11">
        <v>23</v>
      </c>
      <c r="L12" s="11">
        <v>2309</v>
      </c>
      <c r="M12" s="26">
        <v>9.9000000000000008E-3</v>
      </c>
      <c r="N12" s="11">
        <v>2474</v>
      </c>
      <c r="O12" s="11">
        <v>38</v>
      </c>
      <c r="P12" s="11">
        <v>2436</v>
      </c>
      <c r="Q12" s="26">
        <v>1.54E-2</v>
      </c>
      <c r="R12" s="11">
        <v>2085</v>
      </c>
      <c r="S12" s="11">
        <v>9</v>
      </c>
      <c r="T12" s="11">
        <v>2076</v>
      </c>
      <c r="U12" s="26">
        <v>4.3E-3</v>
      </c>
      <c r="V12" s="12">
        <f t="shared" si="0"/>
        <v>3.2312925170068028E-2</v>
      </c>
    </row>
    <row r="13" spans="1:22" x14ac:dyDescent="0.35">
      <c r="A13" s="10">
        <v>43717</v>
      </c>
      <c r="B13" s="11">
        <v>453</v>
      </c>
      <c r="C13" s="11">
        <v>121</v>
      </c>
      <c r="D13" s="11">
        <v>332</v>
      </c>
      <c r="E13" s="26">
        <v>0.2671</v>
      </c>
      <c r="F13" s="11">
        <v>3242</v>
      </c>
      <c r="G13" s="11">
        <v>48</v>
      </c>
      <c r="H13" s="11">
        <v>3194</v>
      </c>
      <c r="I13" s="26">
        <v>1.4800000000000001E-2</v>
      </c>
      <c r="J13" s="11">
        <v>2334</v>
      </c>
      <c r="K13" s="11">
        <v>17</v>
      </c>
      <c r="L13" s="11">
        <v>2317</v>
      </c>
      <c r="M13" s="26">
        <v>7.3000000000000001E-3</v>
      </c>
      <c r="N13" s="11">
        <v>2533</v>
      </c>
      <c r="O13" s="11">
        <v>19</v>
      </c>
      <c r="P13" s="11">
        <v>2514</v>
      </c>
      <c r="Q13" s="26">
        <v>7.4999999999999997E-3</v>
      </c>
      <c r="R13" s="11">
        <v>2130</v>
      </c>
      <c r="S13" s="11">
        <v>8</v>
      </c>
      <c r="T13" s="11">
        <v>2122</v>
      </c>
      <c r="U13" s="26">
        <v>3.8E-3</v>
      </c>
      <c r="V13" s="12">
        <f t="shared" si="0"/>
        <v>1.9921436588103254E-2</v>
      </c>
    </row>
    <row r="14" spans="1:22" x14ac:dyDescent="0.35">
      <c r="A14" s="10">
        <v>43718</v>
      </c>
      <c r="B14" s="11">
        <v>452</v>
      </c>
      <c r="C14" s="11">
        <v>121</v>
      </c>
      <c r="D14" s="11">
        <v>331</v>
      </c>
      <c r="E14" s="26">
        <v>0.26769999999999999</v>
      </c>
      <c r="F14" s="11">
        <v>3239</v>
      </c>
      <c r="G14" s="11">
        <v>56</v>
      </c>
      <c r="H14" s="11">
        <v>3183</v>
      </c>
      <c r="I14" s="26">
        <v>1.7299999999999999E-2</v>
      </c>
      <c r="J14" s="11">
        <v>2323</v>
      </c>
      <c r="K14" s="11">
        <v>17</v>
      </c>
      <c r="L14" s="11">
        <v>2306</v>
      </c>
      <c r="M14" s="26">
        <v>7.3000000000000001E-3</v>
      </c>
      <c r="N14" s="11">
        <v>2511</v>
      </c>
      <c r="O14" s="11">
        <v>24</v>
      </c>
      <c r="P14" s="11">
        <v>2487</v>
      </c>
      <c r="Q14" s="26">
        <v>9.5999999999999992E-3</v>
      </c>
      <c r="R14" s="11">
        <v>2128</v>
      </c>
      <c r="S14" s="11">
        <v>9</v>
      </c>
      <c r="T14" s="11">
        <v>2119</v>
      </c>
      <c r="U14" s="26">
        <v>4.1999999999999997E-3</v>
      </c>
      <c r="V14" s="12">
        <f t="shared" si="0"/>
        <v>2.1308551581714071E-2</v>
      </c>
    </row>
    <row r="15" spans="1:22" x14ac:dyDescent="0.35">
      <c r="A15" s="10">
        <v>43719</v>
      </c>
      <c r="B15" s="11">
        <v>456</v>
      </c>
      <c r="C15" s="11">
        <v>117</v>
      </c>
      <c r="D15" s="11">
        <v>339</v>
      </c>
      <c r="E15" s="26">
        <v>0.25659999999999999</v>
      </c>
      <c r="F15" s="11">
        <v>3243</v>
      </c>
      <c r="G15" s="11">
        <v>46</v>
      </c>
      <c r="H15" s="11">
        <v>3197</v>
      </c>
      <c r="I15" s="26">
        <v>1.4200000000000001E-2</v>
      </c>
      <c r="J15" s="11">
        <v>2358</v>
      </c>
      <c r="K15" s="11">
        <v>22</v>
      </c>
      <c r="L15" s="11">
        <v>2336</v>
      </c>
      <c r="M15" s="26">
        <v>9.2999999999999992E-3</v>
      </c>
      <c r="N15" s="11">
        <v>2541</v>
      </c>
      <c r="O15" s="11">
        <v>24</v>
      </c>
      <c r="P15" s="11">
        <v>2517</v>
      </c>
      <c r="Q15" s="26">
        <v>9.4000000000000004E-3</v>
      </c>
      <c r="R15" s="11">
        <v>2068</v>
      </c>
      <c r="S15" s="11">
        <v>10</v>
      </c>
      <c r="T15" s="11">
        <v>2058</v>
      </c>
      <c r="U15" s="26">
        <v>4.7999999999999996E-3</v>
      </c>
      <c r="V15" s="12">
        <f t="shared" si="0"/>
        <v>2.0532533283330209E-2</v>
      </c>
    </row>
    <row r="16" spans="1:22" x14ac:dyDescent="0.35">
      <c r="A16" s="10">
        <v>43720</v>
      </c>
      <c r="B16" s="11">
        <v>463</v>
      </c>
      <c r="C16" s="11">
        <v>116</v>
      </c>
      <c r="D16" s="11">
        <v>347</v>
      </c>
      <c r="E16" s="26">
        <v>0.2505</v>
      </c>
      <c r="F16" s="11">
        <v>3241</v>
      </c>
      <c r="G16" s="11">
        <v>79</v>
      </c>
      <c r="H16" s="11">
        <v>3162</v>
      </c>
      <c r="I16" s="26">
        <v>2.4400000000000002E-2</v>
      </c>
      <c r="J16" s="11">
        <v>2350</v>
      </c>
      <c r="K16" s="11">
        <v>24</v>
      </c>
      <c r="L16" s="11">
        <v>2326</v>
      </c>
      <c r="M16" s="26">
        <v>1.0200000000000001E-2</v>
      </c>
      <c r="N16" s="11">
        <v>2552</v>
      </c>
      <c r="O16" s="11">
        <v>23</v>
      </c>
      <c r="P16" s="11">
        <v>2529</v>
      </c>
      <c r="Q16" s="26">
        <v>8.9999999999999993E-3</v>
      </c>
      <c r="R16" s="11">
        <v>2096</v>
      </c>
      <c r="S16" s="11">
        <v>11</v>
      </c>
      <c r="T16" s="11">
        <v>2085</v>
      </c>
      <c r="U16" s="26">
        <v>5.1999999999999998E-3</v>
      </c>
      <c r="V16" s="12">
        <f t="shared" si="0"/>
        <v>2.3640441039058119E-2</v>
      </c>
    </row>
    <row r="17" spans="1:22" x14ac:dyDescent="0.35">
      <c r="A17" s="10">
        <v>43721</v>
      </c>
      <c r="B17" s="11">
        <v>473</v>
      </c>
      <c r="C17" s="11">
        <v>117</v>
      </c>
      <c r="D17" s="11">
        <v>356</v>
      </c>
      <c r="E17" s="26">
        <v>0.24740000000000001</v>
      </c>
      <c r="F17" s="11">
        <v>3263</v>
      </c>
      <c r="G17" s="11">
        <v>60</v>
      </c>
      <c r="H17" s="11">
        <v>3203</v>
      </c>
      <c r="I17" s="26">
        <v>1.84E-2</v>
      </c>
      <c r="J17" s="11">
        <v>2353</v>
      </c>
      <c r="K17" s="11">
        <v>31</v>
      </c>
      <c r="L17" s="11">
        <v>2322</v>
      </c>
      <c r="M17" s="26">
        <v>1.32E-2</v>
      </c>
      <c r="N17" s="11">
        <v>2545</v>
      </c>
      <c r="O17" s="11">
        <v>30</v>
      </c>
      <c r="P17" s="11">
        <v>2515</v>
      </c>
      <c r="Q17" s="26">
        <v>1.18E-2</v>
      </c>
      <c r="R17" s="11">
        <v>2055</v>
      </c>
      <c r="S17" s="11">
        <v>12</v>
      </c>
      <c r="T17" s="11">
        <v>2043</v>
      </c>
      <c r="U17" s="26">
        <v>5.7999999999999996E-3</v>
      </c>
      <c r="V17" s="12">
        <f t="shared" si="0"/>
        <v>2.3388530264758161E-2</v>
      </c>
    </row>
    <row r="18" spans="1:22" x14ac:dyDescent="0.35">
      <c r="A18" s="10">
        <v>43722</v>
      </c>
      <c r="B18" s="11">
        <v>477</v>
      </c>
      <c r="C18" s="11">
        <v>116</v>
      </c>
      <c r="D18" s="11">
        <v>361</v>
      </c>
      <c r="E18" s="26">
        <v>0.2432</v>
      </c>
      <c r="F18" s="11">
        <v>3308</v>
      </c>
      <c r="G18" s="11">
        <v>44</v>
      </c>
      <c r="H18" s="11">
        <v>3264</v>
      </c>
      <c r="I18" s="26">
        <v>1.3299999999999999E-2</v>
      </c>
      <c r="J18" s="11">
        <v>2373</v>
      </c>
      <c r="K18" s="11">
        <v>24</v>
      </c>
      <c r="L18" s="11">
        <v>2349</v>
      </c>
      <c r="M18" s="26">
        <v>1.01E-2</v>
      </c>
      <c r="N18" s="11">
        <v>2588</v>
      </c>
      <c r="O18" s="11">
        <v>22</v>
      </c>
      <c r="P18" s="11">
        <v>2566</v>
      </c>
      <c r="Q18" s="26">
        <v>8.5000000000000006E-3</v>
      </c>
      <c r="R18" s="11">
        <v>2059</v>
      </c>
      <c r="S18" s="11">
        <v>12</v>
      </c>
      <c r="T18" s="11">
        <v>2047</v>
      </c>
      <c r="U18" s="26">
        <v>5.7999999999999996E-3</v>
      </c>
      <c r="V18" s="12">
        <f t="shared" si="0"/>
        <v>2.017584451642758E-2</v>
      </c>
    </row>
    <row r="19" spans="1:22" x14ac:dyDescent="0.35">
      <c r="A19" s="10">
        <v>43723</v>
      </c>
      <c r="B19" s="11">
        <v>478</v>
      </c>
      <c r="C19" s="11">
        <v>165</v>
      </c>
      <c r="D19" s="11">
        <v>313</v>
      </c>
      <c r="E19" s="26">
        <v>0.34520000000000001</v>
      </c>
      <c r="F19" s="11">
        <v>3267</v>
      </c>
      <c r="G19" s="11">
        <v>59</v>
      </c>
      <c r="H19" s="11">
        <v>3208</v>
      </c>
      <c r="I19" s="26">
        <v>1.8100000000000002E-2</v>
      </c>
      <c r="J19" s="11">
        <v>2360</v>
      </c>
      <c r="K19" s="11">
        <v>28</v>
      </c>
      <c r="L19" s="11">
        <v>2332</v>
      </c>
      <c r="M19" s="26">
        <v>1.1900000000000001E-2</v>
      </c>
      <c r="N19" s="11">
        <v>2566</v>
      </c>
      <c r="O19" s="11">
        <v>25</v>
      </c>
      <c r="P19" s="11">
        <v>2541</v>
      </c>
      <c r="Q19" s="26">
        <v>9.7000000000000003E-3</v>
      </c>
      <c r="R19" s="11">
        <v>2037</v>
      </c>
      <c r="S19" s="11">
        <v>13</v>
      </c>
      <c r="T19" s="11">
        <v>2024</v>
      </c>
      <c r="U19" s="26">
        <v>6.4000000000000003E-3</v>
      </c>
      <c r="V19" s="12">
        <f t="shared" si="0"/>
        <v>2.7082555098991407E-2</v>
      </c>
    </row>
    <row r="20" spans="1:22" x14ac:dyDescent="0.35">
      <c r="A20" s="10">
        <v>43724</v>
      </c>
      <c r="B20" s="11">
        <v>477</v>
      </c>
      <c r="C20" s="11">
        <v>135</v>
      </c>
      <c r="D20" s="11">
        <v>342</v>
      </c>
      <c r="E20" s="26">
        <v>0.28299999999999997</v>
      </c>
      <c r="F20" s="11">
        <v>3273</v>
      </c>
      <c r="G20" s="11">
        <v>54</v>
      </c>
      <c r="H20" s="11">
        <v>3219</v>
      </c>
      <c r="I20" s="26">
        <v>1.6500000000000001E-2</v>
      </c>
      <c r="J20" s="11">
        <v>2360</v>
      </c>
      <c r="K20" s="11">
        <v>27</v>
      </c>
      <c r="L20" s="11">
        <v>2333</v>
      </c>
      <c r="M20" s="26">
        <v>1.14E-2</v>
      </c>
      <c r="N20" s="11">
        <v>2574</v>
      </c>
      <c r="O20" s="11">
        <v>26</v>
      </c>
      <c r="P20" s="11">
        <v>2548</v>
      </c>
      <c r="Q20" s="26">
        <v>1.01E-2</v>
      </c>
      <c r="R20" s="11">
        <v>2035</v>
      </c>
      <c r="S20" s="11">
        <v>14</v>
      </c>
      <c r="T20" s="11">
        <v>2021</v>
      </c>
      <c r="U20" s="26">
        <v>6.8999999999999999E-3</v>
      </c>
      <c r="V20" s="12">
        <f t="shared" si="0"/>
        <v>2.3882824890381564E-2</v>
      </c>
    </row>
    <row r="21" spans="1:22" x14ac:dyDescent="0.35">
      <c r="A21" s="10">
        <v>43725</v>
      </c>
      <c r="B21" s="11">
        <v>481</v>
      </c>
      <c r="C21" s="11">
        <v>125</v>
      </c>
      <c r="D21" s="11">
        <v>356</v>
      </c>
      <c r="E21" s="26">
        <v>0.25990000000000002</v>
      </c>
      <c r="F21" s="11">
        <v>3251</v>
      </c>
      <c r="G21" s="11">
        <v>59</v>
      </c>
      <c r="H21" s="11">
        <v>3192</v>
      </c>
      <c r="I21" s="26">
        <v>1.8100000000000002E-2</v>
      </c>
      <c r="J21" s="11">
        <v>2361</v>
      </c>
      <c r="K21" s="11">
        <v>28</v>
      </c>
      <c r="L21" s="11">
        <v>2333</v>
      </c>
      <c r="M21" s="26">
        <v>1.1900000000000001E-2</v>
      </c>
      <c r="N21" s="11">
        <v>2559</v>
      </c>
      <c r="O21" s="11">
        <v>26</v>
      </c>
      <c r="P21" s="11">
        <v>2533</v>
      </c>
      <c r="Q21" s="26">
        <v>1.0200000000000001E-2</v>
      </c>
      <c r="R21" s="11">
        <v>2042</v>
      </c>
      <c r="S21" s="11">
        <v>12</v>
      </c>
      <c r="T21" s="11">
        <v>2030</v>
      </c>
      <c r="U21" s="26">
        <v>5.8999999999999999E-3</v>
      </c>
      <c r="V21" s="12">
        <f t="shared" si="0"/>
        <v>2.3377594913035347E-2</v>
      </c>
    </row>
    <row r="22" spans="1:22" x14ac:dyDescent="0.35">
      <c r="A22" s="10">
        <v>43726</v>
      </c>
      <c r="B22" s="11">
        <v>484</v>
      </c>
      <c r="C22" s="11">
        <v>128</v>
      </c>
      <c r="D22" s="11">
        <v>356</v>
      </c>
      <c r="E22" s="26">
        <v>0.26450000000000001</v>
      </c>
      <c r="F22" s="11">
        <v>3245</v>
      </c>
      <c r="G22" s="11">
        <v>56</v>
      </c>
      <c r="H22" s="11">
        <v>3189</v>
      </c>
      <c r="I22" s="26">
        <v>1.7299999999999999E-2</v>
      </c>
      <c r="J22" s="11">
        <v>2354</v>
      </c>
      <c r="K22" s="11">
        <v>28</v>
      </c>
      <c r="L22" s="11">
        <v>2326</v>
      </c>
      <c r="M22" s="26">
        <v>1.1900000000000001E-2</v>
      </c>
      <c r="N22" s="11">
        <v>2557</v>
      </c>
      <c r="O22" s="11">
        <v>27</v>
      </c>
      <c r="P22" s="11">
        <v>2530</v>
      </c>
      <c r="Q22" s="26">
        <v>1.06E-2</v>
      </c>
      <c r="R22" s="11">
        <v>2041</v>
      </c>
      <c r="S22" s="11">
        <v>14</v>
      </c>
      <c r="T22" s="11">
        <v>2027</v>
      </c>
      <c r="U22" s="26">
        <v>6.8999999999999999E-3</v>
      </c>
      <c r="V22" s="12">
        <f t="shared" si="0"/>
        <v>2.368692070030896E-2</v>
      </c>
    </row>
    <row r="23" spans="1:22" x14ac:dyDescent="0.35">
      <c r="A23" s="10">
        <v>43727</v>
      </c>
      <c r="B23" s="11">
        <v>478</v>
      </c>
      <c r="C23" s="11">
        <v>113</v>
      </c>
      <c r="D23" s="11">
        <v>365</v>
      </c>
      <c r="E23" s="26">
        <v>0.2364</v>
      </c>
      <c r="F23" s="11">
        <v>3247</v>
      </c>
      <c r="G23" s="11">
        <v>55</v>
      </c>
      <c r="H23" s="11">
        <v>3192</v>
      </c>
      <c r="I23" s="26">
        <v>1.6899999999999998E-2</v>
      </c>
      <c r="J23" s="11">
        <v>2375</v>
      </c>
      <c r="K23" s="11">
        <v>27</v>
      </c>
      <c r="L23" s="11">
        <v>2348</v>
      </c>
      <c r="M23" s="26">
        <v>1.14E-2</v>
      </c>
      <c r="N23" s="11">
        <v>2564</v>
      </c>
      <c r="O23" s="11">
        <v>27</v>
      </c>
      <c r="P23" s="11">
        <v>2537</v>
      </c>
      <c r="Q23" s="26">
        <v>1.0500000000000001E-2</v>
      </c>
      <c r="R23" s="11">
        <v>2047</v>
      </c>
      <c r="S23" s="11">
        <v>12</v>
      </c>
      <c r="T23" s="11">
        <v>2035</v>
      </c>
      <c r="U23" s="26">
        <v>5.8999999999999999E-3</v>
      </c>
      <c r="V23" s="12">
        <f t="shared" si="0"/>
        <v>2.1846699654560733E-2</v>
      </c>
    </row>
    <row r="24" spans="1:22" x14ac:dyDescent="0.35">
      <c r="A24" s="10">
        <v>43728</v>
      </c>
      <c r="B24" s="11">
        <v>483</v>
      </c>
      <c r="C24" s="11">
        <v>139</v>
      </c>
      <c r="D24" s="11">
        <v>344</v>
      </c>
      <c r="E24" s="26">
        <v>0.2878</v>
      </c>
      <c r="F24" s="11">
        <v>3242</v>
      </c>
      <c r="G24" s="11">
        <v>58</v>
      </c>
      <c r="H24" s="11">
        <v>3184</v>
      </c>
      <c r="I24" s="26">
        <v>1.7899999999999999E-2</v>
      </c>
      <c r="J24" s="11">
        <v>2316</v>
      </c>
      <c r="K24" s="11">
        <v>32</v>
      </c>
      <c r="L24" s="11">
        <v>2284</v>
      </c>
      <c r="M24" s="26">
        <v>1.38E-2</v>
      </c>
      <c r="N24" s="11">
        <v>2548</v>
      </c>
      <c r="O24" s="11">
        <v>32</v>
      </c>
      <c r="P24" s="11">
        <v>2516</v>
      </c>
      <c r="Q24" s="26">
        <v>1.26E-2</v>
      </c>
      <c r="R24" s="11">
        <v>2059</v>
      </c>
      <c r="S24" s="11">
        <v>17</v>
      </c>
      <c r="T24" s="11">
        <v>2042</v>
      </c>
      <c r="U24" s="26">
        <v>8.3000000000000001E-3</v>
      </c>
      <c r="V24" s="12">
        <f t="shared" si="0"/>
        <v>2.6108189331329829E-2</v>
      </c>
    </row>
    <row r="25" spans="1:22" x14ac:dyDescent="0.35">
      <c r="A25" s="10">
        <v>43729</v>
      </c>
      <c r="B25" s="11">
        <v>486</v>
      </c>
      <c r="C25" s="11">
        <v>114</v>
      </c>
      <c r="D25" s="11">
        <v>372</v>
      </c>
      <c r="E25" s="26">
        <v>0.2346</v>
      </c>
      <c r="F25" s="11">
        <v>3242</v>
      </c>
      <c r="G25" s="11">
        <v>58</v>
      </c>
      <c r="H25" s="11">
        <v>3184</v>
      </c>
      <c r="I25" s="26">
        <v>1.7899999999999999E-2</v>
      </c>
      <c r="J25" s="11">
        <v>2315</v>
      </c>
      <c r="K25" s="11">
        <v>32</v>
      </c>
      <c r="L25" s="11">
        <v>2283</v>
      </c>
      <c r="M25" s="26">
        <v>1.38E-2</v>
      </c>
      <c r="N25" s="11">
        <v>2534</v>
      </c>
      <c r="O25" s="11">
        <v>32</v>
      </c>
      <c r="P25" s="11">
        <v>2502</v>
      </c>
      <c r="Q25" s="26">
        <v>1.26E-2</v>
      </c>
      <c r="R25" s="11">
        <v>1990</v>
      </c>
      <c r="S25" s="11">
        <v>17</v>
      </c>
      <c r="T25" s="11">
        <v>1973</v>
      </c>
      <c r="U25" s="26">
        <v>8.5000000000000006E-3</v>
      </c>
      <c r="V25" s="12">
        <f t="shared" si="0"/>
        <v>2.394246238289013E-2</v>
      </c>
    </row>
    <row r="26" spans="1:22" x14ac:dyDescent="0.35">
      <c r="A26" s="10">
        <v>43730</v>
      </c>
      <c r="B26" s="11">
        <v>488</v>
      </c>
      <c r="C26" s="11">
        <v>148</v>
      </c>
      <c r="D26" s="11">
        <v>340</v>
      </c>
      <c r="E26" s="26">
        <v>0.30330000000000001</v>
      </c>
      <c r="F26" s="11">
        <v>3262</v>
      </c>
      <c r="G26" s="11">
        <v>104</v>
      </c>
      <c r="H26" s="11">
        <v>3158</v>
      </c>
      <c r="I26" s="26">
        <v>3.1899999999999998E-2</v>
      </c>
      <c r="J26" s="11">
        <v>2303</v>
      </c>
      <c r="K26" s="11">
        <v>36</v>
      </c>
      <c r="L26" s="11">
        <v>2267</v>
      </c>
      <c r="M26" s="26">
        <v>1.5599999999999999E-2</v>
      </c>
      <c r="N26" s="11">
        <v>2527</v>
      </c>
      <c r="O26" s="11">
        <v>33</v>
      </c>
      <c r="P26" s="11">
        <v>2494</v>
      </c>
      <c r="Q26" s="26">
        <v>1.3100000000000001E-2</v>
      </c>
      <c r="R26" s="11">
        <v>1988</v>
      </c>
      <c r="S26" s="11">
        <v>21</v>
      </c>
      <c r="T26" s="11">
        <v>1967</v>
      </c>
      <c r="U26" s="26">
        <v>1.06E-2</v>
      </c>
      <c r="V26" s="12">
        <f t="shared" si="0"/>
        <v>3.2361847085541254E-2</v>
      </c>
    </row>
    <row r="27" spans="1:22" x14ac:dyDescent="0.35">
      <c r="A27" s="10">
        <v>43731</v>
      </c>
      <c r="B27" s="11">
        <v>486</v>
      </c>
      <c r="C27" s="11">
        <v>158</v>
      </c>
      <c r="D27" s="11">
        <v>328</v>
      </c>
      <c r="E27" s="26">
        <v>0.3251</v>
      </c>
      <c r="F27" s="11">
        <v>3242</v>
      </c>
      <c r="G27" s="11">
        <v>68</v>
      </c>
      <c r="H27" s="11">
        <v>3174</v>
      </c>
      <c r="I27" s="26">
        <v>2.1000000000000001E-2</v>
      </c>
      <c r="J27" s="11">
        <v>2330</v>
      </c>
      <c r="K27" s="11">
        <v>36</v>
      </c>
      <c r="L27" s="11">
        <v>2294</v>
      </c>
      <c r="M27" s="26">
        <v>1.55E-2</v>
      </c>
      <c r="N27" s="11">
        <v>2553</v>
      </c>
      <c r="O27" s="11">
        <v>32</v>
      </c>
      <c r="P27" s="11">
        <v>2521</v>
      </c>
      <c r="Q27" s="26">
        <v>1.2500000000000001E-2</v>
      </c>
      <c r="R27" s="11">
        <v>1989</v>
      </c>
      <c r="S27" s="11">
        <v>28</v>
      </c>
      <c r="T27" s="11">
        <v>1961</v>
      </c>
      <c r="U27" s="26">
        <v>1.41E-2</v>
      </c>
      <c r="V27" s="12">
        <f t="shared" si="0"/>
        <v>3.0377358490566039E-2</v>
      </c>
    </row>
    <row r="28" spans="1:22" x14ac:dyDescent="0.35">
      <c r="A28" s="10">
        <v>43732</v>
      </c>
      <c r="B28" s="11">
        <v>495</v>
      </c>
      <c r="C28" s="11">
        <v>150</v>
      </c>
      <c r="D28" s="11">
        <v>345</v>
      </c>
      <c r="E28" s="26">
        <v>0.30299999999999999</v>
      </c>
      <c r="F28" s="11">
        <v>3234</v>
      </c>
      <c r="G28" s="11">
        <v>71</v>
      </c>
      <c r="H28" s="11">
        <v>3163</v>
      </c>
      <c r="I28" s="26">
        <v>2.1999999999999999E-2</v>
      </c>
      <c r="J28" s="11">
        <v>2331</v>
      </c>
      <c r="K28" s="11">
        <v>34</v>
      </c>
      <c r="L28" s="11">
        <v>2297</v>
      </c>
      <c r="M28" s="26">
        <v>1.46E-2</v>
      </c>
      <c r="N28" s="11">
        <v>2574</v>
      </c>
      <c r="O28" s="11">
        <v>30</v>
      </c>
      <c r="P28" s="11">
        <v>2544</v>
      </c>
      <c r="Q28" s="26">
        <v>1.17E-2</v>
      </c>
      <c r="R28" s="11">
        <v>2015</v>
      </c>
      <c r="S28" s="11">
        <v>23</v>
      </c>
      <c r="T28" s="11">
        <v>1992</v>
      </c>
      <c r="U28" s="26">
        <v>1.14E-2</v>
      </c>
      <c r="V28" s="12">
        <f t="shared" si="0"/>
        <v>2.8922903559019626E-2</v>
      </c>
    </row>
    <row r="29" spans="1:22" x14ac:dyDescent="0.35">
      <c r="A29" s="10">
        <v>43733</v>
      </c>
      <c r="B29" s="11">
        <v>497</v>
      </c>
      <c r="C29" s="11">
        <v>143</v>
      </c>
      <c r="D29" s="11">
        <v>354</v>
      </c>
      <c r="E29" s="26">
        <v>0.28770000000000001</v>
      </c>
      <c r="F29" s="11">
        <v>3220</v>
      </c>
      <c r="G29" s="11">
        <v>63</v>
      </c>
      <c r="H29" s="11">
        <v>3157</v>
      </c>
      <c r="I29" s="26">
        <v>1.9599999999999999E-2</v>
      </c>
      <c r="J29" s="11">
        <v>2324</v>
      </c>
      <c r="K29" s="11">
        <v>34</v>
      </c>
      <c r="L29" s="11">
        <v>2290</v>
      </c>
      <c r="M29" s="26">
        <v>1.46E-2</v>
      </c>
      <c r="N29" s="11">
        <v>2564</v>
      </c>
      <c r="O29" s="11">
        <v>33</v>
      </c>
      <c r="P29" s="11">
        <v>2531</v>
      </c>
      <c r="Q29" s="26">
        <v>1.29E-2</v>
      </c>
      <c r="R29" s="11">
        <v>2014</v>
      </c>
      <c r="S29" s="11">
        <v>29</v>
      </c>
      <c r="T29" s="11">
        <v>1985</v>
      </c>
      <c r="U29" s="26">
        <v>1.44E-2</v>
      </c>
      <c r="V29" s="12">
        <f t="shared" si="0"/>
        <v>2.8439589415199171E-2</v>
      </c>
    </row>
    <row r="30" spans="1:22" x14ac:dyDescent="0.35">
      <c r="A30" s="10">
        <v>43734</v>
      </c>
      <c r="B30" s="11">
        <v>501</v>
      </c>
      <c r="C30" s="11">
        <v>137</v>
      </c>
      <c r="D30" s="11">
        <v>364</v>
      </c>
      <c r="E30" s="26">
        <v>0.27350000000000002</v>
      </c>
      <c r="F30" s="11">
        <v>3227</v>
      </c>
      <c r="G30" s="11">
        <v>116</v>
      </c>
      <c r="H30" s="11">
        <v>3111</v>
      </c>
      <c r="I30" s="26">
        <v>3.5900000000000001E-2</v>
      </c>
      <c r="J30" s="11">
        <v>2310</v>
      </c>
      <c r="K30" s="11">
        <v>35</v>
      </c>
      <c r="L30" s="11">
        <v>2275</v>
      </c>
      <c r="M30" s="26">
        <v>1.52E-2</v>
      </c>
      <c r="N30" s="11">
        <v>2554</v>
      </c>
      <c r="O30" s="11">
        <v>36</v>
      </c>
      <c r="P30" s="11">
        <v>2518</v>
      </c>
      <c r="Q30" s="26">
        <v>1.41E-2</v>
      </c>
      <c r="R30" s="11">
        <v>2050</v>
      </c>
      <c r="S30" s="11">
        <v>28</v>
      </c>
      <c r="T30" s="11">
        <v>2022</v>
      </c>
      <c r="U30" s="26">
        <v>1.37E-2</v>
      </c>
      <c r="V30" s="12">
        <f t="shared" si="0"/>
        <v>3.3076489381695169E-2</v>
      </c>
    </row>
    <row r="31" spans="1:22" x14ac:dyDescent="0.35">
      <c r="A31" s="10">
        <v>43735</v>
      </c>
      <c r="B31" s="11">
        <v>507</v>
      </c>
      <c r="C31" s="11">
        <v>138</v>
      </c>
      <c r="D31" s="11">
        <v>369</v>
      </c>
      <c r="E31" s="26">
        <v>0.2722</v>
      </c>
      <c r="F31" s="11">
        <v>3274</v>
      </c>
      <c r="G31" s="11">
        <v>76</v>
      </c>
      <c r="H31" s="11">
        <v>3198</v>
      </c>
      <c r="I31" s="26">
        <v>2.3199999999999998E-2</v>
      </c>
      <c r="J31" s="11">
        <v>2318</v>
      </c>
      <c r="K31" s="11">
        <v>40</v>
      </c>
      <c r="L31" s="11">
        <v>2278</v>
      </c>
      <c r="M31" s="26">
        <v>1.7299999999999999E-2</v>
      </c>
      <c r="N31" s="11">
        <v>2568</v>
      </c>
      <c r="O31" s="11">
        <v>34</v>
      </c>
      <c r="P31" s="11">
        <v>2534</v>
      </c>
      <c r="Q31" s="26">
        <v>1.32E-2</v>
      </c>
      <c r="R31" s="11">
        <v>2051</v>
      </c>
      <c r="S31" s="11">
        <v>21</v>
      </c>
      <c r="T31" s="11">
        <v>2030</v>
      </c>
      <c r="U31" s="26">
        <v>1.0200000000000001E-2</v>
      </c>
      <c r="V31" s="12">
        <f t="shared" si="0"/>
        <v>2.883000559805934E-2</v>
      </c>
    </row>
    <row r="32" spans="1:22" x14ac:dyDescent="0.35">
      <c r="A32" s="10">
        <v>43736</v>
      </c>
      <c r="B32" s="11">
        <v>515</v>
      </c>
      <c r="C32" s="11">
        <v>152</v>
      </c>
      <c r="D32" s="11">
        <v>363</v>
      </c>
      <c r="E32" s="26">
        <v>0.29509999999999997</v>
      </c>
      <c r="F32" s="11">
        <v>3255</v>
      </c>
      <c r="G32" s="11">
        <v>74</v>
      </c>
      <c r="H32" s="11">
        <v>3181</v>
      </c>
      <c r="I32" s="26">
        <v>2.2700000000000001E-2</v>
      </c>
      <c r="J32" s="11">
        <v>2322</v>
      </c>
      <c r="K32" s="11">
        <v>40</v>
      </c>
      <c r="L32" s="11">
        <v>2282</v>
      </c>
      <c r="M32" s="26">
        <v>1.72E-2</v>
      </c>
      <c r="N32" s="11">
        <v>2556</v>
      </c>
      <c r="O32" s="11">
        <v>37</v>
      </c>
      <c r="P32" s="11">
        <v>2519</v>
      </c>
      <c r="Q32" s="26">
        <v>1.4500000000000001E-2</v>
      </c>
      <c r="R32" s="11">
        <v>2045</v>
      </c>
      <c r="S32" s="11">
        <v>18</v>
      </c>
      <c r="T32" s="11">
        <v>2027</v>
      </c>
      <c r="U32" s="26">
        <v>8.8000000000000005E-3</v>
      </c>
      <c r="V32" s="12">
        <f t="shared" si="0"/>
        <v>3.0019639016178809E-2</v>
      </c>
    </row>
    <row r="33" spans="1:22" x14ac:dyDescent="0.35">
      <c r="A33" s="10">
        <v>43737</v>
      </c>
      <c r="B33" s="11">
        <v>520</v>
      </c>
      <c r="C33" s="11">
        <v>199</v>
      </c>
      <c r="D33" s="11">
        <v>321</v>
      </c>
      <c r="E33" s="26">
        <v>0.38269999999999998</v>
      </c>
      <c r="F33" s="11">
        <v>3226</v>
      </c>
      <c r="G33" s="11">
        <v>87</v>
      </c>
      <c r="H33" s="11">
        <v>3139</v>
      </c>
      <c r="I33" s="26">
        <v>2.7E-2</v>
      </c>
      <c r="J33" s="11">
        <v>2308</v>
      </c>
      <c r="K33" s="11">
        <v>52</v>
      </c>
      <c r="L33" s="11">
        <v>2256</v>
      </c>
      <c r="M33" s="26">
        <v>2.2499999999999999E-2</v>
      </c>
      <c r="N33" s="11">
        <v>2530</v>
      </c>
      <c r="O33" s="11">
        <v>42</v>
      </c>
      <c r="P33" s="11">
        <v>2488</v>
      </c>
      <c r="Q33" s="26">
        <v>1.66E-2</v>
      </c>
      <c r="R33" s="11">
        <v>2035</v>
      </c>
      <c r="S33" s="11">
        <v>27</v>
      </c>
      <c r="T33" s="11">
        <v>2008</v>
      </c>
      <c r="U33" s="26">
        <v>1.3299999999999999E-2</v>
      </c>
      <c r="V33" s="12">
        <f t="shared" si="0"/>
        <v>3.8327526132404179E-2</v>
      </c>
    </row>
    <row r="34" spans="1:22" x14ac:dyDescent="0.35">
      <c r="A34" s="10">
        <v>43738</v>
      </c>
      <c r="B34" s="11">
        <v>509</v>
      </c>
      <c r="C34" s="11">
        <v>148</v>
      </c>
      <c r="D34" s="11">
        <v>361</v>
      </c>
      <c r="E34" s="26">
        <v>0.2908</v>
      </c>
      <c r="F34" s="11">
        <v>3205</v>
      </c>
      <c r="G34" s="11">
        <v>89</v>
      </c>
      <c r="H34" s="11">
        <v>3116</v>
      </c>
      <c r="I34" s="26">
        <v>2.7799999999999998E-2</v>
      </c>
      <c r="J34" s="11">
        <v>2311</v>
      </c>
      <c r="K34" s="11">
        <v>38</v>
      </c>
      <c r="L34" s="11">
        <v>2273</v>
      </c>
      <c r="M34" s="26">
        <v>1.6400000000000001E-2</v>
      </c>
      <c r="N34" s="11">
        <v>2528</v>
      </c>
      <c r="O34" s="11">
        <v>37</v>
      </c>
      <c r="P34" s="11">
        <v>2491</v>
      </c>
      <c r="Q34" s="26">
        <v>1.46E-2</v>
      </c>
      <c r="R34" s="11">
        <v>2047</v>
      </c>
      <c r="S34" s="11">
        <v>18</v>
      </c>
      <c r="T34" s="11">
        <v>2029</v>
      </c>
      <c r="U34" s="26">
        <v>8.8000000000000005E-3</v>
      </c>
      <c r="V34" s="12">
        <f t="shared" si="0"/>
        <v>3.1132075471698113E-2</v>
      </c>
    </row>
    <row r="35" spans="1:22" x14ac:dyDescent="0.35">
      <c r="A35" s="10"/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14016</v>
      </c>
      <c r="C36" s="22">
        <f>SUM(C5:C35)</f>
        <v>3883</v>
      </c>
      <c r="D36" s="22">
        <f>SUM(D5:D35)</f>
        <v>10133</v>
      </c>
      <c r="E36" s="23">
        <f>C36/B36</f>
        <v>0.27704052511415528</v>
      </c>
      <c r="F36" s="22">
        <f>SUM(F5:F35)</f>
        <v>96803</v>
      </c>
      <c r="G36" s="22">
        <f>SUM(G5:G35)</f>
        <v>2139</v>
      </c>
      <c r="H36" s="22">
        <f>SUM(H5:H35)</f>
        <v>94664</v>
      </c>
      <c r="I36" s="23">
        <f>G36/F36</f>
        <v>2.2096422631530013E-2</v>
      </c>
      <c r="J36" s="22">
        <f>SUM(J5:J35)</f>
        <v>69895</v>
      </c>
      <c r="K36" s="22">
        <f>SUM(K5:K35)</f>
        <v>819</v>
      </c>
      <c r="L36" s="22">
        <f>SUM(L5:L35)</f>
        <v>69076</v>
      </c>
      <c r="M36" s="23">
        <f>K36/J36</f>
        <v>1.171757636454682E-2</v>
      </c>
      <c r="N36" s="22">
        <f>SUM(N5:N35)</f>
        <v>75910</v>
      </c>
      <c r="O36" s="22">
        <f>SUM(O5:O35)</f>
        <v>822</v>
      </c>
      <c r="P36" s="22">
        <f>SUM(P5:P35)</f>
        <v>75088</v>
      </c>
      <c r="Q36" s="23">
        <f>O36/N36</f>
        <v>1.0828612830984061E-2</v>
      </c>
      <c r="R36" s="22">
        <f>SUM(R5:R35)</f>
        <v>61732</v>
      </c>
      <c r="S36" s="22">
        <f>SUM(S5:S35)</f>
        <v>586</v>
      </c>
      <c r="T36" s="22">
        <f>SUM(T5:T35)</f>
        <v>61146</v>
      </c>
      <c r="U36" s="23">
        <f>S36/R36</f>
        <v>9.4926456294952381E-3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0.62963755707762559</v>
      </c>
      <c r="F38" s="33"/>
      <c r="G38" s="34"/>
      <c r="H38" s="35"/>
      <c r="I38" s="16">
        <f>I36/I37</f>
        <v>0.56657493927000036</v>
      </c>
      <c r="J38" s="33"/>
      <c r="K38" s="34"/>
      <c r="L38" s="35"/>
      <c r="M38" s="16">
        <f>M36/M37</f>
        <v>0.41848487016238645</v>
      </c>
      <c r="N38" s="33"/>
      <c r="O38" s="34"/>
      <c r="P38" s="35"/>
      <c r="Q38" s="16">
        <f>Q36/Q37</f>
        <v>0.9844193482712783</v>
      </c>
      <c r="R38" s="33"/>
      <c r="S38" s="34"/>
      <c r="T38" s="35"/>
      <c r="U38" s="16">
        <f>U36/U37</f>
        <v>0.86296778449956713</v>
      </c>
      <c r="V38" s="16" t="e">
        <f>V36/V37</f>
        <v>#DIV/0!</v>
      </c>
    </row>
    <row r="39" spans="1:22" x14ac:dyDescent="0.35">
      <c r="A39">
        <v>2</v>
      </c>
      <c r="B39">
        <f>B36*$A$39</f>
        <v>28032</v>
      </c>
      <c r="C39">
        <f t="shared" ref="C39:T39" si="1">C36*$A$39</f>
        <v>7766</v>
      </c>
      <c r="D39">
        <f t="shared" si="1"/>
        <v>20266</v>
      </c>
      <c r="F39">
        <f t="shared" si="1"/>
        <v>193606</v>
      </c>
      <c r="G39">
        <f t="shared" si="1"/>
        <v>4278</v>
      </c>
      <c r="H39">
        <f t="shared" si="1"/>
        <v>189328</v>
      </c>
      <c r="J39">
        <f t="shared" si="1"/>
        <v>139790</v>
      </c>
      <c r="K39">
        <f t="shared" si="1"/>
        <v>1638</v>
      </c>
      <c r="L39">
        <f t="shared" si="1"/>
        <v>138152</v>
      </c>
      <c r="N39">
        <f t="shared" si="1"/>
        <v>151820</v>
      </c>
      <c r="O39">
        <f t="shared" si="1"/>
        <v>1644</v>
      </c>
      <c r="P39">
        <f t="shared" si="1"/>
        <v>150176</v>
      </c>
      <c r="R39">
        <f t="shared" si="1"/>
        <v>123464</v>
      </c>
      <c r="S39">
        <f t="shared" si="1"/>
        <v>1172</v>
      </c>
      <c r="T39">
        <f t="shared" si="1"/>
        <v>122292</v>
      </c>
    </row>
    <row r="40" spans="1:22" x14ac:dyDescent="0.35">
      <c r="E40" s="13"/>
    </row>
    <row r="41" spans="1:22" ht="39" customHeight="1" x14ac:dyDescent="0.35">
      <c r="B41" s="27">
        <f>VLOOKUP(B$2,'[9]011019'!$A$2:$F$25,3,0)</f>
        <v>509</v>
      </c>
      <c r="C41" s="27">
        <f>VLOOKUP(B$2,'[9]011019'!$A$2:$F$25,4,0)</f>
        <v>148</v>
      </c>
      <c r="D41" s="27">
        <f>VLOOKUP(B$2,'[9]011019'!$A$2:$F$25,5,0)</f>
        <v>361</v>
      </c>
      <c r="E41" s="28">
        <f>VLOOKUP(B$2,'[9]011019'!$A$2:$F$25,6,0)</f>
        <v>0.2908</v>
      </c>
      <c r="F41" s="27">
        <f>VLOOKUP(F$2,'[9]011019'!$A$2:$F$25,3,0)</f>
        <v>3205</v>
      </c>
      <c r="G41" s="27">
        <f>VLOOKUP(F$2,'[9]011019'!$A$2:$F$25,4,0)</f>
        <v>89</v>
      </c>
      <c r="H41" s="27">
        <f>VLOOKUP(F$2,'[9]011019'!$A$2:$F$25,5,0)</f>
        <v>3116</v>
      </c>
      <c r="I41" s="29">
        <f>VLOOKUP(F$2,'[9]011019'!$A$2:$F$25,6,0)</f>
        <v>2.7799999999999998E-2</v>
      </c>
      <c r="J41" s="27">
        <f>VLOOKUP(J$2,'[9]011019'!$A$2:$F$25,3,0)</f>
        <v>2311</v>
      </c>
      <c r="K41" s="27">
        <f>VLOOKUP(J$2,'[9]011019'!$A$2:$F$25,4,0)</f>
        <v>38</v>
      </c>
      <c r="L41" s="27">
        <f>VLOOKUP(J$2,'[9]011019'!$A$2:$F$25,5,0)</f>
        <v>2273</v>
      </c>
      <c r="M41" s="28">
        <f>VLOOKUP(J$2,'[9]011019'!$A$2:$F$25,6,0)</f>
        <v>1.6400000000000001E-2</v>
      </c>
      <c r="N41" s="27">
        <f>VLOOKUP(N$2,'[9]011019'!$A$2:$F$25,3,0)</f>
        <v>2528</v>
      </c>
      <c r="O41" s="27">
        <f>VLOOKUP(N$2,'[9]011019'!$A$2:$F$25,4,0)</f>
        <v>37</v>
      </c>
      <c r="P41" s="27">
        <f>VLOOKUP(N$2,'[9]011019'!$A$2:$F$25,5,0)</f>
        <v>2491</v>
      </c>
      <c r="Q41" s="28">
        <f>VLOOKUP(N$2,'[9]011019'!$A$2:$F$25,6,0)</f>
        <v>1.46E-2</v>
      </c>
      <c r="R41" s="27">
        <f>VLOOKUP(R$2,'[9]011019'!$A$2:$F$25,3,0)</f>
        <v>2047</v>
      </c>
      <c r="S41" s="27">
        <f>VLOOKUP(R$2,'[9]011019'!$A$2:$F$25,4,0)</f>
        <v>18</v>
      </c>
      <c r="T41" s="27">
        <f>VLOOKUP(R$2,'[9]011019'!$A$2:$F$25,5,0)</f>
        <v>2029</v>
      </c>
      <c r="U41" s="28">
        <f>VLOOKUP(R$2,'[9]011019'!$A$2:$F$25,6,0)</f>
        <v>8.8000000000000005E-3</v>
      </c>
    </row>
    <row r="43" spans="1:22" x14ac:dyDescent="0.35">
      <c r="E43" s="14"/>
    </row>
    <row r="44" spans="1:22" ht="13.5" x14ac:dyDescent="0.35">
      <c r="B44">
        <f>B39+F39+J39+N39+R39</f>
        <v>636712</v>
      </c>
      <c r="C44">
        <f>C39+G39+K39+O39+S39</f>
        <v>16498</v>
      </c>
      <c r="E44" s="23">
        <f>C44/B44</f>
        <v>2.5911244016132883E-2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4"/>
  <sheetViews>
    <sheetView topLeftCell="A10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43739</v>
      </c>
      <c r="B5" s="11">
        <v>509</v>
      </c>
      <c r="C5" s="11">
        <v>150</v>
      </c>
      <c r="D5" s="11">
        <v>359</v>
      </c>
      <c r="E5" s="26">
        <v>0.29470000000000002</v>
      </c>
      <c r="F5" s="11">
        <v>3194</v>
      </c>
      <c r="G5" s="11">
        <v>79</v>
      </c>
      <c r="H5" s="11">
        <v>3115</v>
      </c>
      <c r="I5" s="26">
        <v>2.47E-2</v>
      </c>
      <c r="J5" s="11">
        <v>2295</v>
      </c>
      <c r="K5" s="11">
        <v>41</v>
      </c>
      <c r="L5" s="11">
        <v>2254</v>
      </c>
      <c r="M5" s="26">
        <v>1.7899999999999999E-2</v>
      </c>
      <c r="N5" s="11">
        <v>2515</v>
      </c>
      <c r="O5" s="11">
        <v>37</v>
      </c>
      <c r="P5" s="11">
        <v>2478</v>
      </c>
      <c r="Q5" s="26">
        <v>1.47E-2</v>
      </c>
      <c r="R5" s="11">
        <v>1974</v>
      </c>
      <c r="S5" s="11">
        <v>19</v>
      </c>
      <c r="T5" s="11">
        <v>1955</v>
      </c>
      <c r="U5" s="26">
        <v>9.5999999999999992E-3</v>
      </c>
      <c r="V5" s="12">
        <f t="shared" ref="V5:V34" si="0">(C5+G5+K5+O5+S5)/(B5+F5+J5+N5+R5)</f>
        <v>3.1086106608181559E-2</v>
      </c>
    </row>
    <row r="6" spans="1:22" x14ac:dyDescent="0.35">
      <c r="A6" s="10">
        <v>43740</v>
      </c>
      <c r="B6" s="11">
        <v>518</v>
      </c>
      <c r="C6" s="11">
        <v>155</v>
      </c>
      <c r="D6" s="11">
        <v>363</v>
      </c>
      <c r="E6" s="26">
        <v>0.29920000000000002</v>
      </c>
      <c r="F6" s="11">
        <v>3207</v>
      </c>
      <c r="G6" s="11">
        <v>79</v>
      </c>
      <c r="H6" s="11">
        <v>3128</v>
      </c>
      <c r="I6" s="26">
        <v>2.46E-2</v>
      </c>
      <c r="J6" s="11">
        <v>2332</v>
      </c>
      <c r="K6" s="11">
        <v>38</v>
      </c>
      <c r="L6" s="11">
        <v>2294</v>
      </c>
      <c r="M6" s="26">
        <v>1.6299999999999999E-2</v>
      </c>
      <c r="N6" s="11">
        <v>2548</v>
      </c>
      <c r="O6" s="11">
        <v>37</v>
      </c>
      <c r="P6" s="11">
        <v>2511</v>
      </c>
      <c r="Q6" s="26">
        <v>1.4500000000000001E-2</v>
      </c>
      <c r="R6" s="11">
        <v>1966</v>
      </c>
      <c r="S6" s="11">
        <v>20</v>
      </c>
      <c r="T6" s="11">
        <v>1946</v>
      </c>
      <c r="U6" s="26">
        <v>1.0200000000000001E-2</v>
      </c>
      <c r="V6" s="12">
        <f>(C6+G6+K6+O6+S6)/(B6+F6+J6+N6+R6)</f>
        <v>3.1122883360136223E-2</v>
      </c>
    </row>
    <row r="7" spans="1:22" x14ac:dyDescent="0.35">
      <c r="A7" s="10">
        <v>43741</v>
      </c>
      <c r="B7" s="11">
        <v>532</v>
      </c>
      <c r="C7" s="11">
        <v>179</v>
      </c>
      <c r="D7" s="11">
        <v>353</v>
      </c>
      <c r="E7" s="26">
        <v>0.33650000000000002</v>
      </c>
      <c r="F7" s="11">
        <v>3231</v>
      </c>
      <c r="G7" s="11">
        <v>102</v>
      </c>
      <c r="H7" s="11">
        <v>3129</v>
      </c>
      <c r="I7" s="26">
        <v>3.1600000000000003E-2</v>
      </c>
      <c r="J7" s="11">
        <v>2336</v>
      </c>
      <c r="K7" s="11">
        <v>38</v>
      </c>
      <c r="L7" s="11">
        <v>2298</v>
      </c>
      <c r="M7" s="26">
        <v>1.6299999999999999E-2</v>
      </c>
      <c r="N7" s="11">
        <v>2553</v>
      </c>
      <c r="O7" s="11">
        <v>37</v>
      </c>
      <c r="P7" s="11">
        <v>2516</v>
      </c>
      <c r="Q7" s="26">
        <v>1.4500000000000001E-2</v>
      </c>
      <c r="R7" s="11">
        <v>1987</v>
      </c>
      <c r="S7" s="11">
        <v>19</v>
      </c>
      <c r="T7" s="11">
        <v>1968</v>
      </c>
      <c r="U7" s="26">
        <v>9.5999999999999992E-3</v>
      </c>
      <c r="V7" s="12">
        <f>(C7+G7+K7+O7+S7)/(B7+F7+J7+N7+R7)</f>
        <v>3.5247673653538869E-2</v>
      </c>
    </row>
    <row r="8" spans="1:22" x14ac:dyDescent="0.35">
      <c r="A8" s="10">
        <v>43742</v>
      </c>
      <c r="B8" s="11">
        <v>538</v>
      </c>
      <c r="C8" s="11">
        <v>155</v>
      </c>
      <c r="D8" s="11">
        <v>383</v>
      </c>
      <c r="E8" s="26">
        <v>0.28810000000000002</v>
      </c>
      <c r="F8" s="11">
        <v>3239</v>
      </c>
      <c r="G8" s="11">
        <v>80</v>
      </c>
      <c r="H8" s="11">
        <v>3159</v>
      </c>
      <c r="I8" s="26">
        <v>2.47E-2</v>
      </c>
      <c r="J8" s="11">
        <v>2337</v>
      </c>
      <c r="K8" s="11">
        <v>43</v>
      </c>
      <c r="L8" s="11">
        <v>2294</v>
      </c>
      <c r="M8" s="26">
        <v>1.84E-2</v>
      </c>
      <c r="N8" s="11">
        <v>2531</v>
      </c>
      <c r="O8" s="11">
        <v>38</v>
      </c>
      <c r="P8" s="11">
        <v>2493</v>
      </c>
      <c r="Q8" s="26">
        <v>1.4999999999999999E-2</v>
      </c>
      <c r="R8" s="11">
        <v>1959</v>
      </c>
      <c r="S8" s="11">
        <v>20</v>
      </c>
      <c r="T8" s="11">
        <v>1939</v>
      </c>
      <c r="U8" s="26">
        <v>1.0200000000000001E-2</v>
      </c>
      <c r="V8" s="12">
        <f t="shared" si="0"/>
        <v>3.1686156167483971E-2</v>
      </c>
    </row>
    <row r="9" spans="1:22" x14ac:dyDescent="0.35">
      <c r="A9" s="10">
        <v>43743</v>
      </c>
      <c r="B9" s="11">
        <v>540</v>
      </c>
      <c r="C9" s="11">
        <v>177</v>
      </c>
      <c r="D9" s="11">
        <v>363</v>
      </c>
      <c r="E9" s="26">
        <v>0.32779999999999998</v>
      </c>
      <c r="F9" s="11">
        <v>3218</v>
      </c>
      <c r="G9" s="11">
        <v>126</v>
      </c>
      <c r="H9" s="11">
        <v>3092</v>
      </c>
      <c r="I9" s="26">
        <v>3.9199999999999999E-2</v>
      </c>
      <c r="J9" s="11">
        <v>2341</v>
      </c>
      <c r="K9" s="11">
        <v>63</v>
      </c>
      <c r="L9" s="11">
        <v>2278</v>
      </c>
      <c r="M9" s="26">
        <v>2.69E-2</v>
      </c>
      <c r="N9" s="11">
        <v>2512</v>
      </c>
      <c r="O9" s="11">
        <v>45</v>
      </c>
      <c r="P9" s="11">
        <v>2467</v>
      </c>
      <c r="Q9" s="26">
        <v>1.7899999999999999E-2</v>
      </c>
      <c r="R9" s="11">
        <v>1950</v>
      </c>
      <c r="S9" s="11">
        <v>26</v>
      </c>
      <c r="T9" s="11">
        <v>1924</v>
      </c>
      <c r="U9" s="26">
        <v>1.3299999999999999E-2</v>
      </c>
      <c r="V9" s="12">
        <f t="shared" si="0"/>
        <v>4.1378657324117031E-2</v>
      </c>
    </row>
    <row r="10" spans="1:22" x14ac:dyDescent="0.35">
      <c r="A10" s="10">
        <v>43744</v>
      </c>
      <c r="B10" s="11">
        <v>550</v>
      </c>
      <c r="C10" s="11">
        <v>224</v>
      </c>
      <c r="D10" s="11">
        <v>326</v>
      </c>
      <c r="E10" s="26">
        <v>0.4073</v>
      </c>
      <c r="F10" s="11">
        <v>3192</v>
      </c>
      <c r="G10" s="11">
        <v>173</v>
      </c>
      <c r="H10" s="11">
        <v>3019</v>
      </c>
      <c r="I10" s="26">
        <v>5.4199999999999998E-2</v>
      </c>
      <c r="J10" s="11">
        <v>2340</v>
      </c>
      <c r="K10" s="11">
        <v>80</v>
      </c>
      <c r="L10" s="11">
        <v>2260</v>
      </c>
      <c r="M10" s="26">
        <v>3.4200000000000001E-2</v>
      </c>
      <c r="N10" s="11">
        <v>2487</v>
      </c>
      <c r="O10" s="11">
        <v>54</v>
      </c>
      <c r="P10" s="11">
        <v>2433</v>
      </c>
      <c r="Q10" s="26">
        <v>2.1700000000000001E-2</v>
      </c>
      <c r="R10" s="11">
        <v>1932</v>
      </c>
      <c r="S10" s="11">
        <v>28</v>
      </c>
      <c r="T10" s="11">
        <v>1904</v>
      </c>
      <c r="U10" s="26">
        <v>1.4500000000000001E-2</v>
      </c>
      <c r="V10" s="12">
        <f t="shared" si="0"/>
        <v>5.3233025426149889E-2</v>
      </c>
    </row>
    <row r="11" spans="1:22" x14ac:dyDescent="0.35">
      <c r="A11" s="10">
        <v>43745</v>
      </c>
      <c r="B11" s="11">
        <v>546</v>
      </c>
      <c r="C11" s="11">
        <v>182</v>
      </c>
      <c r="D11" s="11">
        <v>364</v>
      </c>
      <c r="E11" s="26">
        <v>0.33329999999999999</v>
      </c>
      <c r="F11" s="11">
        <v>3207</v>
      </c>
      <c r="G11" s="11">
        <v>94</v>
      </c>
      <c r="H11" s="11">
        <v>3113</v>
      </c>
      <c r="I11" s="26">
        <v>2.93E-2</v>
      </c>
      <c r="J11" s="11">
        <v>2351</v>
      </c>
      <c r="K11" s="11">
        <v>50</v>
      </c>
      <c r="L11" s="11">
        <v>2301</v>
      </c>
      <c r="M11" s="26">
        <v>2.1299999999999999E-2</v>
      </c>
      <c r="N11" s="11">
        <v>2498</v>
      </c>
      <c r="O11" s="11">
        <v>43</v>
      </c>
      <c r="P11" s="11">
        <v>2455</v>
      </c>
      <c r="Q11" s="26">
        <v>1.72E-2</v>
      </c>
      <c r="R11" s="11">
        <v>1936</v>
      </c>
      <c r="S11" s="11">
        <v>30</v>
      </c>
      <c r="T11" s="11">
        <v>1906</v>
      </c>
      <c r="U11" s="26">
        <v>1.55E-2</v>
      </c>
      <c r="V11" s="12">
        <f t="shared" si="0"/>
        <v>3.7862972100967923E-2</v>
      </c>
    </row>
    <row r="12" spans="1:22" x14ac:dyDescent="0.35">
      <c r="A12" s="10">
        <v>43746</v>
      </c>
      <c r="B12" s="11">
        <v>561</v>
      </c>
      <c r="C12" s="11">
        <v>176</v>
      </c>
      <c r="D12" s="11">
        <v>385</v>
      </c>
      <c r="E12" s="26">
        <v>0.31369999999999998</v>
      </c>
      <c r="F12" s="11">
        <v>3223</v>
      </c>
      <c r="G12" s="11">
        <v>102</v>
      </c>
      <c r="H12" s="11">
        <v>3121</v>
      </c>
      <c r="I12" s="26">
        <v>3.1600000000000003E-2</v>
      </c>
      <c r="J12" s="11">
        <v>2351</v>
      </c>
      <c r="K12" s="11">
        <v>51</v>
      </c>
      <c r="L12" s="11">
        <v>2300</v>
      </c>
      <c r="M12" s="26">
        <v>2.1700000000000001E-2</v>
      </c>
      <c r="N12" s="11">
        <v>2527</v>
      </c>
      <c r="O12" s="11">
        <v>39</v>
      </c>
      <c r="P12" s="11">
        <v>2488</v>
      </c>
      <c r="Q12" s="26">
        <v>1.54E-2</v>
      </c>
      <c r="R12" s="11">
        <v>1959</v>
      </c>
      <c r="S12" s="11">
        <v>21</v>
      </c>
      <c r="T12" s="11">
        <v>1938</v>
      </c>
      <c r="U12" s="26">
        <v>1.0699999999999999E-2</v>
      </c>
      <c r="V12" s="12">
        <f t="shared" si="0"/>
        <v>3.662555314942096E-2</v>
      </c>
    </row>
    <row r="13" spans="1:22" x14ac:dyDescent="0.35">
      <c r="A13" s="10">
        <v>43747</v>
      </c>
      <c r="B13" s="11">
        <v>566</v>
      </c>
      <c r="C13" s="11">
        <v>178</v>
      </c>
      <c r="D13" s="11">
        <v>388</v>
      </c>
      <c r="E13" s="26">
        <v>0.3145</v>
      </c>
      <c r="F13" s="11">
        <v>3244</v>
      </c>
      <c r="G13" s="11">
        <v>82</v>
      </c>
      <c r="H13" s="11">
        <v>3162</v>
      </c>
      <c r="I13" s="26">
        <v>2.53E-2</v>
      </c>
      <c r="J13" s="11">
        <v>2346</v>
      </c>
      <c r="K13" s="11">
        <v>51</v>
      </c>
      <c r="L13" s="11">
        <v>2295</v>
      </c>
      <c r="M13" s="26">
        <v>2.1700000000000001E-2</v>
      </c>
      <c r="N13" s="11">
        <v>2530</v>
      </c>
      <c r="O13" s="11">
        <v>41</v>
      </c>
      <c r="P13" s="11">
        <v>2489</v>
      </c>
      <c r="Q13" s="26">
        <v>1.6199999999999999E-2</v>
      </c>
      <c r="R13" s="11">
        <v>1980</v>
      </c>
      <c r="S13" s="11">
        <v>23</v>
      </c>
      <c r="T13" s="11">
        <v>1957</v>
      </c>
      <c r="U13" s="26">
        <v>1.1599999999999999E-2</v>
      </c>
      <c r="V13" s="12">
        <f t="shared" si="0"/>
        <v>3.5158447402962686E-2</v>
      </c>
    </row>
    <row r="14" spans="1:22" x14ac:dyDescent="0.35">
      <c r="A14" s="10">
        <v>43748</v>
      </c>
      <c r="B14" s="11">
        <v>567</v>
      </c>
      <c r="C14" s="11">
        <v>178</v>
      </c>
      <c r="D14" s="11">
        <v>389</v>
      </c>
      <c r="E14" s="26">
        <v>0.31390000000000001</v>
      </c>
      <c r="F14" s="11">
        <v>3258</v>
      </c>
      <c r="G14" s="11">
        <v>112</v>
      </c>
      <c r="H14" s="11">
        <v>3146</v>
      </c>
      <c r="I14" s="26">
        <v>3.44E-2</v>
      </c>
      <c r="J14" s="11">
        <v>2365</v>
      </c>
      <c r="K14" s="11">
        <v>47</v>
      </c>
      <c r="L14" s="11">
        <v>2318</v>
      </c>
      <c r="M14" s="26">
        <v>1.9900000000000001E-2</v>
      </c>
      <c r="N14" s="11">
        <v>2521</v>
      </c>
      <c r="O14" s="11">
        <v>38</v>
      </c>
      <c r="P14" s="11">
        <v>2483</v>
      </c>
      <c r="Q14" s="26">
        <v>1.5100000000000001E-2</v>
      </c>
      <c r="R14" s="11">
        <v>1997</v>
      </c>
      <c r="S14" s="11">
        <v>21</v>
      </c>
      <c r="T14" s="11">
        <v>1976</v>
      </c>
      <c r="U14" s="26">
        <v>1.0500000000000001E-2</v>
      </c>
      <c r="V14" s="12">
        <f t="shared" si="0"/>
        <v>3.6981695928277922E-2</v>
      </c>
    </row>
    <row r="15" spans="1:22" x14ac:dyDescent="0.35">
      <c r="A15" s="10">
        <v>43749</v>
      </c>
      <c r="B15" s="11">
        <v>576</v>
      </c>
      <c r="C15" s="11">
        <v>179</v>
      </c>
      <c r="D15" s="11">
        <v>397</v>
      </c>
      <c r="E15" s="26">
        <v>0.31080000000000002</v>
      </c>
      <c r="F15" s="11">
        <v>3274</v>
      </c>
      <c r="G15" s="11">
        <v>83</v>
      </c>
      <c r="H15" s="11">
        <v>3191</v>
      </c>
      <c r="I15" s="26">
        <v>2.5399999999999999E-2</v>
      </c>
      <c r="J15" s="11">
        <v>2362</v>
      </c>
      <c r="K15" s="11">
        <v>46</v>
      </c>
      <c r="L15" s="11">
        <v>2316</v>
      </c>
      <c r="M15" s="26">
        <v>1.95E-2</v>
      </c>
      <c r="N15" s="11">
        <v>2517</v>
      </c>
      <c r="O15" s="11">
        <v>43</v>
      </c>
      <c r="P15" s="11">
        <v>2474</v>
      </c>
      <c r="Q15" s="26">
        <v>1.7100000000000001E-2</v>
      </c>
      <c r="R15" s="11">
        <v>1996</v>
      </c>
      <c r="S15" s="11">
        <v>24</v>
      </c>
      <c r="T15" s="11">
        <v>1972</v>
      </c>
      <c r="U15" s="26">
        <v>1.2E-2</v>
      </c>
      <c r="V15" s="12">
        <f t="shared" si="0"/>
        <v>3.4965034965034968E-2</v>
      </c>
    </row>
    <row r="16" spans="1:22" x14ac:dyDescent="0.35">
      <c r="A16" s="10">
        <v>43750</v>
      </c>
      <c r="B16" s="11">
        <v>573</v>
      </c>
      <c r="C16" s="11">
        <v>190</v>
      </c>
      <c r="D16" s="11">
        <v>383</v>
      </c>
      <c r="E16" s="26">
        <v>0.33160000000000001</v>
      </c>
      <c r="F16" s="11">
        <v>3286</v>
      </c>
      <c r="G16" s="11">
        <v>81</v>
      </c>
      <c r="H16" s="11">
        <v>3205</v>
      </c>
      <c r="I16" s="26">
        <v>2.47E-2</v>
      </c>
      <c r="J16" s="11">
        <v>2358</v>
      </c>
      <c r="K16" s="11">
        <v>47</v>
      </c>
      <c r="L16" s="11">
        <v>2311</v>
      </c>
      <c r="M16" s="26">
        <v>1.9900000000000001E-2</v>
      </c>
      <c r="N16" s="11">
        <v>2535</v>
      </c>
      <c r="O16" s="11">
        <v>41</v>
      </c>
      <c r="P16" s="11">
        <v>2494</v>
      </c>
      <c r="Q16" s="26">
        <v>1.6199999999999999E-2</v>
      </c>
      <c r="R16" s="11">
        <v>2005</v>
      </c>
      <c r="S16" s="11">
        <v>23</v>
      </c>
      <c r="T16" s="11">
        <v>1982</v>
      </c>
      <c r="U16" s="26">
        <v>1.15E-2</v>
      </c>
      <c r="V16" s="12">
        <f t="shared" si="0"/>
        <v>3.5511759784326483E-2</v>
      </c>
    </row>
    <row r="17" spans="1:22" x14ac:dyDescent="0.35">
      <c r="A17" s="10">
        <v>43751</v>
      </c>
      <c r="B17" s="11">
        <v>572</v>
      </c>
      <c r="C17" s="11">
        <v>234</v>
      </c>
      <c r="D17" s="11">
        <v>338</v>
      </c>
      <c r="E17" s="26">
        <v>0.40910000000000002</v>
      </c>
      <c r="F17" s="11">
        <v>3224</v>
      </c>
      <c r="G17" s="11">
        <v>96</v>
      </c>
      <c r="H17" s="11">
        <v>3128</v>
      </c>
      <c r="I17" s="26">
        <v>2.98E-2</v>
      </c>
      <c r="J17" s="11">
        <v>2343</v>
      </c>
      <c r="K17" s="11">
        <v>48</v>
      </c>
      <c r="L17" s="11">
        <v>2295</v>
      </c>
      <c r="M17" s="26">
        <v>2.0500000000000001E-2</v>
      </c>
      <c r="N17" s="11">
        <v>2502</v>
      </c>
      <c r="O17" s="11">
        <v>43</v>
      </c>
      <c r="P17" s="11">
        <v>2459</v>
      </c>
      <c r="Q17" s="26">
        <v>1.72E-2</v>
      </c>
      <c r="R17" s="11">
        <v>1991</v>
      </c>
      <c r="S17" s="11">
        <v>33</v>
      </c>
      <c r="T17" s="11">
        <v>1958</v>
      </c>
      <c r="U17" s="26">
        <v>1.66E-2</v>
      </c>
      <c r="V17" s="12">
        <f t="shared" si="0"/>
        <v>4.2701279157261102E-2</v>
      </c>
    </row>
    <row r="18" spans="1:22" x14ac:dyDescent="0.35">
      <c r="A18" s="10">
        <v>43752</v>
      </c>
      <c r="B18" s="11">
        <v>566</v>
      </c>
      <c r="C18" s="11">
        <v>200</v>
      </c>
      <c r="D18" s="11">
        <v>366</v>
      </c>
      <c r="E18" s="26">
        <v>0.35339999999999999</v>
      </c>
      <c r="F18" s="11">
        <v>3192</v>
      </c>
      <c r="G18" s="11">
        <v>109</v>
      </c>
      <c r="H18" s="11">
        <v>3083</v>
      </c>
      <c r="I18" s="26">
        <v>3.4099999999999998E-2</v>
      </c>
      <c r="J18" s="11">
        <v>2320</v>
      </c>
      <c r="K18" s="11">
        <v>49</v>
      </c>
      <c r="L18" s="11">
        <v>2271</v>
      </c>
      <c r="M18" s="26">
        <v>2.1100000000000001E-2</v>
      </c>
      <c r="N18" s="11">
        <v>2499</v>
      </c>
      <c r="O18" s="11">
        <v>41</v>
      </c>
      <c r="P18" s="11">
        <v>2458</v>
      </c>
      <c r="Q18" s="26">
        <v>1.6400000000000001E-2</v>
      </c>
      <c r="R18" s="11">
        <v>1985</v>
      </c>
      <c r="S18" s="11">
        <v>34</v>
      </c>
      <c r="T18" s="11">
        <v>1951</v>
      </c>
      <c r="U18" s="26">
        <v>1.7100000000000001E-2</v>
      </c>
      <c r="V18" s="12">
        <f t="shared" si="0"/>
        <v>4.099602348040144E-2</v>
      </c>
    </row>
    <row r="19" spans="1:22" x14ac:dyDescent="0.35">
      <c r="A19" s="10">
        <v>43753</v>
      </c>
      <c r="B19" s="11">
        <v>570</v>
      </c>
      <c r="C19" s="11">
        <v>192</v>
      </c>
      <c r="D19" s="11">
        <v>378</v>
      </c>
      <c r="E19" s="26">
        <v>0.33679999999999999</v>
      </c>
      <c r="F19" s="11">
        <v>3211</v>
      </c>
      <c r="G19" s="11">
        <v>108</v>
      </c>
      <c r="H19" s="11">
        <v>3103</v>
      </c>
      <c r="I19" s="26">
        <v>3.3599999999999998E-2</v>
      </c>
      <c r="J19" s="11">
        <v>2366</v>
      </c>
      <c r="K19" s="11">
        <v>44</v>
      </c>
      <c r="L19" s="11">
        <v>2322</v>
      </c>
      <c r="M19" s="26">
        <v>1.8599999999999998E-2</v>
      </c>
      <c r="N19" s="11">
        <v>2492</v>
      </c>
      <c r="O19" s="11">
        <v>41</v>
      </c>
      <c r="P19" s="11">
        <v>2451</v>
      </c>
      <c r="Q19" s="26">
        <v>1.6500000000000001E-2</v>
      </c>
      <c r="R19" s="11">
        <v>2017</v>
      </c>
      <c r="S19" s="11">
        <v>27</v>
      </c>
      <c r="T19" s="11">
        <v>1990</v>
      </c>
      <c r="U19" s="26">
        <v>1.34E-2</v>
      </c>
      <c r="V19" s="12">
        <f t="shared" si="0"/>
        <v>3.8663663663663667E-2</v>
      </c>
    </row>
    <row r="20" spans="1:22" x14ac:dyDescent="0.35">
      <c r="A20" s="10">
        <v>43754</v>
      </c>
      <c r="B20" s="11">
        <v>575</v>
      </c>
      <c r="C20" s="11">
        <v>188</v>
      </c>
      <c r="D20" s="11">
        <v>387</v>
      </c>
      <c r="E20" s="26">
        <v>0.32700000000000001</v>
      </c>
      <c r="F20" s="11">
        <v>3192</v>
      </c>
      <c r="G20" s="11">
        <v>98</v>
      </c>
      <c r="H20" s="11">
        <v>3094</v>
      </c>
      <c r="I20" s="26">
        <v>3.0700000000000002E-2</v>
      </c>
      <c r="J20" s="11">
        <v>2359</v>
      </c>
      <c r="K20" s="11">
        <v>48</v>
      </c>
      <c r="L20" s="11">
        <v>2311</v>
      </c>
      <c r="M20" s="26">
        <v>2.0299999999999999E-2</v>
      </c>
      <c r="N20" s="11">
        <v>2481</v>
      </c>
      <c r="O20" s="11">
        <v>41</v>
      </c>
      <c r="P20" s="11">
        <v>2440</v>
      </c>
      <c r="Q20" s="26">
        <v>1.6500000000000001E-2</v>
      </c>
      <c r="R20" s="11">
        <v>2050</v>
      </c>
      <c r="S20" s="11">
        <v>27</v>
      </c>
      <c r="T20" s="11">
        <v>2023</v>
      </c>
      <c r="U20" s="26">
        <v>1.32E-2</v>
      </c>
      <c r="V20" s="12">
        <f t="shared" si="0"/>
        <v>3.7721685277282535E-2</v>
      </c>
    </row>
    <row r="21" spans="1:22" x14ac:dyDescent="0.35">
      <c r="A21" s="10">
        <v>43755</v>
      </c>
      <c r="B21" s="11">
        <v>579</v>
      </c>
      <c r="C21" s="11">
        <v>190</v>
      </c>
      <c r="D21" s="11">
        <v>389</v>
      </c>
      <c r="E21" s="26">
        <v>0.32819999999999999</v>
      </c>
      <c r="F21" s="11">
        <v>3238</v>
      </c>
      <c r="G21" s="11">
        <v>129</v>
      </c>
      <c r="H21" s="11">
        <v>3109</v>
      </c>
      <c r="I21" s="26">
        <v>3.9800000000000002E-2</v>
      </c>
      <c r="J21" s="11">
        <v>2359</v>
      </c>
      <c r="K21" s="11">
        <v>54</v>
      </c>
      <c r="L21" s="11">
        <v>2305</v>
      </c>
      <c r="M21" s="26">
        <v>2.29E-2</v>
      </c>
      <c r="N21" s="11">
        <v>2476</v>
      </c>
      <c r="O21" s="11">
        <v>42</v>
      </c>
      <c r="P21" s="11">
        <v>2434</v>
      </c>
      <c r="Q21" s="26">
        <v>1.7000000000000001E-2</v>
      </c>
      <c r="R21" s="11">
        <v>2047</v>
      </c>
      <c r="S21" s="11">
        <v>27</v>
      </c>
      <c r="T21" s="11">
        <v>2020</v>
      </c>
      <c r="U21" s="26">
        <v>1.32E-2</v>
      </c>
      <c r="V21" s="12">
        <f t="shared" si="0"/>
        <v>4.1312272174969626E-2</v>
      </c>
    </row>
    <row r="22" spans="1:22" x14ac:dyDescent="0.35">
      <c r="A22" s="10">
        <v>43756</v>
      </c>
      <c r="B22" s="11">
        <v>586</v>
      </c>
      <c r="C22" s="11">
        <v>194</v>
      </c>
      <c r="D22" s="11">
        <v>392</v>
      </c>
      <c r="E22" s="26">
        <v>0.33110000000000001</v>
      </c>
      <c r="F22" s="11">
        <v>3291</v>
      </c>
      <c r="G22" s="11">
        <v>89</v>
      </c>
      <c r="H22" s="11">
        <v>3202</v>
      </c>
      <c r="I22" s="26">
        <v>2.7E-2</v>
      </c>
      <c r="J22" s="11">
        <v>2379</v>
      </c>
      <c r="K22" s="11">
        <v>52</v>
      </c>
      <c r="L22" s="11">
        <v>2327</v>
      </c>
      <c r="M22" s="26">
        <v>2.1899999999999999E-2</v>
      </c>
      <c r="N22" s="11">
        <v>2455</v>
      </c>
      <c r="O22" s="11">
        <v>46</v>
      </c>
      <c r="P22" s="11">
        <v>2409</v>
      </c>
      <c r="Q22" s="26">
        <v>1.8700000000000001E-2</v>
      </c>
      <c r="R22" s="11">
        <v>2011</v>
      </c>
      <c r="S22" s="11">
        <v>25</v>
      </c>
      <c r="T22" s="11">
        <v>1986</v>
      </c>
      <c r="U22" s="26">
        <v>1.24E-2</v>
      </c>
      <c r="V22" s="12">
        <f t="shared" si="0"/>
        <v>3.7866069763103902E-2</v>
      </c>
    </row>
    <row r="23" spans="1:22" x14ac:dyDescent="0.35">
      <c r="A23" s="10">
        <v>43757</v>
      </c>
      <c r="B23" s="11">
        <v>586</v>
      </c>
      <c r="C23" s="11">
        <v>201</v>
      </c>
      <c r="D23" s="11">
        <v>385</v>
      </c>
      <c r="E23" s="26">
        <v>0.34300000000000003</v>
      </c>
      <c r="F23" s="11">
        <v>3269</v>
      </c>
      <c r="G23" s="11">
        <v>97</v>
      </c>
      <c r="H23" s="11">
        <v>3172</v>
      </c>
      <c r="I23" s="26">
        <v>2.9700000000000001E-2</v>
      </c>
      <c r="J23" s="11">
        <v>2374</v>
      </c>
      <c r="K23" s="11">
        <v>51</v>
      </c>
      <c r="L23" s="11">
        <v>2323</v>
      </c>
      <c r="M23" s="26">
        <v>2.1499999999999998E-2</v>
      </c>
      <c r="N23" s="11">
        <v>2473</v>
      </c>
      <c r="O23" s="11">
        <v>39</v>
      </c>
      <c r="P23" s="11">
        <v>2434</v>
      </c>
      <c r="Q23" s="26">
        <v>1.5800000000000002E-2</v>
      </c>
      <c r="R23" s="11">
        <v>1978</v>
      </c>
      <c r="S23" s="11">
        <v>32</v>
      </c>
      <c r="T23" s="11">
        <v>1946</v>
      </c>
      <c r="U23" s="26">
        <v>1.6199999999999999E-2</v>
      </c>
      <c r="V23" s="12">
        <f t="shared" si="0"/>
        <v>3.9325842696629212E-2</v>
      </c>
    </row>
    <row r="24" spans="1:22" x14ac:dyDescent="0.35">
      <c r="A24" s="10">
        <v>43758</v>
      </c>
      <c r="B24" s="11">
        <v>587</v>
      </c>
      <c r="C24" s="11">
        <v>249</v>
      </c>
      <c r="D24" s="11">
        <v>338</v>
      </c>
      <c r="E24" s="26">
        <v>0.42420000000000002</v>
      </c>
      <c r="F24" s="11">
        <v>3243</v>
      </c>
      <c r="G24" s="11">
        <v>139</v>
      </c>
      <c r="H24" s="11">
        <v>3104</v>
      </c>
      <c r="I24" s="26">
        <v>4.2900000000000001E-2</v>
      </c>
      <c r="J24" s="11">
        <v>2348</v>
      </c>
      <c r="K24" s="11">
        <v>63</v>
      </c>
      <c r="L24" s="11">
        <v>2285</v>
      </c>
      <c r="M24" s="26">
        <v>2.6800000000000001E-2</v>
      </c>
      <c r="N24" s="11">
        <v>2437</v>
      </c>
      <c r="O24" s="11">
        <v>49</v>
      </c>
      <c r="P24" s="11">
        <v>2388</v>
      </c>
      <c r="Q24" s="26">
        <v>2.01E-2</v>
      </c>
      <c r="R24" s="11">
        <v>1968</v>
      </c>
      <c r="S24" s="11">
        <v>40</v>
      </c>
      <c r="T24" s="11">
        <v>1928</v>
      </c>
      <c r="U24" s="26">
        <v>2.0299999999999999E-2</v>
      </c>
      <c r="V24" s="12">
        <f t="shared" si="0"/>
        <v>5.1025229141075309E-2</v>
      </c>
    </row>
    <row r="25" spans="1:22" x14ac:dyDescent="0.35">
      <c r="A25" s="10">
        <v>43759</v>
      </c>
      <c r="B25" s="11">
        <v>583</v>
      </c>
      <c r="C25" s="11">
        <v>212</v>
      </c>
      <c r="D25" s="11">
        <v>371</v>
      </c>
      <c r="E25" s="26">
        <v>0.36359999999999998</v>
      </c>
      <c r="F25" s="11">
        <v>3250</v>
      </c>
      <c r="G25" s="11">
        <v>107</v>
      </c>
      <c r="H25" s="11">
        <v>3143</v>
      </c>
      <c r="I25" s="26">
        <v>3.2899999999999999E-2</v>
      </c>
      <c r="J25" s="11">
        <v>2343</v>
      </c>
      <c r="K25" s="11">
        <v>55</v>
      </c>
      <c r="L25" s="11">
        <v>2288</v>
      </c>
      <c r="M25" s="26">
        <v>2.35E-2</v>
      </c>
      <c r="N25" s="11">
        <v>2459</v>
      </c>
      <c r="O25" s="11">
        <v>44</v>
      </c>
      <c r="P25" s="11">
        <v>2415</v>
      </c>
      <c r="Q25" s="26">
        <v>1.7899999999999999E-2</v>
      </c>
      <c r="R25" s="11">
        <v>2029</v>
      </c>
      <c r="S25" s="11">
        <v>25</v>
      </c>
      <c r="T25" s="11">
        <v>2004</v>
      </c>
      <c r="U25" s="26">
        <v>1.23E-2</v>
      </c>
      <c r="V25" s="12">
        <f t="shared" si="0"/>
        <v>4.1541635408852216E-2</v>
      </c>
    </row>
    <row r="26" spans="1:22" x14ac:dyDescent="0.35">
      <c r="A26" s="10">
        <v>43760</v>
      </c>
      <c r="B26" s="11">
        <v>582</v>
      </c>
      <c r="C26" s="11">
        <v>203</v>
      </c>
      <c r="D26" s="11">
        <v>379</v>
      </c>
      <c r="E26" s="26">
        <v>0.3488</v>
      </c>
      <c r="F26" s="11">
        <v>3267</v>
      </c>
      <c r="G26" s="11">
        <v>106</v>
      </c>
      <c r="H26" s="11">
        <v>3161</v>
      </c>
      <c r="I26" s="26">
        <v>3.2399999999999998E-2</v>
      </c>
      <c r="J26" s="11">
        <v>2352</v>
      </c>
      <c r="K26" s="11">
        <v>56</v>
      </c>
      <c r="L26" s="11">
        <v>2296</v>
      </c>
      <c r="M26" s="26">
        <v>2.3800000000000002E-2</v>
      </c>
      <c r="N26" s="11">
        <v>2456</v>
      </c>
      <c r="O26" s="11">
        <v>43</v>
      </c>
      <c r="P26" s="11">
        <v>2413</v>
      </c>
      <c r="Q26" s="26">
        <v>1.7500000000000002E-2</v>
      </c>
      <c r="R26" s="11">
        <v>2001</v>
      </c>
      <c r="S26" s="11">
        <v>25</v>
      </c>
      <c r="T26" s="11">
        <v>1976</v>
      </c>
      <c r="U26" s="26">
        <v>1.2500000000000001E-2</v>
      </c>
      <c r="V26" s="12">
        <f t="shared" si="0"/>
        <v>4.0626759241884032E-2</v>
      </c>
    </row>
    <row r="27" spans="1:22" x14ac:dyDescent="0.35">
      <c r="A27" s="10">
        <v>43761</v>
      </c>
      <c r="B27" s="11">
        <v>583</v>
      </c>
      <c r="C27" s="11">
        <v>194</v>
      </c>
      <c r="D27" s="11">
        <v>389</v>
      </c>
      <c r="E27" s="26">
        <v>0.33279999999999998</v>
      </c>
      <c r="F27" s="11">
        <v>3257</v>
      </c>
      <c r="G27" s="11">
        <v>103</v>
      </c>
      <c r="H27" s="11">
        <v>3154</v>
      </c>
      <c r="I27" s="26">
        <v>3.1600000000000003E-2</v>
      </c>
      <c r="J27" s="11">
        <v>2351</v>
      </c>
      <c r="K27" s="11">
        <v>59</v>
      </c>
      <c r="L27" s="11">
        <v>2292</v>
      </c>
      <c r="M27" s="26">
        <v>2.5100000000000001E-2</v>
      </c>
      <c r="N27" s="11">
        <v>2452</v>
      </c>
      <c r="O27" s="11">
        <v>41</v>
      </c>
      <c r="P27" s="11">
        <v>2411</v>
      </c>
      <c r="Q27" s="26">
        <v>1.67E-2</v>
      </c>
      <c r="R27" s="11">
        <v>2032</v>
      </c>
      <c r="S27" s="11">
        <v>25</v>
      </c>
      <c r="T27" s="11">
        <v>2007</v>
      </c>
      <c r="U27" s="26">
        <v>1.23E-2</v>
      </c>
      <c r="V27" s="12">
        <f t="shared" si="0"/>
        <v>3.953161592505855E-2</v>
      </c>
    </row>
    <row r="28" spans="1:22" x14ac:dyDescent="0.35">
      <c r="A28" s="10">
        <v>43762</v>
      </c>
      <c r="B28" s="11">
        <v>588</v>
      </c>
      <c r="C28" s="11">
        <v>187</v>
      </c>
      <c r="D28" s="11">
        <v>401</v>
      </c>
      <c r="E28" s="26">
        <v>0.318</v>
      </c>
      <c r="F28" s="11">
        <v>3277</v>
      </c>
      <c r="G28" s="11">
        <v>134</v>
      </c>
      <c r="H28" s="11">
        <v>3143</v>
      </c>
      <c r="I28" s="26">
        <v>4.0899999999999999E-2</v>
      </c>
      <c r="J28" s="11">
        <v>2370</v>
      </c>
      <c r="K28" s="11">
        <v>58</v>
      </c>
      <c r="L28" s="11">
        <v>2312</v>
      </c>
      <c r="M28" s="26">
        <v>2.4500000000000001E-2</v>
      </c>
      <c r="N28" s="11">
        <v>2514</v>
      </c>
      <c r="O28" s="11">
        <v>40</v>
      </c>
      <c r="P28" s="11">
        <v>2474</v>
      </c>
      <c r="Q28" s="26">
        <v>1.5900000000000001E-2</v>
      </c>
      <c r="R28" s="11">
        <v>2037</v>
      </c>
      <c r="S28" s="11">
        <v>30</v>
      </c>
      <c r="T28" s="11">
        <v>2007</v>
      </c>
      <c r="U28" s="26">
        <v>1.47E-2</v>
      </c>
      <c r="V28" s="12">
        <f t="shared" si="0"/>
        <v>4.1628036343408122E-2</v>
      </c>
    </row>
    <row r="29" spans="1:22" x14ac:dyDescent="0.35">
      <c r="A29" s="10">
        <v>43763</v>
      </c>
      <c r="B29" s="11">
        <v>591</v>
      </c>
      <c r="C29" s="11">
        <v>199</v>
      </c>
      <c r="D29" s="11">
        <v>392</v>
      </c>
      <c r="E29" s="26">
        <v>0.3367</v>
      </c>
      <c r="F29" s="11">
        <v>3306</v>
      </c>
      <c r="G29" s="11">
        <v>100</v>
      </c>
      <c r="H29" s="11">
        <v>3206</v>
      </c>
      <c r="I29" s="26">
        <v>3.0200000000000001E-2</v>
      </c>
      <c r="J29" s="11">
        <v>2363</v>
      </c>
      <c r="K29" s="11">
        <v>55</v>
      </c>
      <c r="L29" s="11">
        <v>2308</v>
      </c>
      <c r="M29" s="26">
        <v>2.3300000000000001E-2</v>
      </c>
      <c r="N29" s="11">
        <v>2501</v>
      </c>
      <c r="O29" s="11">
        <v>42</v>
      </c>
      <c r="P29" s="11">
        <v>2459</v>
      </c>
      <c r="Q29" s="26">
        <v>1.6799999999999999E-2</v>
      </c>
      <c r="R29" s="11">
        <v>2021</v>
      </c>
      <c r="S29" s="11">
        <v>33</v>
      </c>
      <c r="T29" s="11">
        <v>1988</v>
      </c>
      <c r="U29" s="26">
        <v>1.6299999999999999E-2</v>
      </c>
      <c r="V29" s="12">
        <f t="shared" si="0"/>
        <v>3.9788536449638284E-2</v>
      </c>
    </row>
    <row r="30" spans="1:22" x14ac:dyDescent="0.35">
      <c r="A30" s="10">
        <v>43764</v>
      </c>
      <c r="B30" s="11">
        <v>596</v>
      </c>
      <c r="C30" s="11">
        <v>217</v>
      </c>
      <c r="D30" s="11">
        <v>379</v>
      </c>
      <c r="E30" s="26">
        <v>0.36409999999999998</v>
      </c>
      <c r="F30" s="11">
        <v>3320</v>
      </c>
      <c r="G30" s="11">
        <v>96</v>
      </c>
      <c r="H30" s="11">
        <v>3224</v>
      </c>
      <c r="I30" s="26">
        <v>2.8899999999999999E-2</v>
      </c>
      <c r="J30" s="11">
        <v>2383</v>
      </c>
      <c r="K30" s="11">
        <v>56</v>
      </c>
      <c r="L30" s="11">
        <v>2327</v>
      </c>
      <c r="M30" s="26">
        <v>2.35E-2</v>
      </c>
      <c r="N30" s="11">
        <v>2520</v>
      </c>
      <c r="O30" s="11">
        <v>37</v>
      </c>
      <c r="P30" s="11">
        <v>2483</v>
      </c>
      <c r="Q30" s="26">
        <v>1.47E-2</v>
      </c>
      <c r="R30" s="11">
        <v>2013</v>
      </c>
      <c r="S30" s="11">
        <v>36</v>
      </c>
      <c r="T30" s="11">
        <v>1977</v>
      </c>
      <c r="U30" s="26">
        <v>1.7899999999999999E-2</v>
      </c>
      <c r="V30" s="12">
        <f t="shared" si="0"/>
        <v>4.0805022156573119E-2</v>
      </c>
    </row>
    <row r="31" spans="1:22" x14ac:dyDescent="0.35">
      <c r="A31" s="10">
        <v>43765</v>
      </c>
      <c r="B31" s="11">
        <v>590</v>
      </c>
      <c r="C31" s="11">
        <v>253</v>
      </c>
      <c r="D31" s="11">
        <v>337</v>
      </c>
      <c r="E31" s="26">
        <v>0.42880000000000001</v>
      </c>
      <c r="F31" s="11">
        <v>3283</v>
      </c>
      <c r="G31" s="11">
        <v>120</v>
      </c>
      <c r="H31" s="11">
        <v>3163</v>
      </c>
      <c r="I31" s="26">
        <v>3.6600000000000001E-2</v>
      </c>
      <c r="J31" s="11">
        <v>2366</v>
      </c>
      <c r="K31" s="11">
        <v>60</v>
      </c>
      <c r="L31" s="11">
        <v>2306</v>
      </c>
      <c r="M31" s="26">
        <v>2.5399999999999999E-2</v>
      </c>
      <c r="N31" s="11">
        <v>2505</v>
      </c>
      <c r="O31" s="11">
        <v>42</v>
      </c>
      <c r="P31" s="11">
        <v>2463</v>
      </c>
      <c r="Q31" s="26">
        <v>1.6799999999999999E-2</v>
      </c>
      <c r="R31" s="11">
        <v>2019</v>
      </c>
      <c r="S31" s="11">
        <v>51</v>
      </c>
      <c r="T31" s="11">
        <v>1968</v>
      </c>
      <c r="U31" s="26">
        <v>2.53E-2</v>
      </c>
      <c r="V31" s="12">
        <f t="shared" si="0"/>
        <v>4.8871132583852082E-2</v>
      </c>
    </row>
    <row r="32" spans="1:22" x14ac:dyDescent="0.35">
      <c r="A32" s="10">
        <v>43766</v>
      </c>
      <c r="B32" s="11">
        <v>594</v>
      </c>
      <c r="C32" s="11">
        <v>211</v>
      </c>
      <c r="D32" s="11">
        <v>383</v>
      </c>
      <c r="E32" s="26">
        <v>0.35520000000000002</v>
      </c>
      <c r="F32" s="11">
        <v>3256</v>
      </c>
      <c r="G32" s="11">
        <v>108</v>
      </c>
      <c r="H32" s="11">
        <v>3148</v>
      </c>
      <c r="I32" s="26">
        <v>3.32E-2</v>
      </c>
      <c r="J32" s="11">
        <v>2359</v>
      </c>
      <c r="K32" s="11">
        <v>61</v>
      </c>
      <c r="L32" s="11">
        <v>2298</v>
      </c>
      <c r="M32" s="26">
        <v>2.5899999999999999E-2</v>
      </c>
      <c r="N32" s="11">
        <v>2505</v>
      </c>
      <c r="O32" s="11">
        <v>40</v>
      </c>
      <c r="P32" s="11">
        <v>2465</v>
      </c>
      <c r="Q32" s="26">
        <v>1.6E-2</v>
      </c>
      <c r="R32" s="11">
        <v>2006</v>
      </c>
      <c r="S32" s="11">
        <v>37</v>
      </c>
      <c r="T32" s="11">
        <v>1969</v>
      </c>
      <c r="U32" s="26">
        <v>1.84E-2</v>
      </c>
      <c r="V32" s="12">
        <f t="shared" si="0"/>
        <v>4.2630597014925373E-2</v>
      </c>
    </row>
    <row r="33" spans="1:22" x14ac:dyDescent="0.35">
      <c r="A33" s="10">
        <v>43767</v>
      </c>
      <c r="B33" s="11">
        <v>599</v>
      </c>
      <c r="C33" s="11">
        <v>216</v>
      </c>
      <c r="D33" s="11">
        <v>383</v>
      </c>
      <c r="E33" s="26">
        <v>0.36059999999999998</v>
      </c>
      <c r="F33" s="11">
        <v>3270</v>
      </c>
      <c r="G33" s="11">
        <v>90</v>
      </c>
      <c r="H33" s="11">
        <v>3180</v>
      </c>
      <c r="I33" s="26">
        <v>2.75E-2</v>
      </c>
      <c r="J33" s="11">
        <v>2355</v>
      </c>
      <c r="K33" s="11">
        <v>71</v>
      </c>
      <c r="L33" s="11">
        <v>2284</v>
      </c>
      <c r="M33" s="26">
        <v>3.0099999999999998E-2</v>
      </c>
      <c r="N33" s="11">
        <v>2518</v>
      </c>
      <c r="O33" s="11">
        <v>40</v>
      </c>
      <c r="P33" s="11">
        <v>2478</v>
      </c>
      <c r="Q33" s="26">
        <v>1.5900000000000001E-2</v>
      </c>
      <c r="R33" s="11">
        <v>2010</v>
      </c>
      <c r="S33" s="11">
        <v>40</v>
      </c>
      <c r="T33" s="11">
        <v>1970</v>
      </c>
      <c r="U33" s="26">
        <v>1.9900000000000001E-2</v>
      </c>
      <c r="V33" s="12">
        <f t="shared" si="0"/>
        <v>4.250372023809524E-2</v>
      </c>
    </row>
    <row r="34" spans="1:22" x14ac:dyDescent="0.35">
      <c r="A34" s="10">
        <v>43768</v>
      </c>
      <c r="B34" s="11">
        <v>600</v>
      </c>
      <c r="C34" s="11">
        <v>216</v>
      </c>
      <c r="D34" s="11">
        <v>384</v>
      </c>
      <c r="E34" s="26">
        <v>0.36</v>
      </c>
      <c r="F34" s="11">
        <v>3262</v>
      </c>
      <c r="G34" s="11">
        <v>93</v>
      </c>
      <c r="H34" s="11">
        <v>3169</v>
      </c>
      <c r="I34" s="26">
        <v>2.8500000000000001E-2</v>
      </c>
      <c r="J34" s="11">
        <v>2383</v>
      </c>
      <c r="K34" s="11">
        <v>63</v>
      </c>
      <c r="L34" s="11">
        <v>2320</v>
      </c>
      <c r="M34" s="26">
        <v>2.64E-2</v>
      </c>
      <c r="N34" s="11">
        <v>2523</v>
      </c>
      <c r="O34" s="11">
        <v>38</v>
      </c>
      <c r="P34" s="11">
        <v>2485</v>
      </c>
      <c r="Q34" s="26">
        <v>1.5100000000000001E-2</v>
      </c>
      <c r="R34" s="11">
        <v>2021</v>
      </c>
      <c r="S34" s="11">
        <v>39</v>
      </c>
      <c r="T34" s="11">
        <v>1982</v>
      </c>
      <c r="U34" s="26">
        <v>1.9300000000000001E-2</v>
      </c>
      <c r="V34" s="12">
        <f t="shared" si="0"/>
        <v>4.1616461210492166E-2</v>
      </c>
    </row>
    <row r="35" spans="1:22" x14ac:dyDescent="0.35">
      <c r="A35" s="10">
        <v>43769</v>
      </c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17103</v>
      </c>
      <c r="C36" s="22">
        <f>SUM(C5:C35)</f>
        <v>5879</v>
      </c>
      <c r="D36" s="22">
        <f>SUM(D5:D35)</f>
        <v>11224</v>
      </c>
      <c r="E36" s="23">
        <f>C36/B36</f>
        <v>0.34374086417587557</v>
      </c>
      <c r="F36" s="22">
        <f>SUM(F5:F35)</f>
        <v>97381</v>
      </c>
      <c r="G36" s="22">
        <f>SUM(G5:G35)</f>
        <v>3115</v>
      </c>
      <c r="H36" s="22">
        <f>SUM(H5:H35)</f>
        <v>94266</v>
      </c>
      <c r="I36" s="23">
        <f>G36/F36</f>
        <v>3.1987759419188549E-2</v>
      </c>
      <c r="J36" s="22">
        <f>SUM(J5:J35)</f>
        <v>70587</v>
      </c>
      <c r="K36" s="22">
        <f>SUM(K5:K35)</f>
        <v>1598</v>
      </c>
      <c r="L36" s="22">
        <f>SUM(L5:L35)</f>
        <v>68989</v>
      </c>
      <c r="M36" s="23">
        <f>K36/J36</f>
        <v>2.2638729511099777E-2</v>
      </c>
      <c r="N36" s="22">
        <f>SUM(N5:N35)</f>
        <v>75042</v>
      </c>
      <c r="O36" s="22">
        <f>SUM(O5:O35)</f>
        <v>1242</v>
      </c>
      <c r="P36" s="22">
        <f>SUM(P5:P35)</f>
        <v>73800</v>
      </c>
      <c r="Q36" s="23">
        <f>O36/N36</f>
        <v>1.6550731590309425E-2</v>
      </c>
      <c r="R36" s="22">
        <f>SUM(R5:R35)</f>
        <v>59877</v>
      </c>
      <c r="S36" s="22">
        <f>SUM(S5:S35)</f>
        <v>860</v>
      </c>
      <c r="T36" s="22">
        <f>SUM(T5:T35)</f>
        <v>59017</v>
      </c>
      <c r="U36" s="23">
        <f>S36/R36</f>
        <v>1.4362777026237119E-2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0.78122923676335354</v>
      </c>
      <c r="F38" s="33"/>
      <c r="G38" s="34"/>
      <c r="H38" s="35"/>
      <c r="I38" s="16">
        <f>I36/I37</f>
        <v>0.82019895946637311</v>
      </c>
      <c r="J38" s="33"/>
      <c r="K38" s="34"/>
      <c r="L38" s="35"/>
      <c r="M38" s="16">
        <f>M36/M37</f>
        <v>0.80852605396784916</v>
      </c>
      <c r="N38" s="33"/>
      <c r="O38" s="34"/>
      <c r="P38" s="35"/>
      <c r="Q38" s="16">
        <f>Q36/Q37</f>
        <v>1.5046119627554024</v>
      </c>
      <c r="R38" s="33"/>
      <c r="S38" s="34"/>
      <c r="T38" s="35"/>
      <c r="U38" s="16">
        <f>U36/U37</f>
        <v>1.3057070023851927</v>
      </c>
      <c r="V38" s="16" t="e">
        <f>V36/V37</f>
        <v>#DIV/0!</v>
      </c>
    </row>
    <row r="39" spans="1:22" x14ac:dyDescent="0.35">
      <c r="A39">
        <v>2</v>
      </c>
      <c r="B39">
        <f>B36*$A$39</f>
        <v>34206</v>
      </c>
      <c r="C39">
        <f t="shared" ref="C39:T39" si="1">C36*$A$39</f>
        <v>11758</v>
      </c>
      <c r="D39">
        <f t="shared" si="1"/>
        <v>22448</v>
      </c>
      <c r="F39">
        <f t="shared" si="1"/>
        <v>194762</v>
      </c>
      <c r="G39">
        <f t="shared" si="1"/>
        <v>6230</v>
      </c>
      <c r="H39">
        <f t="shared" si="1"/>
        <v>188532</v>
      </c>
      <c r="J39">
        <f t="shared" si="1"/>
        <v>141174</v>
      </c>
      <c r="K39">
        <f t="shared" si="1"/>
        <v>3196</v>
      </c>
      <c r="L39">
        <f t="shared" si="1"/>
        <v>137978</v>
      </c>
      <c r="N39">
        <f t="shared" si="1"/>
        <v>150084</v>
      </c>
      <c r="O39">
        <f t="shared" si="1"/>
        <v>2484</v>
      </c>
      <c r="P39">
        <f t="shared" si="1"/>
        <v>147600</v>
      </c>
      <c r="R39">
        <f t="shared" si="1"/>
        <v>119754</v>
      </c>
      <c r="S39">
        <f t="shared" si="1"/>
        <v>1720</v>
      </c>
      <c r="T39">
        <f t="shared" si="1"/>
        <v>118034</v>
      </c>
    </row>
    <row r="40" spans="1:22" x14ac:dyDescent="0.35">
      <c r="E40" s="13"/>
    </row>
    <row r="41" spans="1:22" ht="39" customHeight="1" x14ac:dyDescent="0.35">
      <c r="B41" s="27">
        <f>VLOOKUP(B$2,'[9]311019'!$A$2:$F$25,3,0)</f>
        <v>600</v>
      </c>
      <c r="C41" s="27">
        <f>VLOOKUP(B$2,'[9]311019'!$A$2:$F$25,4,0)</f>
        <v>216</v>
      </c>
      <c r="D41" s="27">
        <f>VLOOKUP(B$2,'[9]311019'!$A$2:$F$25,5,0)</f>
        <v>384</v>
      </c>
      <c r="E41" s="28">
        <f>VLOOKUP(B$2,'[9]311019'!$A$2:$F$25,6,0)</f>
        <v>0.36</v>
      </c>
      <c r="F41" s="27">
        <f>VLOOKUP(F$2,'[9]311019'!$A$2:$F$25,3,0)</f>
        <v>3262</v>
      </c>
      <c r="G41" s="27">
        <f>VLOOKUP(F$2,'[9]311019'!$A$2:$F$25,4,0)</f>
        <v>93</v>
      </c>
      <c r="H41" s="27">
        <f>VLOOKUP(F$2,'[9]311019'!$A$2:$F$25,5,0)</f>
        <v>3169</v>
      </c>
      <c r="I41" s="29">
        <f>VLOOKUP(F$2,'[9]311019'!$A$2:$F$25,6,0)</f>
        <v>2.8500000000000001E-2</v>
      </c>
      <c r="J41" s="27">
        <f>VLOOKUP(J$2,'[9]311019'!$A$2:$F$25,3,0)</f>
        <v>2383</v>
      </c>
      <c r="K41" s="27">
        <f>VLOOKUP(J$2,'[9]311019'!$A$2:$F$25,4,0)</f>
        <v>63</v>
      </c>
      <c r="L41" s="27">
        <f>VLOOKUP(J$2,'[9]311019'!$A$2:$F$25,5,0)</f>
        <v>2320</v>
      </c>
      <c r="M41" s="28">
        <f>VLOOKUP(J$2,'[9]311019'!$A$2:$F$25,6,0)</f>
        <v>2.64E-2</v>
      </c>
      <c r="N41" s="27">
        <f>VLOOKUP(N$2,'[9]311019'!$A$2:$F$25,3,0)</f>
        <v>2523</v>
      </c>
      <c r="O41" s="27">
        <f>VLOOKUP(N$2,'[9]311019'!$A$2:$F$25,4,0)</f>
        <v>38</v>
      </c>
      <c r="P41" s="27">
        <f>VLOOKUP(N$2,'[9]311019'!$A$2:$F$25,5,0)</f>
        <v>2485</v>
      </c>
      <c r="Q41" s="28">
        <f>VLOOKUP(N$2,'[9]311019'!$A$2:$F$25,6,0)</f>
        <v>1.5100000000000001E-2</v>
      </c>
      <c r="R41" s="27">
        <f>VLOOKUP(R$2,'[9]311019'!$A$2:$F$25,3,0)</f>
        <v>2021</v>
      </c>
      <c r="S41" s="27">
        <f>VLOOKUP(R$2,'[9]311019'!$A$2:$F$25,4,0)</f>
        <v>39</v>
      </c>
      <c r="T41" s="27">
        <f>VLOOKUP(R$2,'[9]311019'!$A$2:$F$25,5,0)</f>
        <v>1982</v>
      </c>
      <c r="U41" s="28">
        <f>VLOOKUP(R$2,'[9]311019'!$A$2:$F$25,6,0)</f>
        <v>1.9300000000000001E-2</v>
      </c>
    </row>
    <row r="43" spans="1:22" x14ac:dyDescent="0.35">
      <c r="E43" s="14"/>
    </row>
    <row r="44" spans="1:22" ht="13.5" x14ac:dyDescent="0.35">
      <c r="B44">
        <f>B39+F39+J39+N39+R39</f>
        <v>639980</v>
      </c>
      <c r="C44">
        <f>C39+G39+K39+O39+S39</f>
        <v>25388</v>
      </c>
      <c r="E44" s="23">
        <f>C44/B44</f>
        <v>3.9669989687177727E-2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44"/>
  <sheetViews>
    <sheetView topLeftCell="A10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43770</v>
      </c>
      <c r="B5" s="11">
        <v>600</v>
      </c>
      <c r="C5" s="11">
        <v>192</v>
      </c>
      <c r="D5" s="11">
        <v>408</v>
      </c>
      <c r="E5" s="26">
        <v>0.32</v>
      </c>
      <c r="F5" s="11">
        <v>3301</v>
      </c>
      <c r="G5" s="11">
        <v>112</v>
      </c>
      <c r="H5" s="11">
        <v>3189</v>
      </c>
      <c r="I5" s="26">
        <v>3.39E-2</v>
      </c>
      <c r="J5" s="11">
        <v>2389</v>
      </c>
      <c r="K5" s="11">
        <v>66</v>
      </c>
      <c r="L5" s="11">
        <v>2323</v>
      </c>
      <c r="M5" s="26">
        <v>2.76E-2</v>
      </c>
      <c r="N5" s="11">
        <v>2515</v>
      </c>
      <c r="O5" s="11">
        <v>42</v>
      </c>
      <c r="P5" s="11">
        <v>2473</v>
      </c>
      <c r="Q5" s="26">
        <v>1.67E-2</v>
      </c>
      <c r="R5" s="11">
        <v>2019</v>
      </c>
      <c r="S5" s="11">
        <v>39</v>
      </c>
      <c r="T5" s="11">
        <v>1980</v>
      </c>
      <c r="U5" s="26">
        <v>1.9300000000000001E-2</v>
      </c>
      <c r="V5" s="12">
        <f t="shared" ref="V5:V34" si="0">(C5+G5+K5+O5+S5)/(B5+F5+J5+N5+R5)</f>
        <v>4.1666666666666664E-2</v>
      </c>
    </row>
    <row r="6" spans="1:22" x14ac:dyDescent="0.35">
      <c r="A6" s="10">
        <v>43771</v>
      </c>
      <c r="B6" s="11">
        <v>608</v>
      </c>
      <c r="C6" s="11">
        <v>215</v>
      </c>
      <c r="D6" s="11">
        <v>393</v>
      </c>
      <c r="E6" s="26">
        <v>0.35360000000000003</v>
      </c>
      <c r="F6" s="11">
        <v>3302</v>
      </c>
      <c r="G6" s="11">
        <v>95</v>
      </c>
      <c r="H6" s="11">
        <v>3207</v>
      </c>
      <c r="I6" s="26">
        <v>2.8799999999999999E-2</v>
      </c>
      <c r="J6" s="11">
        <v>2383</v>
      </c>
      <c r="K6" s="11">
        <v>70</v>
      </c>
      <c r="L6" s="11">
        <v>2313</v>
      </c>
      <c r="M6" s="26">
        <v>2.9399999999999999E-2</v>
      </c>
      <c r="N6" s="11">
        <v>2516</v>
      </c>
      <c r="O6" s="11">
        <v>41</v>
      </c>
      <c r="P6" s="11">
        <v>2475</v>
      </c>
      <c r="Q6" s="26">
        <v>1.6299999999999999E-2</v>
      </c>
      <c r="R6" s="11">
        <v>1993</v>
      </c>
      <c r="S6" s="11">
        <v>36</v>
      </c>
      <c r="T6" s="11">
        <v>1957</v>
      </c>
      <c r="U6" s="26">
        <v>1.8100000000000002E-2</v>
      </c>
      <c r="V6" s="12">
        <f>(C6+G6+K6+O6+S6)/(B6+F6+J6+N6+R6)</f>
        <v>4.2306980188853913E-2</v>
      </c>
    </row>
    <row r="7" spans="1:22" x14ac:dyDescent="0.35">
      <c r="A7" s="10">
        <v>43772</v>
      </c>
      <c r="B7" s="11">
        <v>609</v>
      </c>
      <c r="C7" s="11">
        <v>247</v>
      </c>
      <c r="D7" s="11">
        <v>362</v>
      </c>
      <c r="E7" s="26">
        <v>0.40560000000000002</v>
      </c>
      <c r="F7" s="11">
        <v>3287</v>
      </c>
      <c r="G7" s="11">
        <v>118</v>
      </c>
      <c r="H7" s="11">
        <v>3169</v>
      </c>
      <c r="I7" s="26">
        <v>3.5900000000000001E-2</v>
      </c>
      <c r="J7" s="11">
        <v>2369</v>
      </c>
      <c r="K7" s="11">
        <v>85</v>
      </c>
      <c r="L7" s="11">
        <v>2284</v>
      </c>
      <c r="M7" s="26">
        <v>3.5900000000000001E-2</v>
      </c>
      <c r="N7" s="11">
        <v>2501</v>
      </c>
      <c r="O7" s="11">
        <v>45</v>
      </c>
      <c r="P7" s="11">
        <v>2456</v>
      </c>
      <c r="Q7" s="26">
        <v>1.7999999999999999E-2</v>
      </c>
      <c r="R7" s="11">
        <v>1986</v>
      </c>
      <c r="S7" s="11">
        <v>39</v>
      </c>
      <c r="T7" s="11">
        <v>1947</v>
      </c>
      <c r="U7" s="26">
        <v>1.9599999999999999E-2</v>
      </c>
      <c r="V7" s="12">
        <f>(C7+G7+K7+O7+S7)/(B7+F7+J7+N7+R7)</f>
        <v>4.9665178571428568E-2</v>
      </c>
    </row>
    <row r="8" spans="1:22" x14ac:dyDescent="0.35">
      <c r="A8" s="10">
        <v>43773</v>
      </c>
      <c r="B8" s="11">
        <v>612</v>
      </c>
      <c r="C8" s="11">
        <v>234</v>
      </c>
      <c r="D8" s="11">
        <v>378</v>
      </c>
      <c r="E8" s="26">
        <v>0.38240000000000002</v>
      </c>
      <c r="F8" s="11">
        <v>3288</v>
      </c>
      <c r="G8" s="11">
        <v>102</v>
      </c>
      <c r="H8" s="11">
        <v>3186</v>
      </c>
      <c r="I8" s="26">
        <v>3.1E-2</v>
      </c>
      <c r="J8" s="11">
        <v>2368</v>
      </c>
      <c r="K8" s="11">
        <v>70</v>
      </c>
      <c r="L8" s="11">
        <v>2298</v>
      </c>
      <c r="M8" s="26">
        <v>2.9600000000000001E-2</v>
      </c>
      <c r="N8" s="11">
        <v>2498</v>
      </c>
      <c r="O8" s="11">
        <v>45</v>
      </c>
      <c r="P8" s="11">
        <v>2453</v>
      </c>
      <c r="Q8" s="26">
        <v>1.7999999999999999E-2</v>
      </c>
      <c r="R8" s="11">
        <v>1989</v>
      </c>
      <c r="S8" s="11">
        <v>35</v>
      </c>
      <c r="T8" s="11">
        <v>1954</v>
      </c>
      <c r="U8" s="26">
        <v>1.7600000000000001E-2</v>
      </c>
      <c r="V8" s="12">
        <f t="shared" si="0"/>
        <v>4.5188284518828455E-2</v>
      </c>
    </row>
    <row r="9" spans="1:22" x14ac:dyDescent="0.35">
      <c r="A9" s="10">
        <v>43774</v>
      </c>
      <c r="B9" s="11">
        <v>613</v>
      </c>
      <c r="C9" s="11">
        <v>227</v>
      </c>
      <c r="D9" s="11">
        <v>386</v>
      </c>
      <c r="E9" s="26">
        <v>0.37030000000000002</v>
      </c>
      <c r="F9" s="11">
        <v>3288</v>
      </c>
      <c r="G9" s="11">
        <v>114</v>
      </c>
      <c r="H9" s="11">
        <v>3174</v>
      </c>
      <c r="I9" s="26">
        <v>3.4700000000000002E-2</v>
      </c>
      <c r="J9" s="11">
        <v>2365</v>
      </c>
      <c r="K9" s="11">
        <v>74</v>
      </c>
      <c r="L9" s="11">
        <v>2291</v>
      </c>
      <c r="M9" s="26">
        <v>3.1300000000000001E-2</v>
      </c>
      <c r="N9" s="11">
        <v>2509</v>
      </c>
      <c r="O9" s="11">
        <v>46</v>
      </c>
      <c r="P9" s="11">
        <v>2463</v>
      </c>
      <c r="Q9" s="26">
        <v>1.83E-2</v>
      </c>
      <c r="R9" s="11">
        <v>1969</v>
      </c>
      <c r="S9" s="11">
        <v>37</v>
      </c>
      <c r="T9" s="11">
        <v>1932</v>
      </c>
      <c r="U9" s="26">
        <v>1.8800000000000001E-2</v>
      </c>
      <c r="V9" s="12">
        <f t="shared" si="0"/>
        <v>4.6351451973194339E-2</v>
      </c>
    </row>
    <row r="10" spans="1:22" x14ac:dyDescent="0.35">
      <c r="A10" s="10">
        <v>43775</v>
      </c>
      <c r="B10" s="11">
        <v>613</v>
      </c>
      <c r="C10" s="11">
        <v>224</v>
      </c>
      <c r="D10" s="11">
        <v>389</v>
      </c>
      <c r="E10" s="26">
        <v>0.3654</v>
      </c>
      <c r="F10" s="11">
        <v>3293</v>
      </c>
      <c r="G10" s="11">
        <v>120</v>
      </c>
      <c r="H10" s="11">
        <v>3173</v>
      </c>
      <c r="I10" s="26">
        <v>3.6400000000000002E-2</v>
      </c>
      <c r="J10" s="11">
        <v>2359</v>
      </c>
      <c r="K10" s="11">
        <v>73</v>
      </c>
      <c r="L10" s="11">
        <v>2286</v>
      </c>
      <c r="M10" s="26">
        <v>3.09E-2</v>
      </c>
      <c r="N10" s="11">
        <v>2499</v>
      </c>
      <c r="O10" s="11">
        <v>46</v>
      </c>
      <c r="P10" s="11">
        <v>2453</v>
      </c>
      <c r="Q10" s="26">
        <v>1.84E-2</v>
      </c>
      <c r="R10" s="11">
        <v>1996</v>
      </c>
      <c r="S10" s="11">
        <v>29</v>
      </c>
      <c r="T10" s="11">
        <v>1967</v>
      </c>
      <c r="U10" s="26">
        <v>1.4500000000000001E-2</v>
      </c>
      <c r="V10" s="12">
        <f t="shared" si="0"/>
        <v>4.5724907063197026E-2</v>
      </c>
    </row>
    <row r="11" spans="1:22" x14ac:dyDescent="0.35">
      <c r="A11" s="10">
        <v>43776</v>
      </c>
      <c r="B11" s="11">
        <v>613</v>
      </c>
      <c r="C11" s="11">
        <v>217</v>
      </c>
      <c r="D11" s="11">
        <v>396</v>
      </c>
      <c r="E11" s="26">
        <v>0.35399999999999998</v>
      </c>
      <c r="F11" s="11">
        <v>3329</v>
      </c>
      <c r="G11" s="11">
        <v>121</v>
      </c>
      <c r="H11" s="11">
        <v>3208</v>
      </c>
      <c r="I11" s="26">
        <v>3.6299999999999999E-2</v>
      </c>
      <c r="J11" s="11">
        <v>2380</v>
      </c>
      <c r="K11" s="11">
        <v>66</v>
      </c>
      <c r="L11" s="11">
        <v>2314</v>
      </c>
      <c r="M11" s="26">
        <v>2.7699999999999999E-2</v>
      </c>
      <c r="N11" s="11">
        <v>2489</v>
      </c>
      <c r="O11" s="11">
        <v>44</v>
      </c>
      <c r="P11" s="11">
        <v>2445</v>
      </c>
      <c r="Q11" s="26">
        <v>1.77E-2</v>
      </c>
      <c r="R11" s="11">
        <v>2002</v>
      </c>
      <c r="S11" s="11">
        <v>31</v>
      </c>
      <c r="T11" s="11">
        <v>1971</v>
      </c>
      <c r="U11" s="26">
        <v>1.55E-2</v>
      </c>
      <c r="V11" s="12">
        <f t="shared" si="0"/>
        <v>4.4298529547766578E-2</v>
      </c>
    </row>
    <row r="12" spans="1:22" x14ac:dyDescent="0.35">
      <c r="A12" s="10">
        <v>43777</v>
      </c>
      <c r="B12" s="11">
        <v>619</v>
      </c>
      <c r="C12" s="11">
        <v>223</v>
      </c>
      <c r="D12" s="11">
        <v>396</v>
      </c>
      <c r="E12" s="26">
        <v>0.36030000000000001</v>
      </c>
      <c r="F12" s="11">
        <v>3334</v>
      </c>
      <c r="G12" s="11">
        <v>105</v>
      </c>
      <c r="H12" s="11">
        <v>3229</v>
      </c>
      <c r="I12" s="26">
        <v>3.15E-2</v>
      </c>
      <c r="J12" s="11">
        <v>2369</v>
      </c>
      <c r="K12" s="11">
        <v>68</v>
      </c>
      <c r="L12" s="11">
        <v>2301</v>
      </c>
      <c r="M12" s="26">
        <v>2.87E-2</v>
      </c>
      <c r="N12" s="11">
        <v>2475</v>
      </c>
      <c r="O12" s="11">
        <v>46</v>
      </c>
      <c r="P12" s="11">
        <v>2429</v>
      </c>
      <c r="Q12" s="26">
        <v>1.8599999999999998E-2</v>
      </c>
      <c r="R12" s="11">
        <v>1953</v>
      </c>
      <c r="S12" s="11">
        <v>36</v>
      </c>
      <c r="T12" s="11">
        <v>1917</v>
      </c>
      <c r="U12" s="26">
        <v>1.84E-2</v>
      </c>
      <c r="V12" s="12">
        <f t="shared" si="0"/>
        <v>4.4465116279069766E-2</v>
      </c>
    </row>
    <row r="13" spans="1:22" x14ac:dyDescent="0.35">
      <c r="A13" s="10">
        <v>43778</v>
      </c>
      <c r="B13" s="11">
        <v>630</v>
      </c>
      <c r="C13" s="11">
        <v>233</v>
      </c>
      <c r="D13" s="11">
        <v>397</v>
      </c>
      <c r="E13" s="26">
        <v>0.36980000000000002</v>
      </c>
      <c r="F13" s="11">
        <v>3335</v>
      </c>
      <c r="G13" s="11">
        <v>107</v>
      </c>
      <c r="H13" s="11">
        <v>3228</v>
      </c>
      <c r="I13" s="26">
        <v>3.2099999999999997E-2</v>
      </c>
      <c r="J13" s="11">
        <v>2396</v>
      </c>
      <c r="K13" s="11">
        <v>62</v>
      </c>
      <c r="L13" s="11">
        <v>2334</v>
      </c>
      <c r="M13" s="26">
        <v>2.5899999999999999E-2</v>
      </c>
      <c r="N13" s="11">
        <v>2480</v>
      </c>
      <c r="O13" s="11">
        <v>46</v>
      </c>
      <c r="P13" s="11">
        <v>2434</v>
      </c>
      <c r="Q13" s="26">
        <v>1.8499999999999999E-2</v>
      </c>
      <c r="R13" s="11">
        <v>1954</v>
      </c>
      <c r="S13" s="11">
        <v>44</v>
      </c>
      <c r="T13" s="11">
        <v>1910</v>
      </c>
      <c r="U13" s="26">
        <v>2.2499999999999999E-2</v>
      </c>
      <c r="V13" s="12">
        <f t="shared" si="0"/>
        <v>4.5576655859194071E-2</v>
      </c>
    </row>
    <row r="14" spans="1:22" x14ac:dyDescent="0.35">
      <c r="A14" s="10">
        <v>43779</v>
      </c>
      <c r="B14" s="11">
        <v>629</v>
      </c>
      <c r="C14" s="11">
        <v>283</v>
      </c>
      <c r="D14" s="11">
        <v>346</v>
      </c>
      <c r="E14" s="26">
        <v>0.44990000000000002</v>
      </c>
      <c r="F14" s="11">
        <v>3289</v>
      </c>
      <c r="G14" s="11">
        <v>132</v>
      </c>
      <c r="H14" s="11">
        <v>3157</v>
      </c>
      <c r="I14" s="26">
        <v>4.0099999999999997E-2</v>
      </c>
      <c r="J14" s="11">
        <v>2386</v>
      </c>
      <c r="K14" s="11">
        <v>67</v>
      </c>
      <c r="L14" s="11">
        <v>2319</v>
      </c>
      <c r="M14" s="26">
        <v>2.81E-2</v>
      </c>
      <c r="N14" s="11">
        <v>2456</v>
      </c>
      <c r="O14" s="11">
        <v>54</v>
      </c>
      <c r="P14" s="11">
        <v>2402</v>
      </c>
      <c r="Q14" s="26">
        <v>2.1999999999999999E-2</v>
      </c>
      <c r="R14" s="11">
        <v>1947</v>
      </c>
      <c r="S14" s="11">
        <v>55</v>
      </c>
      <c r="T14" s="11">
        <v>1892</v>
      </c>
      <c r="U14" s="26">
        <v>2.8199999999999999E-2</v>
      </c>
      <c r="V14" s="12">
        <f t="shared" si="0"/>
        <v>5.5197534323339868E-2</v>
      </c>
    </row>
    <row r="15" spans="1:22" x14ac:dyDescent="0.35">
      <c r="A15" s="10">
        <v>43780</v>
      </c>
      <c r="B15" s="11">
        <v>626</v>
      </c>
      <c r="C15" s="11">
        <v>251</v>
      </c>
      <c r="D15" s="11">
        <v>375</v>
      </c>
      <c r="E15" s="26">
        <v>0.40100000000000002</v>
      </c>
      <c r="F15" s="11">
        <v>3266</v>
      </c>
      <c r="G15" s="11">
        <v>124</v>
      </c>
      <c r="H15" s="11">
        <v>3142</v>
      </c>
      <c r="I15" s="26">
        <v>3.7999999999999999E-2</v>
      </c>
      <c r="J15" s="11">
        <v>2379</v>
      </c>
      <c r="K15" s="11">
        <v>68</v>
      </c>
      <c r="L15" s="11">
        <v>2311</v>
      </c>
      <c r="M15" s="26">
        <v>2.86E-2</v>
      </c>
      <c r="N15" s="11">
        <v>2450</v>
      </c>
      <c r="O15" s="11">
        <v>51</v>
      </c>
      <c r="P15" s="11">
        <v>2399</v>
      </c>
      <c r="Q15" s="26">
        <v>2.0799999999999999E-2</v>
      </c>
      <c r="R15" s="11">
        <v>1983</v>
      </c>
      <c r="S15" s="11">
        <v>29</v>
      </c>
      <c r="T15" s="11">
        <v>1954</v>
      </c>
      <c r="U15" s="26">
        <v>1.46E-2</v>
      </c>
      <c r="V15" s="12">
        <f t="shared" si="0"/>
        <v>4.8860239162929746E-2</v>
      </c>
    </row>
    <row r="16" spans="1:22" x14ac:dyDescent="0.35">
      <c r="A16" s="10">
        <v>43781</v>
      </c>
      <c r="B16" s="11">
        <v>634</v>
      </c>
      <c r="C16" s="11">
        <v>236</v>
      </c>
      <c r="D16" s="11">
        <v>398</v>
      </c>
      <c r="E16" s="26">
        <v>0.37219999999999998</v>
      </c>
      <c r="F16" s="11">
        <v>3246</v>
      </c>
      <c r="G16" s="11">
        <v>127</v>
      </c>
      <c r="H16" s="11">
        <v>3119</v>
      </c>
      <c r="I16" s="26">
        <v>3.9100000000000003E-2</v>
      </c>
      <c r="J16" s="11">
        <v>2386</v>
      </c>
      <c r="K16" s="11">
        <v>62</v>
      </c>
      <c r="L16" s="11">
        <v>2324</v>
      </c>
      <c r="M16" s="26">
        <v>2.5999999999999999E-2</v>
      </c>
      <c r="N16" s="11">
        <v>2439</v>
      </c>
      <c r="O16" s="11">
        <v>54</v>
      </c>
      <c r="P16" s="11">
        <v>2385</v>
      </c>
      <c r="Q16" s="26">
        <v>2.2100000000000002E-2</v>
      </c>
      <c r="R16" s="11">
        <v>1926</v>
      </c>
      <c r="S16" s="11">
        <v>30</v>
      </c>
      <c r="T16" s="11">
        <v>1896</v>
      </c>
      <c r="U16" s="26">
        <v>1.5599999999999999E-2</v>
      </c>
      <c r="V16" s="12">
        <f t="shared" si="0"/>
        <v>4.7878844887592892E-2</v>
      </c>
    </row>
    <row r="17" spans="1:22" x14ac:dyDescent="0.35">
      <c r="A17" s="10">
        <v>43782</v>
      </c>
      <c r="B17" s="11">
        <v>636</v>
      </c>
      <c r="C17" s="11">
        <v>228</v>
      </c>
      <c r="D17" s="11">
        <v>408</v>
      </c>
      <c r="E17" s="26">
        <v>0.35849999999999999</v>
      </c>
      <c r="F17" s="11">
        <v>3275</v>
      </c>
      <c r="G17" s="11">
        <v>135</v>
      </c>
      <c r="H17" s="11">
        <v>3140</v>
      </c>
      <c r="I17" s="26">
        <v>4.1200000000000001E-2</v>
      </c>
      <c r="J17" s="11">
        <v>2389</v>
      </c>
      <c r="K17" s="11">
        <v>62</v>
      </c>
      <c r="L17" s="11">
        <v>2327</v>
      </c>
      <c r="M17" s="26">
        <v>2.5999999999999999E-2</v>
      </c>
      <c r="N17" s="11">
        <v>2479</v>
      </c>
      <c r="O17" s="11">
        <v>54</v>
      </c>
      <c r="P17" s="11">
        <v>2425</v>
      </c>
      <c r="Q17" s="26">
        <v>2.18E-2</v>
      </c>
      <c r="R17" s="11">
        <v>1927</v>
      </c>
      <c r="S17" s="11">
        <v>31</v>
      </c>
      <c r="T17" s="11">
        <v>1896</v>
      </c>
      <c r="U17" s="26">
        <v>1.61E-2</v>
      </c>
      <c r="V17" s="12">
        <f t="shared" si="0"/>
        <v>4.7636839155613675E-2</v>
      </c>
    </row>
    <row r="18" spans="1:22" x14ac:dyDescent="0.35">
      <c r="A18" s="10">
        <v>43783</v>
      </c>
      <c r="B18" s="11">
        <v>644</v>
      </c>
      <c r="C18" s="11">
        <v>228</v>
      </c>
      <c r="D18" s="11">
        <v>416</v>
      </c>
      <c r="E18" s="26">
        <v>0.35399999999999998</v>
      </c>
      <c r="F18" s="11">
        <v>3301</v>
      </c>
      <c r="G18" s="11">
        <v>148</v>
      </c>
      <c r="H18" s="11">
        <v>3153</v>
      </c>
      <c r="I18" s="26">
        <v>4.48E-2</v>
      </c>
      <c r="J18" s="11">
        <v>2399</v>
      </c>
      <c r="K18" s="11">
        <v>60</v>
      </c>
      <c r="L18" s="11">
        <v>2339</v>
      </c>
      <c r="M18" s="26">
        <v>2.5000000000000001E-2</v>
      </c>
      <c r="N18" s="11">
        <v>2478</v>
      </c>
      <c r="O18" s="11">
        <v>54</v>
      </c>
      <c r="P18" s="11">
        <v>2424</v>
      </c>
      <c r="Q18" s="26">
        <v>2.18E-2</v>
      </c>
      <c r="R18" s="11">
        <v>1949</v>
      </c>
      <c r="S18" s="11">
        <v>31</v>
      </c>
      <c r="T18" s="11">
        <v>1918</v>
      </c>
      <c r="U18" s="26">
        <v>1.5900000000000001E-2</v>
      </c>
      <c r="V18" s="12">
        <f t="shared" si="0"/>
        <v>4.8370624825921457E-2</v>
      </c>
    </row>
    <row r="19" spans="1:22" x14ac:dyDescent="0.35">
      <c r="A19" s="10">
        <v>43784</v>
      </c>
      <c r="B19" s="11">
        <v>657</v>
      </c>
      <c r="C19" s="11">
        <v>227</v>
      </c>
      <c r="D19" s="11">
        <v>430</v>
      </c>
      <c r="E19" s="26">
        <v>0.34549999999999997</v>
      </c>
      <c r="F19" s="11">
        <v>3319</v>
      </c>
      <c r="G19" s="11">
        <v>117</v>
      </c>
      <c r="H19" s="11">
        <v>3202</v>
      </c>
      <c r="I19" s="26">
        <v>3.5299999999999998E-2</v>
      </c>
      <c r="J19" s="11">
        <v>2393</v>
      </c>
      <c r="K19" s="11">
        <v>60</v>
      </c>
      <c r="L19" s="11">
        <v>2333</v>
      </c>
      <c r="M19" s="26">
        <v>2.5100000000000001E-2</v>
      </c>
      <c r="N19" s="11">
        <v>2484</v>
      </c>
      <c r="O19" s="11">
        <v>52</v>
      </c>
      <c r="P19" s="11">
        <v>2432</v>
      </c>
      <c r="Q19" s="26">
        <v>2.0899999999999998E-2</v>
      </c>
      <c r="R19" s="11">
        <v>1929</v>
      </c>
      <c r="S19" s="11">
        <v>32</v>
      </c>
      <c r="T19" s="11">
        <v>1897</v>
      </c>
      <c r="U19" s="26">
        <v>1.66E-2</v>
      </c>
      <c r="V19" s="12">
        <f t="shared" si="0"/>
        <v>4.5260619551103692E-2</v>
      </c>
    </row>
    <row r="20" spans="1:22" x14ac:dyDescent="0.35">
      <c r="A20" s="10">
        <v>43785</v>
      </c>
      <c r="B20" s="11">
        <v>657</v>
      </c>
      <c r="C20" s="11">
        <v>227</v>
      </c>
      <c r="D20" s="11">
        <v>430</v>
      </c>
      <c r="E20" s="26">
        <v>0.34549999999999997</v>
      </c>
      <c r="F20" s="11">
        <v>3332</v>
      </c>
      <c r="G20" s="11">
        <v>114</v>
      </c>
      <c r="H20" s="11">
        <v>3218</v>
      </c>
      <c r="I20" s="26">
        <v>3.4200000000000001E-2</v>
      </c>
      <c r="J20" s="11">
        <v>2393</v>
      </c>
      <c r="K20" s="11">
        <v>60</v>
      </c>
      <c r="L20" s="11">
        <v>2333</v>
      </c>
      <c r="M20" s="26">
        <v>2.5100000000000001E-2</v>
      </c>
      <c r="N20" s="11">
        <v>2484</v>
      </c>
      <c r="O20" s="11">
        <v>52</v>
      </c>
      <c r="P20" s="11">
        <v>2432</v>
      </c>
      <c r="Q20" s="26">
        <v>2.0899999999999998E-2</v>
      </c>
      <c r="R20" s="11">
        <v>1929</v>
      </c>
      <c r="S20" s="11">
        <v>32</v>
      </c>
      <c r="T20" s="11">
        <v>1897</v>
      </c>
      <c r="U20" s="26">
        <v>1.66E-2</v>
      </c>
      <c r="V20" s="12">
        <f t="shared" si="0"/>
        <v>4.492820750347383E-2</v>
      </c>
    </row>
    <row r="21" spans="1:22" x14ac:dyDescent="0.35">
      <c r="A21" s="10">
        <v>43786</v>
      </c>
      <c r="B21" s="11">
        <v>655</v>
      </c>
      <c r="C21" s="11">
        <v>305</v>
      </c>
      <c r="D21" s="11">
        <v>350</v>
      </c>
      <c r="E21" s="26">
        <v>0.46560000000000001</v>
      </c>
      <c r="F21" s="11">
        <v>3329</v>
      </c>
      <c r="G21" s="11">
        <v>234</v>
      </c>
      <c r="H21" s="11">
        <v>3095</v>
      </c>
      <c r="I21" s="26">
        <v>7.0300000000000001E-2</v>
      </c>
      <c r="J21" s="11">
        <v>2378</v>
      </c>
      <c r="K21" s="11">
        <v>82</v>
      </c>
      <c r="L21" s="11">
        <v>2296</v>
      </c>
      <c r="M21" s="26">
        <v>3.4500000000000003E-2</v>
      </c>
      <c r="N21" s="11">
        <v>2427</v>
      </c>
      <c r="O21" s="11">
        <v>59</v>
      </c>
      <c r="P21" s="11">
        <v>2368</v>
      </c>
      <c r="Q21" s="26">
        <v>2.4299999999999999E-2</v>
      </c>
      <c r="R21" s="11">
        <v>1915</v>
      </c>
      <c r="S21" s="11">
        <v>37</v>
      </c>
      <c r="T21" s="11">
        <v>1878</v>
      </c>
      <c r="U21" s="26">
        <v>1.9300000000000001E-2</v>
      </c>
      <c r="V21" s="12">
        <f t="shared" si="0"/>
        <v>6.6984304932735425E-2</v>
      </c>
    </row>
    <row r="22" spans="1:22" x14ac:dyDescent="0.35">
      <c r="A22" s="10">
        <v>43787</v>
      </c>
      <c r="B22" s="11">
        <v>646</v>
      </c>
      <c r="C22" s="11">
        <v>241</v>
      </c>
      <c r="D22" s="11">
        <v>405</v>
      </c>
      <c r="E22" s="26">
        <v>0.37309999999999999</v>
      </c>
      <c r="F22" s="11">
        <v>3383</v>
      </c>
      <c r="G22" s="11">
        <v>101</v>
      </c>
      <c r="H22" s="11">
        <v>3282</v>
      </c>
      <c r="I22" s="26">
        <v>2.9899999999999999E-2</v>
      </c>
      <c r="J22" s="11">
        <v>2373</v>
      </c>
      <c r="K22" s="11">
        <v>62</v>
      </c>
      <c r="L22" s="11">
        <v>2311</v>
      </c>
      <c r="M22" s="26">
        <v>2.6100000000000002E-2</v>
      </c>
      <c r="N22" s="11">
        <v>2456</v>
      </c>
      <c r="O22" s="11">
        <v>49</v>
      </c>
      <c r="P22" s="11">
        <v>2407</v>
      </c>
      <c r="Q22" s="26">
        <v>0.02</v>
      </c>
      <c r="R22" s="11">
        <v>1929</v>
      </c>
      <c r="S22" s="11">
        <v>36</v>
      </c>
      <c r="T22" s="11">
        <v>1893</v>
      </c>
      <c r="U22" s="26">
        <v>1.8700000000000001E-2</v>
      </c>
      <c r="V22" s="12">
        <f t="shared" si="0"/>
        <v>4.5332344488736444E-2</v>
      </c>
    </row>
    <row r="23" spans="1:22" x14ac:dyDescent="0.35">
      <c r="A23" s="10">
        <v>43788</v>
      </c>
      <c r="B23" s="11">
        <v>647</v>
      </c>
      <c r="C23" s="11">
        <v>237</v>
      </c>
      <c r="D23" s="11">
        <v>410</v>
      </c>
      <c r="E23" s="26">
        <v>0.36630000000000001</v>
      </c>
      <c r="F23" s="11">
        <v>3350</v>
      </c>
      <c r="G23" s="11">
        <v>108</v>
      </c>
      <c r="H23" s="11">
        <v>3242</v>
      </c>
      <c r="I23" s="26">
        <v>3.2199999999999999E-2</v>
      </c>
      <c r="J23" s="11">
        <v>2384</v>
      </c>
      <c r="K23" s="11">
        <v>62</v>
      </c>
      <c r="L23" s="11">
        <v>2322</v>
      </c>
      <c r="M23" s="26">
        <v>2.5999999999999999E-2</v>
      </c>
      <c r="N23" s="11">
        <v>2445</v>
      </c>
      <c r="O23" s="11">
        <v>50</v>
      </c>
      <c r="P23" s="11">
        <v>2395</v>
      </c>
      <c r="Q23" s="26">
        <v>2.0400000000000001E-2</v>
      </c>
      <c r="R23" s="11">
        <v>1904</v>
      </c>
      <c r="S23" s="11">
        <v>36</v>
      </c>
      <c r="T23" s="11">
        <v>1868</v>
      </c>
      <c r="U23" s="26">
        <v>1.89E-2</v>
      </c>
      <c r="V23" s="12">
        <f t="shared" si="0"/>
        <v>4.5945945945945948E-2</v>
      </c>
    </row>
    <row r="24" spans="1:22" x14ac:dyDescent="0.35">
      <c r="A24" s="10">
        <v>43789</v>
      </c>
      <c r="B24" s="11">
        <v>636</v>
      </c>
      <c r="C24" s="11">
        <v>243</v>
      </c>
      <c r="D24" s="11">
        <v>393</v>
      </c>
      <c r="E24" s="26">
        <v>0.3821</v>
      </c>
      <c r="F24" s="11">
        <v>3333</v>
      </c>
      <c r="G24" s="11">
        <v>129</v>
      </c>
      <c r="H24" s="11">
        <v>3204</v>
      </c>
      <c r="I24" s="26">
        <v>3.8699999999999998E-2</v>
      </c>
      <c r="J24" s="11">
        <v>2370</v>
      </c>
      <c r="K24" s="11">
        <v>64</v>
      </c>
      <c r="L24" s="11">
        <v>2306</v>
      </c>
      <c r="M24" s="26">
        <v>2.7E-2</v>
      </c>
      <c r="N24" s="11">
        <v>2430</v>
      </c>
      <c r="O24" s="11">
        <v>51</v>
      </c>
      <c r="P24" s="11">
        <v>2379</v>
      </c>
      <c r="Q24" s="26">
        <v>2.1000000000000001E-2</v>
      </c>
      <c r="R24" s="11">
        <v>1891</v>
      </c>
      <c r="S24" s="11">
        <v>36</v>
      </c>
      <c r="T24" s="11">
        <v>1855</v>
      </c>
      <c r="U24" s="26">
        <v>1.9E-2</v>
      </c>
      <c r="V24" s="12">
        <f t="shared" si="0"/>
        <v>4.9061913696060035E-2</v>
      </c>
    </row>
    <row r="25" spans="1:22" x14ac:dyDescent="0.35">
      <c r="A25" s="10">
        <v>43790</v>
      </c>
      <c r="B25" s="11">
        <v>642</v>
      </c>
      <c r="C25" s="11">
        <v>259</v>
      </c>
      <c r="D25" s="11">
        <v>383</v>
      </c>
      <c r="E25" s="26">
        <v>0.40339999999999998</v>
      </c>
      <c r="F25" s="11">
        <v>3314</v>
      </c>
      <c r="G25" s="11">
        <v>130</v>
      </c>
      <c r="H25" s="11">
        <v>3184</v>
      </c>
      <c r="I25" s="26">
        <v>3.9199999999999999E-2</v>
      </c>
      <c r="J25" s="11">
        <v>2365</v>
      </c>
      <c r="K25" s="11">
        <v>66</v>
      </c>
      <c r="L25" s="11">
        <v>2299</v>
      </c>
      <c r="M25" s="26">
        <v>2.7900000000000001E-2</v>
      </c>
      <c r="N25" s="11">
        <v>2413</v>
      </c>
      <c r="O25" s="11">
        <v>53</v>
      </c>
      <c r="P25" s="11">
        <v>2360</v>
      </c>
      <c r="Q25" s="26">
        <v>2.1999999999999999E-2</v>
      </c>
      <c r="R25" s="11">
        <v>1881</v>
      </c>
      <c r="S25" s="11">
        <v>36</v>
      </c>
      <c r="T25" s="11">
        <v>1845</v>
      </c>
      <c r="U25" s="26">
        <v>1.9099999999999999E-2</v>
      </c>
      <c r="V25" s="12">
        <f t="shared" si="0"/>
        <v>5.1248233631653324E-2</v>
      </c>
    </row>
    <row r="26" spans="1:22" x14ac:dyDescent="0.35">
      <c r="A26" s="10">
        <v>43791</v>
      </c>
      <c r="B26" s="11">
        <v>648</v>
      </c>
      <c r="C26" s="11">
        <v>300</v>
      </c>
      <c r="D26" s="11">
        <v>348</v>
      </c>
      <c r="E26" s="26">
        <v>0.46300000000000002</v>
      </c>
      <c r="F26" s="11">
        <v>3318</v>
      </c>
      <c r="G26" s="11">
        <v>198</v>
      </c>
      <c r="H26" s="11">
        <v>3120</v>
      </c>
      <c r="I26" s="26">
        <v>5.9700000000000003E-2</v>
      </c>
      <c r="J26" s="11">
        <v>2358</v>
      </c>
      <c r="K26" s="11">
        <v>68</v>
      </c>
      <c r="L26" s="11">
        <v>2290</v>
      </c>
      <c r="M26" s="26">
        <v>2.8799999999999999E-2</v>
      </c>
      <c r="N26" s="11">
        <v>2397</v>
      </c>
      <c r="O26" s="11">
        <v>54</v>
      </c>
      <c r="P26" s="11">
        <v>2343</v>
      </c>
      <c r="Q26" s="26">
        <v>2.2499999999999999E-2</v>
      </c>
      <c r="R26" s="11">
        <v>1874</v>
      </c>
      <c r="S26" s="11">
        <v>36</v>
      </c>
      <c r="T26" s="11">
        <v>1838</v>
      </c>
      <c r="U26" s="26">
        <v>1.9199999999999998E-2</v>
      </c>
      <c r="V26" s="12">
        <f t="shared" si="0"/>
        <v>6.1915998112317128E-2</v>
      </c>
    </row>
    <row r="27" spans="1:22" x14ac:dyDescent="0.35">
      <c r="A27" s="10">
        <v>43792</v>
      </c>
      <c r="B27" s="11">
        <v>658</v>
      </c>
      <c r="C27" s="11">
        <v>250</v>
      </c>
      <c r="D27" s="11">
        <v>408</v>
      </c>
      <c r="E27" s="26">
        <v>0.37990000000000002</v>
      </c>
      <c r="F27" s="11">
        <v>3409</v>
      </c>
      <c r="G27" s="11">
        <v>123</v>
      </c>
      <c r="H27" s="11">
        <v>3286</v>
      </c>
      <c r="I27" s="26">
        <v>3.61E-2</v>
      </c>
      <c r="J27" s="11">
        <v>2383</v>
      </c>
      <c r="K27" s="11">
        <v>68</v>
      </c>
      <c r="L27" s="11">
        <v>2315</v>
      </c>
      <c r="M27" s="26">
        <v>2.8500000000000001E-2</v>
      </c>
      <c r="N27" s="11">
        <v>2416</v>
      </c>
      <c r="O27" s="11">
        <v>58</v>
      </c>
      <c r="P27" s="11">
        <v>2358</v>
      </c>
      <c r="Q27" s="26">
        <v>2.4E-2</v>
      </c>
      <c r="R27" s="11">
        <v>1870</v>
      </c>
      <c r="S27" s="11">
        <v>47</v>
      </c>
      <c r="T27" s="11">
        <v>1823</v>
      </c>
      <c r="U27" s="26">
        <v>2.5100000000000001E-2</v>
      </c>
      <c r="V27" s="12">
        <f t="shared" si="0"/>
        <v>5.0856929955290613E-2</v>
      </c>
    </row>
    <row r="28" spans="1:22" x14ac:dyDescent="0.35">
      <c r="A28" s="10">
        <v>43793</v>
      </c>
      <c r="B28" s="11">
        <v>659</v>
      </c>
      <c r="C28" s="11">
        <v>277</v>
      </c>
      <c r="D28" s="11">
        <v>382</v>
      </c>
      <c r="E28" s="26">
        <v>0.42030000000000001</v>
      </c>
      <c r="F28" s="11">
        <v>3375</v>
      </c>
      <c r="G28" s="11">
        <v>144</v>
      </c>
      <c r="H28" s="11">
        <v>3231</v>
      </c>
      <c r="I28" s="26">
        <v>4.2700000000000002E-2</v>
      </c>
      <c r="J28" s="11">
        <v>2374</v>
      </c>
      <c r="K28" s="11">
        <v>83</v>
      </c>
      <c r="L28" s="11">
        <v>2291</v>
      </c>
      <c r="M28" s="26">
        <v>3.5000000000000003E-2</v>
      </c>
      <c r="N28" s="11">
        <v>2379</v>
      </c>
      <c r="O28" s="11">
        <v>63</v>
      </c>
      <c r="P28" s="11">
        <v>2316</v>
      </c>
      <c r="Q28" s="26">
        <v>2.6499999999999999E-2</v>
      </c>
      <c r="R28" s="11">
        <v>1872</v>
      </c>
      <c r="S28" s="11">
        <v>77</v>
      </c>
      <c r="T28" s="11">
        <v>1795</v>
      </c>
      <c r="U28" s="26">
        <v>4.1099999999999998E-2</v>
      </c>
      <c r="V28" s="12">
        <f t="shared" si="0"/>
        <v>6.0418425743503146E-2</v>
      </c>
    </row>
    <row r="29" spans="1:22" x14ac:dyDescent="0.35">
      <c r="A29" s="10">
        <v>43794</v>
      </c>
      <c r="B29" s="11">
        <v>660</v>
      </c>
      <c r="C29" s="11">
        <v>250</v>
      </c>
      <c r="D29" s="11">
        <v>410</v>
      </c>
      <c r="E29" s="26">
        <v>0.37880000000000003</v>
      </c>
      <c r="F29" s="11">
        <v>3359</v>
      </c>
      <c r="G29" s="11">
        <v>140</v>
      </c>
      <c r="H29" s="11">
        <v>3219</v>
      </c>
      <c r="I29" s="26">
        <v>4.1700000000000001E-2</v>
      </c>
      <c r="J29" s="11">
        <v>2378</v>
      </c>
      <c r="K29" s="11">
        <v>77</v>
      </c>
      <c r="L29" s="11">
        <v>2301</v>
      </c>
      <c r="M29" s="26">
        <v>3.2399999999999998E-2</v>
      </c>
      <c r="N29" s="11">
        <v>2412</v>
      </c>
      <c r="O29" s="11">
        <v>57</v>
      </c>
      <c r="P29" s="11">
        <v>2355</v>
      </c>
      <c r="Q29" s="26">
        <v>2.3599999999999999E-2</v>
      </c>
      <c r="R29" s="11">
        <v>1945</v>
      </c>
      <c r="S29" s="11">
        <v>43</v>
      </c>
      <c r="T29" s="11">
        <v>1902</v>
      </c>
      <c r="U29" s="26">
        <v>2.2100000000000002E-2</v>
      </c>
      <c r="V29" s="12">
        <f t="shared" si="0"/>
        <v>5.2724567602752466E-2</v>
      </c>
    </row>
    <row r="30" spans="1:22" x14ac:dyDescent="0.35">
      <c r="A30" s="10">
        <v>43795</v>
      </c>
      <c r="B30" s="11">
        <v>668</v>
      </c>
      <c r="C30" s="11">
        <v>241</v>
      </c>
      <c r="D30" s="11">
        <v>427</v>
      </c>
      <c r="E30" s="26">
        <v>0.36080000000000001</v>
      </c>
      <c r="F30" s="11">
        <v>3362</v>
      </c>
      <c r="G30" s="11">
        <v>153</v>
      </c>
      <c r="H30" s="11">
        <v>3209</v>
      </c>
      <c r="I30" s="26">
        <v>4.5499999999999999E-2</v>
      </c>
      <c r="J30" s="11">
        <v>2379</v>
      </c>
      <c r="K30" s="11">
        <v>60</v>
      </c>
      <c r="L30" s="11">
        <v>2319</v>
      </c>
      <c r="M30" s="26">
        <v>2.52E-2</v>
      </c>
      <c r="N30" s="11">
        <v>2405</v>
      </c>
      <c r="O30" s="11">
        <v>57</v>
      </c>
      <c r="P30" s="11">
        <v>2348</v>
      </c>
      <c r="Q30" s="26">
        <v>2.3699999999999999E-2</v>
      </c>
      <c r="R30" s="11">
        <v>1977</v>
      </c>
      <c r="S30" s="11">
        <v>34</v>
      </c>
      <c r="T30" s="11">
        <v>1943</v>
      </c>
      <c r="U30" s="26">
        <v>1.72E-2</v>
      </c>
      <c r="V30" s="12">
        <f t="shared" si="0"/>
        <v>5.0505050505050504E-2</v>
      </c>
    </row>
    <row r="31" spans="1:22" x14ac:dyDescent="0.35">
      <c r="A31" s="10">
        <v>43796</v>
      </c>
      <c r="B31" s="11">
        <v>406</v>
      </c>
      <c r="C31" s="11">
        <v>87</v>
      </c>
      <c r="D31" s="11">
        <v>319</v>
      </c>
      <c r="E31" s="26">
        <v>0.21429999999999999</v>
      </c>
      <c r="F31" s="11">
        <v>3205</v>
      </c>
      <c r="G31" s="11">
        <v>19</v>
      </c>
      <c r="H31" s="11">
        <v>3186</v>
      </c>
      <c r="I31" s="26">
        <v>5.8999999999999999E-3</v>
      </c>
      <c r="J31" s="11">
        <v>2293</v>
      </c>
      <c r="K31" s="11">
        <v>15</v>
      </c>
      <c r="L31" s="11">
        <v>2278</v>
      </c>
      <c r="M31" s="26">
        <v>6.4999999999999997E-3</v>
      </c>
      <c r="N31" s="11">
        <v>2294</v>
      </c>
      <c r="O31" s="11">
        <v>5</v>
      </c>
      <c r="P31" s="11">
        <v>2289</v>
      </c>
      <c r="Q31" s="26">
        <v>2.2000000000000001E-3</v>
      </c>
      <c r="R31" s="11">
        <v>1931</v>
      </c>
      <c r="S31" s="11">
        <v>3</v>
      </c>
      <c r="T31" s="11">
        <v>1928</v>
      </c>
      <c r="U31" s="26">
        <v>1.6000000000000001E-3</v>
      </c>
      <c r="V31" s="12">
        <f t="shared" si="0"/>
        <v>1.2735709349392832E-2</v>
      </c>
    </row>
    <row r="32" spans="1:22" x14ac:dyDescent="0.35">
      <c r="A32" s="10">
        <v>43797</v>
      </c>
      <c r="B32" s="11">
        <v>418</v>
      </c>
      <c r="C32" s="11">
        <v>93</v>
      </c>
      <c r="D32" s="11">
        <v>325</v>
      </c>
      <c r="E32" s="26">
        <v>0.2225</v>
      </c>
      <c r="F32" s="11">
        <v>3263</v>
      </c>
      <c r="G32" s="11">
        <v>67</v>
      </c>
      <c r="H32" s="11">
        <v>3196</v>
      </c>
      <c r="I32" s="26">
        <v>2.0500000000000001E-2</v>
      </c>
      <c r="J32" s="11">
        <v>2302</v>
      </c>
      <c r="K32" s="11">
        <v>14</v>
      </c>
      <c r="L32" s="11">
        <v>2288</v>
      </c>
      <c r="M32" s="26">
        <v>6.1000000000000004E-3</v>
      </c>
      <c r="N32" s="11">
        <v>2298</v>
      </c>
      <c r="O32" s="11">
        <v>6</v>
      </c>
      <c r="P32" s="11">
        <v>2292</v>
      </c>
      <c r="Q32" s="26">
        <v>2.5999999999999999E-3</v>
      </c>
      <c r="R32" s="11">
        <v>1928</v>
      </c>
      <c r="S32" s="11">
        <v>9</v>
      </c>
      <c r="T32" s="11">
        <v>1919</v>
      </c>
      <c r="U32" s="26">
        <v>4.7000000000000002E-3</v>
      </c>
      <c r="V32" s="12">
        <f t="shared" si="0"/>
        <v>1.8513076697032029E-2</v>
      </c>
    </row>
    <row r="33" spans="1:22" x14ac:dyDescent="0.35">
      <c r="A33" s="10">
        <v>43798</v>
      </c>
      <c r="B33" s="11">
        <v>429</v>
      </c>
      <c r="C33" s="11">
        <v>100</v>
      </c>
      <c r="D33" s="11">
        <v>329</v>
      </c>
      <c r="E33" s="26">
        <v>0.2331</v>
      </c>
      <c r="F33" s="11">
        <v>3358</v>
      </c>
      <c r="G33" s="11">
        <v>21</v>
      </c>
      <c r="H33" s="11">
        <v>3337</v>
      </c>
      <c r="I33" s="26">
        <v>6.3E-3</v>
      </c>
      <c r="J33" s="11">
        <v>2299</v>
      </c>
      <c r="K33" s="11">
        <v>14</v>
      </c>
      <c r="L33" s="11">
        <v>2285</v>
      </c>
      <c r="M33" s="26">
        <v>6.1000000000000004E-3</v>
      </c>
      <c r="N33" s="11">
        <v>2289</v>
      </c>
      <c r="O33" s="11">
        <v>10</v>
      </c>
      <c r="P33" s="11">
        <v>2279</v>
      </c>
      <c r="Q33" s="26">
        <v>4.4000000000000003E-3</v>
      </c>
      <c r="R33" s="11">
        <v>1950</v>
      </c>
      <c r="S33" s="11">
        <v>3</v>
      </c>
      <c r="T33" s="11">
        <v>1947</v>
      </c>
      <c r="U33" s="26">
        <v>1.5E-3</v>
      </c>
      <c r="V33" s="12">
        <f t="shared" si="0"/>
        <v>1.4334140435835351E-2</v>
      </c>
    </row>
    <row r="34" spans="1:22" x14ac:dyDescent="0.35">
      <c r="A34" s="10">
        <v>43799</v>
      </c>
      <c r="B34" s="11">
        <v>442</v>
      </c>
      <c r="C34" s="11">
        <v>97</v>
      </c>
      <c r="D34" s="11">
        <v>345</v>
      </c>
      <c r="E34" s="26">
        <v>0.2195</v>
      </c>
      <c r="F34" s="11">
        <v>3383</v>
      </c>
      <c r="G34" s="11">
        <v>24</v>
      </c>
      <c r="H34" s="11">
        <v>3359</v>
      </c>
      <c r="I34" s="26">
        <v>7.1000000000000004E-3</v>
      </c>
      <c r="J34" s="11">
        <v>2300</v>
      </c>
      <c r="K34" s="11">
        <v>16</v>
      </c>
      <c r="L34" s="11">
        <v>2284</v>
      </c>
      <c r="M34" s="26">
        <v>7.0000000000000001E-3</v>
      </c>
      <c r="N34" s="11">
        <v>2292</v>
      </c>
      <c r="O34" s="11">
        <v>5</v>
      </c>
      <c r="P34" s="11">
        <v>2287</v>
      </c>
      <c r="Q34" s="26">
        <v>2.2000000000000001E-3</v>
      </c>
      <c r="R34" s="11">
        <v>1954</v>
      </c>
      <c r="S34" s="11">
        <v>6</v>
      </c>
      <c r="T34" s="11">
        <v>1948</v>
      </c>
      <c r="U34" s="26">
        <v>3.0999999999999999E-3</v>
      </c>
      <c r="V34" s="12">
        <f t="shared" si="0"/>
        <v>1.427056214444123E-2</v>
      </c>
    </row>
    <row r="35" spans="1:22" x14ac:dyDescent="0.35">
      <c r="A35" s="10"/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18214</v>
      </c>
      <c r="C36" s="22">
        <f>SUM(C5:C35)</f>
        <v>6672</v>
      </c>
      <c r="D36" s="22">
        <f>SUM(D5:D35)</f>
        <v>11542</v>
      </c>
      <c r="E36" s="23">
        <f>C36/B36</f>
        <v>0.36631162841770065</v>
      </c>
      <c r="F36" s="22">
        <f>SUM(F5:F35)</f>
        <v>99526</v>
      </c>
      <c r="G36" s="22">
        <f>SUM(G5:G35)</f>
        <v>3482</v>
      </c>
      <c r="H36" s="22">
        <f>SUM(H5:H35)</f>
        <v>96044</v>
      </c>
      <c r="I36" s="23">
        <f>G36/F36</f>
        <v>3.4985832847698087E-2</v>
      </c>
      <c r="J36" s="22">
        <f>SUM(J5:J35)</f>
        <v>71039</v>
      </c>
      <c r="K36" s="22">
        <f>SUM(K5:K35)</f>
        <v>1824</v>
      </c>
      <c r="L36" s="22">
        <f>SUM(L5:L35)</f>
        <v>69215</v>
      </c>
      <c r="M36" s="23">
        <f>K36/J36</f>
        <v>2.5676037106378186E-2</v>
      </c>
      <c r="N36" s="22">
        <f>SUM(N5:N35)</f>
        <v>73105</v>
      </c>
      <c r="O36" s="22">
        <f>SUM(O5:O35)</f>
        <v>1349</v>
      </c>
      <c r="P36" s="22">
        <f>SUM(P5:P35)</f>
        <v>71756</v>
      </c>
      <c r="Q36" s="23">
        <f>O36/N36</f>
        <v>1.8452910197660898E-2</v>
      </c>
      <c r="R36" s="22">
        <f>SUM(R5:R35)</f>
        <v>58272</v>
      </c>
      <c r="S36" s="22">
        <f>SUM(S5:S35)</f>
        <v>1005</v>
      </c>
      <c r="T36" s="22">
        <f>SUM(T5:T35)</f>
        <v>57267</v>
      </c>
      <c r="U36" s="23">
        <f>S36/R36</f>
        <v>1.724670510708402E-2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0.83252642822204692</v>
      </c>
      <c r="F38" s="33"/>
      <c r="G38" s="34"/>
      <c r="H38" s="35"/>
      <c r="I38" s="16">
        <f>I36/I37</f>
        <v>0.89707263712046381</v>
      </c>
      <c r="J38" s="33"/>
      <c r="K38" s="34"/>
      <c r="L38" s="35"/>
      <c r="M38" s="16">
        <f>M36/M37</f>
        <v>0.91700132522779232</v>
      </c>
      <c r="N38" s="33"/>
      <c r="O38" s="34"/>
      <c r="P38" s="35"/>
      <c r="Q38" s="16">
        <f>Q36/Q37</f>
        <v>1.6775372906964454</v>
      </c>
      <c r="R38" s="33"/>
      <c r="S38" s="34"/>
      <c r="T38" s="35"/>
      <c r="U38" s="16">
        <f>U36/U37</f>
        <v>1.5678822824621836</v>
      </c>
      <c r="V38" s="16" t="e">
        <f>V36/V37</f>
        <v>#DIV/0!</v>
      </c>
    </row>
    <row r="39" spans="1:22" x14ac:dyDescent="0.35">
      <c r="A39">
        <v>2</v>
      </c>
      <c r="B39">
        <f>B36*$A$39</f>
        <v>36428</v>
      </c>
      <c r="C39">
        <f t="shared" ref="C39:T39" si="1">C36*$A$39</f>
        <v>13344</v>
      </c>
      <c r="D39">
        <f t="shared" si="1"/>
        <v>23084</v>
      </c>
      <c r="F39">
        <f t="shared" si="1"/>
        <v>199052</v>
      </c>
      <c r="G39">
        <f t="shared" si="1"/>
        <v>6964</v>
      </c>
      <c r="H39">
        <f t="shared" si="1"/>
        <v>192088</v>
      </c>
      <c r="J39">
        <f t="shared" si="1"/>
        <v>142078</v>
      </c>
      <c r="K39">
        <f t="shared" si="1"/>
        <v>3648</v>
      </c>
      <c r="L39">
        <f t="shared" si="1"/>
        <v>138430</v>
      </c>
      <c r="N39">
        <f t="shared" si="1"/>
        <v>146210</v>
      </c>
      <c r="O39">
        <f t="shared" si="1"/>
        <v>2698</v>
      </c>
      <c r="P39">
        <f t="shared" si="1"/>
        <v>143512</v>
      </c>
      <c r="R39">
        <f t="shared" si="1"/>
        <v>116544</v>
      </c>
      <c r="S39">
        <f t="shared" si="1"/>
        <v>2010</v>
      </c>
      <c r="T39">
        <f t="shared" si="1"/>
        <v>114534</v>
      </c>
    </row>
    <row r="40" spans="1:22" x14ac:dyDescent="0.35">
      <c r="E40" s="13"/>
    </row>
    <row r="41" spans="1:22" ht="39" customHeight="1" x14ac:dyDescent="0.35">
      <c r="B41" s="27">
        <f>VLOOKUP(B$2,'[10]301119'!$A$2:$F$25,3,0)</f>
        <v>429</v>
      </c>
      <c r="C41" s="27">
        <f>VLOOKUP(B$2,'[10]301119'!$A$2:$F$25,4,0)</f>
        <v>100</v>
      </c>
      <c r="D41" s="27">
        <f>VLOOKUP(B$2,'[10]301119'!$A$2:$F$25,5,0)</f>
        <v>329</v>
      </c>
      <c r="E41" s="28">
        <f>VLOOKUP(B$2,'[10]301119'!$A$2:$F$25,6,0)</f>
        <v>0.2331</v>
      </c>
      <c r="F41" s="27">
        <f>VLOOKUP(F$2,'[10]301119'!$A$2:$F$25,3,0)</f>
        <v>3358</v>
      </c>
      <c r="G41" s="27">
        <f>VLOOKUP(F$2,'[10]301119'!$A$2:$F$25,4,0)</f>
        <v>21</v>
      </c>
      <c r="H41" s="27">
        <f>VLOOKUP(F$2,'[10]301119'!$A$2:$F$25,5,0)</f>
        <v>3337</v>
      </c>
      <c r="I41" s="29">
        <f>VLOOKUP(F$2,'[10]301119'!$A$2:$F$25,6,0)</f>
        <v>6.3E-3</v>
      </c>
      <c r="J41" s="27">
        <f>VLOOKUP(J$2,'[10]301119'!$A$2:$F$25,3,0)</f>
        <v>2299</v>
      </c>
      <c r="K41" s="27">
        <f>VLOOKUP(J$2,'[10]301119'!$A$2:$F$25,4,0)</f>
        <v>14</v>
      </c>
      <c r="L41" s="27">
        <f>VLOOKUP(J$2,'[10]301119'!$A$2:$F$25,5,0)</f>
        <v>2285</v>
      </c>
      <c r="M41" s="28">
        <f>VLOOKUP(J$2,'[10]301119'!$A$2:$F$25,6,0)</f>
        <v>6.1000000000000004E-3</v>
      </c>
      <c r="N41" s="27">
        <f>VLOOKUP(N$2,'[10]301119'!$A$2:$F$25,3,0)</f>
        <v>2289</v>
      </c>
      <c r="O41" s="27">
        <f>VLOOKUP(N$2,'[10]301119'!$A$2:$F$25,4,0)</f>
        <v>10</v>
      </c>
      <c r="P41" s="27">
        <f>VLOOKUP(N$2,'[10]301119'!$A$2:$F$25,5,0)</f>
        <v>2279</v>
      </c>
      <c r="Q41" s="28">
        <f>VLOOKUP(N$2,'[10]301119'!$A$2:$F$25,6,0)</f>
        <v>4.4000000000000003E-3</v>
      </c>
      <c r="R41" s="27">
        <f>VLOOKUP(R$2,'[10]301119'!$A$2:$F$25,3,0)</f>
        <v>1950</v>
      </c>
      <c r="S41" s="27">
        <f>VLOOKUP(R$2,'[10]301119'!$A$2:$F$25,4,0)</f>
        <v>3</v>
      </c>
      <c r="T41" s="27">
        <f>VLOOKUP(R$2,'[10]301119'!$A$2:$F$25,5,0)</f>
        <v>1947</v>
      </c>
      <c r="U41" s="28">
        <f>VLOOKUP(R$2,'[10]301119'!$A$2:$F$25,6,0)</f>
        <v>1.5E-3</v>
      </c>
    </row>
    <row r="43" spans="1:22" x14ac:dyDescent="0.35">
      <c r="E43" s="14"/>
    </row>
    <row r="44" spans="1:22" ht="13.5" x14ac:dyDescent="0.35">
      <c r="B44">
        <f>B39+F39+J39+N39+R39</f>
        <v>640312</v>
      </c>
      <c r="C44">
        <f>C39+G39+K39+O39+S39</f>
        <v>28664</v>
      </c>
      <c r="E44" s="23">
        <f>C44/B44</f>
        <v>4.4765676732592859E-2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44"/>
  <sheetViews>
    <sheetView topLeftCell="A10" zoomScale="90" zoomScaleNormal="90" workbookViewId="0">
      <selection activeCell="D41" sqref="D41"/>
    </sheetView>
  </sheetViews>
  <sheetFormatPr defaultRowHeight="12.75" x14ac:dyDescent="0.35"/>
  <cols>
    <col min="1" max="1" width="11" bestFit="1" customWidth="1"/>
    <col min="2" max="2" width="11.59765625" bestFit="1" customWidth="1"/>
    <col min="5" max="5" width="11.265625" bestFit="1" customWidth="1"/>
    <col min="9" max="9" width="10.59765625" bestFit="1" customWidth="1"/>
    <col min="13" max="13" width="10.59765625" bestFit="1" customWidth="1"/>
    <col min="17" max="17" width="10.59765625" bestFit="1" customWidth="1"/>
    <col min="21" max="22" width="10.59765625" bestFit="1" customWidth="1"/>
  </cols>
  <sheetData>
    <row r="1" spans="1:22" ht="28.15" x14ac:dyDescent="0.7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ht="15.4" x14ac:dyDescent="0.45">
      <c r="A2" s="1"/>
      <c r="B2" s="43">
        <v>1</v>
      </c>
      <c r="C2" s="43"/>
      <c r="D2" s="43"/>
      <c r="E2" s="43"/>
      <c r="F2" s="44">
        <v>2</v>
      </c>
      <c r="G2" s="44"/>
      <c r="H2" s="44"/>
      <c r="I2" s="44"/>
      <c r="J2" s="44">
        <v>3</v>
      </c>
      <c r="K2" s="44"/>
      <c r="L2" s="44"/>
      <c r="M2" s="44"/>
      <c r="N2" s="44">
        <v>4</v>
      </c>
      <c r="O2" s="44"/>
      <c r="P2" s="44"/>
      <c r="Q2" s="44"/>
      <c r="R2" s="44">
        <v>5</v>
      </c>
      <c r="S2" s="44"/>
      <c r="T2" s="44"/>
      <c r="U2" s="44"/>
      <c r="V2" s="1"/>
    </row>
    <row r="3" spans="1:22" ht="15" x14ac:dyDescent="0.4">
      <c r="A3" s="2" t="s">
        <v>0</v>
      </c>
      <c r="B3" s="39" t="s">
        <v>1</v>
      </c>
      <c r="C3" s="40"/>
      <c r="D3" s="40"/>
      <c r="E3" s="41"/>
      <c r="F3" s="39" t="s">
        <v>2</v>
      </c>
      <c r="G3" s="40"/>
      <c r="H3" s="40"/>
      <c r="I3" s="41"/>
      <c r="J3" s="39" t="s">
        <v>3</v>
      </c>
      <c r="K3" s="40"/>
      <c r="L3" s="40"/>
      <c r="M3" s="41"/>
      <c r="N3" s="39" t="s">
        <v>4</v>
      </c>
      <c r="O3" s="40"/>
      <c r="P3" s="40"/>
      <c r="Q3" s="41"/>
      <c r="R3" s="39" t="s">
        <v>5</v>
      </c>
      <c r="S3" s="40"/>
      <c r="T3" s="40"/>
      <c r="U3" s="41"/>
      <c r="V3" s="3" t="s">
        <v>6</v>
      </c>
    </row>
    <row r="4" spans="1:22" ht="20.25" x14ac:dyDescent="0.35">
      <c r="A4" s="4"/>
      <c r="B4" s="5" t="s">
        <v>7</v>
      </c>
      <c r="C4" s="5" t="s">
        <v>8</v>
      </c>
      <c r="D4" s="5" t="s">
        <v>9</v>
      </c>
      <c r="E4" s="6" t="s">
        <v>10</v>
      </c>
      <c r="F4" s="7" t="s">
        <v>7</v>
      </c>
      <c r="G4" s="7" t="s">
        <v>8</v>
      </c>
      <c r="H4" s="7" t="s">
        <v>9</v>
      </c>
      <c r="I4" s="8" t="s">
        <v>10</v>
      </c>
      <c r="J4" s="5" t="s">
        <v>7</v>
      </c>
      <c r="K4" s="5" t="s">
        <v>8</v>
      </c>
      <c r="L4" s="5" t="s">
        <v>9</v>
      </c>
      <c r="M4" s="6" t="s">
        <v>10</v>
      </c>
      <c r="N4" s="7" t="s">
        <v>7</v>
      </c>
      <c r="O4" s="7" t="s">
        <v>8</v>
      </c>
      <c r="P4" s="7" t="s">
        <v>9</v>
      </c>
      <c r="Q4" s="8" t="s">
        <v>10</v>
      </c>
      <c r="R4" s="5" t="s">
        <v>7</v>
      </c>
      <c r="S4" s="5" t="s">
        <v>8</v>
      </c>
      <c r="T4" s="5" t="s">
        <v>9</v>
      </c>
      <c r="U4" s="6" t="s">
        <v>10</v>
      </c>
      <c r="V4" s="9" t="s">
        <v>11</v>
      </c>
    </row>
    <row r="5" spans="1:22" x14ac:dyDescent="0.35">
      <c r="A5" s="10">
        <v>43800</v>
      </c>
      <c r="B5" s="11">
        <v>446</v>
      </c>
      <c r="C5" s="11">
        <v>147</v>
      </c>
      <c r="D5" s="11">
        <v>299</v>
      </c>
      <c r="E5" s="26">
        <v>0.3296</v>
      </c>
      <c r="F5" s="11">
        <v>3339</v>
      </c>
      <c r="G5" s="11">
        <v>29</v>
      </c>
      <c r="H5" s="11">
        <v>3310</v>
      </c>
      <c r="I5" s="26">
        <v>8.6999999999999994E-3</v>
      </c>
      <c r="J5" s="11">
        <v>2285</v>
      </c>
      <c r="K5" s="11">
        <v>18</v>
      </c>
      <c r="L5" s="11">
        <v>2267</v>
      </c>
      <c r="M5" s="26">
        <v>7.9000000000000008E-3</v>
      </c>
      <c r="N5" s="11">
        <v>2269</v>
      </c>
      <c r="O5" s="11">
        <v>10</v>
      </c>
      <c r="P5" s="11">
        <v>2259</v>
      </c>
      <c r="Q5" s="26">
        <v>4.4000000000000003E-3</v>
      </c>
      <c r="R5" s="11">
        <v>1937</v>
      </c>
      <c r="S5" s="11">
        <v>12</v>
      </c>
      <c r="T5" s="11">
        <v>1925</v>
      </c>
      <c r="U5" s="26">
        <v>6.1999999999999998E-3</v>
      </c>
      <c r="V5" s="12">
        <f t="shared" ref="V5:V34" si="0">(C5+G5+K5+O5+S5)/(B5+F5+J5+N5+R5)</f>
        <v>2.1019852082522383E-2</v>
      </c>
    </row>
    <row r="6" spans="1:22" x14ac:dyDescent="0.35">
      <c r="A6" s="10">
        <v>43801</v>
      </c>
      <c r="B6" s="11">
        <v>430</v>
      </c>
      <c r="C6" s="11">
        <v>121</v>
      </c>
      <c r="D6" s="11">
        <v>309</v>
      </c>
      <c r="E6" s="26">
        <v>0.28139999999999998</v>
      </c>
      <c r="F6" s="11">
        <v>3315</v>
      </c>
      <c r="G6" s="11">
        <v>29</v>
      </c>
      <c r="H6" s="11">
        <v>3286</v>
      </c>
      <c r="I6" s="26">
        <v>8.6999999999999994E-3</v>
      </c>
      <c r="J6" s="11">
        <v>2287</v>
      </c>
      <c r="K6" s="11">
        <v>21</v>
      </c>
      <c r="L6" s="11">
        <v>2266</v>
      </c>
      <c r="M6" s="26">
        <v>9.1999999999999998E-3</v>
      </c>
      <c r="N6" s="11">
        <v>2262</v>
      </c>
      <c r="O6" s="11">
        <v>9</v>
      </c>
      <c r="P6" s="11">
        <v>2253</v>
      </c>
      <c r="Q6" s="26">
        <v>4.0000000000000001E-3</v>
      </c>
      <c r="R6" s="11">
        <v>1937</v>
      </c>
      <c r="S6" s="11">
        <v>10</v>
      </c>
      <c r="T6" s="11">
        <v>1927</v>
      </c>
      <c r="U6" s="26">
        <v>5.1999999999999998E-3</v>
      </c>
      <c r="V6" s="12">
        <f>(C6+G6+K6+O6+S6)/(B6+F6+J6+N6+R6)</f>
        <v>1.8571009676473463E-2</v>
      </c>
    </row>
    <row r="7" spans="1:22" x14ac:dyDescent="0.35">
      <c r="A7" s="10">
        <v>43802</v>
      </c>
      <c r="B7" s="11">
        <v>440</v>
      </c>
      <c r="C7" s="11">
        <v>115</v>
      </c>
      <c r="D7" s="11">
        <v>325</v>
      </c>
      <c r="E7" s="26">
        <v>0.26140000000000002</v>
      </c>
      <c r="F7" s="11">
        <v>3308</v>
      </c>
      <c r="G7" s="11">
        <v>28</v>
      </c>
      <c r="H7" s="11">
        <v>3280</v>
      </c>
      <c r="I7" s="26">
        <v>8.5000000000000006E-3</v>
      </c>
      <c r="J7" s="11">
        <v>2290</v>
      </c>
      <c r="K7" s="11">
        <v>20</v>
      </c>
      <c r="L7" s="11">
        <v>2270</v>
      </c>
      <c r="M7" s="26">
        <v>8.6999999999999994E-3</v>
      </c>
      <c r="N7" s="11">
        <v>2275</v>
      </c>
      <c r="O7" s="11">
        <v>13</v>
      </c>
      <c r="P7" s="11">
        <v>2262</v>
      </c>
      <c r="Q7" s="26">
        <v>5.7000000000000002E-3</v>
      </c>
      <c r="R7" s="11">
        <v>1924</v>
      </c>
      <c r="S7" s="11">
        <v>11</v>
      </c>
      <c r="T7" s="11">
        <v>1913</v>
      </c>
      <c r="U7" s="26">
        <v>5.7000000000000002E-3</v>
      </c>
      <c r="V7" s="12">
        <f>(C7+G7+K7+O7+S7)/(B7+F7+J7+N7+R7)</f>
        <v>1.8267070430790271E-2</v>
      </c>
    </row>
    <row r="8" spans="1:22" x14ac:dyDescent="0.35">
      <c r="A8" s="10">
        <v>43803</v>
      </c>
      <c r="B8" s="11">
        <v>450</v>
      </c>
      <c r="C8" s="11">
        <v>120</v>
      </c>
      <c r="D8" s="11">
        <v>330</v>
      </c>
      <c r="E8" s="26">
        <v>0.26669999999999999</v>
      </c>
      <c r="F8" s="11">
        <v>3320</v>
      </c>
      <c r="G8" s="11">
        <v>30</v>
      </c>
      <c r="H8" s="11">
        <v>3290</v>
      </c>
      <c r="I8" s="26">
        <v>8.9999999999999993E-3</v>
      </c>
      <c r="J8" s="11">
        <v>2283</v>
      </c>
      <c r="K8" s="11">
        <v>21</v>
      </c>
      <c r="L8" s="11">
        <v>2262</v>
      </c>
      <c r="M8" s="26">
        <v>9.1999999999999998E-3</v>
      </c>
      <c r="N8" s="11">
        <v>2277</v>
      </c>
      <c r="O8" s="11">
        <v>12</v>
      </c>
      <c r="P8" s="11">
        <v>2265</v>
      </c>
      <c r="Q8" s="26">
        <v>5.3E-3</v>
      </c>
      <c r="R8" s="11">
        <v>1928</v>
      </c>
      <c r="S8" s="11">
        <v>12</v>
      </c>
      <c r="T8" s="11">
        <v>1916</v>
      </c>
      <c r="U8" s="26">
        <v>6.1999999999999998E-3</v>
      </c>
      <c r="V8" s="12">
        <f t="shared" si="0"/>
        <v>1.9009553519204522E-2</v>
      </c>
    </row>
    <row r="9" spans="1:22" x14ac:dyDescent="0.35">
      <c r="A9" s="10">
        <v>43804</v>
      </c>
      <c r="B9" s="11">
        <v>448</v>
      </c>
      <c r="C9" s="11">
        <v>119</v>
      </c>
      <c r="D9" s="11">
        <v>329</v>
      </c>
      <c r="E9" s="26">
        <v>0.2656</v>
      </c>
      <c r="F9" s="11">
        <v>3367</v>
      </c>
      <c r="G9" s="11">
        <v>62</v>
      </c>
      <c r="H9" s="11">
        <v>3305</v>
      </c>
      <c r="I9" s="26">
        <v>1.84E-2</v>
      </c>
      <c r="J9" s="11">
        <v>2292</v>
      </c>
      <c r="K9" s="11">
        <v>21</v>
      </c>
      <c r="L9" s="11">
        <v>2271</v>
      </c>
      <c r="M9" s="26">
        <v>9.1999999999999998E-3</v>
      </c>
      <c r="N9" s="11">
        <v>2312</v>
      </c>
      <c r="O9" s="11">
        <v>11</v>
      </c>
      <c r="P9" s="11">
        <v>2301</v>
      </c>
      <c r="Q9" s="26">
        <v>4.7999999999999996E-3</v>
      </c>
      <c r="R9" s="11">
        <v>1930</v>
      </c>
      <c r="S9" s="11">
        <v>14</v>
      </c>
      <c r="T9" s="11">
        <v>1916</v>
      </c>
      <c r="U9" s="26">
        <v>7.3000000000000001E-3</v>
      </c>
      <c r="V9" s="12">
        <f t="shared" si="0"/>
        <v>2.1934486423809064E-2</v>
      </c>
    </row>
    <row r="10" spans="1:22" x14ac:dyDescent="0.35">
      <c r="A10" s="10">
        <v>43805</v>
      </c>
      <c r="B10" s="11">
        <v>455</v>
      </c>
      <c r="C10" s="11">
        <v>128</v>
      </c>
      <c r="D10" s="11">
        <v>327</v>
      </c>
      <c r="E10" s="26">
        <v>0.28129999999999999</v>
      </c>
      <c r="F10" s="11">
        <v>3391</v>
      </c>
      <c r="G10" s="11">
        <v>31</v>
      </c>
      <c r="H10" s="11">
        <v>3360</v>
      </c>
      <c r="I10" s="26">
        <v>9.1000000000000004E-3</v>
      </c>
      <c r="J10" s="11">
        <v>2294</v>
      </c>
      <c r="K10" s="11">
        <v>21</v>
      </c>
      <c r="L10" s="11">
        <v>2273</v>
      </c>
      <c r="M10" s="26">
        <v>9.1999999999999998E-3</v>
      </c>
      <c r="N10" s="11">
        <v>2302</v>
      </c>
      <c r="O10" s="11">
        <v>13</v>
      </c>
      <c r="P10" s="11">
        <v>2289</v>
      </c>
      <c r="Q10" s="26">
        <v>5.5999999999999999E-3</v>
      </c>
      <c r="R10" s="11">
        <v>1929</v>
      </c>
      <c r="S10" s="11">
        <v>18</v>
      </c>
      <c r="T10" s="11">
        <v>1911</v>
      </c>
      <c r="U10" s="26">
        <v>9.2999999999999992E-3</v>
      </c>
      <c r="V10" s="12">
        <f t="shared" si="0"/>
        <v>2.0345193327547969E-2</v>
      </c>
    </row>
    <row r="11" spans="1:22" x14ac:dyDescent="0.35">
      <c r="A11" s="10">
        <v>43806</v>
      </c>
      <c r="B11" s="11">
        <v>462</v>
      </c>
      <c r="C11" s="11">
        <v>145</v>
      </c>
      <c r="D11" s="11">
        <v>317</v>
      </c>
      <c r="E11" s="26">
        <v>0.31390000000000001</v>
      </c>
      <c r="F11" s="11">
        <v>3414</v>
      </c>
      <c r="G11" s="11">
        <v>41</v>
      </c>
      <c r="H11" s="11">
        <v>3373</v>
      </c>
      <c r="I11" s="26">
        <v>1.2E-2</v>
      </c>
      <c r="J11" s="11">
        <v>2302</v>
      </c>
      <c r="K11" s="11">
        <v>21</v>
      </c>
      <c r="L11" s="11">
        <v>2281</v>
      </c>
      <c r="M11" s="26">
        <v>9.1000000000000004E-3</v>
      </c>
      <c r="N11" s="11">
        <v>2342</v>
      </c>
      <c r="O11" s="11">
        <v>14</v>
      </c>
      <c r="P11" s="11">
        <v>2328</v>
      </c>
      <c r="Q11" s="26">
        <v>6.0000000000000001E-3</v>
      </c>
      <c r="R11" s="11">
        <v>1939</v>
      </c>
      <c r="S11" s="11">
        <v>16</v>
      </c>
      <c r="T11" s="11">
        <v>1923</v>
      </c>
      <c r="U11" s="26">
        <v>8.3000000000000001E-3</v>
      </c>
      <c r="V11" s="12">
        <f t="shared" si="0"/>
        <v>2.2659910125250982E-2</v>
      </c>
    </row>
    <row r="12" spans="1:22" x14ac:dyDescent="0.35">
      <c r="A12" s="10">
        <v>43807</v>
      </c>
      <c r="B12" s="11">
        <v>473</v>
      </c>
      <c r="C12" s="11">
        <v>203</v>
      </c>
      <c r="D12" s="11">
        <v>270</v>
      </c>
      <c r="E12" s="26">
        <v>0.42920000000000003</v>
      </c>
      <c r="F12" s="11">
        <v>3359</v>
      </c>
      <c r="G12" s="11">
        <v>56</v>
      </c>
      <c r="H12" s="11">
        <v>3303</v>
      </c>
      <c r="I12" s="26">
        <v>1.67E-2</v>
      </c>
      <c r="J12" s="11">
        <v>2293</v>
      </c>
      <c r="K12" s="11">
        <v>22</v>
      </c>
      <c r="L12" s="11">
        <v>2271</v>
      </c>
      <c r="M12" s="26">
        <v>9.5999999999999992E-3</v>
      </c>
      <c r="N12" s="11">
        <v>2312</v>
      </c>
      <c r="O12" s="11">
        <v>16</v>
      </c>
      <c r="P12" s="11">
        <v>2296</v>
      </c>
      <c r="Q12" s="26">
        <v>6.8999999999999999E-3</v>
      </c>
      <c r="R12" s="11">
        <v>1916</v>
      </c>
      <c r="S12" s="11">
        <v>30</v>
      </c>
      <c r="T12" s="11">
        <v>1886</v>
      </c>
      <c r="U12" s="26">
        <v>1.5699999999999999E-2</v>
      </c>
      <c r="V12" s="12">
        <f t="shared" si="0"/>
        <v>3.1585047812228338E-2</v>
      </c>
    </row>
    <row r="13" spans="1:22" x14ac:dyDescent="0.35">
      <c r="A13" s="10">
        <v>43808</v>
      </c>
      <c r="B13" s="11">
        <v>463</v>
      </c>
      <c r="C13" s="11">
        <v>157</v>
      </c>
      <c r="D13" s="11">
        <v>306</v>
      </c>
      <c r="E13" s="26">
        <v>0.33910000000000001</v>
      </c>
      <c r="F13" s="11">
        <v>3340</v>
      </c>
      <c r="G13" s="11">
        <v>69</v>
      </c>
      <c r="H13" s="11">
        <v>3271</v>
      </c>
      <c r="I13" s="26">
        <v>2.07E-2</v>
      </c>
      <c r="J13" s="11">
        <v>2282</v>
      </c>
      <c r="K13" s="11">
        <v>26</v>
      </c>
      <c r="L13" s="11">
        <v>2256</v>
      </c>
      <c r="M13" s="26">
        <v>1.14E-2</v>
      </c>
      <c r="N13" s="11">
        <v>2308</v>
      </c>
      <c r="O13" s="11">
        <v>21</v>
      </c>
      <c r="P13" s="11">
        <v>2287</v>
      </c>
      <c r="Q13" s="26">
        <v>9.1000000000000004E-3</v>
      </c>
      <c r="R13" s="11">
        <v>1909</v>
      </c>
      <c r="S13" s="11">
        <v>31</v>
      </c>
      <c r="T13" s="11">
        <v>1878</v>
      </c>
      <c r="U13" s="26">
        <v>1.6199999999999999E-2</v>
      </c>
      <c r="V13" s="12">
        <f t="shared" si="0"/>
        <v>2.9508833236264805E-2</v>
      </c>
    </row>
    <row r="14" spans="1:22" x14ac:dyDescent="0.35">
      <c r="A14" s="10">
        <v>43809</v>
      </c>
      <c r="B14" s="11">
        <v>472</v>
      </c>
      <c r="C14" s="11">
        <v>142</v>
      </c>
      <c r="D14" s="11">
        <v>330</v>
      </c>
      <c r="E14" s="26">
        <v>0.30080000000000001</v>
      </c>
      <c r="F14" s="11">
        <v>3379</v>
      </c>
      <c r="G14" s="11">
        <v>56</v>
      </c>
      <c r="H14" s="11">
        <v>3323</v>
      </c>
      <c r="I14" s="26">
        <v>1.66E-2</v>
      </c>
      <c r="J14" s="11">
        <v>2310</v>
      </c>
      <c r="K14" s="11">
        <v>21</v>
      </c>
      <c r="L14" s="11">
        <v>2289</v>
      </c>
      <c r="M14" s="26">
        <v>9.1000000000000004E-3</v>
      </c>
      <c r="N14" s="11">
        <v>2379</v>
      </c>
      <c r="O14" s="11">
        <v>16</v>
      </c>
      <c r="P14" s="11">
        <v>2363</v>
      </c>
      <c r="Q14" s="26">
        <v>6.7000000000000002E-3</v>
      </c>
      <c r="R14" s="11">
        <v>1904</v>
      </c>
      <c r="S14" s="11">
        <v>38</v>
      </c>
      <c r="T14" s="11">
        <v>1866</v>
      </c>
      <c r="U14" s="26">
        <v>0.02</v>
      </c>
      <c r="V14" s="12">
        <f t="shared" si="0"/>
        <v>2.613941018766756E-2</v>
      </c>
    </row>
    <row r="15" spans="1:22" x14ac:dyDescent="0.35">
      <c r="A15" s="10">
        <v>43810</v>
      </c>
      <c r="B15" s="11">
        <v>476</v>
      </c>
      <c r="C15" s="11">
        <v>140</v>
      </c>
      <c r="D15" s="11">
        <v>336</v>
      </c>
      <c r="E15" s="26">
        <v>0.29409999999999997</v>
      </c>
      <c r="F15" s="11">
        <v>3377</v>
      </c>
      <c r="G15" s="11">
        <v>52</v>
      </c>
      <c r="H15" s="11">
        <v>3325</v>
      </c>
      <c r="I15" s="26">
        <v>1.54E-2</v>
      </c>
      <c r="J15" s="11">
        <v>2311</v>
      </c>
      <c r="K15" s="11">
        <v>21</v>
      </c>
      <c r="L15" s="11">
        <v>2290</v>
      </c>
      <c r="M15" s="26">
        <v>9.1000000000000004E-3</v>
      </c>
      <c r="N15" s="11">
        <v>2373</v>
      </c>
      <c r="O15" s="11">
        <v>16</v>
      </c>
      <c r="P15" s="11">
        <v>2357</v>
      </c>
      <c r="Q15" s="26">
        <v>6.7000000000000002E-3</v>
      </c>
      <c r="R15" s="11">
        <v>1942</v>
      </c>
      <c r="S15" s="11">
        <v>40</v>
      </c>
      <c r="T15" s="11">
        <v>1902</v>
      </c>
      <c r="U15" s="26">
        <v>2.06E-2</v>
      </c>
      <c r="V15" s="12">
        <f t="shared" si="0"/>
        <v>2.5670388395839298E-2</v>
      </c>
    </row>
    <row r="16" spans="1:22" x14ac:dyDescent="0.35">
      <c r="A16" s="10">
        <v>43811</v>
      </c>
      <c r="B16" s="11">
        <v>488</v>
      </c>
      <c r="C16" s="11">
        <v>133</v>
      </c>
      <c r="D16" s="11">
        <v>355</v>
      </c>
      <c r="E16" s="26">
        <v>0.27250000000000002</v>
      </c>
      <c r="F16" s="11">
        <v>3388</v>
      </c>
      <c r="G16" s="11">
        <v>75</v>
      </c>
      <c r="H16" s="11">
        <v>3313</v>
      </c>
      <c r="I16" s="26">
        <v>2.2100000000000002E-2</v>
      </c>
      <c r="J16" s="11">
        <v>2310</v>
      </c>
      <c r="K16" s="11">
        <v>23</v>
      </c>
      <c r="L16" s="11">
        <v>2287</v>
      </c>
      <c r="M16" s="26">
        <v>0.01</v>
      </c>
      <c r="N16" s="11">
        <v>2362</v>
      </c>
      <c r="O16" s="11">
        <v>16</v>
      </c>
      <c r="P16" s="11">
        <v>2346</v>
      </c>
      <c r="Q16" s="26">
        <v>6.7999999999999996E-3</v>
      </c>
      <c r="R16" s="11">
        <v>1991</v>
      </c>
      <c r="S16" s="11">
        <v>18</v>
      </c>
      <c r="T16" s="11">
        <v>1973</v>
      </c>
      <c r="U16" s="26">
        <v>8.9999999999999993E-3</v>
      </c>
      <c r="V16" s="12">
        <f t="shared" si="0"/>
        <v>2.514470063573394E-2</v>
      </c>
    </row>
    <row r="17" spans="1:22" x14ac:dyDescent="0.35">
      <c r="A17" s="10">
        <v>43812</v>
      </c>
      <c r="B17" s="11">
        <v>496</v>
      </c>
      <c r="C17" s="11">
        <v>144</v>
      </c>
      <c r="D17" s="11">
        <v>352</v>
      </c>
      <c r="E17" s="26">
        <v>0.2903</v>
      </c>
      <c r="F17" s="11">
        <v>3452</v>
      </c>
      <c r="G17" s="11">
        <v>57</v>
      </c>
      <c r="H17" s="11">
        <v>3395</v>
      </c>
      <c r="I17" s="26">
        <v>1.6500000000000001E-2</v>
      </c>
      <c r="J17" s="11">
        <v>2330</v>
      </c>
      <c r="K17" s="11">
        <v>26</v>
      </c>
      <c r="L17" s="11">
        <v>2304</v>
      </c>
      <c r="M17" s="26">
        <v>1.12E-2</v>
      </c>
      <c r="N17" s="11">
        <v>2398</v>
      </c>
      <c r="O17" s="11">
        <v>16</v>
      </c>
      <c r="P17" s="11">
        <v>2382</v>
      </c>
      <c r="Q17" s="26">
        <v>6.7000000000000002E-3</v>
      </c>
      <c r="R17" s="11">
        <v>1988</v>
      </c>
      <c r="S17" s="11">
        <v>26</v>
      </c>
      <c r="T17" s="11">
        <v>1962</v>
      </c>
      <c r="U17" s="26">
        <v>1.3100000000000001E-2</v>
      </c>
      <c r="V17" s="12">
        <f t="shared" si="0"/>
        <v>2.5225056264066018E-2</v>
      </c>
    </row>
    <row r="18" spans="1:22" x14ac:dyDescent="0.35">
      <c r="A18" s="10">
        <v>43813</v>
      </c>
      <c r="B18" s="11">
        <v>497</v>
      </c>
      <c r="C18" s="11">
        <v>191</v>
      </c>
      <c r="D18" s="11">
        <v>306</v>
      </c>
      <c r="E18" s="26">
        <v>0.38429999999999997</v>
      </c>
      <c r="F18" s="11">
        <v>3415</v>
      </c>
      <c r="G18" s="11">
        <v>70</v>
      </c>
      <c r="H18" s="11">
        <v>3345</v>
      </c>
      <c r="I18" s="26">
        <v>2.0500000000000001E-2</v>
      </c>
      <c r="J18" s="11">
        <v>2331</v>
      </c>
      <c r="K18" s="11">
        <v>32</v>
      </c>
      <c r="L18" s="11">
        <v>2299</v>
      </c>
      <c r="M18" s="26">
        <v>1.37E-2</v>
      </c>
      <c r="N18" s="11">
        <v>2382</v>
      </c>
      <c r="O18" s="11">
        <v>18</v>
      </c>
      <c r="P18" s="11">
        <v>2364</v>
      </c>
      <c r="Q18" s="26">
        <v>7.6E-3</v>
      </c>
      <c r="R18" s="11">
        <v>1994</v>
      </c>
      <c r="S18" s="11">
        <v>58</v>
      </c>
      <c r="T18" s="11">
        <v>1936</v>
      </c>
      <c r="U18" s="26">
        <v>2.9100000000000001E-2</v>
      </c>
      <c r="V18" s="12">
        <f t="shared" si="0"/>
        <v>3.4749034749034749E-2</v>
      </c>
    </row>
    <row r="19" spans="1:22" x14ac:dyDescent="0.35">
      <c r="A19" s="10">
        <v>43814</v>
      </c>
      <c r="B19" s="11">
        <v>492</v>
      </c>
      <c r="C19" s="11">
        <v>223</v>
      </c>
      <c r="D19" s="11">
        <v>269</v>
      </c>
      <c r="E19" s="26">
        <v>0.45329999999999998</v>
      </c>
      <c r="F19" s="11">
        <v>3394</v>
      </c>
      <c r="G19" s="11">
        <v>136</v>
      </c>
      <c r="H19" s="11">
        <v>3258</v>
      </c>
      <c r="I19" s="26">
        <v>4.0099999999999997E-2</v>
      </c>
      <c r="J19" s="11">
        <v>2325</v>
      </c>
      <c r="K19" s="11">
        <v>44</v>
      </c>
      <c r="L19" s="11">
        <v>2281</v>
      </c>
      <c r="M19" s="26">
        <v>1.89E-2</v>
      </c>
      <c r="N19" s="11">
        <v>2364</v>
      </c>
      <c r="O19" s="11">
        <v>19</v>
      </c>
      <c r="P19" s="11">
        <v>2345</v>
      </c>
      <c r="Q19" s="26">
        <v>8.0000000000000002E-3</v>
      </c>
      <c r="R19" s="11">
        <v>1995</v>
      </c>
      <c r="S19" s="11">
        <v>78</v>
      </c>
      <c r="T19" s="11">
        <v>1917</v>
      </c>
      <c r="U19" s="26">
        <v>3.9100000000000003E-2</v>
      </c>
      <c r="V19" s="12">
        <f t="shared" si="0"/>
        <v>4.730368968779565E-2</v>
      </c>
    </row>
    <row r="20" spans="1:22" x14ac:dyDescent="0.35">
      <c r="A20" s="10">
        <v>43815</v>
      </c>
      <c r="B20" s="11">
        <v>489</v>
      </c>
      <c r="C20" s="11">
        <v>173</v>
      </c>
      <c r="D20" s="11">
        <v>316</v>
      </c>
      <c r="E20" s="26">
        <v>0.3538</v>
      </c>
      <c r="F20" s="11">
        <v>3465</v>
      </c>
      <c r="G20" s="11">
        <v>80</v>
      </c>
      <c r="H20" s="11">
        <v>3385</v>
      </c>
      <c r="I20" s="26">
        <v>2.3099999999999999E-2</v>
      </c>
      <c r="J20" s="11">
        <v>2334</v>
      </c>
      <c r="K20" s="11">
        <v>27</v>
      </c>
      <c r="L20" s="11">
        <v>2307</v>
      </c>
      <c r="M20" s="26">
        <v>1.1599999999999999E-2</v>
      </c>
      <c r="N20" s="11">
        <v>2401</v>
      </c>
      <c r="O20" s="11">
        <v>18</v>
      </c>
      <c r="P20" s="11">
        <v>2383</v>
      </c>
      <c r="Q20" s="26">
        <v>7.4999999999999997E-3</v>
      </c>
      <c r="R20" s="11">
        <v>2027</v>
      </c>
      <c r="S20" s="11">
        <v>26</v>
      </c>
      <c r="T20" s="11">
        <v>2001</v>
      </c>
      <c r="U20" s="26">
        <v>1.2800000000000001E-2</v>
      </c>
      <c r="V20" s="12">
        <f t="shared" si="0"/>
        <v>3.0235162374020158E-2</v>
      </c>
    </row>
    <row r="21" spans="1:22" x14ac:dyDescent="0.35">
      <c r="A21" s="10">
        <v>43816</v>
      </c>
      <c r="B21" s="11">
        <v>488</v>
      </c>
      <c r="C21" s="11">
        <v>166</v>
      </c>
      <c r="D21" s="11">
        <v>322</v>
      </c>
      <c r="E21" s="26">
        <v>0.3402</v>
      </c>
      <c r="F21" s="11">
        <v>3460</v>
      </c>
      <c r="G21" s="11">
        <v>80</v>
      </c>
      <c r="H21" s="11">
        <v>3380</v>
      </c>
      <c r="I21" s="26">
        <v>2.3099999999999999E-2</v>
      </c>
      <c r="J21" s="11">
        <v>2330</v>
      </c>
      <c r="K21" s="11">
        <v>29</v>
      </c>
      <c r="L21" s="11">
        <v>2301</v>
      </c>
      <c r="M21" s="26">
        <v>1.24E-2</v>
      </c>
      <c r="N21" s="11">
        <v>2391</v>
      </c>
      <c r="O21" s="11">
        <v>18</v>
      </c>
      <c r="P21" s="11">
        <v>2373</v>
      </c>
      <c r="Q21" s="26">
        <v>7.4999999999999997E-3</v>
      </c>
      <c r="R21" s="11">
        <v>2031</v>
      </c>
      <c r="S21" s="11">
        <v>24</v>
      </c>
      <c r="T21" s="11">
        <v>2007</v>
      </c>
      <c r="U21" s="26">
        <v>1.18E-2</v>
      </c>
      <c r="V21" s="12">
        <f t="shared" si="0"/>
        <v>2.9626168224299067E-2</v>
      </c>
    </row>
    <row r="22" spans="1:22" x14ac:dyDescent="0.35">
      <c r="A22" s="10">
        <v>43817</v>
      </c>
      <c r="B22" s="11">
        <v>488</v>
      </c>
      <c r="C22" s="11">
        <v>168</v>
      </c>
      <c r="D22" s="11">
        <v>320</v>
      </c>
      <c r="E22" s="26">
        <v>0.34429999999999999</v>
      </c>
      <c r="F22" s="11">
        <v>3438</v>
      </c>
      <c r="G22" s="11">
        <v>81</v>
      </c>
      <c r="H22" s="11">
        <v>3357</v>
      </c>
      <c r="I22" s="26">
        <v>2.3599999999999999E-2</v>
      </c>
      <c r="J22" s="11">
        <v>2335</v>
      </c>
      <c r="K22" s="11">
        <v>25</v>
      </c>
      <c r="L22" s="11">
        <v>2310</v>
      </c>
      <c r="M22" s="26">
        <v>1.0699999999999999E-2</v>
      </c>
      <c r="N22" s="11">
        <v>2390</v>
      </c>
      <c r="O22" s="11">
        <v>18</v>
      </c>
      <c r="P22" s="11">
        <v>2372</v>
      </c>
      <c r="Q22" s="26">
        <v>7.4999999999999997E-3</v>
      </c>
      <c r="R22" s="11">
        <v>2094</v>
      </c>
      <c r="S22" s="11">
        <v>27</v>
      </c>
      <c r="T22" s="11">
        <v>2067</v>
      </c>
      <c r="U22" s="26">
        <v>1.29E-2</v>
      </c>
      <c r="V22" s="12">
        <f t="shared" si="0"/>
        <v>2.9688227082363891E-2</v>
      </c>
    </row>
    <row r="23" spans="1:22" x14ac:dyDescent="0.35">
      <c r="A23" s="10">
        <v>43818</v>
      </c>
      <c r="B23" s="11">
        <v>500</v>
      </c>
      <c r="C23" s="11">
        <v>166</v>
      </c>
      <c r="D23" s="11">
        <v>334</v>
      </c>
      <c r="E23" s="26">
        <v>0.33200000000000002</v>
      </c>
      <c r="F23" s="11">
        <v>3511</v>
      </c>
      <c r="G23" s="11">
        <v>115</v>
      </c>
      <c r="H23" s="11">
        <v>3396</v>
      </c>
      <c r="I23" s="26">
        <v>3.2800000000000003E-2</v>
      </c>
      <c r="J23" s="11">
        <v>2334</v>
      </c>
      <c r="K23" s="11">
        <v>28</v>
      </c>
      <c r="L23" s="11">
        <v>2306</v>
      </c>
      <c r="M23" s="26">
        <v>1.2E-2</v>
      </c>
      <c r="N23" s="11">
        <v>2375</v>
      </c>
      <c r="O23" s="11">
        <v>19</v>
      </c>
      <c r="P23" s="11">
        <v>2356</v>
      </c>
      <c r="Q23" s="26">
        <v>8.0000000000000002E-3</v>
      </c>
      <c r="R23" s="11">
        <v>2091</v>
      </c>
      <c r="S23" s="11">
        <v>31</v>
      </c>
      <c r="T23" s="11">
        <v>2060</v>
      </c>
      <c r="U23" s="26">
        <v>1.4800000000000001E-2</v>
      </c>
      <c r="V23" s="12">
        <f t="shared" si="0"/>
        <v>3.320691887891962E-2</v>
      </c>
    </row>
    <row r="24" spans="1:22" x14ac:dyDescent="0.35">
      <c r="A24" s="10">
        <v>43819</v>
      </c>
      <c r="B24" s="11">
        <v>515</v>
      </c>
      <c r="C24" s="11">
        <v>164</v>
      </c>
      <c r="D24" s="11">
        <v>351</v>
      </c>
      <c r="E24" s="26">
        <v>0.31840000000000002</v>
      </c>
      <c r="F24" s="11">
        <v>3567</v>
      </c>
      <c r="G24" s="11">
        <v>69</v>
      </c>
      <c r="H24" s="11">
        <v>3498</v>
      </c>
      <c r="I24" s="26">
        <v>1.9300000000000001E-2</v>
      </c>
      <c r="J24" s="11">
        <v>2341</v>
      </c>
      <c r="K24" s="11">
        <v>25</v>
      </c>
      <c r="L24" s="11">
        <v>2316</v>
      </c>
      <c r="M24" s="26">
        <v>1.0699999999999999E-2</v>
      </c>
      <c r="N24" s="11">
        <v>2385</v>
      </c>
      <c r="O24" s="11">
        <v>21</v>
      </c>
      <c r="P24" s="11">
        <v>2364</v>
      </c>
      <c r="Q24" s="26">
        <v>8.8000000000000005E-3</v>
      </c>
      <c r="R24" s="11">
        <v>2099</v>
      </c>
      <c r="S24" s="11">
        <v>30</v>
      </c>
      <c r="T24" s="11">
        <v>2069</v>
      </c>
      <c r="U24" s="26">
        <v>1.43E-2</v>
      </c>
      <c r="V24" s="12">
        <f t="shared" si="0"/>
        <v>2.8330429999083157E-2</v>
      </c>
    </row>
    <row r="25" spans="1:22" x14ac:dyDescent="0.35">
      <c r="A25" s="10">
        <v>43820</v>
      </c>
      <c r="B25" s="11">
        <v>521</v>
      </c>
      <c r="C25" s="11">
        <v>170</v>
      </c>
      <c r="D25" s="11">
        <v>351</v>
      </c>
      <c r="E25" s="26">
        <v>0.32629999999999998</v>
      </c>
      <c r="F25" s="11">
        <v>3545</v>
      </c>
      <c r="G25" s="11">
        <v>77</v>
      </c>
      <c r="H25" s="11">
        <v>3468</v>
      </c>
      <c r="I25" s="26">
        <v>2.1700000000000001E-2</v>
      </c>
      <c r="J25" s="11">
        <v>2324</v>
      </c>
      <c r="K25" s="11">
        <v>27</v>
      </c>
      <c r="L25" s="11">
        <v>2297</v>
      </c>
      <c r="M25" s="26">
        <v>1.1599999999999999E-2</v>
      </c>
      <c r="N25" s="11">
        <v>2368</v>
      </c>
      <c r="O25" s="11">
        <v>21</v>
      </c>
      <c r="P25" s="11">
        <v>2347</v>
      </c>
      <c r="Q25" s="26">
        <v>8.8999999999999999E-3</v>
      </c>
      <c r="R25" s="11">
        <v>2107</v>
      </c>
      <c r="S25" s="11">
        <v>28</v>
      </c>
      <c r="T25" s="11">
        <v>2079</v>
      </c>
      <c r="U25" s="26">
        <v>1.3299999999999999E-2</v>
      </c>
      <c r="V25" s="12">
        <f t="shared" si="0"/>
        <v>2.9728485964104923E-2</v>
      </c>
    </row>
    <row r="26" spans="1:22" x14ac:dyDescent="0.35">
      <c r="A26" s="10">
        <v>43821</v>
      </c>
      <c r="B26" s="11">
        <v>519</v>
      </c>
      <c r="C26" s="11">
        <v>204</v>
      </c>
      <c r="D26" s="11">
        <v>315</v>
      </c>
      <c r="E26" s="26">
        <v>0.3931</v>
      </c>
      <c r="F26" s="11">
        <v>3516</v>
      </c>
      <c r="G26" s="11">
        <v>106</v>
      </c>
      <c r="H26" s="11">
        <v>3410</v>
      </c>
      <c r="I26" s="26">
        <v>3.0099999999999998E-2</v>
      </c>
      <c r="J26" s="11">
        <v>2317</v>
      </c>
      <c r="K26" s="11">
        <v>33</v>
      </c>
      <c r="L26" s="11">
        <v>2284</v>
      </c>
      <c r="M26" s="26">
        <v>1.4200000000000001E-2</v>
      </c>
      <c r="N26" s="11">
        <v>2349</v>
      </c>
      <c r="O26" s="11">
        <v>29</v>
      </c>
      <c r="P26" s="11">
        <v>2320</v>
      </c>
      <c r="Q26" s="26">
        <v>1.23E-2</v>
      </c>
      <c r="R26" s="11">
        <v>2098</v>
      </c>
      <c r="S26" s="11">
        <v>32</v>
      </c>
      <c r="T26" s="11">
        <v>2066</v>
      </c>
      <c r="U26" s="26">
        <v>1.5299999999999999E-2</v>
      </c>
      <c r="V26" s="12">
        <f t="shared" si="0"/>
        <v>3.7410871376979349E-2</v>
      </c>
    </row>
    <row r="27" spans="1:22" x14ac:dyDescent="0.35">
      <c r="A27" s="10">
        <v>43822</v>
      </c>
      <c r="B27" s="11">
        <v>508</v>
      </c>
      <c r="C27" s="11">
        <v>177</v>
      </c>
      <c r="D27" s="11">
        <v>331</v>
      </c>
      <c r="E27" s="26">
        <v>0.34839999999999999</v>
      </c>
      <c r="F27" s="11">
        <v>3516</v>
      </c>
      <c r="G27" s="11">
        <v>86</v>
      </c>
      <c r="H27" s="11">
        <v>3430</v>
      </c>
      <c r="I27" s="26">
        <v>2.4500000000000001E-2</v>
      </c>
      <c r="J27" s="11">
        <v>2317</v>
      </c>
      <c r="K27" s="11">
        <v>28</v>
      </c>
      <c r="L27" s="11">
        <v>2289</v>
      </c>
      <c r="M27" s="26">
        <v>1.21E-2</v>
      </c>
      <c r="N27" s="11">
        <v>2403</v>
      </c>
      <c r="O27" s="11">
        <v>22</v>
      </c>
      <c r="P27" s="11">
        <v>2381</v>
      </c>
      <c r="Q27" s="26">
        <v>9.1999999999999998E-3</v>
      </c>
      <c r="R27" s="11">
        <v>2151</v>
      </c>
      <c r="S27" s="11">
        <v>27</v>
      </c>
      <c r="T27" s="11">
        <v>2124</v>
      </c>
      <c r="U27" s="26">
        <v>1.26E-2</v>
      </c>
      <c r="V27" s="12">
        <f t="shared" si="0"/>
        <v>3.1206975676916018E-2</v>
      </c>
    </row>
    <row r="28" spans="1:22" x14ac:dyDescent="0.35">
      <c r="A28" s="10">
        <v>43823</v>
      </c>
      <c r="B28" s="11">
        <v>519</v>
      </c>
      <c r="C28" s="11">
        <v>177</v>
      </c>
      <c r="D28" s="11">
        <v>342</v>
      </c>
      <c r="E28" s="26">
        <v>0.34100000000000003</v>
      </c>
      <c r="F28" s="11">
        <v>3499</v>
      </c>
      <c r="G28" s="11">
        <v>91</v>
      </c>
      <c r="H28" s="11">
        <v>3408</v>
      </c>
      <c r="I28" s="26">
        <v>2.5999999999999999E-2</v>
      </c>
      <c r="J28" s="11">
        <v>2319</v>
      </c>
      <c r="K28" s="11">
        <v>27</v>
      </c>
      <c r="L28" s="11">
        <v>2292</v>
      </c>
      <c r="M28" s="26">
        <v>1.1599999999999999E-2</v>
      </c>
      <c r="N28" s="11">
        <v>2399</v>
      </c>
      <c r="O28" s="11">
        <v>23</v>
      </c>
      <c r="P28" s="11">
        <v>2376</v>
      </c>
      <c r="Q28" s="26">
        <v>9.5999999999999992E-3</v>
      </c>
      <c r="R28" s="11">
        <v>2139</v>
      </c>
      <c r="S28" s="11">
        <v>29</v>
      </c>
      <c r="T28" s="11">
        <v>2110</v>
      </c>
      <c r="U28" s="26">
        <v>1.3599999999999999E-2</v>
      </c>
      <c r="V28" s="12">
        <f t="shared" si="0"/>
        <v>3.1908045977011495E-2</v>
      </c>
    </row>
    <row r="29" spans="1:22" x14ac:dyDescent="0.35">
      <c r="A29" s="10">
        <v>43824</v>
      </c>
      <c r="B29" s="11">
        <v>529</v>
      </c>
      <c r="C29" s="11">
        <v>169</v>
      </c>
      <c r="D29" s="11">
        <v>360</v>
      </c>
      <c r="E29" s="26">
        <v>0.31950000000000001</v>
      </c>
      <c r="F29" s="11">
        <v>3478</v>
      </c>
      <c r="G29" s="11">
        <v>107</v>
      </c>
      <c r="H29" s="11">
        <v>3371</v>
      </c>
      <c r="I29" s="26">
        <v>3.0800000000000001E-2</v>
      </c>
      <c r="J29" s="11">
        <v>2323</v>
      </c>
      <c r="K29" s="11">
        <v>34</v>
      </c>
      <c r="L29" s="11">
        <v>2289</v>
      </c>
      <c r="M29" s="26">
        <v>1.46E-2</v>
      </c>
      <c r="N29" s="11">
        <v>2389</v>
      </c>
      <c r="O29" s="11">
        <v>24</v>
      </c>
      <c r="P29" s="11">
        <v>2365</v>
      </c>
      <c r="Q29" s="26">
        <v>0.01</v>
      </c>
      <c r="R29" s="11">
        <v>2132</v>
      </c>
      <c r="S29" s="11">
        <v>31</v>
      </c>
      <c r="T29" s="11">
        <v>2101</v>
      </c>
      <c r="U29" s="26">
        <v>1.4500000000000001E-2</v>
      </c>
      <c r="V29" s="12">
        <f t="shared" si="0"/>
        <v>3.3637452769330015E-2</v>
      </c>
    </row>
    <row r="30" spans="1:22" x14ac:dyDescent="0.35">
      <c r="A30" s="10">
        <v>43825</v>
      </c>
      <c r="B30" s="11">
        <v>535</v>
      </c>
      <c r="C30" s="11">
        <v>176</v>
      </c>
      <c r="D30" s="11">
        <v>359</v>
      </c>
      <c r="E30" s="26">
        <v>0.32900000000000001</v>
      </c>
      <c r="F30" s="11">
        <v>3528</v>
      </c>
      <c r="G30" s="11">
        <v>109</v>
      </c>
      <c r="H30" s="11">
        <v>3419</v>
      </c>
      <c r="I30" s="26">
        <v>3.09E-2</v>
      </c>
      <c r="J30" s="11">
        <v>2355</v>
      </c>
      <c r="K30" s="11">
        <v>30</v>
      </c>
      <c r="L30" s="11">
        <v>2325</v>
      </c>
      <c r="M30" s="26">
        <v>1.2699999999999999E-2</v>
      </c>
      <c r="N30" s="11">
        <v>2454</v>
      </c>
      <c r="O30" s="11">
        <v>21</v>
      </c>
      <c r="P30" s="11">
        <v>2433</v>
      </c>
      <c r="Q30" s="26">
        <v>8.6E-3</v>
      </c>
      <c r="R30" s="11">
        <v>2167</v>
      </c>
      <c r="S30" s="11">
        <v>31</v>
      </c>
      <c r="T30" s="11">
        <v>2136</v>
      </c>
      <c r="U30" s="26">
        <v>1.43E-2</v>
      </c>
      <c r="V30" s="12">
        <f t="shared" si="0"/>
        <v>3.3245765014947005E-2</v>
      </c>
    </row>
    <row r="31" spans="1:22" x14ac:dyDescent="0.35">
      <c r="A31" s="10">
        <v>43826</v>
      </c>
      <c r="B31" s="11">
        <v>542</v>
      </c>
      <c r="C31" s="11">
        <v>179</v>
      </c>
      <c r="D31" s="11">
        <v>363</v>
      </c>
      <c r="E31" s="26">
        <v>0.33029999999999998</v>
      </c>
      <c r="F31" s="11">
        <v>3600</v>
      </c>
      <c r="G31" s="11">
        <v>70</v>
      </c>
      <c r="H31" s="11">
        <v>3530</v>
      </c>
      <c r="I31" s="26">
        <v>1.9400000000000001E-2</v>
      </c>
      <c r="J31" s="11">
        <v>2360</v>
      </c>
      <c r="K31" s="11">
        <v>30</v>
      </c>
      <c r="L31" s="11">
        <v>2330</v>
      </c>
      <c r="M31" s="26">
        <v>1.2699999999999999E-2</v>
      </c>
      <c r="N31" s="11">
        <v>2475</v>
      </c>
      <c r="O31" s="11">
        <v>22</v>
      </c>
      <c r="P31" s="11">
        <v>2453</v>
      </c>
      <c r="Q31" s="26">
        <v>8.8999999999999999E-3</v>
      </c>
      <c r="R31" s="11">
        <v>2156</v>
      </c>
      <c r="S31" s="11">
        <v>11</v>
      </c>
      <c r="T31" s="11">
        <v>2145</v>
      </c>
      <c r="U31" s="26">
        <v>5.1000000000000004E-3</v>
      </c>
      <c r="V31" s="12">
        <f t="shared" si="0"/>
        <v>2.8024791161412019E-2</v>
      </c>
    </row>
    <row r="32" spans="1:22" x14ac:dyDescent="0.35">
      <c r="A32" s="10">
        <v>43827</v>
      </c>
      <c r="B32" s="11">
        <v>537</v>
      </c>
      <c r="C32" s="11">
        <v>177</v>
      </c>
      <c r="D32" s="11">
        <v>360</v>
      </c>
      <c r="E32" s="26">
        <v>0.3296</v>
      </c>
      <c r="F32" s="11">
        <v>3568</v>
      </c>
      <c r="G32" s="11">
        <v>70</v>
      </c>
      <c r="H32" s="11">
        <v>3498</v>
      </c>
      <c r="I32" s="26">
        <v>1.9599999999999999E-2</v>
      </c>
      <c r="J32" s="11">
        <v>2355</v>
      </c>
      <c r="K32" s="11">
        <v>32</v>
      </c>
      <c r="L32" s="11">
        <v>2323</v>
      </c>
      <c r="M32" s="26">
        <v>1.3599999999999999E-2</v>
      </c>
      <c r="N32" s="11">
        <v>2467</v>
      </c>
      <c r="O32" s="11">
        <v>29</v>
      </c>
      <c r="P32" s="11">
        <v>2438</v>
      </c>
      <c r="Q32" s="26">
        <v>1.18E-2</v>
      </c>
      <c r="R32" s="11">
        <v>2179</v>
      </c>
      <c r="S32" s="11">
        <v>13</v>
      </c>
      <c r="T32" s="11">
        <v>2166</v>
      </c>
      <c r="U32" s="26">
        <v>6.0000000000000001E-3</v>
      </c>
      <c r="V32" s="12">
        <f t="shared" si="0"/>
        <v>2.890329551593733E-2</v>
      </c>
    </row>
    <row r="33" spans="1:22" x14ac:dyDescent="0.35">
      <c r="A33" s="10">
        <v>43828</v>
      </c>
      <c r="B33" s="11">
        <v>541</v>
      </c>
      <c r="C33" s="11">
        <v>224</v>
      </c>
      <c r="D33" s="11">
        <v>317</v>
      </c>
      <c r="E33" s="26">
        <v>0.41399999999999998</v>
      </c>
      <c r="F33" s="11">
        <v>3534</v>
      </c>
      <c r="G33" s="11">
        <v>97</v>
      </c>
      <c r="H33" s="11">
        <v>3437</v>
      </c>
      <c r="I33" s="26">
        <v>2.7400000000000001E-2</v>
      </c>
      <c r="J33" s="11">
        <v>2348</v>
      </c>
      <c r="K33" s="11">
        <v>39</v>
      </c>
      <c r="L33" s="11">
        <v>2309</v>
      </c>
      <c r="M33" s="26">
        <v>1.66E-2</v>
      </c>
      <c r="N33" s="11">
        <v>2446</v>
      </c>
      <c r="O33" s="11">
        <v>37</v>
      </c>
      <c r="P33" s="11">
        <v>2409</v>
      </c>
      <c r="Q33" s="26">
        <v>1.5100000000000001E-2</v>
      </c>
      <c r="R33" s="11">
        <v>2168</v>
      </c>
      <c r="S33" s="11">
        <v>14</v>
      </c>
      <c r="T33" s="11">
        <v>2154</v>
      </c>
      <c r="U33" s="26">
        <v>6.4999999999999997E-3</v>
      </c>
      <c r="V33" s="12">
        <f t="shared" si="0"/>
        <v>3.7238379994563739E-2</v>
      </c>
    </row>
    <row r="34" spans="1:22" x14ac:dyDescent="0.35">
      <c r="A34" s="10">
        <v>43829</v>
      </c>
      <c r="B34" s="11">
        <v>534</v>
      </c>
      <c r="C34" s="11">
        <v>174</v>
      </c>
      <c r="D34" s="11">
        <v>360</v>
      </c>
      <c r="E34" s="26">
        <v>0.32579999999999998</v>
      </c>
      <c r="F34" s="11">
        <v>3544</v>
      </c>
      <c r="G34" s="11">
        <v>98</v>
      </c>
      <c r="H34" s="11">
        <v>3446</v>
      </c>
      <c r="I34" s="26">
        <v>2.7699999999999999E-2</v>
      </c>
      <c r="J34" s="11">
        <v>2344</v>
      </c>
      <c r="K34" s="11">
        <v>33</v>
      </c>
      <c r="L34" s="11">
        <v>2311</v>
      </c>
      <c r="M34" s="26">
        <v>1.41E-2</v>
      </c>
      <c r="N34" s="11">
        <v>2452</v>
      </c>
      <c r="O34" s="11">
        <v>24</v>
      </c>
      <c r="P34" s="11">
        <v>2428</v>
      </c>
      <c r="Q34" s="26">
        <v>9.7999999999999997E-3</v>
      </c>
      <c r="R34" s="11">
        <v>2142</v>
      </c>
      <c r="S34" s="11">
        <v>14</v>
      </c>
      <c r="T34" s="11">
        <v>2128</v>
      </c>
      <c r="U34" s="26">
        <v>6.4999999999999997E-3</v>
      </c>
      <c r="V34" s="12">
        <f t="shared" si="0"/>
        <v>3.1136528685548292E-2</v>
      </c>
    </row>
    <row r="35" spans="1:22" x14ac:dyDescent="0.35">
      <c r="A35" s="10">
        <v>43830</v>
      </c>
      <c r="B35" s="11"/>
      <c r="C35" s="11"/>
      <c r="D35" s="11"/>
      <c r="E35" s="26"/>
      <c r="F35" s="11"/>
      <c r="G35" s="11"/>
      <c r="H35" s="11"/>
      <c r="I35" s="26"/>
      <c r="J35" s="11"/>
      <c r="K35" s="11"/>
      <c r="L35" s="11"/>
      <c r="M35" s="26"/>
      <c r="N35" s="11"/>
      <c r="O35" s="11"/>
      <c r="P35" s="11"/>
      <c r="Q35" s="26"/>
      <c r="R35" s="11"/>
      <c r="S35" s="11"/>
      <c r="T35" s="11"/>
      <c r="U35" s="26"/>
      <c r="V35" s="12" t="e">
        <f>(C35+G35+K35+O35+S35)/(B35+F35+J35+N35+R35)</f>
        <v>#DIV/0!</v>
      </c>
    </row>
    <row r="36" spans="1:22" s="25" customFormat="1" ht="18.75" customHeight="1" x14ac:dyDescent="0.35">
      <c r="A36" s="21" t="s">
        <v>14</v>
      </c>
      <c r="B36" s="22">
        <f>SUM(B5:B35)</f>
        <v>14753</v>
      </c>
      <c r="C36" s="22">
        <f>SUM(C5:C35)</f>
        <v>4892</v>
      </c>
      <c r="D36" s="22">
        <f>SUM(D5:D35)</f>
        <v>9861</v>
      </c>
      <c r="E36" s="23">
        <f>C36/B36</f>
        <v>0.33159357418830071</v>
      </c>
      <c r="F36" s="22">
        <f>SUM(F5:F35)</f>
        <v>103327</v>
      </c>
      <c r="G36" s="22">
        <f>SUM(G5:G35)</f>
        <v>2157</v>
      </c>
      <c r="H36" s="22">
        <f>SUM(H5:H35)</f>
        <v>101170</v>
      </c>
      <c r="I36" s="23">
        <f>G36/F36</f>
        <v>2.0875473012862078E-2</v>
      </c>
      <c r="J36" s="22">
        <f>SUM(J5:J35)</f>
        <v>69561</v>
      </c>
      <c r="K36" s="22">
        <f>SUM(K5:K35)</f>
        <v>805</v>
      </c>
      <c r="L36" s="22">
        <f>SUM(L5:L35)</f>
        <v>68756</v>
      </c>
      <c r="M36" s="23">
        <f>K36/J36</f>
        <v>1.1572576587455615E-2</v>
      </c>
      <c r="N36" s="22">
        <f>SUM(N5:N35)</f>
        <v>71061</v>
      </c>
      <c r="O36" s="22">
        <f>SUM(O5:O35)</f>
        <v>566</v>
      </c>
      <c r="P36" s="22">
        <f>SUM(P5:P35)</f>
        <v>70495</v>
      </c>
      <c r="Q36" s="23">
        <f>O36/N36</f>
        <v>7.9649878273595921E-3</v>
      </c>
      <c r="R36" s="22">
        <f>SUM(R5:R35)</f>
        <v>60944</v>
      </c>
      <c r="S36" s="22">
        <f>SUM(S5:S35)</f>
        <v>780</v>
      </c>
      <c r="T36" s="22">
        <f>SUM(T5:T35)</f>
        <v>60164</v>
      </c>
      <c r="U36" s="23">
        <f>S36/R36</f>
        <v>1.2798634812286689E-2</v>
      </c>
      <c r="V36" s="24" t="e">
        <f>AVERAGE(V5:V35)</f>
        <v>#DIV/0!</v>
      </c>
    </row>
    <row r="37" spans="1:22" s="20" customFormat="1" ht="15" x14ac:dyDescent="0.4">
      <c r="A37" s="18" t="s">
        <v>12</v>
      </c>
      <c r="B37" s="36"/>
      <c r="C37" s="37"/>
      <c r="D37" s="38"/>
      <c r="E37" s="19">
        <v>0.44</v>
      </c>
      <c r="F37" s="36"/>
      <c r="G37" s="37"/>
      <c r="H37" s="38"/>
      <c r="I37" s="19">
        <v>3.9E-2</v>
      </c>
      <c r="J37" s="36"/>
      <c r="K37" s="37"/>
      <c r="L37" s="38"/>
      <c r="M37" s="19">
        <v>2.8000000000000001E-2</v>
      </c>
      <c r="N37" s="36"/>
      <c r="O37" s="37"/>
      <c r="P37" s="38"/>
      <c r="Q37" s="19">
        <v>1.0999999999999999E-2</v>
      </c>
      <c r="R37" s="36"/>
      <c r="S37" s="37"/>
      <c r="T37" s="38"/>
      <c r="U37" s="19">
        <v>1.0999999999999999E-2</v>
      </c>
      <c r="V37" s="19">
        <v>0.04</v>
      </c>
    </row>
    <row r="38" spans="1:22" s="17" customFormat="1" ht="15" x14ac:dyDescent="0.4">
      <c r="A38" s="15" t="s">
        <v>13</v>
      </c>
      <c r="B38" s="33"/>
      <c r="C38" s="34"/>
      <c r="D38" s="35"/>
      <c r="E38" s="16">
        <f>E36/E37</f>
        <v>0.75362175951886523</v>
      </c>
      <c r="F38" s="33"/>
      <c r="G38" s="34"/>
      <c r="H38" s="35"/>
      <c r="I38" s="16">
        <f>I36/I37</f>
        <v>0.53526853879133529</v>
      </c>
      <c r="J38" s="33"/>
      <c r="K38" s="34"/>
      <c r="L38" s="35"/>
      <c r="M38" s="16">
        <f>M36/M37</f>
        <v>0.41330630669484336</v>
      </c>
      <c r="N38" s="33"/>
      <c r="O38" s="34"/>
      <c r="P38" s="35"/>
      <c r="Q38" s="16">
        <f>Q36/Q37</f>
        <v>0.72408980248723565</v>
      </c>
      <c r="R38" s="33"/>
      <c r="S38" s="34"/>
      <c r="T38" s="35"/>
      <c r="U38" s="16">
        <f>U36/U37</f>
        <v>1.1635122556624264</v>
      </c>
      <c r="V38" s="16" t="e">
        <f>V36/V37</f>
        <v>#DIV/0!</v>
      </c>
    </row>
    <row r="39" spans="1:22" x14ac:dyDescent="0.35">
      <c r="A39">
        <v>2</v>
      </c>
      <c r="B39">
        <f>B36*$A$39</f>
        <v>29506</v>
      </c>
      <c r="C39">
        <f t="shared" ref="C39:T39" si="1">C36*$A$39</f>
        <v>9784</v>
      </c>
      <c r="D39">
        <f t="shared" si="1"/>
        <v>19722</v>
      </c>
      <c r="F39">
        <f t="shared" si="1"/>
        <v>206654</v>
      </c>
      <c r="G39">
        <f t="shared" si="1"/>
        <v>4314</v>
      </c>
      <c r="H39">
        <f t="shared" si="1"/>
        <v>202340</v>
      </c>
      <c r="J39">
        <f t="shared" si="1"/>
        <v>139122</v>
      </c>
      <c r="K39">
        <f t="shared" si="1"/>
        <v>1610</v>
      </c>
      <c r="L39">
        <f t="shared" si="1"/>
        <v>137512</v>
      </c>
      <c r="N39">
        <f t="shared" si="1"/>
        <v>142122</v>
      </c>
      <c r="O39">
        <f t="shared" si="1"/>
        <v>1132</v>
      </c>
      <c r="P39">
        <f t="shared" si="1"/>
        <v>140990</v>
      </c>
      <c r="R39">
        <f t="shared" si="1"/>
        <v>121888</v>
      </c>
      <c r="S39">
        <f t="shared" si="1"/>
        <v>1560</v>
      </c>
      <c r="T39">
        <f t="shared" si="1"/>
        <v>120328</v>
      </c>
    </row>
    <row r="40" spans="1:22" x14ac:dyDescent="0.35">
      <c r="E40" s="13"/>
    </row>
    <row r="41" spans="1:22" ht="39" customHeight="1" x14ac:dyDescent="0.35">
      <c r="B41" s="27">
        <f>VLOOKUP(B$2,'[11]311219'!$A$2:$F$25,3,0)</f>
        <v>534</v>
      </c>
      <c r="C41" s="27">
        <f>VLOOKUP(B$2,'[11]311219'!$A$2:$F$25,4,0)</f>
        <v>174</v>
      </c>
      <c r="D41" s="27">
        <f>VLOOKUP(B$2,'[11]311219'!$A$2:$F$25,5,0)</f>
        <v>360</v>
      </c>
      <c r="E41" s="28">
        <f>VLOOKUP(B$2,'[11]311219'!$A$2:$F$25,6,0)</f>
        <v>0.32579999999999998</v>
      </c>
      <c r="F41" s="27">
        <f>VLOOKUP(F$2,'[11]311219'!$A$2:$F$25,3,0)</f>
        <v>3544</v>
      </c>
      <c r="G41" s="27">
        <f>VLOOKUP(F$2,'[11]311219'!$A$2:$F$25,4,0)</f>
        <v>98</v>
      </c>
      <c r="H41" s="27">
        <f>VLOOKUP(F$2,'[11]311219'!$A$2:$F$25,5,0)</f>
        <v>3446</v>
      </c>
      <c r="I41" s="29">
        <f>VLOOKUP(F$2,'[11]311219'!$A$2:$F$25,6,0)</f>
        <v>2.7699999999999999E-2</v>
      </c>
      <c r="J41" s="27">
        <f>VLOOKUP(J$2,'[11]311219'!$A$2:$F$25,3,0)</f>
        <v>2344</v>
      </c>
      <c r="K41" s="27">
        <f>VLOOKUP(J$2,'[11]311219'!$A$2:$F$25,4,0)</f>
        <v>33</v>
      </c>
      <c r="L41" s="27">
        <f>VLOOKUP(J$2,'[11]311219'!$A$2:$F$25,5,0)</f>
        <v>2311</v>
      </c>
      <c r="M41" s="28">
        <f>VLOOKUP(J$2,'[11]311219'!$A$2:$F$25,6,0)</f>
        <v>1.41E-2</v>
      </c>
      <c r="N41" s="27">
        <f>VLOOKUP(N$2,'[11]311219'!$A$2:$F$25,3,0)</f>
        <v>2452</v>
      </c>
      <c r="O41" s="27">
        <f>VLOOKUP(N$2,'[11]311219'!$A$2:$F$25,4,0)</f>
        <v>24</v>
      </c>
      <c r="P41" s="27">
        <f>VLOOKUP(N$2,'[11]311219'!$A$2:$F$25,5,0)</f>
        <v>2428</v>
      </c>
      <c r="Q41" s="28">
        <f>VLOOKUP(N$2,'[11]311219'!$A$2:$F$25,6,0)</f>
        <v>9.7999999999999997E-3</v>
      </c>
      <c r="R41" s="27">
        <f>VLOOKUP(R$2,'[11]311219'!$A$2:$F$25,3,0)</f>
        <v>2142</v>
      </c>
      <c r="S41" s="27">
        <f>VLOOKUP(R$2,'[11]311219'!$A$2:$F$25,4,0)</f>
        <v>14</v>
      </c>
      <c r="T41" s="27">
        <f>VLOOKUP(R$2,'[11]311219'!$A$2:$F$25,5,0)</f>
        <v>2128</v>
      </c>
      <c r="U41" s="28">
        <f>VLOOKUP(R$2,'[11]311219'!$A$2:$F$25,6,0)</f>
        <v>6.4999999999999997E-3</v>
      </c>
    </row>
    <row r="43" spans="1:22" x14ac:dyDescent="0.35">
      <c r="E43" s="14"/>
    </row>
    <row r="44" spans="1:22" ht="13.5" x14ac:dyDescent="0.35">
      <c r="B44">
        <f>B39+F39+J39+N39+R39</f>
        <v>639292</v>
      </c>
      <c r="C44">
        <f>C39+G39+K39+O39+S39</f>
        <v>18400</v>
      </c>
      <c r="E44" s="23">
        <f>C44/B44</f>
        <v>2.878183991040088E-2</v>
      </c>
    </row>
  </sheetData>
  <mergeCells count="21">
    <mergeCell ref="B37:D37"/>
    <mergeCell ref="F37:H37"/>
    <mergeCell ref="J37:L37"/>
    <mergeCell ref="N37:P37"/>
    <mergeCell ref="R37:T37"/>
    <mergeCell ref="A1:V1"/>
    <mergeCell ref="B2:E2"/>
    <mergeCell ref="F2:I2"/>
    <mergeCell ref="J2:M2"/>
    <mergeCell ref="N2:Q2"/>
    <mergeCell ref="B38:D38"/>
    <mergeCell ref="F38:H38"/>
    <mergeCell ref="J38:L38"/>
    <mergeCell ref="N38:P38"/>
    <mergeCell ref="R38:T38"/>
    <mergeCell ref="R2:U2"/>
    <mergeCell ref="B3:E3"/>
    <mergeCell ref="F3:I3"/>
    <mergeCell ref="J3:M3"/>
    <mergeCell ref="N3:Q3"/>
    <mergeCell ref="R3:U3"/>
  </mergeCells>
  <hyperlinks>
    <hyperlink ref="B4" r:id="rId1" display="javascript:__doPostBack('dgInvbalPH$_ctl1$_ctl0','')"/>
    <hyperlink ref="C4" r:id="rId2" display="javascript:__doPostBack('dgInvbalPH$_ctl1$_ctl1','')"/>
    <hyperlink ref="D4" r:id="rId3" display="javascript:__doPostBack('dgInvbalPH$_ctl1$_ctl2','')"/>
    <hyperlink ref="F4" r:id="rId4" display="javascript:__doPostBack('dgInvbalPH$_ctl1$_ctl0','')"/>
    <hyperlink ref="G4" r:id="rId5" display="javascript:__doPostBack('dgInvbalPH$_ctl1$_ctl1','')"/>
    <hyperlink ref="H4" r:id="rId6" display="javascript:__doPostBack('dgInvbalPH$_ctl1$_ctl2','')"/>
    <hyperlink ref="J4" r:id="rId7" display="javascript:__doPostBack('dgInvbalPH$_ctl1$_ctl0','')"/>
    <hyperlink ref="K4" r:id="rId8" display="javascript:__doPostBack('dgInvbalPH$_ctl1$_ctl1','')"/>
    <hyperlink ref="L4" r:id="rId9" display="javascript:__doPostBack('dgInvbalPH$_ctl1$_ctl2','')"/>
    <hyperlink ref="N4" r:id="rId10" display="javascript:__doPostBack('dgInvbalPH$_ctl1$_ctl0','')"/>
    <hyperlink ref="O4" r:id="rId11" display="javascript:__doPostBack('dgInvbalPH$_ctl1$_ctl1','')"/>
    <hyperlink ref="P4" r:id="rId12" display="javascript:__doPostBack('dgInvbalPH$_ctl1$_ctl2','')"/>
    <hyperlink ref="R4" r:id="rId13" display="javascript:__doPostBack('dgInvbalPH$_ctl1$_ctl0','')"/>
    <hyperlink ref="S4" r:id="rId14" display="javascript:__doPostBack('dgInvbalPH$_ctl1$_ctl1','')"/>
    <hyperlink ref="T4" r:id="rId15" display="javascript:__doPostBack('dgInvbalPH$_ctl1$_ctl2','')"/>
  </hyperlinks>
  <pageMargins left="0.7" right="0.7" top="0.75" bottom="0.75" header="0.3" footer="0.3"/>
  <pageSetup orientation="portrait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Ton am t1</vt:lpstr>
      <vt:lpstr>Ton am t2</vt:lpstr>
      <vt:lpstr>Ton am t3</vt:lpstr>
      <vt:lpstr>Ton am T4</vt:lpstr>
      <vt:lpstr>Ton am T5</vt:lpstr>
      <vt:lpstr>Ton am T6</vt:lpstr>
      <vt:lpstr>Ton am T7</vt:lpstr>
      <vt:lpstr>Ton am T8</vt:lpstr>
      <vt:lpstr>Ton am T9</vt:lpstr>
      <vt:lpstr>Ton am T10</vt:lpstr>
      <vt:lpstr>Ton am T11</vt:lpstr>
      <vt:lpstr>Ton am T12</vt:lpstr>
      <vt:lpstr>Chart1</vt:lpstr>
      <vt:lpstr>'Ton am t1'!vlookup</vt:lpstr>
      <vt:lpstr>'Ton am T10'!vlookup</vt:lpstr>
      <vt:lpstr>'Ton am T11'!vlookup</vt:lpstr>
      <vt:lpstr>'Ton am T12'!vlookup</vt:lpstr>
      <vt:lpstr>'Ton am t2'!vlookup</vt:lpstr>
      <vt:lpstr>'Ton am t3'!vlookup</vt:lpstr>
      <vt:lpstr>'Ton am T4'!vlookup</vt:lpstr>
      <vt:lpstr>'Ton am T5'!vlookup</vt:lpstr>
      <vt:lpstr>'Ton am T6'!vlookup</vt:lpstr>
      <vt:lpstr>'Ton am T7'!vlookup</vt:lpstr>
      <vt:lpstr>'Ton am T8'!vlookup</vt:lpstr>
      <vt:lpstr>'Ton am T9'!vlookup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 Tinh - Go Cong</dc:creator>
  <cp:lastModifiedBy>Danh1</cp:lastModifiedBy>
  <cp:lastPrinted>2023-02-18T06:31:03Z</cp:lastPrinted>
  <dcterms:created xsi:type="dcterms:W3CDTF">1996-10-14T23:33:28Z</dcterms:created>
  <dcterms:modified xsi:type="dcterms:W3CDTF">2023-02-19T13:07:48Z</dcterms:modified>
</cp:coreProperties>
</file>